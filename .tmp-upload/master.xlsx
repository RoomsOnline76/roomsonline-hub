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serasmus/Downloads/"/>
    </mc:Choice>
  </mc:AlternateContent>
  <xr:revisionPtr revIDLastSave="0" documentId="13_ncr:1_{DAEC5DB7-1AED-8D4F-8EBD-799EDDD182B4}" xr6:coauthVersionLast="47" xr6:coauthVersionMax="47" xr10:uidLastSave="{00000000-0000-0000-0000-000000000000}"/>
  <bookViews>
    <workbookView xWindow="0" yWindow="0" windowWidth="51200" windowHeight="28800" activeTab="9" xr2:uid="{EA950BBF-72A9-4C06-9AA6-2D5EA56EF216}"/>
  </bookViews>
  <sheets>
    <sheet name="14Sep2026" sheetId="396" r:id="rId1"/>
    <sheet name="11Sep2026" sheetId="395" r:id="rId2"/>
    <sheet name="10Sep2026" sheetId="394" r:id="rId3"/>
    <sheet name="09Sep2026" sheetId="393" r:id="rId4"/>
    <sheet name="08Sep2026" sheetId="392" r:id="rId5"/>
    <sheet name="07Sep2026" sheetId="391" r:id="rId6"/>
    <sheet name="04Sep2026" sheetId="390" r:id="rId7"/>
    <sheet name="03Sep2026" sheetId="389" r:id="rId8"/>
    <sheet name="02Sep2026" sheetId="388" r:id="rId9"/>
    <sheet name="01Sep2026" sheetId="38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4" i="396" l="1"/>
  <c r="U74" i="396" s="1"/>
  <c r="K74" i="396"/>
  <c r="G74" i="396"/>
  <c r="N73" i="396"/>
  <c r="M73" i="396"/>
  <c r="J73" i="396"/>
  <c r="I73" i="396"/>
  <c r="F73" i="396"/>
  <c r="E73" i="396"/>
  <c r="D73" i="396"/>
  <c r="C73" i="396"/>
  <c r="B73" i="396"/>
  <c r="T72" i="396"/>
  <c r="Q72" i="396"/>
  <c r="P72" i="396"/>
  <c r="O72" i="396"/>
  <c r="K72" i="396"/>
  <c r="H72" i="396"/>
  <c r="U72" i="396" s="1"/>
  <c r="G72" i="396"/>
  <c r="T71" i="396"/>
  <c r="Q71" i="396"/>
  <c r="P71" i="396"/>
  <c r="O71" i="396"/>
  <c r="K71" i="396"/>
  <c r="H71" i="396"/>
  <c r="L71" i="396" s="1"/>
  <c r="G71" i="396"/>
  <c r="T70" i="396"/>
  <c r="Q70" i="396"/>
  <c r="P70" i="396"/>
  <c r="O70" i="396"/>
  <c r="K70" i="396"/>
  <c r="H70" i="396"/>
  <c r="G70" i="396"/>
  <c r="N69" i="396"/>
  <c r="M69" i="396"/>
  <c r="J69" i="396"/>
  <c r="I69" i="396"/>
  <c r="F69" i="396"/>
  <c r="E69" i="396"/>
  <c r="D69" i="396"/>
  <c r="C69" i="396"/>
  <c r="B69" i="396"/>
  <c r="T68" i="396"/>
  <c r="Q68" i="396"/>
  <c r="P68" i="396"/>
  <c r="O68" i="396"/>
  <c r="K68" i="396"/>
  <c r="H68" i="396"/>
  <c r="L68" i="396" s="1"/>
  <c r="G68" i="396"/>
  <c r="T67" i="396"/>
  <c r="Q67" i="396"/>
  <c r="P67" i="396"/>
  <c r="O67" i="396"/>
  <c r="K67" i="396"/>
  <c r="H67" i="396"/>
  <c r="G67" i="396"/>
  <c r="T66" i="396"/>
  <c r="Q66" i="396"/>
  <c r="P66" i="396"/>
  <c r="O66" i="396"/>
  <c r="K66" i="396"/>
  <c r="H66" i="396"/>
  <c r="L66" i="396" s="1"/>
  <c r="G66" i="396"/>
  <c r="N65" i="396"/>
  <c r="M65" i="396"/>
  <c r="Q65" i="396" s="1"/>
  <c r="J65" i="396"/>
  <c r="I65" i="396"/>
  <c r="F65" i="396"/>
  <c r="E65" i="396"/>
  <c r="D65" i="396"/>
  <c r="B65" i="396"/>
  <c r="T64" i="396"/>
  <c r="Q64" i="396"/>
  <c r="P64" i="396"/>
  <c r="K64" i="396"/>
  <c r="H64" i="396"/>
  <c r="L64" i="396" s="1"/>
  <c r="G64" i="396"/>
  <c r="T63" i="396"/>
  <c r="U63" i="396" s="1"/>
  <c r="Q63" i="396"/>
  <c r="P63" i="396"/>
  <c r="O63" i="396"/>
  <c r="K63" i="396"/>
  <c r="H63" i="396"/>
  <c r="L63" i="396" s="1"/>
  <c r="G63" i="396"/>
  <c r="T62" i="396"/>
  <c r="Q62" i="396"/>
  <c r="P62" i="396"/>
  <c r="O62" i="396"/>
  <c r="K62" i="396"/>
  <c r="H62" i="396"/>
  <c r="G62" i="396"/>
  <c r="C62" i="396"/>
  <c r="C65" i="396" s="1"/>
  <c r="N61" i="396"/>
  <c r="M61" i="396"/>
  <c r="J61" i="396"/>
  <c r="I61" i="396"/>
  <c r="F61" i="396"/>
  <c r="E61" i="396"/>
  <c r="D61" i="396"/>
  <c r="C61" i="396"/>
  <c r="B61" i="396"/>
  <c r="T60" i="396"/>
  <c r="Q60" i="396"/>
  <c r="P60" i="396"/>
  <c r="O60" i="396"/>
  <c r="K60" i="396"/>
  <c r="H60" i="396"/>
  <c r="U60" i="396" s="1"/>
  <c r="G60" i="396"/>
  <c r="T59" i="396"/>
  <c r="Q59" i="396"/>
  <c r="P59" i="396"/>
  <c r="O59" i="396"/>
  <c r="K59" i="396"/>
  <c r="H59" i="396"/>
  <c r="L59" i="396" s="1"/>
  <c r="G59" i="396"/>
  <c r="T58" i="396"/>
  <c r="Q58" i="396"/>
  <c r="P58" i="396"/>
  <c r="O58" i="396"/>
  <c r="L58" i="396"/>
  <c r="K58" i="396"/>
  <c r="H58" i="396"/>
  <c r="G58" i="396"/>
  <c r="T47" i="396"/>
  <c r="U47" i="396" s="1"/>
  <c r="K47" i="396"/>
  <c r="G47" i="396"/>
  <c r="N46" i="396"/>
  <c r="M46" i="396"/>
  <c r="J46" i="396"/>
  <c r="I46" i="396"/>
  <c r="H46" i="396"/>
  <c r="F46" i="396"/>
  <c r="E46" i="396"/>
  <c r="D46" i="396"/>
  <c r="C46" i="396"/>
  <c r="B46" i="396"/>
  <c r="T45" i="396"/>
  <c r="U45" i="396" s="1"/>
  <c r="Q45" i="396"/>
  <c r="P45" i="396"/>
  <c r="O45" i="396"/>
  <c r="L45" i="396"/>
  <c r="K45" i="396"/>
  <c r="G45" i="396"/>
  <c r="T44" i="396"/>
  <c r="U44" i="396" s="1"/>
  <c r="Q44" i="396"/>
  <c r="P44" i="396"/>
  <c r="O44" i="396"/>
  <c r="L44" i="396"/>
  <c r="K44" i="396"/>
  <c r="G44" i="396"/>
  <c r="T43" i="396"/>
  <c r="U43" i="396" s="1"/>
  <c r="Q43" i="396"/>
  <c r="P43" i="396"/>
  <c r="O43" i="396"/>
  <c r="L43" i="396"/>
  <c r="K43" i="396"/>
  <c r="G43" i="396"/>
  <c r="N42" i="396"/>
  <c r="M42" i="396"/>
  <c r="J42" i="396"/>
  <c r="I42" i="396"/>
  <c r="H42" i="396"/>
  <c r="F42" i="396"/>
  <c r="E42" i="396"/>
  <c r="D42" i="396"/>
  <c r="C42" i="396"/>
  <c r="B42" i="396"/>
  <c r="T41" i="396"/>
  <c r="U41" i="396" s="1"/>
  <c r="Q41" i="396"/>
  <c r="P41" i="396"/>
  <c r="O41" i="396"/>
  <c r="L41" i="396"/>
  <c r="K41" i="396"/>
  <c r="G41" i="396"/>
  <c r="T40" i="396"/>
  <c r="U40" i="396" s="1"/>
  <c r="Q40" i="396"/>
  <c r="P40" i="396"/>
  <c r="O40" i="396"/>
  <c r="L40" i="396"/>
  <c r="K40" i="396"/>
  <c r="G40" i="396"/>
  <c r="T39" i="396"/>
  <c r="U39" i="396" s="1"/>
  <c r="Q39" i="396"/>
  <c r="P39" i="396"/>
  <c r="O39" i="396"/>
  <c r="L39" i="396"/>
  <c r="K39" i="396"/>
  <c r="G39" i="396"/>
  <c r="N38" i="396"/>
  <c r="M38" i="396"/>
  <c r="J38" i="396"/>
  <c r="I38" i="396"/>
  <c r="H38" i="396"/>
  <c r="F38" i="396"/>
  <c r="D38" i="396"/>
  <c r="C38" i="396"/>
  <c r="Q37" i="396"/>
  <c r="P37" i="396"/>
  <c r="O37" i="396"/>
  <c r="K37" i="396"/>
  <c r="E37" i="396"/>
  <c r="E38" i="396" s="1"/>
  <c r="B37" i="396"/>
  <c r="O64" i="396" s="1"/>
  <c r="T36" i="396"/>
  <c r="U36" i="396" s="1"/>
  <c r="Q36" i="396"/>
  <c r="P36" i="396"/>
  <c r="O36" i="396"/>
  <c r="L36" i="396"/>
  <c r="K36" i="396"/>
  <c r="G36" i="396"/>
  <c r="T35" i="396"/>
  <c r="U35" i="396" s="1"/>
  <c r="Q35" i="396"/>
  <c r="P35" i="396"/>
  <c r="L35" i="396"/>
  <c r="K35" i="396"/>
  <c r="G35" i="396"/>
  <c r="N34" i="396"/>
  <c r="M34" i="396"/>
  <c r="J34" i="396"/>
  <c r="I34" i="396"/>
  <c r="H34" i="396"/>
  <c r="F34" i="396"/>
  <c r="E34" i="396"/>
  <c r="D34" i="396"/>
  <c r="C34" i="396"/>
  <c r="B34" i="396"/>
  <c r="T33" i="396"/>
  <c r="U33" i="396" s="1"/>
  <c r="Q33" i="396"/>
  <c r="P33" i="396"/>
  <c r="O33" i="396"/>
  <c r="L33" i="396"/>
  <c r="K33" i="396"/>
  <c r="G33" i="396"/>
  <c r="T32" i="396"/>
  <c r="U32" i="396" s="1"/>
  <c r="Q32" i="396"/>
  <c r="P32" i="396"/>
  <c r="L32" i="396"/>
  <c r="K32" i="396"/>
  <c r="G32" i="396"/>
  <c r="T31" i="396"/>
  <c r="U31" i="396" s="1"/>
  <c r="Q31" i="396"/>
  <c r="P31" i="396"/>
  <c r="O31" i="396"/>
  <c r="L31" i="396"/>
  <c r="K31" i="396"/>
  <c r="G31" i="396"/>
  <c r="P20" i="396"/>
  <c r="O20" i="396"/>
  <c r="N20" i="396"/>
  <c r="M20" i="396"/>
  <c r="J20" i="396"/>
  <c r="I20" i="396"/>
  <c r="F20" i="396"/>
  <c r="E20" i="396"/>
  <c r="D20" i="396"/>
  <c r="C20" i="396"/>
  <c r="C21" i="396" s="1"/>
  <c r="B20" i="396"/>
  <c r="T19" i="396"/>
  <c r="Q19" i="396"/>
  <c r="K19" i="396"/>
  <c r="H19" i="396"/>
  <c r="L19" i="396" s="1"/>
  <c r="G19" i="396"/>
  <c r="T18" i="396"/>
  <c r="Q18" i="396"/>
  <c r="K18" i="396"/>
  <c r="H18" i="396"/>
  <c r="L18" i="396" s="1"/>
  <c r="G18" i="396"/>
  <c r="T17" i="396"/>
  <c r="Q17" i="396"/>
  <c r="K17" i="396"/>
  <c r="H17" i="396"/>
  <c r="L17" i="396" s="1"/>
  <c r="G17" i="396"/>
  <c r="P16" i="396"/>
  <c r="O16" i="396"/>
  <c r="N16" i="396"/>
  <c r="M16" i="396"/>
  <c r="J16" i="396"/>
  <c r="I16" i="396"/>
  <c r="F16" i="396"/>
  <c r="E16" i="396"/>
  <c r="D16" i="396"/>
  <c r="B16" i="396"/>
  <c r="T15" i="396"/>
  <c r="Q15" i="396"/>
  <c r="K15" i="396"/>
  <c r="H15" i="396"/>
  <c r="L15" i="396" s="1"/>
  <c r="G15" i="396"/>
  <c r="T14" i="396"/>
  <c r="Q14" i="396"/>
  <c r="K14" i="396"/>
  <c r="H14" i="396"/>
  <c r="L14" i="396" s="1"/>
  <c r="G14" i="396"/>
  <c r="T13" i="396"/>
  <c r="Q13" i="396"/>
  <c r="K13" i="396"/>
  <c r="H13" i="396"/>
  <c r="L13" i="396" s="1"/>
  <c r="G13" i="396"/>
  <c r="P12" i="396"/>
  <c r="O12" i="396"/>
  <c r="N12" i="396"/>
  <c r="M12" i="396"/>
  <c r="J12" i="396"/>
  <c r="I12" i="396"/>
  <c r="F12" i="396"/>
  <c r="D12" i="396"/>
  <c r="T11" i="396"/>
  <c r="Q11" i="396"/>
  <c r="K11" i="396"/>
  <c r="H11" i="396"/>
  <c r="L11" i="396" s="1"/>
  <c r="G11" i="396"/>
  <c r="T10" i="396"/>
  <c r="Q10" i="396"/>
  <c r="H10" i="396"/>
  <c r="L10" i="396" s="1"/>
  <c r="G10" i="396"/>
  <c r="K9" i="396"/>
  <c r="H9" i="396"/>
  <c r="E9" i="396"/>
  <c r="E12" i="396" s="1"/>
  <c r="B9" i="396"/>
  <c r="O35" i="396" s="1"/>
  <c r="P8" i="396"/>
  <c r="O8" i="396"/>
  <c r="N8" i="396"/>
  <c r="M8" i="396"/>
  <c r="J8" i="396"/>
  <c r="I8" i="396"/>
  <c r="F8" i="396"/>
  <c r="D8" i="396"/>
  <c r="T7" i="396"/>
  <c r="Q7" i="396"/>
  <c r="K7" i="396"/>
  <c r="H7" i="396"/>
  <c r="L7" i="396" s="1"/>
  <c r="G7" i="396"/>
  <c r="K6" i="396"/>
  <c r="H6" i="396"/>
  <c r="E6" i="396"/>
  <c r="B6" i="396"/>
  <c r="T6" i="396" s="1"/>
  <c r="T5" i="396"/>
  <c r="Q5" i="396"/>
  <c r="K5" i="396"/>
  <c r="H5" i="396"/>
  <c r="L5" i="396" s="1"/>
  <c r="G5" i="396"/>
  <c r="T74" i="395"/>
  <c r="U74" i="395" s="1"/>
  <c r="K74" i="395"/>
  <c r="G74" i="395"/>
  <c r="N73" i="395"/>
  <c r="M73" i="395"/>
  <c r="J73" i="395"/>
  <c r="I73" i="395"/>
  <c r="F73" i="395"/>
  <c r="E73" i="395"/>
  <c r="D73" i="395"/>
  <c r="C73" i="395"/>
  <c r="B73" i="395"/>
  <c r="T72" i="395"/>
  <c r="Q72" i="395"/>
  <c r="P72" i="395"/>
  <c r="O72" i="395"/>
  <c r="K72" i="395"/>
  <c r="H72" i="395"/>
  <c r="L72" i="395" s="1"/>
  <c r="G72" i="395"/>
  <c r="T71" i="395"/>
  <c r="Q71" i="395"/>
  <c r="P71" i="395"/>
  <c r="O71" i="395"/>
  <c r="K71" i="395"/>
  <c r="H71" i="395"/>
  <c r="L71" i="395" s="1"/>
  <c r="G71" i="395"/>
  <c r="T70" i="395"/>
  <c r="S73" i="395"/>
  <c r="Q70" i="395"/>
  <c r="P70" i="395"/>
  <c r="O70" i="395"/>
  <c r="K70" i="395"/>
  <c r="H70" i="395"/>
  <c r="L70" i="395" s="1"/>
  <c r="G70" i="395"/>
  <c r="N69" i="395"/>
  <c r="M69" i="395"/>
  <c r="J69" i="395"/>
  <c r="I69" i="395"/>
  <c r="F69" i="395"/>
  <c r="E69" i="395"/>
  <c r="D69" i="395"/>
  <c r="C69" i="395"/>
  <c r="B69" i="395"/>
  <c r="T68" i="395"/>
  <c r="Q68" i="395"/>
  <c r="P68" i="395"/>
  <c r="O68" i="395"/>
  <c r="K68" i="395"/>
  <c r="H68" i="395"/>
  <c r="G68" i="395"/>
  <c r="T67" i="395"/>
  <c r="Q67" i="395"/>
  <c r="P67" i="395"/>
  <c r="O67" i="395"/>
  <c r="K67" i="395"/>
  <c r="H67" i="395"/>
  <c r="L67" i="395" s="1"/>
  <c r="G67" i="395"/>
  <c r="T66" i="395"/>
  <c r="Q66" i="395"/>
  <c r="P66" i="395"/>
  <c r="O66" i="395"/>
  <c r="K66" i="395"/>
  <c r="H66" i="395"/>
  <c r="L66" i="395" s="1"/>
  <c r="G66" i="395"/>
  <c r="N65" i="395"/>
  <c r="M65" i="395"/>
  <c r="J65" i="395"/>
  <c r="I65" i="395"/>
  <c r="F65" i="395"/>
  <c r="E65" i="395"/>
  <c r="D65" i="395"/>
  <c r="B65" i="395"/>
  <c r="T64" i="395"/>
  <c r="Q64" i="395"/>
  <c r="P64" i="395"/>
  <c r="K64" i="395"/>
  <c r="H64" i="395"/>
  <c r="L64" i="395" s="1"/>
  <c r="G64" i="395"/>
  <c r="T63" i="395"/>
  <c r="Q63" i="395"/>
  <c r="P63" i="395"/>
  <c r="O63" i="395"/>
  <c r="K63" i="395"/>
  <c r="H63" i="395"/>
  <c r="G63" i="395"/>
  <c r="T62" i="395"/>
  <c r="Q62" i="395"/>
  <c r="P62" i="395"/>
  <c r="O62" i="395"/>
  <c r="K62" i="395"/>
  <c r="H62" i="395"/>
  <c r="G62" i="395"/>
  <c r="C62" i="395"/>
  <c r="C65" i="395" s="1"/>
  <c r="N61" i="395"/>
  <c r="M61" i="395"/>
  <c r="J61" i="395"/>
  <c r="I61" i="395"/>
  <c r="F61" i="395"/>
  <c r="E61" i="395"/>
  <c r="D61" i="395"/>
  <c r="C61" i="395"/>
  <c r="B61" i="395"/>
  <c r="T60" i="395"/>
  <c r="Q60" i="395"/>
  <c r="P60" i="395"/>
  <c r="O60" i="395"/>
  <c r="K60" i="395"/>
  <c r="H60" i="395"/>
  <c r="L60" i="395" s="1"/>
  <c r="G60" i="395"/>
  <c r="T59" i="395"/>
  <c r="Q59" i="395"/>
  <c r="P59" i="395"/>
  <c r="O59" i="395"/>
  <c r="K59" i="395"/>
  <c r="H59" i="395"/>
  <c r="L59" i="395" s="1"/>
  <c r="G59" i="395"/>
  <c r="T58" i="395"/>
  <c r="R61" i="395"/>
  <c r="Q58" i="395"/>
  <c r="P58" i="395"/>
  <c r="O58" i="395"/>
  <c r="K58" i="395"/>
  <c r="H58" i="395"/>
  <c r="G58" i="395"/>
  <c r="T47" i="395"/>
  <c r="U47" i="395" s="1"/>
  <c r="K47" i="395"/>
  <c r="G47" i="395"/>
  <c r="N46" i="395"/>
  <c r="M46" i="395"/>
  <c r="J46" i="395"/>
  <c r="I46" i="395"/>
  <c r="H46" i="395"/>
  <c r="F46" i="395"/>
  <c r="E46" i="395"/>
  <c r="D46" i="395"/>
  <c r="C46" i="395"/>
  <c r="B46" i="395"/>
  <c r="T45" i="395"/>
  <c r="U45" i="395" s="1"/>
  <c r="Q45" i="395"/>
  <c r="P45" i="395"/>
  <c r="O45" i="395"/>
  <c r="L45" i="395"/>
  <c r="K45" i="395"/>
  <c r="G45" i="395"/>
  <c r="T44" i="395"/>
  <c r="U44" i="395" s="1"/>
  <c r="Q44" i="395"/>
  <c r="P44" i="395"/>
  <c r="O44" i="395"/>
  <c r="L44" i="395"/>
  <c r="K44" i="395"/>
  <c r="G44" i="395"/>
  <c r="T43" i="395"/>
  <c r="U43" i="395" s="1"/>
  <c r="S46" i="395"/>
  <c r="R46" i="395"/>
  <c r="Q43" i="395"/>
  <c r="P43" i="395"/>
  <c r="O43" i="395"/>
  <c r="L43" i="395"/>
  <c r="K43" i="395"/>
  <c r="G43" i="395"/>
  <c r="N42" i="395"/>
  <c r="M42" i="395"/>
  <c r="J42" i="395"/>
  <c r="I42" i="395"/>
  <c r="H42" i="395"/>
  <c r="F42" i="395"/>
  <c r="E42" i="395"/>
  <c r="D42" i="395"/>
  <c r="C42" i="395"/>
  <c r="B42" i="395"/>
  <c r="T41" i="395"/>
  <c r="U41" i="395" s="1"/>
  <c r="Q41" i="395"/>
  <c r="P41" i="395"/>
  <c r="O41" i="395"/>
  <c r="L41" i="395"/>
  <c r="K41" i="395"/>
  <c r="G41" i="395"/>
  <c r="T40" i="395"/>
  <c r="U40" i="395" s="1"/>
  <c r="Q40" i="395"/>
  <c r="P40" i="395"/>
  <c r="O40" i="395"/>
  <c r="L40" i="395"/>
  <c r="K40" i="395"/>
  <c r="G40" i="395"/>
  <c r="T39" i="395"/>
  <c r="U39" i="395" s="1"/>
  <c r="Q39" i="395"/>
  <c r="P39" i="395"/>
  <c r="O39" i="395"/>
  <c r="L39" i="395"/>
  <c r="K39" i="395"/>
  <c r="G39" i="395"/>
  <c r="N38" i="395"/>
  <c r="M38" i="395"/>
  <c r="J38" i="395"/>
  <c r="I38" i="395"/>
  <c r="H38" i="395"/>
  <c r="F38" i="395"/>
  <c r="D38" i="395"/>
  <c r="C38" i="395"/>
  <c r="P37" i="395"/>
  <c r="O37" i="395"/>
  <c r="K37" i="395"/>
  <c r="E37" i="395"/>
  <c r="E38" i="395" s="1"/>
  <c r="B37" i="395"/>
  <c r="O64" i="395" s="1"/>
  <c r="T36" i="395"/>
  <c r="U36" i="395" s="1"/>
  <c r="Q36" i="395"/>
  <c r="P36" i="395"/>
  <c r="O36" i="395"/>
  <c r="L36" i="395"/>
  <c r="K36" i="395"/>
  <c r="G36" i="395"/>
  <c r="T35" i="395"/>
  <c r="U35" i="395" s="1"/>
  <c r="Q35" i="395"/>
  <c r="P35" i="395"/>
  <c r="L35" i="395"/>
  <c r="K35" i="395"/>
  <c r="G35" i="395"/>
  <c r="N34" i="395"/>
  <c r="M34" i="395"/>
  <c r="J34" i="395"/>
  <c r="I34" i="395"/>
  <c r="H34" i="395"/>
  <c r="F34" i="395"/>
  <c r="E34" i="395"/>
  <c r="D34" i="395"/>
  <c r="C34" i="395"/>
  <c r="B34" i="395"/>
  <c r="T33" i="395"/>
  <c r="U33" i="395" s="1"/>
  <c r="Q33" i="395"/>
  <c r="P33" i="395"/>
  <c r="O33" i="395"/>
  <c r="L33" i="395"/>
  <c r="K33" i="395"/>
  <c r="G33" i="395"/>
  <c r="T32" i="395"/>
  <c r="U32" i="395" s="1"/>
  <c r="Q32" i="395"/>
  <c r="P32" i="395"/>
  <c r="L32" i="395"/>
  <c r="K32" i="395"/>
  <c r="G32" i="395"/>
  <c r="T31" i="395"/>
  <c r="U31" i="395" s="1"/>
  <c r="S34" i="395"/>
  <c r="Q31" i="395"/>
  <c r="P31" i="395"/>
  <c r="O31" i="395"/>
  <c r="L31" i="395"/>
  <c r="K31" i="395"/>
  <c r="G31" i="395"/>
  <c r="P20" i="395"/>
  <c r="O20" i="395"/>
  <c r="N20" i="395"/>
  <c r="M20" i="395"/>
  <c r="J20" i="395"/>
  <c r="I20" i="395"/>
  <c r="F20" i="395"/>
  <c r="E20" i="395"/>
  <c r="D20" i="395"/>
  <c r="C20" i="395"/>
  <c r="C21" i="395" s="1"/>
  <c r="B20" i="395"/>
  <c r="T19" i="395"/>
  <c r="Q19" i="395"/>
  <c r="K19" i="395"/>
  <c r="H19" i="395"/>
  <c r="G19" i="395"/>
  <c r="T18" i="395"/>
  <c r="Q18" i="395"/>
  <c r="K18" i="395"/>
  <c r="H18" i="395"/>
  <c r="L18" i="395" s="1"/>
  <c r="G18" i="395"/>
  <c r="T17" i="395"/>
  <c r="Q17" i="395"/>
  <c r="K17" i="395"/>
  <c r="H17" i="395"/>
  <c r="G17" i="395"/>
  <c r="P16" i="395"/>
  <c r="O16" i="395"/>
  <c r="N16" i="395"/>
  <c r="M16" i="395"/>
  <c r="J16" i="395"/>
  <c r="I16" i="395"/>
  <c r="F16" i="395"/>
  <c r="E16" i="395"/>
  <c r="D16" i="395"/>
  <c r="B16" i="395"/>
  <c r="T15" i="395"/>
  <c r="Q15" i="395"/>
  <c r="K15" i="395"/>
  <c r="H15" i="395"/>
  <c r="L15" i="395" s="1"/>
  <c r="G15" i="395"/>
  <c r="T14" i="395"/>
  <c r="Q14" i="395"/>
  <c r="K14" i="395"/>
  <c r="H14" i="395"/>
  <c r="L14" i="395" s="1"/>
  <c r="G14" i="395"/>
  <c r="T13" i="395"/>
  <c r="Q13" i="395"/>
  <c r="K13" i="395"/>
  <c r="H13" i="395"/>
  <c r="G13" i="395"/>
  <c r="P12" i="395"/>
  <c r="O12" i="395"/>
  <c r="N12" i="395"/>
  <c r="M12" i="395"/>
  <c r="J12" i="395"/>
  <c r="I12" i="395"/>
  <c r="F12" i="395"/>
  <c r="D12" i="395"/>
  <c r="T11" i="395"/>
  <c r="Q11" i="395"/>
  <c r="K11" i="395"/>
  <c r="H11" i="395"/>
  <c r="L11" i="395" s="1"/>
  <c r="G11" i="395"/>
  <c r="T10" i="395"/>
  <c r="Q10" i="395"/>
  <c r="H10" i="395"/>
  <c r="L10" i="395" s="1"/>
  <c r="G10" i="395"/>
  <c r="R12" i="395"/>
  <c r="K9" i="395"/>
  <c r="H9" i="395"/>
  <c r="E9" i="395"/>
  <c r="E12" i="395" s="1"/>
  <c r="B9" i="395"/>
  <c r="O35" i="395" s="1"/>
  <c r="P8" i="395"/>
  <c r="O8" i="395"/>
  <c r="N8" i="395"/>
  <c r="M8" i="395"/>
  <c r="J8" i="395"/>
  <c r="I8" i="395"/>
  <c r="F8" i="395"/>
  <c r="D8" i="395"/>
  <c r="T7" i="395"/>
  <c r="Q7" i="395"/>
  <c r="K7" i="395"/>
  <c r="H7" i="395"/>
  <c r="L7" i="395" s="1"/>
  <c r="G7" i="395"/>
  <c r="K6" i="395"/>
  <c r="H6" i="395"/>
  <c r="E6" i="395"/>
  <c r="E8" i="395" s="1"/>
  <c r="B6" i="395"/>
  <c r="T6" i="395" s="1"/>
  <c r="T5" i="395"/>
  <c r="R8" i="395"/>
  <c r="Q5" i="395"/>
  <c r="K5" i="395"/>
  <c r="H5" i="395"/>
  <c r="L5" i="395" s="1"/>
  <c r="G5" i="395"/>
  <c r="T74" i="394"/>
  <c r="U74" i="394" s="1"/>
  <c r="K74" i="394"/>
  <c r="G74" i="394"/>
  <c r="N73" i="394"/>
  <c r="M73" i="394"/>
  <c r="J73" i="394"/>
  <c r="I73" i="394"/>
  <c r="F73" i="394"/>
  <c r="E73" i="394"/>
  <c r="D73" i="394"/>
  <c r="C73" i="394"/>
  <c r="B73" i="394"/>
  <c r="T72" i="394"/>
  <c r="Q72" i="394"/>
  <c r="P72" i="394"/>
  <c r="O72" i="394"/>
  <c r="K72" i="394"/>
  <c r="H72" i="394"/>
  <c r="G72" i="394"/>
  <c r="T71" i="394"/>
  <c r="Q71" i="394"/>
  <c r="P71" i="394"/>
  <c r="O71" i="394"/>
  <c r="K71" i="394"/>
  <c r="H71" i="394"/>
  <c r="L71" i="394" s="1"/>
  <c r="G71" i="394"/>
  <c r="T70" i="394"/>
  <c r="Q70" i="394"/>
  <c r="P70" i="394"/>
  <c r="O70" i="394"/>
  <c r="K70" i="394"/>
  <c r="H70" i="394"/>
  <c r="G70" i="394"/>
  <c r="N69" i="394"/>
  <c r="M69" i="394"/>
  <c r="J69" i="394"/>
  <c r="I69" i="394"/>
  <c r="F69" i="394"/>
  <c r="E69" i="394"/>
  <c r="D69" i="394"/>
  <c r="C69" i="394"/>
  <c r="B69" i="394"/>
  <c r="T68" i="394"/>
  <c r="Q68" i="394"/>
  <c r="P68" i="394"/>
  <c r="O68" i="394"/>
  <c r="K68" i="394"/>
  <c r="H68" i="394"/>
  <c r="L68" i="394" s="1"/>
  <c r="G68" i="394"/>
  <c r="T67" i="394"/>
  <c r="Q67" i="394"/>
  <c r="P67" i="394"/>
  <c r="O67" i="394"/>
  <c r="K67" i="394"/>
  <c r="H67" i="394"/>
  <c r="G67" i="394"/>
  <c r="T66" i="394"/>
  <c r="Q66" i="394"/>
  <c r="P66" i="394"/>
  <c r="O66" i="394"/>
  <c r="K66" i="394"/>
  <c r="H66" i="394"/>
  <c r="L66" i="394" s="1"/>
  <c r="G66" i="394"/>
  <c r="N65" i="394"/>
  <c r="M65" i="394"/>
  <c r="J65" i="394"/>
  <c r="I65" i="394"/>
  <c r="F65" i="394"/>
  <c r="E65" i="394"/>
  <c r="D65" i="394"/>
  <c r="B65" i="394"/>
  <c r="T64" i="394"/>
  <c r="Q64" i="394"/>
  <c r="P64" i="394"/>
  <c r="K64" i="394"/>
  <c r="H64" i="394"/>
  <c r="L64" i="394" s="1"/>
  <c r="G64" i="394"/>
  <c r="T63" i="394"/>
  <c r="Q63" i="394"/>
  <c r="P63" i="394"/>
  <c r="O63" i="394"/>
  <c r="K63" i="394"/>
  <c r="H63" i="394"/>
  <c r="L63" i="394" s="1"/>
  <c r="G63" i="394"/>
  <c r="T62" i="394"/>
  <c r="Q62" i="394"/>
  <c r="P62" i="394"/>
  <c r="O62" i="394"/>
  <c r="K62" i="394"/>
  <c r="H62" i="394"/>
  <c r="G62" i="394"/>
  <c r="C62" i="394"/>
  <c r="C65" i="394" s="1"/>
  <c r="N61" i="394"/>
  <c r="M61" i="394"/>
  <c r="J61" i="394"/>
  <c r="I61" i="394"/>
  <c r="F61" i="394"/>
  <c r="E61" i="394"/>
  <c r="D61" i="394"/>
  <c r="C61" i="394"/>
  <c r="B61" i="394"/>
  <c r="T60" i="394"/>
  <c r="Q60" i="394"/>
  <c r="P60" i="394"/>
  <c r="O60" i="394"/>
  <c r="K60" i="394"/>
  <c r="H60" i="394"/>
  <c r="G60" i="394"/>
  <c r="T59" i="394"/>
  <c r="Q59" i="394"/>
  <c r="P59" i="394"/>
  <c r="O59" i="394"/>
  <c r="K59" i="394"/>
  <c r="H59" i="394"/>
  <c r="L59" i="394" s="1"/>
  <c r="G59" i="394"/>
  <c r="T58" i="394"/>
  <c r="S61" i="394"/>
  <c r="Q58" i="394"/>
  <c r="P58" i="394"/>
  <c r="O58" i="394"/>
  <c r="K58" i="394"/>
  <c r="H58" i="394"/>
  <c r="G58" i="394"/>
  <c r="T47" i="394"/>
  <c r="U47" i="394" s="1"/>
  <c r="K47" i="394"/>
  <c r="G47" i="394"/>
  <c r="N46" i="394"/>
  <c r="M46" i="394"/>
  <c r="J46" i="394"/>
  <c r="I46" i="394"/>
  <c r="H46" i="394"/>
  <c r="F46" i="394"/>
  <c r="E46" i="394"/>
  <c r="D46" i="394"/>
  <c r="C46" i="394"/>
  <c r="B46" i="394"/>
  <c r="T45" i="394"/>
  <c r="U45" i="394" s="1"/>
  <c r="Q45" i="394"/>
  <c r="P45" i="394"/>
  <c r="O45" i="394"/>
  <c r="L45" i="394"/>
  <c r="K45" i="394"/>
  <c r="G45" i="394"/>
  <c r="T44" i="394"/>
  <c r="U44" i="394" s="1"/>
  <c r="Q44" i="394"/>
  <c r="P44" i="394"/>
  <c r="O44" i="394"/>
  <c r="L44" i="394"/>
  <c r="K44" i="394"/>
  <c r="G44" i="394"/>
  <c r="T43" i="394"/>
  <c r="U43" i="394" s="1"/>
  <c r="Q43" i="394"/>
  <c r="P43" i="394"/>
  <c r="O43" i="394"/>
  <c r="L43" i="394"/>
  <c r="K43" i="394"/>
  <c r="G43" i="394"/>
  <c r="N42" i="394"/>
  <c r="M42" i="394"/>
  <c r="J42" i="394"/>
  <c r="I42" i="394"/>
  <c r="H42" i="394"/>
  <c r="F42" i="394"/>
  <c r="E42" i="394"/>
  <c r="D42" i="394"/>
  <c r="C42" i="394"/>
  <c r="B42" i="394"/>
  <c r="T41" i="394"/>
  <c r="U41" i="394" s="1"/>
  <c r="Q41" i="394"/>
  <c r="P41" i="394"/>
  <c r="O41" i="394"/>
  <c r="L41" i="394"/>
  <c r="K41" i="394"/>
  <c r="G41" i="394"/>
  <c r="T40" i="394"/>
  <c r="U40" i="394" s="1"/>
  <c r="Q40" i="394"/>
  <c r="P40" i="394"/>
  <c r="O40" i="394"/>
  <c r="L40" i="394"/>
  <c r="K40" i="394"/>
  <c r="G40" i="394"/>
  <c r="T39" i="394"/>
  <c r="U39" i="394" s="1"/>
  <c r="Q39" i="394"/>
  <c r="P39" i="394"/>
  <c r="O39" i="394"/>
  <c r="L39" i="394"/>
  <c r="K39" i="394"/>
  <c r="G39" i="394"/>
  <c r="N38" i="394"/>
  <c r="M38" i="394"/>
  <c r="J38" i="394"/>
  <c r="I38" i="394"/>
  <c r="H38" i="394"/>
  <c r="F38" i="394"/>
  <c r="D38" i="394"/>
  <c r="C38" i="394"/>
  <c r="P37" i="394"/>
  <c r="O37" i="394"/>
  <c r="K37" i="394"/>
  <c r="E37" i="394"/>
  <c r="E38" i="394" s="1"/>
  <c r="B37" i="394"/>
  <c r="O64" i="394" s="1"/>
  <c r="T36" i="394"/>
  <c r="U36" i="394" s="1"/>
  <c r="Q36" i="394"/>
  <c r="P36" i="394"/>
  <c r="O36" i="394"/>
  <c r="L36" i="394"/>
  <c r="K36" i="394"/>
  <c r="G36" i="394"/>
  <c r="T35" i="394"/>
  <c r="U35" i="394" s="1"/>
  <c r="Q35" i="394"/>
  <c r="P35" i="394"/>
  <c r="L35" i="394"/>
  <c r="K35" i="394"/>
  <c r="G35" i="394"/>
  <c r="N34" i="394"/>
  <c r="M34" i="394"/>
  <c r="J34" i="394"/>
  <c r="I34" i="394"/>
  <c r="H34" i="394"/>
  <c r="F34" i="394"/>
  <c r="E34" i="394"/>
  <c r="D34" i="394"/>
  <c r="C34" i="394"/>
  <c r="B34" i="394"/>
  <c r="T33" i="394"/>
  <c r="U33" i="394" s="1"/>
  <c r="Q33" i="394"/>
  <c r="P33" i="394"/>
  <c r="O33" i="394"/>
  <c r="L33" i="394"/>
  <c r="K33" i="394"/>
  <c r="G33" i="394"/>
  <c r="T32" i="394"/>
  <c r="U32" i="394" s="1"/>
  <c r="Q32" i="394"/>
  <c r="P32" i="394"/>
  <c r="L32" i="394"/>
  <c r="K32" i="394"/>
  <c r="G32" i="394"/>
  <c r="T31" i="394"/>
  <c r="U31" i="394" s="1"/>
  <c r="Q31" i="394"/>
  <c r="P31" i="394"/>
  <c r="O31" i="394"/>
  <c r="L31" i="394"/>
  <c r="K31" i="394"/>
  <c r="G31" i="394"/>
  <c r="P20" i="394"/>
  <c r="O20" i="394"/>
  <c r="N20" i="394"/>
  <c r="M20" i="394"/>
  <c r="J20" i="394"/>
  <c r="I20" i="394"/>
  <c r="F20" i="394"/>
  <c r="E20" i="394"/>
  <c r="D20" i="394"/>
  <c r="C20" i="394"/>
  <c r="C21" i="394" s="1"/>
  <c r="B20" i="394"/>
  <c r="T19" i="394"/>
  <c r="Q19" i="394"/>
  <c r="K19" i="394"/>
  <c r="H19" i="394"/>
  <c r="L19" i="394" s="1"/>
  <c r="G19" i="394"/>
  <c r="T18" i="394"/>
  <c r="Q18" i="394"/>
  <c r="K18" i="394"/>
  <c r="H18" i="394"/>
  <c r="L18" i="394" s="1"/>
  <c r="G18" i="394"/>
  <c r="T17" i="394"/>
  <c r="Q17" i="394"/>
  <c r="K17" i="394"/>
  <c r="H17" i="394"/>
  <c r="G17" i="394"/>
  <c r="P16" i="394"/>
  <c r="O16" i="394"/>
  <c r="N16" i="394"/>
  <c r="M16" i="394"/>
  <c r="J16" i="394"/>
  <c r="I16" i="394"/>
  <c r="F16" i="394"/>
  <c r="E16" i="394"/>
  <c r="D16" i="394"/>
  <c r="B16" i="394"/>
  <c r="T15" i="394"/>
  <c r="Q15" i="394"/>
  <c r="K15" i="394"/>
  <c r="H15" i="394"/>
  <c r="L15" i="394" s="1"/>
  <c r="G15" i="394"/>
  <c r="T14" i="394"/>
  <c r="Q14" i="394"/>
  <c r="K14" i="394"/>
  <c r="H14" i="394"/>
  <c r="L14" i="394" s="1"/>
  <c r="G14" i="394"/>
  <c r="T13" i="394"/>
  <c r="Q13" i="394"/>
  <c r="K13" i="394"/>
  <c r="H13" i="394"/>
  <c r="L13" i="394" s="1"/>
  <c r="G13" i="394"/>
  <c r="P12" i="394"/>
  <c r="O12" i="394"/>
  <c r="N12" i="394"/>
  <c r="M12" i="394"/>
  <c r="J12" i="394"/>
  <c r="I12" i="394"/>
  <c r="F12" i="394"/>
  <c r="D12" i="394"/>
  <c r="T11" i="394"/>
  <c r="Q11" i="394"/>
  <c r="K11" i="394"/>
  <c r="H11" i="394"/>
  <c r="L11" i="394" s="1"/>
  <c r="G11" i="394"/>
  <c r="T10" i="394"/>
  <c r="Q10" i="394"/>
  <c r="H10" i="394"/>
  <c r="G10" i="394"/>
  <c r="K9" i="394"/>
  <c r="H9" i="394"/>
  <c r="E9" i="394"/>
  <c r="E12" i="394" s="1"/>
  <c r="B9" i="394"/>
  <c r="O35" i="394" s="1"/>
  <c r="P8" i="394"/>
  <c r="O8" i="394"/>
  <c r="N8" i="394"/>
  <c r="M8" i="394"/>
  <c r="J8" i="394"/>
  <c r="I8" i="394"/>
  <c r="F8" i="394"/>
  <c r="D8" i="394"/>
  <c r="T7" i="394"/>
  <c r="Q7" i="394"/>
  <c r="K7" i="394"/>
  <c r="H7" i="394"/>
  <c r="L7" i="394" s="1"/>
  <c r="G7" i="394"/>
  <c r="K6" i="394"/>
  <c r="H6" i="394"/>
  <c r="E6" i="394"/>
  <c r="E8" i="394" s="1"/>
  <c r="B6" i="394"/>
  <c r="O32" i="394" s="1"/>
  <c r="T5" i="394"/>
  <c r="Q5" i="394"/>
  <c r="K5" i="394"/>
  <c r="H5" i="394"/>
  <c r="L5" i="394" s="1"/>
  <c r="G5" i="394"/>
  <c r="T74" i="393"/>
  <c r="U74" i="393" s="1"/>
  <c r="K74" i="393"/>
  <c r="G74" i="393"/>
  <c r="N73" i="393"/>
  <c r="M73" i="393"/>
  <c r="J73" i="393"/>
  <c r="I73" i="393"/>
  <c r="F73" i="393"/>
  <c r="E73" i="393"/>
  <c r="D73" i="393"/>
  <c r="C73" i="393"/>
  <c r="B73" i="393"/>
  <c r="T72" i="393"/>
  <c r="Q72" i="393"/>
  <c r="P72" i="393"/>
  <c r="O72" i="393"/>
  <c r="K72" i="393"/>
  <c r="H72" i="393"/>
  <c r="L72" i="393" s="1"/>
  <c r="G72" i="393"/>
  <c r="T71" i="393"/>
  <c r="Q71" i="393"/>
  <c r="P71" i="393"/>
  <c r="O71" i="393"/>
  <c r="K71" i="393"/>
  <c r="H71" i="393"/>
  <c r="L71" i="393" s="1"/>
  <c r="G71" i="393"/>
  <c r="T70" i="393"/>
  <c r="Q70" i="393"/>
  <c r="P70" i="393"/>
  <c r="O70" i="393"/>
  <c r="K70" i="393"/>
  <c r="H70" i="393"/>
  <c r="L70" i="393" s="1"/>
  <c r="G70" i="393"/>
  <c r="N69" i="393"/>
  <c r="M69" i="393"/>
  <c r="J69" i="393"/>
  <c r="I69" i="393"/>
  <c r="F69" i="393"/>
  <c r="E69" i="393"/>
  <c r="D69" i="393"/>
  <c r="C69" i="393"/>
  <c r="B69" i="393"/>
  <c r="T68" i="393"/>
  <c r="Q68" i="393"/>
  <c r="P68" i="393"/>
  <c r="O68" i="393"/>
  <c r="K68" i="393"/>
  <c r="H68" i="393"/>
  <c r="L68" i="393" s="1"/>
  <c r="G68" i="393"/>
  <c r="T67" i="393"/>
  <c r="Q67" i="393"/>
  <c r="P67" i="393"/>
  <c r="O67" i="393"/>
  <c r="K67" i="393"/>
  <c r="H67" i="393"/>
  <c r="L67" i="393" s="1"/>
  <c r="G67" i="393"/>
  <c r="T66" i="393"/>
  <c r="Q66" i="393"/>
  <c r="P66" i="393"/>
  <c r="O66" i="393"/>
  <c r="K66" i="393"/>
  <c r="H66" i="393"/>
  <c r="L66" i="393" s="1"/>
  <c r="G66" i="393"/>
  <c r="N65" i="393"/>
  <c r="M65" i="393"/>
  <c r="J65" i="393"/>
  <c r="I65" i="393"/>
  <c r="F65" i="393"/>
  <c r="E65" i="393"/>
  <c r="D65" i="393"/>
  <c r="B65" i="393"/>
  <c r="T64" i="393"/>
  <c r="Q64" i="393"/>
  <c r="P64" i="393"/>
  <c r="K64" i="393"/>
  <c r="H64" i="393"/>
  <c r="L64" i="393" s="1"/>
  <c r="G64" i="393"/>
  <c r="T63" i="393"/>
  <c r="Q63" i="393"/>
  <c r="P63" i="393"/>
  <c r="O63" i="393"/>
  <c r="K63" i="393"/>
  <c r="H63" i="393"/>
  <c r="G63" i="393"/>
  <c r="T62" i="393"/>
  <c r="Q62" i="393"/>
  <c r="P62" i="393"/>
  <c r="O62" i="393"/>
  <c r="K62" i="393"/>
  <c r="H62" i="393"/>
  <c r="L62" i="393" s="1"/>
  <c r="G62" i="393"/>
  <c r="C62" i="393"/>
  <c r="C65" i="393" s="1"/>
  <c r="N61" i="393"/>
  <c r="M61" i="393"/>
  <c r="J61" i="393"/>
  <c r="I61" i="393"/>
  <c r="F61" i="393"/>
  <c r="E61" i="393"/>
  <c r="D61" i="393"/>
  <c r="C61" i="393"/>
  <c r="B61" i="393"/>
  <c r="T60" i="393"/>
  <c r="Q60" i="393"/>
  <c r="P60" i="393"/>
  <c r="O60" i="393"/>
  <c r="K60" i="393"/>
  <c r="H60" i="393"/>
  <c r="L60" i="393" s="1"/>
  <c r="G60" i="393"/>
  <c r="T59" i="393"/>
  <c r="Q59" i="393"/>
  <c r="P59" i="393"/>
  <c r="O59" i="393"/>
  <c r="K59" i="393"/>
  <c r="H59" i="393"/>
  <c r="L59" i="393" s="1"/>
  <c r="G59" i="393"/>
  <c r="T58" i="393"/>
  <c r="Q58" i="393"/>
  <c r="P58" i="393"/>
  <c r="O58" i="393"/>
  <c r="K58" i="393"/>
  <c r="H58" i="393"/>
  <c r="G58" i="393"/>
  <c r="T47" i="393"/>
  <c r="U47" i="393" s="1"/>
  <c r="K47" i="393"/>
  <c r="G47" i="393"/>
  <c r="N46" i="393"/>
  <c r="M46" i="393"/>
  <c r="J46" i="393"/>
  <c r="I46" i="393"/>
  <c r="H46" i="393"/>
  <c r="F46" i="393"/>
  <c r="E46" i="393"/>
  <c r="D46" i="393"/>
  <c r="C46" i="393"/>
  <c r="B46" i="393"/>
  <c r="T45" i="393"/>
  <c r="U45" i="393" s="1"/>
  <c r="Q45" i="393"/>
  <c r="P45" i="393"/>
  <c r="O45" i="393"/>
  <c r="L45" i="393"/>
  <c r="K45" i="393"/>
  <c r="G45" i="393"/>
  <c r="T44" i="393"/>
  <c r="U44" i="393" s="1"/>
  <c r="Q44" i="393"/>
  <c r="P44" i="393"/>
  <c r="O44" i="393"/>
  <c r="L44" i="393"/>
  <c r="K44" i="393"/>
  <c r="G44" i="393"/>
  <c r="T43" i="393"/>
  <c r="U43" i="393" s="1"/>
  <c r="Q43" i="393"/>
  <c r="P43" i="393"/>
  <c r="O43" i="393"/>
  <c r="L43" i="393"/>
  <c r="K43" i="393"/>
  <c r="G43" i="393"/>
  <c r="N42" i="393"/>
  <c r="M42" i="393"/>
  <c r="J42" i="393"/>
  <c r="I42" i="393"/>
  <c r="H42" i="393"/>
  <c r="F42" i="393"/>
  <c r="E42" i="393"/>
  <c r="D42" i="393"/>
  <c r="C42" i="393"/>
  <c r="B42" i="393"/>
  <c r="T41" i="393"/>
  <c r="U41" i="393" s="1"/>
  <c r="Q41" i="393"/>
  <c r="P41" i="393"/>
  <c r="O41" i="393"/>
  <c r="L41" i="393"/>
  <c r="K41" i="393"/>
  <c r="G41" i="393"/>
  <c r="T40" i="393"/>
  <c r="U40" i="393" s="1"/>
  <c r="Q40" i="393"/>
  <c r="P40" i="393"/>
  <c r="O40" i="393"/>
  <c r="L40" i="393"/>
  <c r="K40" i="393"/>
  <c r="G40" i="393"/>
  <c r="T39" i="393"/>
  <c r="U39" i="393" s="1"/>
  <c r="Q39" i="393"/>
  <c r="P39" i="393"/>
  <c r="O39" i="393"/>
  <c r="L39" i="393"/>
  <c r="K39" i="393"/>
  <c r="G39" i="393"/>
  <c r="N38" i="393"/>
  <c r="M38" i="393"/>
  <c r="J38" i="393"/>
  <c r="I38" i="393"/>
  <c r="H38" i="393"/>
  <c r="F38" i="393"/>
  <c r="D38" i="393"/>
  <c r="C38" i="393"/>
  <c r="P37" i="393"/>
  <c r="O37" i="393"/>
  <c r="K37" i="393"/>
  <c r="E37" i="393"/>
  <c r="E38" i="393" s="1"/>
  <c r="B37" i="393"/>
  <c r="O64" i="393" s="1"/>
  <c r="T36" i="393"/>
  <c r="U36" i="393" s="1"/>
  <c r="Q36" i="393"/>
  <c r="P36" i="393"/>
  <c r="O36" i="393"/>
  <c r="L36" i="393"/>
  <c r="K36" i="393"/>
  <c r="G36" i="393"/>
  <c r="T35" i="393"/>
  <c r="U35" i="393" s="1"/>
  <c r="Q35" i="393"/>
  <c r="P35" i="393"/>
  <c r="L35" i="393"/>
  <c r="K35" i="393"/>
  <c r="G35" i="393"/>
  <c r="N34" i="393"/>
  <c r="M34" i="393"/>
  <c r="J34" i="393"/>
  <c r="I34" i="393"/>
  <c r="H34" i="393"/>
  <c r="F34" i="393"/>
  <c r="E34" i="393"/>
  <c r="D34" i="393"/>
  <c r="C34" i="393"/>
  <c r="B34" i="393"/>
  <c r="T33" i="393"/>
  <c r="U33" i="393" s="1"/>
  <c r="Q33" i="393"/>
  <c r="P33" i="393"/>
  <c r="O33" i="393"/>
  <c r="L33" i="393"/>
  <c r="K33" i="393"/>
  <c r="G33" i="393"/>
  <c r="T32" i="393"/>
  <c r="U32" i="393" s="1"/>
  <c r="Q32" i="393"/>
  <c r="P32" i="393"/>
  <c r="L32" i="393"/>
  <c r="K32" i="393"/>
  <c r="G32" i="393"/>
  <c r="T31" i="393"/>
  <c r="U31" i="393" s="1"/>
  <c r="Q31" i="393"/>
  <c r="P31" i="393"/>
  <c r="O31" i="393"/>
  <c r="L31" i="393"/>
  <c r="K31" i="393"/>
  <c r="G31" i="393"/>
  <c r="P20" i="393"/>
  <c r="O20" i="393"/>
  <c r="N20" i="393"/>
  <c r="M20" i="393"/>
  <c r="J20" i="393"/>
  <c r="I20" i="393"/>
  <c r="F20" i="393"/>
  <c r="E20" i="393"/>
  <c r="D20" i="393"/>
  <c r="C20" i="393"/>
  <c r="C21" i="393" s="1"/>
  <c r="B20" i="393"/>
  <c r="T19" i="393"/>
  <c r="Q19" i="393"/>
  <c r="K19" i="393"/>
  <c r="H19" i="393"/>
  <c r="L19" i="393" s="1"/>
  <c r="G19" i="393"/>
  <c r="T18" i="393"/>
  <c r="Q18" i="393"/>
  <c r="K18" i="393"/>
  <c r="H18" i="393"/>
  <c r="L18" i="393" s="1"/>
  <c r="G18" i="393"/>
  <c r="T17" i="393"/>
  <c r="Q17" i="393"/>
  <c r="K17" i="393"/>
  <c r="H17" i="393"/>
  <c r="L17" i="393" s="1"/>
  <c r="G17" i="393"/>
  <c r="P16" i="393"/>
  <c r="O16" i="393"/>
  <c r="N16" i="393"/>
  <c r="M16" i="393"/>
  <c r="J16" i="393"/>
  <c r="I16" i="393"/>
  <c r="F16" i="393"/>
  <c r="E16" i="393"/>
  <c r="D16" i="393"/>
  <c r="B16" i="393"/>
  <c r="T15" i="393"/>
  <c r="Q15" i="393"/>
  <c r="K15" i="393"/>
  <c r="H15" i="393"/>
  <c r="L15" i="393" s="1"/>
  <c r="G15" i="393"/>
  <c r="T14" i="393"/>
  <c r="Q14" i="393"/>
  <c r="K14" i="393"/>
  <c r="H14" i="393"/>
  <c r="L14" i="393" s="1"/>
  <c r="G14" i="393"/>
  <c r="T13" i="393"/>
  <c r="Q13" i="393"/>
  <c r="K13" i="393"/>
  <c r="H13" i="393"/>
  <c r="L13" i="393" s="1"/>
  <c r="G13" i="393"/>
  <c r="P12" i="393"/>
  <c r="O12" i="393"/>
  <c r="N12" i="393"/>
  <c r="M12" i="393"/>
  <c r="J12" i="393"/>
  <c r="I12" i="393"/>
  <c r="F12" i="393"/>
  <c r="D12" i="393"/>
  <c r="T11" i="393"/>
  <c r="Q11" i="393"/>
  <c r="K11" i="393"/>
  <c r="H11" i="393"/>
  <c r="G11" i="393"/>
  <c r="T10" i="393"/>
  <c r="Q10" i="393"/>
  <c r="H10" i="393"/>
  <c r="G10" i="393"/>
  <c r="K9" i="393"/>
  <c r="H9" i="393"/>
  <c r="E9" i="393"/>
  <c r="E12" i="393" s="1"/>
  <c r="B9" i="393"/>
  <c r="O35" i="393" s="1"/>
  <c r="P8" i="393"/>
  <c r="O8" i="393"/>
  <c r="N8" i="393"/>
  <c r="M8" i="393"/>
  <c r="J8" i="393"/>
  <c r="I8" i="393"/>
  <c r="F8" i="393"/>
  <c r="D8" i="393"/>
  <c r="T7" i="393"/>
  <c r="Q7" i="393"/>
  <c r="K7" i="393"/>
  <c r="H7" i="393"/>
  <c r="L7" i="393" s="1"/>
  <c r="G7" i="393"/>
  <c r="K6" i="393"/>
  <c r="H6" i="393"/>
  <c r="E6" i="393"/>
  <c r="E8" i="393" s="1"/>
  <c r="B6" i="393"/>
  <c r="O32" i="393" s="1"/>
  <c r="T5" i="393"/>
  <c r="Q5" i="393"/>
  <c r="K5" i="393"/>
  <c r="H5" i="393"/>
  <c r="L5" i="393" s="1"/>
  <c r="G5" i="393"/>
  <c r="T74" i="392"/>
  <c r="U74" i="392" s="1"/>
  <c r="K74" i="392"/>
  <c r="G74" i="392"/>
  <c r="N73" i="392"/>
  <c r="M73" i="392"/>
  <c r="J73" i="392"/>
  <c r="I73" i="392"/>
  <c r="F73" i="392"/>
  <c r="E73" i="392"/>
  <c r="D73" i="392"/>
  <c r="C73" i="392"/>
  <c r="B73" i="392"/>
  <c r="T72" i="392"/>
  <c r="Q72" i="392"/>
  <c r="P72" i="392"/>
  <c r="O72" i="392"/>
  <c r="K72" i="392"/>
  <c r="H72" i="392"/>
  <c r="L72" i="392" s="1"/>
  <c r="G72" i="392"/>
  <c r="T71" i="392"/>
  <c r="Q71" i="392"/>
  <c r="P71" i="392"/>
  <c r="O71" i="392"/>
  <c r="K71" i="392"/>
  <c r="H71" i="392"/>
  <c r="L71" i="392" s="1"/>
  <c r="G71" i="392"/>
  <c r="T70" i="392"/>
  <c r="Q70" i="392"/>
  <c r="P70" i="392"/>
  <c r="O70" i="392"/>
  <c r="K70" i="392"/>
  <c r="H70" i="392"/>
  <c r="L70" i="392" s="1"/>
  <c r="G70" i="392"/>
  <c r="N69" i="392"/>
  <c r="M69" i="392"/>
  <c r="J69" i="392"/>
  <c r="I69" i="392"/>
  <c r="F69" i="392"/>
  <c r="E69" i="392"/>
  <c r="D69" i="392"/>
  <c r="C69" i="392"/>
  <c r="B69" i="392"/>
  <c r="T68" i="392"/>
  <c r="Q68" i="392"/>
  <c r="P68" i="392"/>
  <c r="O68" i="392"/>
  <c r="K68" i="392"/>
  <c r="H68" i="392"/>
  <c r="L68" i="392" s="1"/>
  <c r="G68" i="392"/>
  <c r="T67" i="392"/>
  <c r="Q67" i="392"/>
  <c r="P67" i="392"/>
  <c r="O67" i="392"/>
  <c r="K67" i="392"/>
  <c r="H67" i="392"/>
  <c r="L67" i="392" s="1"/>
  <c r="G67" i="392"/>
  <c r="T66" i="392"/>
  <c r="Q66" i="392"/>
  <c r="P66" i="392"/>
  <c r="O66" i="392"/>
  <c r="K66" i="392"/>
  <c r="H66" i="392"/>
  <c r="L66" i="392" s="1"/>
  <c r="G66" i="392"/>
  <c r="N65" i="392"/>
  <c r="M65" i="392"/>
  <c r="J65" i="392"/>
  <c r="I65" i="392"/>
  <c r="F65" i="392"/>
  <c r="E65" i="392"/>
  <c r="D65" i="392"/>
  <c r="B65" i="392"/>
  <c r="T64" i="392"/>
  <c r="Q64" i="392"/>
  <c r="P64" i="392"/>
  <c r="K64" i="392"/>
  <c r="H64" i="392"/>
  <c r="L64" i="392" s="1"/>
  <c r="G64" i="392"/>
  <c r="T63" i="392"/>
  <c r="Q63" i="392"/>
  <c r="P63" i="392"/>
  <c r="O63" i="392"/>
  <c r="K63" i="392"/>
  <c r="H63" i="392"/>
  <c r="L63" i="392" s="1"/>
  <c r="G63" i="392"/>
  <c r="T62" i="392"/>
  <c r="Q62" i="392"/>
  <c r="P62" i="392"/>
  <c r="O62" i="392"/>
  <c r="K62" i="392"/>
  <c r="H62" i="392"/>
  <c r="G62" i="392"/>
  <c r="C62" i="392"/>
  <c r="C65" i="392" s="1"/>
  <c r="N61" i="392"/>
  <c r="M61" i="392"/>
  <c r="J61" i="392"/>
  <c r="I61" i="392"/>
  <c r="F61" i="392"/>
  <c r="E61" i="392"/>
  <c r="D61" i="392"/>
  <c r="C61" i="392"/>
  <c r="B61" i="392"/>
  <c r="T60" i="392"/>
  <c r="Q60" i="392"/>
  <c r="P60" i="392"/>
  <c r="O60" i="392"/>
  <c r="K60" i="392"/>
  <c r="H60" i="392"/>
  <c r="L60" i="392" s="1"/>
  <c r="G60" i="392"/>
  <c r="T59" i="392"/>
  <c r="Q59" i="392"/>
  <c r="P59" i="392"/>
  <c r="O59" i="392"/>
  <c r="K59" i="392"/>
  <c r="H59" i="392"/>
  <c r="L59" i="392" s="1"/>
  <c r="G59" i="392"/>
  <c r="T58" i="392"/>
  <c r="Q58" i="392"/>
  <c r="P58" i="392"/>
  <c r="O58" i="392"/>
  <c r="K58" i="392"/>
  <c r="H58" i="392"/>
  <c r="G58" i="392"/>
  <c r="T47" i="392"/>
  <c r="U47" i="392" s="1"/>
  <c r="K47" i="392"/>
  <c r="G47" i="392"/>
  <c r="N46" i="392"/>
  <c r="M46" i="392"/>
  <c r="J46" i="392"/>
  <c r="I46" i="392"/>
  <c r="H46" i="392"/>
  <c r="F46" i="392"/>
  <c r="E46" i="392"/>
  <c r="D46" i="392"/>
  <c r="C46" i="392"/>
  <c r="B46" i="392"/>
  <c r="T45" i="392"/>
  <c r="U45" i="392" s="1"/>
  <c r="Q45" i="392"/>
  <c r="P45" i="392"/>
  <c r="O45" i="392"/>
  <c r="L45" i="392"/>
  <c r="K45" i="392"/>
  <c r="G45" i="392"/>
  <c r="T44" i="392"/>
  <c r="U44" i="392" s="1"/>
  <c r="Q44" i="392"/>
  <c r="P44" i="392"/>
  <c r="O44" i="392"/>
  <c r="L44" i="392"/>
  <c r="K44" i="392"/>
  <c r="G44" i="392"/>
  <c r="T43" i="392"/>
  <c r="U43" i="392" s="1"/>
  <c r="Q43" i="392"/>
  <c r="P43" i="392"/>
  <c r="O43" i="392"/>
  <c r="L43" i="392"/>
  <c r="K43" i="392"/>
  <c r="G43" i="392"/>
  <c r="N42" i="392"/>
  <c r="M42" i="392"/>
  <c r="J42" i="392"/>
  <c r="I42" i="392"/>
  <c r="H42" i="392"/>
  <c r="F42" i="392"/>
  <c r="E42" i="392"/>
  <c r="D42" i="392"/>
  <c r="C42" i="392"/>
  <c r="B42" i="392"/>
  <c r="T41" i="392"/>
  <c r="U41" i="392" s="1"/>
  <c r="Q41" i="392"/>
  <c r="P41" i="392"/>
  <c r="O41" i="392"/>
  <c r="L41" i="392"/>
  <c r="K41" i="392"/>
  <c r="G41" i="392"/>
  <c r="T40" i="392"/>
  <c r="U40" i="392" s="1"/>
  <c r="Q40" i="392"/>
  <c r="P40" i="392"/>
  <c r="O40" i="392"/>
  <c r="L40" i="392"/>
  <c r="K40" i="392"/>
  <c r="G40" i="392"/>
  <c r="T39" i="392"/>
  <c r="U39" i="392" s="1"/>
  <c r="Q39" i="392"/>
  <c r="P39" i="392"/>
  <c r="O39" i="392"/>
  <c r="L39" i="392"/>
  <c r="K39" i="392"/>
  <c r="G39" i="392"/>
  <c r="N38" i="392"/>
  <c r="M38" i="392"/>
  <c r="J38" i="392"/>
  <c r="I38" i="392"/>
  <c r="H38" i="392"/>
  <c r="F38" i="392"/>
  <c r="D38" i="392"/>
  <c r="C38" i="392"/>
  <c r="P37" i="392"/>
  <c r="O37" i="392"/>
  <c r="K37" i="392"/>
  <c r="E37" i="392"/>
  <c r="E38" i="392" s="1"/>
  <c r="B37" i="392"/>
  <c r="O64" i="392" s="1"/>
  <c r="T36" i="392"/>
  <c r="U36" i="392" s="1"/>
  <c r="Q36" i="392"/>
  <c r="P36" i="392"/>
  <c r="O36" i="392"/>
  <c r="L36" i="392"/>
  <c r="K36" i="392"/>
  <c r="G36" i="392"/>
  <c r="T35" i="392"/>
  <c r="U35" i="392" s="1"/>
  <c r="Q35" i="392"/>
  <c r="P35" i="392"/>
  <c r="L35" i="392"/>
  <c r="K35" i="392"/>
  <c r="G35" i="392"/>
  <c r="N34" i="392"/>
  <c r="M34" i="392"/>
  <c r="J34" i="392"/>
  <c r="I34" i="392"/>
  <c r="H34" i="392"/>
  <c r="F34" i="392"/>
  <c r="E34" i="392"/>
  <c r="D34" i="392"/>
  <c r="C34" i="392"/>
  <c r="B34" i="392"/>
  <c r="T33" i="392"/>
  <c r="U33" i="392" s="1"/>
  <c r="Q33" i="392"/>
  <c r="P33" i="392"/>
  <c r="O33" i="392"/>
  <c r="L33" i="392"/>
  <c r="K33" i="392"/>
  <c r="G33" i="392"/>
  <c r="T32" i="392"/>
  <c r="U32" i="392" s="1"/>
  <c r="Q32" i="392"/>
  <c r="P32" i="392"/>
  <c r="L32" i="392"/>
  <c r="K32" i="392"/>
  <c r="G32" i="392"/>
  <c r="T31" i="392"/>
  <c r="U31" i="392" s="1"/>
  <c r="Q31" i="392"/>
  <c r="P31" i="392"/>
  <c r="O31" i="392"/>
  <c r="L31" i="392"/>
  <c r="K31" i="392"/>
  <c r="G31" i="392"/>
  <c r="P20" i="392"/>
  <c r="O20" i="392"/>
  <c r="N20" i="392"/>
  <c r="M20" i="392"/>
  <c r="J20" i="392"/>
  <c r="I20" i="392"/>
  <c r="F20" i="392"/>
  <c r="E20" i="392"/>
  <c r="D20" i="392"/>
  <c r="C20" i="392"/>
  <c r="C21" i="392" s="1"/>
  <c r="B20" i="392"/>
  <c r="T19" i="392"/>
  <c r="Q19" i="392"/>
  <c r="K19" i="392"/>
  <c r="H19" i="392"/>
  <c r="L19" i="392" s="1"/>
  <c r="G19" i="392"/>
  <c r="T18" i="392"/>
  <c r="Q18" i="392"/>
  <c r="K18" i="392"/>
  <c r="H18" i="392"/>
  <c r="L18" i="392" s="1"/>
  <c r="G18" i="392"/>
  <c r="T17" i="392"/>
  <c r="Q17" i="392"/>
  <c r="K17" i="392"/>
  <c r="H17" i="392"/>
  <c r="L17" i="392" s="1"/>
  <c r="G17" i="392"/>
  <c r="P16" i="392"/>
  <c r="O16" i="392"/>
  <c r="N16" i="392"/>
  <c r="M16" i="392"/>
  <c r="J16" i="392"/>
  <c r="I16" i="392"/>
  <c r="F16" i="392"/>
  <c r="E16" i="392"/>
  <c r="D16" i="392"/>
  <c r="B16" i="392"/>
  <c r="T15" i="392"/>
  <c r="Q15" i="392"/>
  <c r="K15" i="392"/>
  <c r="H15" i="392"/>
  <c r="L15" i="392" s="1"/>
  <c r="G15" i="392"/>
  <c r="T14" i="392"/>
  <c r="Q14" i="392"/>
  <c r="K14" i="392"/>
  <c r="H14" i="392"/>
  <c r="L14" i="392" s="1"/>
  <c r="G14" i="392"/>
  <c r="T13" i="392"/>
  <c r="Q13" i="392"/>
  <c r="K13" i="392"/>
  <c r="H13" i="392"/>
  <c r="L13" i="392" s="1"/>
  <c r="G13" i="392"/>
  <c r="P12" i="392"/>
  <c r="O12" i="392"/>
  <c r="N12" i="392"/>
  <c r="M12" i="392"/>
  <c r="J12" i="392"/>
  <c r="I12" i="392"/>
  <c r="F12" i="392"/>
  <c r="D12" i="392"/>
  <c r="T11" i="392"/>
  <c r="Q11" i="392"/>
  <c r="K11" i="392"/>
  <c r="H11" i="392"/>
  <c r="L11" i="392" s="1"/>
  <c r="G11" i="392"/>
  <c r="T10" i="392"/>
  <c r="Q10" i="392"/>
  <c r="H10" i="392"/>
  <c r="G10" i="392"/>
  <c r="K9" i="392"/>
  <c r="H9" i="392"/>
  <c r="E9" i="392"/>
  <c r="E12" i="392" s="1"/>
  <c r="B9" i="392"/>
  <c r="O35" i="392" s="1"/>
  <c r="P8" i="392"/>
  <c r="O8" i="392"/>
  <c r="N8" i="392"/>
  <c r="M8" i="392"/>
  <c r="J8" i="392"/>
  <c r="I8" i="392"/>
  <c r="F8" i="392"/>
  <c r="D8" i="392"/>
  <c r="T7" i="392"/>
  <c r="Q7" i="392"/>
  <c r="K7" i="392"/>
  <c r="H7" i="392"/>
  <c r="L7" i="392" s="1"/>
  <c r="G7" i="392"/>
  <c r="K6" i="392"/>
  <c r="H6" i="392"/>
  <c r="E6" i="392"/>
  <c r="E8" i="392" s="1"/>
  <c r="B6" i="392"/>
  <c r="O32" i="392" s="1"/>
  <c r="T5" i="392"/>
  <c r="Q5" i="392"/>
  <c r="K5" i="392"/>
  <c r="H5" i="392"/>
  <c r="L5" i="392" s="1"/>
  <c r="G5" i="392"/>
  <c r="T74" i="391"/>
  <c r="U74" i="391" s="1"/>
  <c r="K74" i="391"/>
  <c r="G74" i="391"/>
  <c r="N73" i="391"/>
  <c r="M73" i="391"/>
  <c r="J73" i="391"/>
  <c r="I73" i="391"/>
  <c r="F73" i="391"/>
  <c r="E73" i="391"/>
  <c r="D73" i="391"/>
  <c r="C73" i="391"/>
  <c r="B73" i="391"/>
  <c r="T72" i="391"/>
  <c r="Q72" i="391"/>
  <c r="P72" i="391"/>
  <c r="O72" i="391"/>
  <c r="K72" i="391"/>
  <c r="H72" i="391"/>
  <c r="L72" i="391" s="1"/>
  <c r="G72" i="391"/>
  <c r="T71" i="391"/>
  <c r="Q71" i="391"/>
  <c r="P71" i="391"/>
  <c r="O71" i="391"/>
  <c r="K71" i="391"/>
  <c r="H71" i="391"/>
  <c r="L71" i="391" s="1"/>
  <c r="G71" i="391"/>
  <c r="T70" i="391"/>
  <c r="Q70" i="391"/>
  <c r="P70" i="391"/>
  <c r="O70" i="391"/>
  <c r="K70" i="391"/>
  <c r="H70" i="391"/>
  <c r="G70" i="391"/>
  <c r="N69" i="391"/>
  <c r="M69" i="391"/>
  <c r="J69" i="391"/>
  <c r="I69" i="391"/>
  <c r="F69" i="391"/>
  <c r="E69" i="391"/>
  <c r="D69" i="391"/>
  <c r="C69" i="391"/>
  <c r="B69" i="391"/>
  <c r="T68" i="391"/>
  <c r="Q68" i="391"/>
  <c r="P68" i="391"/>
  <c r="O68" i="391"/>
  <c r="K68" i="391"/>
  <c r="H68" i="391"/>
  <c r="L68" i="391" s="1"/>
  <c r="G68" i="391"/>
  <c r="T67" i="391"/>
  <c r="Q67" i="391"/>
  <c r="P67" i="391"/>
  <c r="O67" i="391"/>
  <c r="K67" i="391"/>
  <c r="H67" i="391"/>
  <c r="L67" i="391" s="1"/>
  <c r="G67" i="391"/>
  <c r="T66" i="391"/>
  <c r="Q66" i="391"/>
  <c r="P66" i="391"/>
  <c r="O66" i="391"/>
  <c r="K66" i="391"/>
  <c r="H66" i="391"/>
  <c r="L66" i="391" s="1"/>
  <c r="G66" i="391"/>
  <c r="N65" i="391"/>
  <c r="M65" i="391"/>
  <c r="J65" i="391"/>
  <c r="I65" i="391"/>
  <c r="F65" i="391"/>
  <c r="E65" i="391"/>
  <c r="D65" i="391"/>
  <c r="B65" i="391"/>
  <c r="T64" i="391"/>
  <c r="Q64" i="391"/>
  <c r="P64" i="391"/>
  <c r="K64" i="391"/>
  <c r="H64" i="391"/>
  <c r="L64" i="391" s="1"/>
  <c r="G64" i="391"/>
  <c r="T63" i="391"/>
  <c r="Q63" i="391"/>
  <c r="P63" i="391"/>
  <c r="O63" i="391"/>
  <c r="K63" i="391"/>
  <c r="H63" i="391"/>
  <c r="L63" i="391" s="1"/>
  <c r="G63" i="391"/>
  <c r="T62" i="391"/>
  <c r="Q62" i="391"/>
  <c r="P62" i="391"/>
  <c r="O62" i="391"/>
  <c r="K62" i="391"/>
  <c r="H62" i="391"/>
  <c r="G62" i="391"/>
  <c r="C62" i="391"/>
  <c r="C65" i="391" s="1"/>
  <c r="N61" i="391"/>
  <c r="M61" i="391"/>
  <c r="J61" i="391"/>
  <c r="I61" i="391"/>
  <c r="F61" i="391"/>
  <c r="E61" i="391"/>
  <c r="D61" i="391"/>
  <c r="C61" i="391"/>
  <c r="B61" i="391"/>
  <c r="T60" i="391"/>
  <c r="Q60" i="391"/>
  <c r="P60" i="391"/>
  <c r="O60" i="391"/>
  <c r="K60" i="391"/>
  <c r="H60" i="391"/>
  <c r="L60" i="391" s="1"/>
  <c r="G60" i="391"/>
  <c r="T59" i="391"/>
  <c r="Q59" i="391"/>
  <c r="P59" i="391"/>
  <c r="O59" i="391"/>
  <c r="K59" i="391"/>
  <c r="H59" i="391"/>
  <c r="L59" i="391" s="1"/>
  <c r="G59" i="391"/>
  <c r="T58" i="391"/>
  <c r="Q58" i="391"/>
  <c r="P58" i="391"/>
  <c r="O58" i="391"/>
  <c r="K58" i="391"/>
  <c r="H58" i="391"/>
  <c r="G58" i="391"/>
  <c r="T47" i="391"/>
  <c r="U47" i="391" s="1"/>
  <c r="K47" i="391"/>
  <c r="G47" i="391"/>
  <c r="N46" i="391"/>
  <c r="M46" i="391"/>
  <c r="J46" i="391"/>
  <c r="I46" i="391"/>
  <c r="H46" i="391"/>
  <c r="F46" i="391"/>
  <c r="E46" i="391"/>
  <c r="D46" i="391"/>
  <c r="C46" i="391"/>
  <c r="B46" i="391"/>
  <c r="T45" i="391"/>
  <c r="U45" i="391" s="1"/>
  <c r="Q45" i="391"/>
  <c r="P45" i="391"/>
  <c r="O45" i="391"/>
  <c r="L45" i="391"/>
  <c r="K45" i="391"/>
  <c r="G45" i="391"/>
  <c r="T44" i="391"/>
  <c r="U44" i="391" s="1"/>
  <c r="Q44" i="391"/>
  <c r="P44" i="391"/>
  <c r="O44" i="391"/>
  <c r="L44" i="391"/>
  <c r="K44" i="391"/>
  <c r="G44" i="391"/>
  <c r="T43" i="391"/>
  <c r="U43" i="391" s="1"/>
  <c r="Q43" i="391"/>
  <c r="P43" i="391"/>
  <c r="O43" i="391"/>
  <c r="L43" i="391"/>
  <c r="K43" i="391"/>
  <c r="G43" i="391"/>
  <c r="N42" i="391"/>
  <c r="M42" i="391"/>
  <c r="J42" i="391"/>
  <c r="I42" i="391"/>
  <c r="H42" i="391"/>
  <c r="F42" i="391"/>
  <c r="E42" i="391"/>
  <c r="D42" i="391"/>
  <c r="C42" i="391"/>
  <c r="B42" i="391"/>
  <c r="T41" i="391"/>
  <c r="U41" i="391" s="1"/>
  <c r="Q41" i="391"/>
  <c r="P41" i="391"/>
  <c r="O41" i="391"/>
  <c r="L41" i="391"/>
  <c r="K41" i="391"/>
  <c r="G41" i="391"/>
  <c r="T40" i="391"/>
  <c r="U40" i="391" s="1"/>
  <c r="Q40" i="391"/>
  <c r="P40" i="391"/>
  <c r="O40" i="391"/>
  <c r="L40" i="391"/>
  <c r="K40" i="391"/>
  <c r="G40" i="391"/>
  <c r="T39" i="391"/>
  <c r="U39" i="391" s="1"/>
  <c r="Q39" i="391"/>
  <c r="P39" i="391"/>
  <c r="O39" i="391"/>
  <c r="L39" i="391"/>
  <c r="K39" i="391"/>
  <c r="G39" i="391"/>
  <c r="N38" i="391"/>
  <c r="M38" i="391"/>
  <c r="J38" i="391"/>
  <c r="I38" i="391"/>
  <c r="H38" i="391"/>
  <c r="F38" i="391"/>
  <c r="D38" i="391"/>
  <c r="C38" i="391"/>
  <c r="P37" i="391"/>
  <c r="O37" i="391"/>
  <c r="K37" i="391"/>
  <c r="E37" i="391"/>
  <c r="E38" i="391" s="1"/>
  <c r="B37" i="391"/>
  <c r="O64" i="391" s="1"/>
  <c r="T36" i="391"/>
  <c r="U36" i="391" s="1"/>
  <c r="Q36" i="391"/>
  <c r="P36" i="391"/>
  <c r="O36" i="391"/>
  <c r="L36" i="391"/>
  <c r="K36" i="391"/>
  <c r="G36" i="391"/>
  <c r="T35" i="391"/>
  <c r="U35" i="391" s="1"/>
  <c r="Q35" i="391"/>
  <c r="P35" i="391"/>
  <c r="L35" i="391"/>
  <c r="K35" i="391"/>
  <c r="G35" i="391"/>
  <c r="N34" i="391"/>
  <c r="M34" i="391"/>
  <c r="J34" i="391"/>
  <c r="I34" i="391"/>
  <c r="H34" i="391"/>
  <c r="F34" i="391"/>
  <c r="E34" i="391"/>
  <c r="D34" i="391"/>
  <c r="C34" i="391"/>
  <c r="B34" i="391"/>
  <c r="T33" i="391"/>
  <c r="U33" i="391" s="1"/>
  <c r="Q33" i="391"/>
  <c r="P33" i="391"/>
  <c r="O33" i="391"/>
  <c r="L33" i="391"/>
  <c r="K33" i="391"/>
  <c r="G33" i="391"/>
  <c r="T32" i="391"/>
  <c r="U32" i="391" s="1"/>
  <c r="Q32" i="391"/>
  <c r="P32" i="391"/>
  <c r="L32" i="391"/>
  <c r="K32" i="391"/>
  <c r="G32" i="391"/>
  <c r="T31" i="391"/>
  <c r="U31" i="391" s="1"/>
  <c r="Q31" i="391"/>
  <c r="P31" i="391"/>
  <c r="O31" i="391"/>
  <c r="L31" i="391"/>
  <c r="K31" i="391"/>
  <c r="G31" i="391"/>
  <c r="P20" i="391"/>
  <c r="O20" i="391"/>
  <c r="N20" i="391"/>
  <c r="M20" i="391"/>
  <c r="J20" i="391"/>
  <c r="I20" i="391"/>
  <c r="F20" i="391"/>
  <c r="E20" i="391"/>
  <c r="D20" i="391"/>
  <c r="C20" i="391"/>
  <c r="C21" i="391" s="1"/>
  <c r="B20" i="391"/>
  <c r="T19" i="391"/>
  <c r="Q19" i="391"/>
  <c r="K19" i="391"/>
  <c r="H19" i="391"/>
  <c r="L19" i="391" s="1"/>
  <c r="G19" i="391"/>
  <c r="T18" i="391"/>
  <c r="Q18" i="391"/>
  <c r="K18" i="391"/>
  <c r="H18" i="391"/>
  <c r="L18" i="391" s="1"/>
  <c r="G18" i="391"/>
  <c r="T17" i="391"/>
  <c r="Q17" i="391"/>
  <c r="K17" i="391"/>
  <c r="H17" i="391"/>
  <c r="G17" i="391"/>
  <c r="P16" i="391"/>
  <c r="O16" i="391"/>
  <c r="N16" i="391"/>
  <c r="M16" i="391"/>
  <c r="J16" i="391"/>
  <c r="I16" i="391"/>
  <c r="F16" i="391"/>
  <c r="E16" i="391"/>
  <c r="D16" i="391"/>
  <c r="B16" i="391"/>
  <c r="T15" i="391"/>
  <c r="Q15" i="391"/>
  <c r="K15" i="391"/>
  <c r="H15" i="391"/>
  <c r="L15" i="391" s="1"/>
  <c r="G15" i="391"/>
  <c r="T14" i="391"/>
  <c r="Q14" i="391"/>
  <c r="K14" i="391"/>
  <c r="H14" i="391"/>
  <c r="L14" i="391" s="1"/>
  <c r="G14" i="391"/>
  <c r="T13" i="391"/>
  <c r="Q13" i="391"/>
  <c r="K13" i="391"/>
  <c r="H13" i="391"/>
  <c r="L13" i="391" s="1"/>
  <c r="G13" i="391"/>
  <c r="P12" i="391"/>
  <c r="O12" i="391"/>
  <c r="N12" i="391"/>
  <c r="M12" i="391"/>
  <c r="J12" i="391"/>
  <c r="I12" i="391"/>
  <c r="F12" i="391"/>
  <c r="D12" i="391"/>
  <c r="T11" i="391"/>
  <c r="Q11" i="391"/>
  <c r="K11" i="391"/>
  <c r="H11" i="391"/>
  <c r="L11" i="391" s="1"/>
  <c r="G11" i="391"/>
  <c r="T10" i="391"/>
  <c r="Q10" i="391"/>
  <c r="H10" i="391"/>
  <c r="G10" i="391"/>
  <c r="K9" i="391"/>
  <c r="H9" i="391"/>
  <c r="E9" i="391"/>
  <c r="E12" i="391" s="1"/>
  <c r="B9" i="391"/>
  <c r="O35" i="391" s="1"/>
  <c r="P8" i="391"/>
  <c r="O8" i="391"/>
  <c r="N8" i="391"/>
  <c r="M8" i="391"/>
  <c r="J8" i="391"/>
  <c r="I8" i="391"/>
  <c r="F8" i="391"/>
  <c r="D8" i="391"/>
  <c r="T7" i="391"/>
  <c r="Q7" i="391"/>
  <c r="K7" i="391"/>
  <c r="H7" i="391"/>
  <c r="L7" i="391" s="1"/>
  <c r="G7" i="391"/>
  <c r="K6" i="391"/>
  <c r="H6" i="391"/>
  <c r="E6" i="391"/>
  <c r="E8" i="391" s="1"/>
  <c r="B6" i="391"/>
  <c r="Q6" i="391" s="1"/>
  <c r="T5" i="391"/>
  <c r="Q5" i="391"/>
  <c r="K5" i="391"/>
  <c r="H5" i="391"/>
  <c r="L5" i="391" s="1"/>
  <c r="G5" i="391"/>
  <c r="T74" i="390"/>
  <c r="U74" i="390" s="1"/>
  <c r="K74" i="390"/>
  <c r="G74" i="390"/>
  <c r="N73" i="390"/>
  <c r="M73" i="390"/>
  <c r="J73" i="390"/>
  <c r="I73" i="390"/>
  <c r="F73" i="390"/>
  <c r="E73" i="390"/>
  <c r="D73" i="390"/>
  <c r="C73" i="390"/>
  <c r="B73" i="390"/>
  <c r="T72" i="390"/>
  <c r="Q72" i="390"/>
  <c r="P72" i="390"/>
  <c r="O72" i="390"/>
  <c r="K72" i="390"/>
  <c r="H72" i="390"/>
  <c r="L72" i="390" s="1"/>
  <c r="G72" i="390"/>
  <c r="T71" i="390"/>
  <c r="Q71" i="390"/>
  <c r="P71" i="390"/>
  <c r="O71" i="390"/>
  <c r="K71" i="390"/>
  <c r="H71" i="390"/>
  <c r="L71" i="390" s="1"/>
  <c r="G71" i="390"/>
  <c r="T70" i="390"/>
  <c r="Q70" i="390"/>
  <c r="P70" i="390"/>
  <c r="O70" i="390"/>
  <c r="K70" i="390"/>
  <c r="H70" i="390"/>
  <c r="G70" i="390"/>
  <c r="N69" i="390"/>
  <c r="M69" i="390"/>
  <c r="J69" i="390"/>
  <c r="I69" i="390"/>
  <c r="F69" i="390"/>
  <c r="E69" i="390"/>
  <c r="D69" i="390"/>
  <c r="C69" i="390"/>
  <c r="B69" i="390"/>
  <c r="T68" i="390"/>
  <c r="Q68" i="390"/>
  <c r="P68" i="390"/>
  <c r="O68" i="390"/>
  <c r="K68" i="390"/>
  <c r="H68" i="390"/>
  <c r="L68" i="390" s="1"/>
  <c r="G68" i="390"/>
  <c r="T67" i="390"/>
  <c r="Q67" i="390"/>
  <c r="P67" i="390"/>
  <c r="O67" i="390"/>
  <c r="K67" i="390"/>
  <c r="H67" i="390"/>
  <c r="L67" i="390" s="1"/>
  <c r="G67" i="390"/>
  <c r="T66" i="390"/>
  <c r="Q66" i="390"/>
  <c r="P66" i="390"/>
  <c r="O66" i="390"/>
  <c r="K66" i="390"/>
  <c r="H66" i="390"/>
  <c r="L66" i="390" s="1"/>
  <c r="G66" i="390"/>
  <c r="N65" i="390"/>
  <c r="M65" i="390"/>
  <c r="J65" i="390"/>
  <c r="I65" i="390"/>
  <c r="F65" i="390"/>
  <c r="E65" i="390"/>
  <c r="D65" i="390"/>
  <c r="B65" i="390"/>
  <c r="T64" i="390"/>
  <c r="Q64" i="390"/>
  <c r="P64" i="390"/>
  <c r="K64" i="390"/>
  <c r="H64" i="390"/>
  <c r="L64" i="390" s="1"/>
  <c r="G64" i="390"/>
  <c r="T63" i="390"/>
  <c r="Q63" i="390"/>
  <c r="P63" i="390"/>
  <c r="O63" i="390"/>
  <c r="K63" i="390"/>
  <c r="H63" i="390"/>
  <c r="L63" i="390" s="1"/>
  <c r="G63" i="390"/>
  <c r="T62" i="390"/>
  <c r="Q62" i="390"/>
  <c r="P62" i="390"/>
  <c r="O62" i="390"/>
  <c r="K62" i="390"/>
  <c r="H62" i="390"/>
  <c r="L62" i="390" s="1"/>
  <c r="G62" i="390"/>
  <c r="C62" i="390"/>
  <c r="C65" i="390" s="1"/>
  <c r="N61" i="390"/>
  <c r="M61" i="390"/>
  <c r="J61" i="390"/>
  <c r="I61" i="390"/>
  <c r="F61" i="390"/>
  <c r="E61" i="390"/>
  <c r="D61" i="390"/>
  <c r="C61" i="390"/>
  <c r="B61" i="390"/>
  <c r="T60" i="390"/>
  <c r="Q60" i="390"/>
  <c r="P60" i="390"/>
  <c r="O60" i="390"/>
  <c r="K60" i="390"/>
  <c r="H60" i="390"/>
  <c r="L60" i="390" s="1"/>
  <c r="G60" i="390"/>
  <c r="T59" i="390"/>
  <c r="Q59" i="390"/>
  <c r="P59" i="390"/>
  <c r="O59" i="390"/>
  <c r="K59" i="390"/>
  <c r="H59" i="390"/>
  <c r="L59" i="390" s="1"/>
  <c r="G59" i="390"/>
  <c r="T58" i="390"/>
  <c r="Q58" i="390"/>
  <c r="P58" i="390"/>
  <c r="O58" i="390"/>
  <c r="K58" i="390"/>
  <c r="H58" i="390"/>
  <c r="G58" i="390"/>
  <c r="T47" i="390"/>
  <c r="U47" i="390" s="1"/>
  <c r="K47" i="390"/>
  <c r="G47" i="390"/>
  <c r="N46" i="390"/>
  <c r="M46" i="390"/>
  <c r="J46" i="390"/>
  <c r="I46" i="390"/>
  <c r="H46" i="390"/>
  <c r="F46" i="390"/>
  <c r="E46" i="390"/>
  <c r="D46" i="390"/>
  <c r="C46" i="390"/>
  <c r="B46" i="390"/>
  <c r="T45" i="390"/>
  <c r="U45" i="390" s="1"/>
  <c r="Q45" i="390"/>
  <c r="P45" i="390"/>
  <c r="O45" i="390"/>
  <c r="L45" i="390"/>
  <c r="K45" i="390"/>
  <c r="G45" i="390"/>
  <c r="T44" i="390"/>
  <c r="U44" i="390" s="1"/>
  <c r="Q44" i="390"/>
  <c r="P44" i="390"/>
  <c r="O44" i="390"/>
  <c r="L44" i="390"/>
  <c r="K44" i="390"/>
  <c r="G44" i="390"/>
  <c r="T43" i="390"/>
  <c r="U43" i="390" s="1"/>
  <c r="Q43" i="390"/>
  <c r="P43" i="390"/>
  <c r="O43" i="390"/>
  <c r="L43" i="390"/>
  <c r="K43" i="390"/>
  <c r="G43" i="390"/>
  <c r="N42" i="390"/>
  <c r="M42" i="390"/>
  <c r="J42" i="390"/>
  <c r="I42" i="390"/>
  <c r="H42" i="390"/>
  <c r="F42" i="390"/>
  <c r="E42" i="390"/>
  <c r="D42" i="390"/>
  <c r="C42" i="390"/>
  <c r="B42" i="390"/>
  <c r="T41" i="390"/>
  <c r="U41" i="390" s="1"/>
  <c r="Q41" i="390"/>
  <c r="P41" i="390"/>
  <c r="O41" i="390"/>
  <c r="L41" i="390"/>
  <c r="K41" i="390"/>
  <c r="G41" i="390"/>
  <c r="T40" i="390"/>
  <c r="U40" i="390" s="1"/>
  <c r="Q40" i="390"/>
  <c r="P40" i="390"/>
  <c r="O40" i="390"/>
  <c r="L40" i="390"/>
  <c r="K40" i="390"/>
  <c r="G40" i="390"/>
  <c r="T39" i="390"/>
  <c r="U39" i="390" s="1"/>
  <c r="Q39" i="390"/>
  <c r="P39" i="390"/>
  <c r="O39" i="390"/>
  <c r="L39" i="390"/>
  <c r="K39" i="390"/>
  <c r="G39" i="390"/>
  <c r="N38" i="390"/>
  <c r="M38" i="390"/>
  <c r="J38" i="390"/>
  <c r="I38" i="390"/>
  <c r="H38" i="390"/>
  <c r="F38" i="390"/>
  <c r="D38" i="390"/>
  <c r="C38" i="390"/>
  <c r="P37" i="390"/>
  <c r="O37" i="390"/>
  <c r="K37" i="390"/>
  <c r="E37" i="390"/>
  <c r="E38" i="390" s="1"/>
  <c r="B37" i="390"/>
  <c r="O64" i="390" s="1"/>
  <c r="T36" i="390"/>
  <c r="U36" i="390" s="1"/>
  <c r="Q36" i="390"/>
  <c r="P36" i="390"/>
  <c r="O36" i="390"/>
  <c r="L36" i="390"/>
  <c r="K36" i="390"/>
  <c r="G36" i="390"/>
  <c r="T35" i="390"/>
  <c r="U35" i="390" s="1"/>
  <c r="Q35" i="390"/>
  <c r="P35" i="390"/>
  <c r="L35" i="390"/>
  <c r="K35" i="390"/>
  <c r="G35" i="390"/>
  <c r="N34" i="390"/>
  <c r="M34" i="390"/>
  <c r="J34" i="390"/>
  <c r="I34" i="390"/>
  <c r="H34" i="390"/>
  <c r="F34" i="390"/>
  <c r="E34" i="390"/>
  <c r="D34" i="390"/>
  <c r="C34" i="390"/>
  <c r="B34" i="390"/>
  <c r="T33" i="390"/>
  <c r="U33" i="390" s="1"/>
  <c r="Q33" i="390"/>
  <c r="P33" i="390"/>
  <c r="O33" i="390"/>
  <c r="L33" i="390"/>
  <c r="K33" i="390"/>
  <c r="G33" i="390"/>
  <c r="T32" i="390"/>
  <c r="U32" i="390" s="1"/>
  <c r="Q32" i="390"/>
  <c r="P32" i="390"/>
  <c r="L32" i="390"/>
  <c r="K32" i="390"/>
  <c r="G32" i="390"/>
  <c r="T31" i="390"/>
  <c r="U31" i="390" s="1"/>
  <c r="Q31" i="390"/>
  <c r="P31" i="390"/>
  <c r="O31" i="390"/>
  <c r="L31" i="390"/>
  <c r="K31" i="390"/>
  <c r="G31" i="390"/>
  <c r="P20" i="390"/>
  <c r="O20" i="390"/>
  <c r="N20" i="390"/>
  <c r="M20" i="390"/>
  <c r="J20" i="390"/>
  <c r="I20" i="390"/>
  <c r="F20" i="390"/>
  <c r="E20" i="390"/>
  <c r="D20" i="390"/>
  <c r="C20" i="390"/>
  <c r="C21" i="390" s="1"/>
  <c r="B20" i="390"/>
  <c r="T19" i="390"/>
  <c r="Q19" i="390"/>
  <c r="K19" i="390"/>
  <c r="H19" i="390"/>
  <c r="L19" i="390" s="1"/>
  <c r="G19" i="390"/>
  <c r="T18" i="390"/>
  <c r="Q18" i="390"/>
  <c r="K18" i="390"/>
  <c r="H18" i="390"/>
  <c r="L18" i="390" s="1"/>
  <c r="G18" i="390"/>
  <c r="T17" i="390"/>
  <c r="Q17" i="390"/>
  <c r="K17" i="390"/>
  <c r="H17" i="390"/>
  <c r="L17" i="390" s="1"/>
  <c r="G17" i="390"/>
  <c r="P16" i="390"/>
  <c r="O16" i="390"/>
  <c r="N16" i="390"/>
  <c r="M16" i="390"/>
  <c r="J16" i="390"/>
  <c r="I16" i="390"/>
  <c r="F16" i="390"/>
  <c r="E16" i="390"/>
  <c r="D16" i="390"/>
  <c r="B16" i="390"/>
  <c r="T15" i="390"/>
  <c r="Q15" i="390"/>
  <c r="K15" i="390"/>
  <c r="H15" i="390"/>
  <c r="G15" i="390"/>
  <c r="T14" i="390"/>
  <c r="Q14" i="390"/>
  <c r="K14" i="390"/>
  <c r="H14" i="390"/>
  <c r="G14" i="390"/>
  <c r="T13" i="390"/>
  <c r="Q13" i="390"/>
  <c r="K13" i="390"/>
  <c r="H13" i="390"/>
  <c r="L13" i="390" s="1"/>
  <c r="G13" i="390"/>
  <c r="P12" i="390"/>
  <c r="O12" i="390"/>
  <c r="N12" i="390"/>
  <c r="M12" i="390"/>
  <c r="J12" i="390"/>
  <c r="I12" i="390"/>
  <c r="F12" i="390"/>
  <c r="D12" i="390"/>
  <c r="T11" i="390"/>
  <c r="Q11" i="390"/>
  <c r="K11" i="390"/>
  <c r="H11" i="390"/>
  <c r="L11" i="390" s="1"/>
  <c r="G11" i="390"/>
  <c r="T10" i="390"/>
  <c r="Q10" i="390"/>
  <c r="H10" i="390"/>
  <c r="G10" i="390"/>
  <c r="K9" i="390"/>
  <c r="H9" i="390"/>
  <c r="E9" i="390"/>
  <c r="E12" i="390" s="1"/>
  <c r="B9" i="390"/>
  <c r="O35" i="390" s="1"/>
  <c r="P8" i="390"/>
  <c r="O8" i="390"/>
  <c r="N8" i="390"/>
  <c r="M8" i="390"/>
  <c r="J8" i="390"/>
  <c r="I8" i="390"/>
  <c r="F8" i="390"/>
  <c r="D8" i="390"/>
  <c r="T7" i="390"/>
  <c r="Q7" i="390"/>
  <c r="K7" i="390"/>
  <c r="H7" i="390"/>
  <c r="L7" i="390" s="1"/>
  <c r="G7" i="390"/>
  <c r="K6" i="390"/>
  <c r="H6" i="390"/>
  <c r="E6" i="390"/>
  <c r="E8" i="390" s="1"/>
  <c r="B6" i="390"/>
  <c r="O32" i="390" s="1"/>
  <c r="T5" i="390"/>
  <c r="Q5" i="390"/>
  <c r="K5" i="390"/>
  <c r="H5" i="390"/>
  <c r="L5" i="390" s="1"/>
  <c r="G5" i="390"/>
  <c r="T74" i="389"/>
  <c r="U74" i="389" s="1"/>
  <c r="K74" i="389"/>
  <c r="G74" i="389"/>
  <c r="N73" i="389"/>
  <c r="M73" i="389"/>
  <c r="J73" i="389"/>
  <c r="I73" i="389"/>
  <c r="F73" i="389"/>
  <c r="E73" i="389"/>
  <c r="D73" i="389"/>
  <c r="C73" i="389"/>
  <c r="B73" i="389"/>
  <c r="T72" i="389"/>
  <c r="Q72" i="389"/>
  <c r="P72" i="389"/>
  <c r="O72" i="389"/>
  <c r="K72" i="389"/>
  <c r="H72" i="389"/>
  <c r="L72" i="389" s="1"/>
  <c r="G72" i="389"/>
  <c r="T71" i="389"/>
  <c r="Q71" i="389"/>
  <c r="P71" i="389"/>
  <c r="O71" i="389"/>
  <c r="K71" i="389"/>
  <c r="H71" i="389"/>
  <c r="L71" i="389" s="1"/>
  <c r="G71" i="389"/>
  <c r="T70" i="389"/>
  <c r="Q70" i="389"/>
  <c r="P70" i="389"/>
  <c r="O70" i="389"/>
  <c r="K70" i="389"/>
  <c r="H70" i="389"/>
  <c r="L70" i="389" s="1"/>
  <c r="G70" i="389"/>
  <c r="N69" i="389"/>
  <c r="M69" i="389"/>
  <c r="J69" i="389"/>
  <c r="I69" i="389"/>
  <c r="F69" i="389"/>
  <c r="E69" i="389"/>
  <c r="D69" i="389"/>
  <c r="C69" i="389"/>
  <c r="B69" i="389"/>
  <c r="T68" i="389"/>
  <c r="Q68" i="389"/>
  <c r="P68" i="389"/>
  <c r="O68" i="389"/>
  <c r="K68" i="389"/>
  <c r="H68" i="389"/>
  <c r="G68" i="389"/>
  <c r="T67" i="389"/>
  <c r="Q67" i="389"/>
  <c r="P67" i="389"/>
  <c r="O67" i="389"/>
  <c r="K67" i="389"/>
  <c r="H67" i="389"/>
  <c r="L67" i="389" s="1"/>
  <c r="G67" i="389"/>
  <c r="T66" i="389"/>
  <c r="Q66" i="389"/>
  <c r="P66" i="389"/>
  <c r="O66" i="389"/>
  <c r="K66" i="389"/>
  <c r="H66" i="389"/>
  <c r="L66" i="389" s="1"/>
  <c r="G66" i="389"/>
  <c r="N65" i="389"/>
  <c r="M65" i="389"/>
  <c r="J65" i="389"/>
  <c r="I65" i="389"/>
  <c r="F65" i="389"/>
  <c r="E65" i="389"/>
  <c r="D65" i="389"/>
  <c r="B65" i="389"/>
  <c r="T64" i="389"/>
  <c r="Q64" i="389"/>
  <c r="P64" i="389"/>
  <c r="K64" i="389"/>
  <c r="H64" i="389"/>
  <c r="L64" i="389" s="1"/>
  <c r="G64" i="389"/>
  <c r="T63" i="389"/>
  <c r="Q63" i="389"/>
  <c r="P63" i="389"/>
  <c r="O63" i="389"/>
  <c r="K63" i="389"/>
  <c r="H63" i="389"/>
  <c r="G63" i="389"/>
  <c r="T62" i="389"/>
  <c r="Q62" i="389"/>
  <c r="P62" i="389"/>
  <c r="O62" i="389"/>
  <c r="K62" i="389"/>
  <c r="H62" i="389"/>
  <c r="G62" i="389"/>
  <c r="C62" i="389"/>
  <c r="C65" i="389" s="1"/>
  <c r="N61" i="389"/>
  <c r="M61" i="389"/>
  <c r="J61" i="389"/>
  <c r="I61" i="389"/>
  <c r="F61" i="389"/>
  <c r="E61" i="389"/>
  <c r="D61" i="389"/>
  <c r="C61" i="389"/>
  <c r="B61" i="389"/>
  <c r="T60" i="389"/>
  <c r="Q60" i="389"/>
  <c r="P60" i="389"/>
  <c r="O60" i="389"/>
  <c r="K60" i="389"/>
  <c r="H60" i="389"/>
  <c r="G60" i="389"/>
  <c r="T59" i="389"/>
  <c r="Q59" i="389"/>
  <c r="P59" i="389"/>
  <c r="O59" i="389"/>
  <c r="K59" i="389"/>
  <c r="H59" i="389"/>
  <c r="L59" i="389" s="1"/>
  <c r="G59" i="389"/>
  <c r="T58" i="389"/>
  <c r="Q58" i="389"/>
  <c r="P58" i="389"/>
  <c r="O58" i="389"/>
  <c r="K58" i="389"/>
  <c r="H58" i="389"/>
  <c r="L58" i="389" s="1"/>
  <c r="G58" i="389"/>
  <c r="T47" i="389"/>
  <c r="U47" i="389" s="1"/>
  <c r="K47" i="389"/>
  <c r="G47" i="389"/>
  <c r="N46" i="389"/>
  <c r="M46" i="389"/>
  <c r="J46" i="389"/>
  <c r="I46" i="389"/>
  <c r="H46" i="389"/>
  <c r="F46" i="389"/>
  <c r="E46" i="389"/>
  <c r="D46" i="389"/>
  <c r="C46" i="389"/>
  <c r="B46" i="389"/>
  <c r="T45" i="389"/>
  <c r="U45" i="389" s="1"/>
  <c r="Q45" i="389"/>
  <c r="P45" i="389"/>
  <c r="O45" i="389"/>
  <c r="L45" i="389"/>
  <c r="K45" i="389"/>
  <c r="G45" i="389"/>
  <c r="T44" i="389"/>
  <c r="U44" i="389" s="1"/>
  <c r="Q44" i="389"/>
  <c r="P44" i="389"/>
  <c r="O44" i="389"/>
  <c r="L44" i="389"/>
  <c r="K44" i="389"/>
  <c r="G44" i="389"/>
  <c r="T43" i="389"/>
  <c r="U43" i="389" s="1"/>
  <c r="Q43" i="389"/>
  <c r="P43" i="389"/>
  <c r="O43" i="389"/>
  <c r="L43" i="389"/>
  <c r="K43" i="389"/>
  <c r="G43" i="389"/>
  <c r="N42" i="389"/>
  <c r="M42" i="389"/>
  <c r="J42" i="389"/>
  <c r="I42" i="389"/>
  <c r="H42" i="389"/>
  <c r="F42" i="389"/>
  <c r="E42" i="389"/>
  <c r="D42" i="389"/>
  <c r="C42" i="389"/>
  <c r="B42" i="389"/>
  <c r="T41" i="389"/>
  <c r="U41" i="389" s="1"/>
  <c r="Q41" i="389"/>
  <c r="P41" i="389"/>
  <c r="O41" i="389"/>
  <c r="L41" i="389"/>
  <c r="K41" i="389"/>
  <c r="G41" i="389"/>
  <c r="T40" i="389"/>
  <c r="U40" i="389" s="1"/>
  <c r="Q40" i="389"/>
  <c r="P40" i="389"/>
  <c r="O40" i="389"/>
  <c r="L40" i="389"/>
  <c r="K40" i="389"/>
  <c r="G40" i="389"/>
  <c r="T39" i="389"/>
  <c r="U39" i="389" s="1"/>
  <c r="Q39" i="389"/>
  <c r="P39" i="389"/>
  <c r="O39" i="389"/>
  <c r="L39" i="389"/>
  <c r="K39" i="389"/>
  <c r="G39" i="389"/>
  <c r="N38" i="389"/>
  <c r="M38" i="389"/>
  <c r="J38" i="389"/>
  <c r="I38" i="389"/>
  <c r="H38" i="389"/>
  <c r="F38" i="389"/>
  <c r="D38" i="389"/>
  <c r="C38" i="389"/>
  <c r="P37" i="389"/>
  <c r="O37" i="389"/>
  <c r="K37" i="389"/>
  <c r="E37" i="389"/>
  <c r="E38" i="389" s="1"/>
  <c r="B37" i="389"/>
  <c r="O64" i="389" s="1"/>
  <c r="T36" i="389"/>
  <c r="U36" i="389" s="1"/>
  <c r="Q36" i="389"/>
  <c r="P36" i="389"/>
  <c r="O36" i="389"/>
  <c r="L36" i="389"/>
  <c r="K36" i="389"/>
  <c r="G36" i="389"/>
  <c r="T35" i="389"/>
  <c r="U35" i="389" s="1"/>
  <c r="Q35" i="389"/>
  <c r="P35" i="389"/>
  <c r="L35" i="389"/>
  <c r="K35" i="389"/>
  <c r="G35" i="389"/>
  <c r="N34" i="389"/>
  <c r="M34" i="389"/>
  <c r="J34" i="389"/>
  <c r="I34" i="389"/>
  <c r="H34" i="389"/>
  <c r="F34" i="389"/>
  <c r="E34" i="389"/>
  <c r="D34" i="389"/>
  <c r="C34" i="389"/>
  <c r="B34" i="389"/>
  <c r="T33" i="389"/>
  <c r="U33" i="389" s="1"/>
  <c r="Q33" i="389"/>
  <c r="P33" i="389"/>
  <c r="O33" i="389"/>
  <c r="L33" i="389"/>
  <c r="K33" i="389"/>
  <c r="G33" i="389"/>
  <c r="T32" i="389"/>
  <c r="U32" i="389" s="1"/>
  <c r="Q32" i="389"/>
  <c r="P32" i="389"/>
  <c r="L32" i="389"/>
  <c r="K32" i="389"/>
  <c r="G32" i="389"/>
  <c r="T31" i="389"/>
  <c r="U31" i="389" s="1"/>
  <c r="Q31" i="389"/>
  <c r="P31" i="389"/>
  <c r="O31" i="389"/>
  <c r="L31" i="389"/>
  <c r="K31" i="389"/>
  <c r="G31" i="389"/>
  <c r="P20" i="389"/>
  <c r="O20" i="389"/>
  <c r="N20" i="389"/>
  <c r="M20" i="389"/>
  <c r="J20" i="389"/>
  <c r="I20" i="389"/>
  <c r="F20" i="389"/>
  <c r="E20" i="389"/>
  <c r="D20" i="389"/>
  <c r="C20" i="389"/>
  <c r="C21" i="389" s="1"/>
  <c r="B20" i="389"/>
  <c r="T19" i="389"/>
  <c r="Q19" i="389"/>
  <c r="K19" i="389"/>
  <c r="H19" i="389"/>
  <c r="L19" i="389" s="1"/>
  <c r="G19" i="389"/>
  <c r="T18" i="389"/>
  <c r="Q18" i="389"/>
  <c r="K18" i="389"/>
  <c r="H18" i="389"/>
  <c r="L18" i="389" s="1"/>
  <c r="G18" i="389"/>
  <c r="T17" i="389"/>
  <c r="Q17" i="389"/>
  <c r="K17" i="389"/>
  <c r="H17" i="389"/>
  <c r="G17" i="389"/>
  <c r="P16" i="389"/>
  <c r="O16" i="389"/>
  <c r="N16" i="389"/>
  <c r="M16" i="389"/>
  <c r="J16" i="389"/>
  <c r="I16" i="389"/>
  <c r="F16" i="389"/>
  <c r="E16" i="389"/>
  <c r="D16" i="389"/>
  <c r="B16" i="389"/>
  <c r="T15" i="389"/>
  <c r="Q15" i="389"/>
  <c r="K15" i="389"/>
  <c r="H15" i="389"/>
  <c r="L15" i="389" s="1"/>
  <c r="G15" i="389"/>
  <c r="T14" i="389"/>
  <c r="Q14" i="389"/>
  <c r="K14" i="389"/>
  <c r="H14" i="389"/>
  <c r="G14" i="389"/>
  <c r="T13" i="389"/>
  <c r="Q13" i="389"/>
  <c r="K13" i="389"/>
  <c r="H13" i="389"/>
  <c r="L13" i="389" s="1"/>
  <c r="G13" i="389"/>
  <c r="P12" i="389"/>
  <c r="O12" i="389"/>
  <c r="N12" i="389"/>
  <c r="M12" i="389"/>
  <c r="J12" i="389"/>
  <c r="I12" i="389"/>
  <c r="F12" i="389"/>
  <c r="D12" i="389"/>
  <c r="T11" i="389"/>
  <c r="Q11" i="389"/>
  <c r="K11" i="389"/>
  <c r="H11" i="389"/>
  <c r="L11" i="389" s="1"/>
  <c r="G11" i="389"/>
  <c r="T10" i="389"/>
  <c r="Q10" i="389"/>
  <c r="H10" i="389"/>
  <c r="G10" i="389"/>
  <c r="K9" i="389"/>
  <c r="H9" i="389"/>
  <c r="E9" i="389"/>
  <c r="E12" i="389" s="1"/>
  <c r="B9" i="389"/>
  <c r="O35" i="389" s="1"/>
  <c r="P8" i="389"/>
  <c r="O8" i="389"/>
  <c r="N8" i="389"/>
  <c r="M8" i="389"/>
  <c r="J8" i="389"/>
  <c r="I8" i="389"/>
  <c r="F8" i="389"/>
  <c r="D8" i="389"/>
  <c r="T7" i="389"/>
  <c r="Q7" i="389"/>
  <c r="K7" i="389"/>
  <c r="H7" i="389"/>
  <c r="L7" i="389" s="1"/>
  <c r="G7" i="389"/>
  <c r="K6" i="389"/>
  <c r="H6" i="389"/>
  <c r="E6" i="389"/>
  <c r="E8" i="389" s="1"/>
  <c r="B6" i="389"/>
  <c r="B8" i="389" s="1"/>
  <c r="T5" i="389"/>
  <c r="Q5" i="389"/>
  <c r="K5" i="389"/>
  <c r="H5" i="389"/>
  <c r="L5" i="389" s="1"/>
  <c r="G5" i="389"/>
  <c r="T74" i="388"/>
  <c r="U74" i="388" s="1"/>
  <c r="K74" i="388"/>
  <c r="G74" i="388"/>
  <c r="N73" i="388"/>
  <c r="M73" i="388"/>
  <c r="J73" i="388"/>
  <c r="I73" i="388"/>
  <c r="F73" i="388"/>
  <c r="E73" i="388"/>
  <c r="D73" i="388"/>
  <c r="C73" i="388"/>
  <c r="B73" i="388"/>
  <c r="T72" i="388"/>
  <c r="Q72" i="388"/>
  <c r="P72" i="388"/>
  <c r="O72" i="388"/>
  <c r="K72" i="388"/>
  <c r="H72" i="388"/>
  <c r="L72" i="388" s="1"/>
  <c r="G72" i="388"/>
  <c r="T71" i="388"/>
  <c r="Q71" i="388"/>
  <c r="P71" i="388"/>
  <c r="O71" i="388"/>
  <c r="K71" i="388"/>
  <c r="H71" i="388"/>
  <c r="L71" i="388" s="1"/>
  <c r="G71" i="388"/>
  <c r="T70" i="388"/>
  <c r="Q70" i="388"/>
  <c r="P70" i="388"/>
  <c r="O70" i="388"/>
  <c r="K70" i="388"/>
  <c r="H70" i="388"/>
  <c r="G70" i="388"/>
  <c r="N69" i="388"/>
  <c r="M69" i="388"/>
  <c r="J69" i="388"/>
  <c r="I69" i="388"/>
  <c r="F69" i="388"/>
  <c r="E69" i="388"/>
  <c r="D69" i="388"/>
  <c r="C69" i="388"/>
  <c r="B69" i="388"/>
  <c r="T68" i="388"/>
  <c r="Q68" i="388"/>
  <c r="P68" i="388"/>
  <c r="O68" i="388"/>
  <c r="K68" i="388"/>
  <c r="H68" i="388"/>
  <c r="L68" i="388" s="1"/>
  <c r="G68" i="388"/>
  <c r="T67" i="388"/>
  <c r="Q67" i="388"/>
  <c r="P67" i="388"/>
  <c r="O67" i="388"/>
  <c r="K67" i="388"/>
  <c r="H67" i="388"/>
  <c r="L67" i="388" s="1"/>
  <c r="G67" i="388"/>
  <c r="T66" i="388"/>
  <c r="Q66" i="388"/>
  <c r="P66" i="388"/>
  <c r="O66" i="388"/>
  <c r="K66" i="388"/>
  <c r="H66" i="388"/>
  <c r="L66" i="388" s="1"/>
  <c r="G66" i="388"/>
  <c r="N65" i="388"/>
  <c r="M65" i="388"/>
  <c r="J65" i="388"/>
  <c r="I65" i="388"/>
  <c r="F65" i="388"/>
  <c r="E65" i="388"/>
  <c r="D65" i="388"/>
  <c r="B65" i="388"/>
  <c r="T64" i="388"/>
  <c r="Q64" i="388"/>
  <c r="P64" i="388"/>
  <c r="K64" i="388"/>
  <c r="H64" i="388"/>
  <c r="L64" i="388" s="1"/>
  <c r="G64" i="388"/>
  <c r="T63" i="388"/>
  <c r="Q63" i="388"/>
  <c r="P63" i="388"/>
  <c r="O63" i="388"/>
  <c r="K63" i="388"/>
  <c r="H63" i="388"/>
  <c r="L63" i="388" s="1"/>
  <c r="G63" i="388"/>
  <c r="T62" i="388"/>
  <c r="Q62" i="388"/>
  <c r="P62" i="388"/>
  <c r="O62" i="388"/>
  <c r="K62" i="388"/>
  <c r="H62" i="388"/>
  <c r="L62" i="388" s="1"/>
  <c r="G62" i="388"/>
  <c r="C62" i="388"/>
  <c r="C65" i="388" s="1"/>
  <c r="N61" i="388"/>
  <c r="M61" i="388"/>
  <c r="J61" i="388"/>
  <c r="I61" i="388"/>
  <c r="F61" i="388"/>
  <c r="E61" i="388"/>
  <c r="D61" i="388"/>
  <c r="C61" i="388"/>
  <c r="B61" i="388"/>
  <c r="T60" i="388"/>
  <c r="Q60" i="388"/>
  <c r="P60" i="388"/>
  <c r="O60" i="388"/>
  <c r="K60" i="388"/>
  <c r="H60" i="388"/>
  <c r="L60" i="388" s="1"/>
  <c r="G60" i="388"/>
  <c r="T59" i="388"/>
  <c r="Q59" i="388"/>
  <c r="P59" i="388"/>
  <c r="O59" i="388"/>
  <c r="K59" i="388"/>
  <c r="H59" i="388"/>
  <c r="L59" i="388" s="1"/>
  <c r="G59" i="388"/>
  <c r="T58" i="388"/>
  <c r="Q58" i="388"/>
  <c r="P58" i="388"/>
  <c r="O58" i="388"/>
  <c r="K58" i="388"/>
  <c r="H58" i="388"/>
  <c r="L58" i="388" s="1"/>
  <c r="G58" i="388"/>
  <c r="T47" i="388"/>
  <c r="U47" i="388" s="1"/>
  <c r="K47" i="388"/>
  <c r="G47" i="388"/>
  <c r="N46" i="388"/>
  <c r="M46" i="388"/>
  <c r="J46" i="388"/>
  <c r="I46" i="388"/>
  <c r="H46" i="388"/>
  <c r="F46" i="388"/>
  <c r="E46" i="388"/>
  <c r="D46" i="388"/>
  <c r="C46" i="388"/>
  <c r="B46" i="388"/>
  <c r="T45" i="388"/>
  <c r="U45" i="388" s="1"/>
  <c r="Q45" i="388"/>
  <c r="P45" i="388"/>
  <c r="O45" i="388"/>
  <c r="L45" i="388"/>
  <c r="K45" i="388"/>
  <c r="G45" i="388"/>
  <c r="T44" i="388"/>
  <c r="U44" i="388" s="1"/>
  <c r="Q44" i="388"/>
  <c r="P44" i="388"/>
  <c r="O44" i="388"/>
  <c r="L44" i="388"/>
  <c r="K44" i="388"/>
  <c r="G44" i="388"/>
  <c r="T43" i="388"/>
  <c r="U43" i="388" s="1"/>
  <c r="Q43" i="388"/>
  <c r="P43" i="388"/>
  <c r="O43" i="388"/>
  <c r="L43" i="388"/>
  <c r="K43" i="388"/>
  <c r="G43" i="388"/>
  <c r="N42" i="388"/>
  <c r="M42" i="388"/>
  <c r="J42" i="388"/>
  <c r="I42" i="388"/>
  <c r="H42" i="388"/>
  <c r="F42" i="388"/>
  <c r="E42" i="388"/>
  <c r="D42" i="388"/>
  <c r="C42" i="388"/>
  <c r="B42" i="388"/>
  <c r="T41" i="388"/>
  <c r="U41" i="388" s="1"/>
  <c r="Q41" i="388"/>
  <c r="P41" i="388"/>
  <c r="O41" i="388"/>
  <c r="L41" i="388"/>
  <c r="K41" i="388"/>
  <c r="G41" i="388"/>
  <c r="T40" i="388"/>
  <c r="U40" i="388" s="1"/>
  <c r="Q40" i="388"/>
  <c r="P40" i="388"/>
  <c r="O40" i="388"/>
  <c r="L40" i="388"/>
  <c r="K40" i="388"/>
  <c r="G40" i="388"/>
  <c r="T39" i="388"/>
  <c r="U39" i="388" s="1"/>
  <c r="Q39" i="388"/>
  <c r="P39" i="388"/>
  <c r="O39" i="388"/>
  <c r="L39" i="388"/>
  <c r="K39" i="388"/>
  <c r="G39" i="388"/>
  <c r="N38" i="388"/>
  <c r="M38" i="388"/>
  <c r="J38" i="388"/>
  <c r="I38" i="388"/>
  <c r="H38" i="388"/>
  <c r="F38" i="388"/>
  <c r="D38" i="388"/>
  <c r="C38" i="388"/>
  <c r="P37" i="388"/>
  <c r="O37" i="388"/>
  <c r="K37" i="388"/>
  <c r="E37" i="388"/>
  <c r="E38" i="388" s="1"/>
  <c r="B37" i="388"/>
  <c r="O64" i="388" s="1"/>
  <c r="T36" i="388"/>
  <c r="U36" i="388" s="1"/>
  <c r="Q36" i="388"/>
  <c r="P36" i="388"/>
  <c r="O36" i="388"/>
  <c r="L36" i="388"/>
  <c r="K36" i="388"/>
  <c r="G36" i="388"/>
  <c r="T35" i="388"/>
  <c r="U35" i="388" s="1"/>
  <c r="Q35" i="388"/>
  <c r="P35" i="388"/>
  <c r="L35" i="388"/>
  <c r="K35" i="388"/>
  <c r="G35" i="388"/>
  <c r="N34" i="388"/>
  <c r="M34" i="388"/>
  <c r="J34" i="388"/>
  <c r="I34" i="388"/>
  <c r="H34" i="388"/>
  <c r="F34" i="388"/>
  <c r="E34" i="388"/>
  <c r="D34" i="388"/>
  <c r="C34" i="388"/>
  <c r="B34" i="388"/>
  <c r="T33" i="388"/>
  <c r="U33" i="388" s="1"/>
  <c r="Q33" i="388"/>
  <c r="P33" i="388"/>
  <c r="O33" i="388"/>
  <c r="L33" i="388"/>
  <c r="K33" i="388"/>
  <c r="G33" i="388"/>
  <c r="T32" i="388"/>
  <c r="U32" i="388" s="1"/>
  <c r="Q32" i="388"/>
  <c r="P32" i="388"/>
  <c r="L32" i="388"/>
  <c r="K32" i="388"/>
  <c r="G32" i="388"/>
  <c r="T31" i="388"/>
  <c r="U31" i="388" s="1"/>
  <c r="Q31" i="388"/>
  <c r="P31" i="388"/>
  <c r="O31" i="388"/>
  <c r="L31" i="388"/>
  <c r="K31" i="388"/>
  <c r="G31" i="388"/>
  <c r="P20" i="388"/>
  <c r="O20" i="388"/>
  <c r="N20" i="388"/>
  <c r="M20" i="388"/>
  <c r="J20" i="388"/>
  <c r="I20" i="388"/>
  <c r="F20" i="388"/>
  <c r="E20" i="388"/>
  <c r="D20" i="388"/>
  <c r="C20" i="388"/>
  <c r="C21" i="388" s="1"/>
  <c r="B20" i="388"/>
  <c r="T19" i="388"/>
  <c r="Q19" i="388"/>
  <c r="K19" i="388"/>
  <c r="H19" i="388"/>
  <c r="L19" i="388" s="1"/>
  <c r="G19" i="388"/>
  <c r="T18" i="388"/>
  <c r="Q18" i="388"/>
  <c r="K18" i="388"/>
  <c r="H18" i="388"/>
  <c r="L18" i="388" s="1"/>
  <c r="G18" i="388"/>
  <c r="T17" i="388"/>
  <c r="Q17" i="388"/>
  <c r="K17" i="388"/>
  <c r="H17" i="388"/>
  <c r="G17" i="388"/>
  <c r="P16" i="388"/>
  <c r="O16" i="388"/>
  <c r="N16" i="388"/>
  <c r="M16" i="388"/>
  <c r="J16" i="388"/>
  <c r="I16" i="388"/>
  <c r="F16" i="388"/>
  <c r="E16" i="388"/>
  <c r="D16" i="388"/>
  <c r="B16" i="388"/>
  <c r="T15" i="388"/>
  <c r="Q15" i="388"/>
  <c r="K15" i="388"/>
  <c r="H15" i="388"/>
  <c r="L15" i="388" s="1"/>
  <c r="G15" i="388"/>
  <c r="T14" i="388"/>
  <c r="Q14" i="388"/>
  <c r="K14" i="388"/>
  <c r="H14" i="388"/>
  <c r="G14" i="388"/>
  <c r="T13" i="388"/>
  <c r="Q13" i="388"/>
  <c r="K13" i="388"/>
  <c r="H13" i="388"/>
  <c r="L13" i="388" s="1"/>
  <c r="G13" i="388"/>
  <c r="P12" i="388"/>
  <c r="O12" i="388"/>
  <c r="N12" i="388"/>
  <c r="M12" i="388"/>
  <c r="J12" i="388"/>
  <c r="I12" i="388"/>
  <c r="F12" i="388"/>
  <c r="D12" i="388"/>
  <c r="T11" i="388"/>
  <c r="Q11" i="388"/>
  <c r="K11" i="388"/>
  <c r="H11" i="388"/>
  <c r="L11" i="388" s="1"/>
  <c r="G11" i="388"/>
  <c r="T10" i="388"/>
  <c r="Q10" i="388"/>
  <c r="H10" i="388"/>
  <c r="L10" i="388" s="1"/>
  <c r="G10" i="388"/>
  <c r="K9" i="388"/>
  <c r="H9" i="388"/>
  <c r="E9" i="388"/>
  <c r="E12" i="388" s="1"/>
  <c r="B9" i="388"/>
  <c r="P8" i="388"/>
  <c r="O8" i="388"/>
  <c r="N8" i="388"/>
  <c r="M8" i="388"/>
  <c r="J8" i="388"/>
  <c r="I8" i="388"/>
  <c r="F8" i="388"/>
  <c r="D8" i="388"/>
  <c r="T7" i="388"/>
  <c r="Q7" i="388"/>
  <c r="K7" i="388"/>
  <c r="H7" i="388"/>
  <c r="L7" i="388" s="1"/>
  <c r="G7" i="388"/>
  <c r="K6" i="388"/>
  <c r="H6" i="388"/>
  <c r="E6" i="388"/>
  <c r="E8" i="388" s="1"/>
  <c r="B6" i="388"/>
  <c r="T6" i="388" s="1"/>
  <c r="T5" i="388"/>
  <c r="Q5" i="388"/>
  <c r="K5" i="388"/>
  <c r="H5" i="388"/>
  <c r="L5" i="388" s="1"/>
  <c r="G5" i="388"/>
  <c r="E37" i="387"/>
  <c r="E38" i="387" s="1"/>
  <c r="T74" i="387"/>
  <c r="U74" i="387" s="1"/>
  <c r="K74" i="387"/>
  <c r="G74" i="387"/>
  <c r="N73" i="387"/>
  <c r="M73" i="387"/>
  <c r="J73" i="387"/>
  <c r="I73" i="387"/>
  <c r="F73" i="387"/>
  <c r="E73" i="387"/>
  <c r="D73" i="387"/>
  <c r="C73" i="387"/>
  <c r="B73" i="387"/>
  <c r="T72" i="387"/>
  <c r="Q72" i="387"/>
  <c r="P72" i="387"/>
  <c r="O72" i="387"/>
  <c r="K72" i="387"/>
  <c r="H72" i="387"/>
  <c r="L72" i="387" s="1"/>
  <c r="G72" i="387"/>
  <c r="T71" i="387"/>
  <c r="Q71" i="387"/>
  <c r="P71" i="387"/>
  <c r="O71" i="387"/>
  <c r="K71" i="387"/>
  <c r="H71" i="387"/>
  <c r="L71" i="387" s="1"/>
  <c r="G71" i="387"/>
  <c r="T70" i="387"/>
  <c r="Q70" i="387"/>
  <c r="P70" i="387"/>
  <c r="O70" i="387"/>
  <c r="K70" i="387"/>
  <c r="H70" i="387"/>
  <c r="G70" i="387"/>
  <c r="N69" i="387"/>
  <c r="M69" i="387"/>
  <c r="J69" i="387"/>
  <c r="I69" i="387"/>
  <c r="F69" i="387"/>
  <c r="E69" i="387"/>
  <c r="D69" i="387"/>
  <c r="C69" i="387"/>
  <c r="B69" i="387"/>
  <c r="T68" i="387"/>
  <c r="Q68" i="387"/>
  <c r="P68" i="387"/>
  <c r="O68" i="387"/>
  <c r="K68" i="387"/>
  <c r="H68" i="387"/>
  <c r="G68" i="387"/>
  <c r="T67" i="387"/>
  <c r="Q67" i="387"/>
  <c r="P67" i="387"/>
  <c r="O67" i="387"/>
  <c r="K67" i="387"/>
  <c r="H67" i="387"/>
  <c r="L67" i="387" s="1"/>
  <c r="G67" i="387"/>
  <c r="T66" i="387"/>
  <c r="Q66" i="387"/>
  <c r="P66" i="387"/>
  <c r="O66" i="387"/>
  <c r="K66" i="387"/>
  <c r="H66" i="387"/>
  <c r="L66" i="387" s="1"/>
  <c r="G66" i="387"/>
  <c r="N65" i="387"/>
  <c r="M65" i="387"/>
  <c r="J65" i="387"/>
  <c r="I65" i="387"/>
  <c r="F65" i="387"/>
  <c r="E65" i="387"/>
  <c r="D65" i="387"/>
  <c r="B65" i="387"/>
  <c r="T64" i="387"/>
  <c r="Q64" i="387"/>
  <c r="P64" i="387"/>
  <c r="K64" i="387"/>
  <c r="H64" i="387"/>
  <c r="L64" i="387" s="1"/>
  <c r="G64" i="387"/>
  <c r="T63" i="387"/>
  <c r="Q63" i="387"/>
  <c r="P63" i="387"/>
  <c r="O63" i="387"/>
  <c r="K63" i="387"/>
  <c r="H63" i="387"/>
  <c r="G63" i="387"/>
  <c r="T62" i="387"/>
  <c r="Q62" i="387"/>
  <c r="P62" i="387"/>
  <c r="O62" i="387"/>
  <c r="K62" i="387"/>
  <c r="H62" i="387"/>
  <c r="L62" i="387" s="1"/>
  <c r="G62" i="387"/>
  <c r="C62" i="387"/>
  <c r="C65" i="387" s="1"/>
  <c r="N61" i="387"/>
  <c r="M61" i="387"/>
  <c r="J61" i="387"/>
  <c r="I61" i="387"/>
  <c r="F61" i="387"/>
  <c r="E61" i="387"/>
  <c r="D61" i="387"/>
  <c r="C61" i="387"/>
  <c r="B61" i="387"/>
  <c r="T60" i="387"/>
  <c r="Q60" i="387"/>
  <c r="P60" i="387"/>
  <c r="O60" i="387"/>
  <c r="K60" i="387"/>
  <c r="H60" i="387"/>
  <c r="L60" i="387" s="1"/>
  <c r="G60" i="387"/>
  <c r="T59" i="387"/>
  <c r="Q59" i="387"/>
  <c r="P59" i="387"/>
  <c r="O59" i="387"/>
  <c r="K59" i="387"/>
  <c r="H59" i="387"/>
  <c r="L59" i="387" s="1"/>
  <c r="G59" i="387"/>
  <c r="T58" i="387"/>
  <c r="Q58" i="387"/>
  <c r="P58" i="387"/>
  <c r="O58" i="387"/>
  <c r="K58" i="387"/>
  <c r="H58" i="387"/>
  <c r="G58" i="387"/>
  <c r="T47" i="387"/>
  <c r="U47" i="387" s="1"/>
  <c r="K47" i="387"/>
  <c r="G47" i="387"/>
  <c r="N46" i="387"/>
  <c r="M46" i="387"/>
  <c r="J46" i="387"/>
  <c r="I46" i="387"/>
  <c r="H46" i="387"/>
  <c r="F46" i="387"/>
  <c r="E46" i="387"/>
  <c r="D46" i="387"/>
  <c r="C46" i="387"/>
  <c r="B46" i="387"/>
  <c r="T45" i="387"/>
  <c r="U45" i="387" s="1"/>
  <c r="Q45" i="387"/>
  <c r="P45" i="387"/>
  <c r="O45" i="387"/>
  <c r="L45" i="387"/>
  <c r="K45" i="387"/>
  <c r="G45" i="387"/>
  <c r="T44" i="387"/>
  <c r="U44" i="387" s="1"/>
  <c r="Q44" i="387"/>
  <c r="P44" i="387"/>
  <c r="O44" i="387"/>
  <c r="L44" i="387"/>
  <c r="K44" i="387"/>
  <c r="G44" i="387"/>
  <c r="T43" i="387"/>
  <c r="U43" i="387" s="1"/>
  <c r="Q43" i="387"/>
  <c r="P43" i="387"/>
  <c r="O43" i="387"/>
  <c r="L43" i="387"/>
  <c r="K43" i="387"/>
  <c r="G43" i="387"/>
  <c r="N42" i="387"/>
  <c r="M42" i="387"/>
  <c r="J42" i="387"/>
  <c r="I42" i="387"/>
  <c r="H42" i="387"/>
  <c r="F42" i="387"/>
  <c r="E42" i="387"/>
  <c r="D42" i="387"/>
  <c r="C42" i="387"/>
  <c r="B42" i="387"/>
  <c r="T41" i="387"/>
  <c r="U41" i="387" s="1"/>
  <c r="Q41" i="387"/>
  <c r="P41" i="387"/>
  <c r="O41" i="387"/>
  <c r="L41" i="387"/>
  <c r="K41" i="387"/>
  <c r="G41" i="387"/>
  <c r="T40" i="387"/>
  <c r="U40" i="387" s="1"/>
  <c r="Q40" i="387"/>
  <c r="P40" i="387"/>
  <c r="O40" i="387"/>
  <c r="L40" i="387"/>
  <c r="K40" i="387"/>
  <c r="G40" i="387"/>
  <c r="T39" i="387"/>
  <c r="U39" i="387" s="1"/>
  <c r="Q39" i="387"/>
  <c r="P39" i="387"/>
  <c r="O39" i="387"/>
  <c r="L39" i="387"/>
  <c r="K39" i="387"/>
  <c r="G39" i="387"/>
  <c r="N38" i="387"/>
  <c r="M38" i="387"/>
  <c r="J38" i="387"/>
  <c r="I38" i="387"/>
  <c r="H38" i="387"/>
  <c r="F38" i="387"/>
  <c r="D38" i="387"/>
  <c r="C38" i="387"/>
  <c r="P37" i="387"/>
  <c r="O37" i="387"/>
  <c r="K37" i="387"/>
  <c r="B37" i="387"/>
  <c r="O64" i="387" s="1"/>
  <c r="T36" i="387"/>
  <c r="U36" i="387" s="1"/>
  <c r="Q36" i="387"/>
  <c r="P36" i="387"/>
  <c r="O36" i="387"/>
  <c r="L36" i="387"/>
  <c r="K36" i="387"/>
  <c r="G36" i="387"/>
  <c r="T35" i="387"/>
  <c r="U35" i="387" s="1"/>
  <c r="Q35" i="387"/>
  <c r="P35" i="387"/>
  <c r="L35" i="387"/>
  <c r="K35" i="387"/>
  <c r="G35" i="387"/>
  <c r="N34" i="387"/>
  <c r="M34" i="387"/>
  <c r="J34" i="387"/>
  <c r="I34" i="387"/>
  <c r="H34" i="387"/>
  <c r="F34" i="387"/>
  <c r="E34" i="387"/>
  <c r="D34" i="387"/>
  <c r="C34" i="387"/>
  <c r="B34" i="387"/>
  <c r="T33" i="387"/>
  <c r="U33" i="387" s="1"/>
  <c r="Q33" i="387"/>
  <c r="P33" i="387"/>
  <c r="O33" i="387"/>
  <c r="L33" i="387"/>
  <c r="K33" i="387"/>
  <c r="G33" i="387"/>
  <c r="T32" i="387"/>
  <c r="U32" i="387" s="1"/>
  <c r="Q32" i="387"/>
  <c r="P32" i="387"/>
  <c r="L32" i="387"/>
  <c r="K32" i="387"/>
  <c r="G32" i="387"/>
  <c r="T31" i="387"/>
  <c r="U31" i="387" s="1"/>
  <c r="Q31" i="387"/>
  <c r="P31" i="387"/>
  <c r="O31" i="387"/>
  <c r="L31" i="387"/>
  <c r="K31" i="387"/>
  <c r="G31" i="387"/>
  <c r="P20" i="387"/>
  <c r="O20" i="387"/>
  <c r="N20" i="387"/>
  <c r="M20" i="387"/>
  <c r="J20" i="387"/>
  <c r="I20" i="387"/>
  <c r="F20" i="387"/>
  <c r="E20" i="387"/>
  <c r="D20" i="387"/>
  <c r="C20" i="387"/>
  <c r="C21" i="387" s="1"/>
  <c r="B20" i="387"/>
  <c r="T19" i="387"/>
  <c r="Q19" i="387"/>
  <c r="K19" i="387"/>
  <c r="H19" i="387"/>
  <c r="L19" i="387" s="1"/>
  <c r="G19" i="387"/>
  <c r="T18" i="387"/>
  <c r="Q18" i="387"/>
  <c r="K18" i="387"/>
  <c r="H18" i="387"/>
  <c r="L18" i="387" s="1"/>
  <c r="G18" i="387"/>
  <c r="T17" i="387"/>
  <c r="Q17" i="387"/>
  <c r="K17" i="387"/>
  <c r="H17" i="387"/>
  <c r="L17" i="387" s="1"/>
  <c r="G17" i="387"/>
  <c r="P16" i="387"/>
  <c r="O16" i="387"/>
  <c r="N16" i="387"/>
  <c r="M16" i="387"/>
  <c r="J16" i="387"/>
  <c r="I16" i="387"/>
  <c r="F16" i="387"/>
  <c r="E16" i="387"/>
  <c r="D16" i="387"/>
  <c r="B16" i="387"/>
  <c r="T15" i="387"/>
  <c r="Q15" i="387"/>
  <c r="K15" i="387"/>
  <c r="H15" i="387"/>
  <c r="L15" i="387" s="1"/>
  <c r="G15" i="387"/>
  <c r="T14" i="387"/>
  <c r="Q14" i="387"/>
  <c r="K14" i="387"/>
  <c r="H14" i="387"/>
  <c r="L14" i="387" s="1"/>
  <c r="G14" i="387"/>
  <c r="T13" i="387"/>
  <c r="Q13" i="387"/>
  <c r="K13" i="387"/>
  <c r="H13" i="387"/>
  <c r="L13" i="387" s="1"/>
  <c r="G13" i="387"/>
  <c r="P12" i="387"/>
  <c r="O12" i="387"/>
  <c r="N12" i="387"/>
  <c r="M12" i="387"/>
  <c r="J12" i="387"/>
  <c r="I12" i="387"/>
  <c r="F12" i="387"/>
  <c r="D12" i="387"/>
  <c r="T11" i="387"/>
  <c r="Q11" i="387"/>
  <c r="K11" i="387"/>
  <c r="H11" i="387"/>
  <c r="L11" i="387" s="1"/>
  <c r="G11" i="387"/>
  <c r="T10" i="387"/>
  <c r="Q10" i="387"/>
  <c r="H10" i="387"/>
  <c r="L10" i="387" s="1"/>
  <c r="G10" i="387"/>
  <c r="K9" i="387"/>
  <c r="H9" i="387"/>
  <c r="E9" i="387"/>
  <c r="E12" i="387" s="1"/>
  <c r="B9" i="387"/>
  <c r="O35" i="387" s="1"/>
  <c r="P8" i="387"/>
  <c r="O8" i="387"/>
  <c r="N8" i="387"/>
  <c r="M8" i="387"/>
  <c r="J8" i="387"/>
  <c r="I8" i="387"/>
  <c r="F8" i="387"/>
  <c r="D8" i="387"/>
  <c r="T7" i="387"/>
  <c r="Q7" i="387"/>
  <c r="K7" i="387"/>
  <c r="H7" i="387"/>
  <c r="L7" i="387" s="1"/>
  <c r="G7" i="387"/>
  <c r="K6" i="387"/>
  <c r="H6" i="387"/>
  <c r="E6" i="387"/>
  <c r="B6" i="387"/>
  <c r="T6" i="387" s="1"/>
  <c r="T5" i="387"/>
  <c r="Q5" i="387"/>
  <c r="K5" i="387"/>
  <c r="H5" i="387"/>
  <c r="L5" i="387" s="1"/>
  <c r="G5" i="387"/>
  <c r="G69" i="396" l="1"/>
  <c r="O69" i="396"/>
  <c r="T16" i="394"/>
  <c r="N75" i="396"/>
  <c r="P61" i="396"/>
  <c r="K8" i="394"/>
  <c r="Q69" i="395"/>
  <c r="U67" i="396"/>
  <c r="K73" i="395"/>
  <c r="K69" i="396"/>
  <c r="K20" i="392"/>
  <c r="K12" i="396"/>
  <c r="U10" i="393"/>
  <c r="G34" i="392"/>
  <c r="K8" i="392"/>
  <c r="T34" i="393"/>
  <c r="U34" i="393" s="1"/>
  <c r="K12" i="394"/>
  <c r="K12" i="395"/>
  <c r="K42" i="390"/>
  <c r="U15" i="396"/>
  <c r="U18" i="396"/>
  <c r="K38" i="396"/>
  <c r="Q61" i="395"/>
  <c r="Q73" i="395"/>
  <c r="O38" i="395"/>
  <c r="U6" i="395"/>
  <c r="U13" i="395"/>
  <c r="Q16" i="395"/>
  <c r="U66" i="395"/>
  <c r="O32" i="396"/>
  <c r="O34" i="396" s="1"/>
  <c r="K20" i="395"/>
  <c r="G6" i="396"/>
  <c r="O42" i="396"/>
  <c r="Q46" i="396"/>
  <c r="L6" i="396"/>
  <c r="B38" i="394"/>
  <c r="Q38" i="394" s="1"/>
  <c r="T69" i="394"/>
  <c r="O69" i="395"/>
  <c r="U67" i="395"/>
  <c r="Q6" i="396"/>
  <c r="M21" i="396"/>
  <c r="U59" i="395"/>
  <c r="P69" i="395"/>
  <c r="Q34" i="395"/>
  <c r="O21" i="396"/>
  <c r="Q20" i="396"/>
  <c r="T37" i="394"/>
  <c r="U37" i="394" s="1"/>
  <c r="Q20" i="395"/>
  <c r="H61" i="395"/>
  <c r="L61" i="395" s="1"/>
  <c r="U60" i="395"/>
  <c r="G69" i="395"/>
  <c r="K8" i="396"/>
  <c r="U11" i="396"/>
  <c r="Q42" i="396"/>
  <c r="U62" i="396"/>
  <c r="O73" i="396"/>
  <c r="Q42" i="395"/>
  <c r="C48" i="394"/>
  <c r="K46" i="395"/>
  <c r="U18" i="394"/>
  <c r="U11" i="395"/>
  <c r="U10" i="396"/>
  <c r="D48" i="396"/>
  <c r="K65" i="396"/>
  <c r="K16" i="392"/>
  <c r="E21" i="395"/>
  <c r="O32" i="395"/>
  <c r="O34" i="395" s="1"/>
  <c r="O42" i="395"/>
  <c r="P69" i="396"/>
  <c r="Q46" i="395"/>
  <c r="P46" i="396"/>
  <c r="L37" i="394"/>
  <c r="T65" i="394"/>
  <c r="U62" i="395"/>
  <c r="L34" i="396"/>
  <c r="L42" i="396"/>
  <c r="T16" i="395"/>
  <c r="U6" i="396"/>
  <c r="K16" i="396"/>
  <c r="K34" i="396"/>
  <c r="L37" i="396"/>
  <c r="H61" i="396"/>
  <c r="L61" i="396" s="1"/>
  <c r="U64" i="396"/>
  <c r="G69" i="394"/>
  <c r="U19" i="395"/>
  <c r="P38" i="395"/>
  <c r="U63" i="395"/>
  <c r="P34" i="396"/>
  <c r="T61" i="396"/>
  <c r="G65" i="396"/>
  <c r="M48" i="394"/>
  <c r="T69" i="395"/>
  <c r="U72" i="395"/>
  <c r="E8" i="396"/>
  <c r="E21" i="396" s="1"/>
  <c r="U13" i="396"/>
  <c r="H16" i="396"/>
  <c r="L16" i="396" s="1"/>
  <c r="N48" i="396"/>
  <c r="D75" i="396"/>
  <c r="P65" i="396"/>
  <c r="K42" i="395"/>
  <c r="O65" i="396"/>
  <c r="U66" i="396"/>
  <c r="P34" i="395"/>
  <c r="S61" i="395"/>
  <c r="B12" i="396"/>
  <c r="T12" i="396" s="1"/>
  <c r="P42" i="396"/>
  <c r="H73" i="396"/>
  <c r="L73" i="396" s="1"/>
  <c r="K38" i="392"/>
  <c r="K73" i="392"/>
  <c r="K34" i="395"/>
  <c r="K65" i="395"/>
  <c r="G8" i="396"/>
  <c r="J21" i="396"/>
  <c r="J23" i="396" s="1"/>
  <c r="F48" i="396"/>
  <c r="P38" i="396"/>
  <c r="O61" i="396"/>
  <c r="K73" i="396"/>
  <c r="Q61" i="391"/>
  <c r="G16" i="393"/>
  <c r="G16" i="395"/>
  <c r="G16" i="396"/>
  <c r="G20" i="393"/>
  <c r="K16" i="394"/>
  <c r="R65" i="394"/>
  <c r="D75" i="395"/>
  <c r="N21" i="396"/>
  <c r="T46" i="396"/>
  <c r="U46" i="396" s="1"/>
  <c r="P73" i="396"/>
  <c r="R38" i="394"/>
  <c r="Q73" i="394"/>
  <c r="N48" i="395"/>
  <c r="U68" i="395"/>
  <c r="Q16" i="396"/>
  <c r="H69" i="396"/>
  <c r="L69" i="396" s="1"/>
  <c r="F21" i="394"/>
  <c r="Q16" i="394"/>
  <c r="K34" i="394"/>
  <c r="R46" i="394"/>
  <c r="P69" i="394"/>
  <c r="U7" i="395"/>
  <c r="U14" i="395"/>
  <c r="U17" i="395"/>
  <c r="R20" i="395"/>
  <c r="T34" i="395"/>
  <c r="U34" i="395" s="1"/>
  <c r="U7" i="396"/>
  <c r="P21" i="396"/>
  <c r="H12" i="396"/>
  <c r="T16" i="396"/>
  <c r="T37" i="396"/>
  <c r="U37" i="396" s="1"/>
  <c r="G46" i="396"/>
  <c r="O42" i="394"/>
  <c r="R61" i="394"/>
  <c r="D21" i="395"/>
  <c r="S20" i="395"/>
  <c r="G42" i="395"/>
  <c r="B8" i="396"/>
  <c r="U14" i="396"/>
  <c r="G20" i="396"/>
  <c r="U19" i="396"/>
  <c r="B38" i="396"/>
  <c r="T38" i="396" s="1"/>
  <c r="U38" i="396" s="1"/>
  <c r="U58" i="396"/>
  <c r="U59" i="396"/>
  <c r="U71" i="396"/>
  <c r="T73" i="396"/>
  <c r="B8" i="393"/>
  <c r="Q8" i="393" s="1"/>
  <c r="K34" i="393"/>
  <c r="G69" i="393"/>
  <c r="Q61" i="394"/>
  <c r="U18" i="395"/>
  <c r="G65" i="395"/>
  <c r="R73" i="395"/>
  <c r="U5" i="396"/>
  <c r="D21" i="396"/>
  <c r="G34" i="396"/>
  <c r="Q34" i="396"/>
  <c r="G42" i="396"/>
  <c r="O46" i="396"/>
  <c r="L46" i="396"/>
  <c r="U68" i="396"/>
  <c r="J75" i="396"/>
  <c r="K46" i="396"/>
  <c r="J48" i="396"/>
  <c r="T42" i="396"/>
  <c r="U42" i="396" s="1"/>
  <c r="K42" i="396"/>
  <c r="M48" i="396"/>
  <c r="Q61" i="396"/>
  <c r="B75" i="396"/>
  <c r="G61" i="396"/>
  <c r="T69" i="396"/>
  <c r="U17" i="396"/>
  <c r="C75" i="396"/>
  <c r="H48" i="396"/>
  <c r="O38" i="396"/>
  <c r="I48" i="396"/>
  <c r="F75" i="396"/>
  <c r="U70" i="396"/>
  <c r="L70" i="396"/>
  <c r="C48" i="396"/>
  <c r="G37" i="396"/>
  <c r="I75" i="396"/>
  <c r="H20" i="396"/>
  <c r="L20" i="396" s="1"/>
  <c r="Q73" i="396"/>
  <c r="G73" i="396"/>
  <c r="F21" i="396"/>
  <c r="T20" i="396"/>
  <c r="K20" i="396"/>
  <c r="M75" i="396"/>
  <c r="T34" i="396"/>
  <c r="U34" i="396" s="1"/>
  <c r="K61" i="396"/>
  <c r="H8" i="396"/>
  <c r="G9" i="396"/>
  <c r="G12" i="396" s="1"/>
  <c r="I21" i="396"/>
  <c r="L60" i="396"/>
  <c r="L62" i="396"/>
  <c r="T65" i="396"/>
  <c r="L67" i="396"/>
  <c r="L72" i="396"/>
  <c r="L9" i="396"/>
  <c r="Q69" i="396"/>
  <c r="H65" i="396"/>
  <c r="L65" i="396" s="1"/>
  <c r="Q9" i="396"/>
  <c r="T9" i="396"/>
  <c r="U9" i="396" s="1"/>
  <c r="E21" i="394"/>
  <c r="K12" i="391"/>
  <c r="K42" i="392"/>
  <c r="K20" i="393"/>
  <c r="K20" i="394"/>
  <c r="P21" i="395"/>
  <c r="L6" i="394"/>
  <c r="O65" i="395"/>
  <c r="M48" i="395"/>
  <c r="K38" i="391"/>
  <c r="S65" i="393"/>
  <c r="G16" i="394"/>
  <c r="D48" i="394"/>
  <c r="R42" i="394"/>
  <c r="K46" i="394"/>
  <c r="S65" i="395"/>
  <c r="C48" i="395"/>
  <c r="F75" i="395"/>
  <c r="L37" i="395"/>
  <c r="D75" i="394"/>
  <c r="B12" i="395"/>
  <c r="Q12" i="395" s="1"/>
  <c r="Q42" i="388"/>
  <c r="P21" i="393"/>
  <c r="U59" i="393"/>
  <c r="B12" i="394"/>
  <c r="Q12" i="394" s="1"/>
  <c r="U15" i="394"/>
  <c r="L6" i="395"/>
  <c r="F21" i="395"/>
  <c r="F48" i="395"/>
  <c r="Q37" i="395"/>
  <c r="P61" i="395"/>
  <c r="O73" i="395"/>
  <c r="U5" i="395"/>
  <c r="G20" i="395"/>
  <c r="P42" i="395"/>
  <c r="N48" i="393"/>
  <c r="U11" i="394"/>
  <c r="O61" i="395"/>
  <c r="G69" i="391"/>
  <c r="K42" i="393"/>
  <c r="T46" i="393"/>
  <c r="U46" i="393" s="1"/>
  <c r="U13" i="394"/>
  <c r="U19" i="394"/>
  <c r="S46" i="394"/>
  <c r="I21" i="395"/>
  <c r="G34" i="395"/>
  <c r="P73" i="395"/>
  <c r="S69" i="395"/>
  <c r="S46" i="393"/>
  <c r="U15" i="395"/>
  <c r="G46" i="395"/>
  <c r="O38" i="393"/>
  <c r="T16" i="393"/>
  <c r="U70" i="393"/>
  <c r="R12" i="394"/>
  <c r="T20" i="394"/>
  <c r="N48" i="394"/>
  <c r="Q6" i="395"/>
  <c r="J21" i="395"/>
  <c r="J23" i="395" s="1"/>
  <c r="B8" i="395"/>
  <c r="Q8" i="395" s="1"/>
  <c r="R69" i="395"/>
  <c r="P46" i="394"/>
  <c r="H61" i="393"/>
  <c r="L61" i="393" s="1"/>
  <c r="S16" i="395"/>
  <c r="S61" i="391"/>
  <c r="T69" i="391"/>
  <c r="U17" i="393"/>
  <c r="G42" i="394"/>
  <c r="U58" i="394"/>
  <c r="K8" i="395"/>
  <c r="T20" i="395"/>
  <c r="M48" i="393"/>
  <c r="S61" i="393"/>
  <c r="U71" i="395"/>
  <c r="H12" i="394"/>
  <c r="L12" i="394" s="1"/>
  <c r="M21" i="395"/>
  <c r="O46" i="395"/>
  <c r="U58" i="395"/>
  <c r="Q65" i="395"/>
  <c r="P65" i="395"/>
  <c r="U64" i="395"/>
  <c r="D48" i="395"/>
  <c r="R38" i="391"/>
  <c r="G69" i="392"/>
  <c r="R8" i="394"/>
  <c r="Q46" i="394"/>
  <c r="N21" i="395"/>
  <c r="U10" i="395"/>
  <c r="H16" i="395"/>
  <c r="H48" i="395"/>
  <c r="P46" i="395"/>
  <c r="H65" i="395"/>
  <c r="L65" i="395" s="1"/>
  <c r="N75" i="395"/>
  <c r="U70" i="395"/>
  <c r="J21" i="394"/>
  <c r="J23" i="394" s="1"/>
  <c r="Q6" i="394"/>
  <c r="K34" i="391"/>
  <c r="C75" i="394"/>
  <c r="R38" i="395"/>
  <c r="R16" i="394"/>
  <c r="G6" i="395"/>
  <c r="G8" i="395" s="1"/>
  <c r="K16" i="391"/>
  <c r="K20" i="391"/>
  <c r="R12" i="393"/>
  <c r="K42" i="394"/>
  <c r="S73" i="394"/>
  <c r="O21" i="395"/>
  <c r="R16" i="395"/>
  <c r="K16" i="395"/>
  <c r="R34" i="395"/>
  <c r="L34" i="395"/>
  <c r="K38" i="395"/>
  <c r="I75" i="395"/>
  <c r="R65" i="395"/>
  <c r="T46" i="395"/>
  <c r="U46" i="395" s="1"/>
  <c r="S42" i="395"/>
  <c r="R42" i="395"/>
  <c r="T42" i="395"/>
  <c r="U42" i="395" s="1"/>
  <c r="I48" i="395"/>
  <c r="J75" i="395"/>
  <c r="J48" i="395"/>
  <c r="C75" i="395"/>
  <c r="L58" i="395"/>
  <c r="T61" i="395"/>
  <c r="T73" i="395"/>
  <c r="H20" i="395"/>
  <c r="G73" i="395"/>
  <c r="H73" i="395"/>
  <c r="L73" i="395" s="1"/>
  <c r="H8" i="395"/>
  <c r="G9" i="395"/>
  <c r="G12" i="395" s="1"/>
  <c r="L13" i="395"/>
  <c r="L19" i="395"/>
  <c r="L42" i="395"/>
  <c r="G37" i="395"/>
  <c r="H69" i="395"/>
  <c r="L69" i="395" s="1"/>
  <c r="M75" i="395"/>
  <c r="L63" i="395"/>
  <c r="L17" i="395"/>
  <c r="G61" i="395"/>
  <c r="H12" i="395"/>
  <c r="S38" i="395"/>
  <c r="L62" i="395"/>
  <c r="T65" i="395"/>
  <c r="B75" i="395"/>
  <c r="L68" i="395"/>
  <c r="T37" i="395"/>
  <c r="U37" i="395" s="1"/>
  <c r="L46" i="395"/>
  <c r="K61" i="395"/>
  <c r="K69" i="395"/>
  <c r="L9" i="395"/>
  <c r="Q9" i="395"/>
  <c r="B38" i="395"/>
  <c r="T9" i="395"/>
  <c r="U9" i="395" s="1"/>
  <c r="P34" i="393"/>
  <c r="O65" i="393"/>
  <c r="G20" i="394"/>
  <c r="P65" i="394"/>
  <c r="L6" i="392"/>
  <c r="M21" i="394"/>
  <c r="H20" i="394"/>
  <c r="L20" i="394" s="1"/>
  <c r="F48" i="394"/>
  <c r="P42" i="394"/>
  <c r="R34" i="393"/>
  <c r="P38" i="393"/>
  <c r="S73" i="393"/>
  <c r="T6" i="394"/>
  <c r="U6" i="394" s="1"/>
  <c r="N21" i="394"/>
  <c r="G34" i="394"/>
  <c r="G46" i="394"/>
  <c r="S65" i="394"/>
  <c r="P21" i="392"/>
  <c r="U72" i="392"/>
  <c r="S20" i="394"/>
  <c r="J48" i="394"/>
  <c r="U59" i="394"/>
  <c r="S69" i="394"/>
  <c r="S42" i="394"/>
  <c r="T73" i="390"/>
  <c r="S61" i="392"/>
  <c r="Q73" i="392"/>
  <c r="R8" i="393"/>
  <c r="D21" i="393"/>
  <c r="R20" i="393"/>
  <c r="C48" i="393"/>
  <c r="U67" i="393"/>
  <c r="H69" i="393"/>
  <c r="L69" i="393" s="1"/>
  <c r="U72" i="393"/>
  <c r="U17" i="394"/>
  <c r="P34" i="394"/>
  <c r="O61" i="394"/>
  <c r="U66" i="394"/>
  <c r="U71" i="394"/>
  <c r="P21" i="394"/>
  <c r="K8" i="391"/>
  <c r="U67" i="392"/>
  <c r="K69" i="392"/>
  <c r="Q16" i="393"/>
  <c r="U60" i="393"/>
  <c r="P65" i="393"/>
  <c r="T69" i="393"/>
  <c r="Q73" i="393"/>
  <c r="H16" i="394"/>
  <c r="L16" i="394" s="1"/>
  <c r="L34" i="394"/>
  <c r="P38" i="394"/>
  <c r="O46" i="394"/>
  <c r="L46" i="394"/>
  <c r="P61" i="394"/>
  <c r="U60" i="394"/>
  <c r="G65" i="394"/>
  <c r="O73" i="394"/>
  <c r="T6" i="392"/>
  <c r="U6" i="392" s="1"/>
  <c r="R69" i="394"/>
  <c r="R12" i="392"/>
  <c r="R38" i="392"/>
  <c r="U5" i="393"/>
  <c r="U14" i="393"/>
  <c r="Q61" i="393"/>
  <c r="R65" i="393"/>
  <c r="O38" i="394"/>
  <c r="S16" i="394"/>
  <c r="R34" i="394"/>
  <c r="Q34" i="394"/>
  <c r="U67" i="394"/>
  <c r="U68" i="394"/>
  <c r="P73" i="394"/>
  <c r="U72" i="394"/>
  <c r="O21" i="394"/>
  <c r="F75" i="394"/>
  <c r="U17" i="392"/>
  <c r="U10" i="394"/>
  <c r="K12" i="392"/>
  <c r="O34" i="393"/>
  <c r="T42" i="393"/>
  <c r="U42" i="393" s="1"/>
  <c r="C75" i="393"/>
  <c r="U5" i="394"/>
  <c r="U14" i="394"/>
  <c r="S34" i="394"/>
  <c r="Q69" i="394"/>
  <c r="H48" i="394"/>
  <c r="U64" i="394"/>
  <c r="O42" i="388"/>
  <c r="Q73" i="388"/>
  <c r="K16" i="390"/>
  <c r="E21" i="393"/>
  <c r="D75" i="393"/>
  <c r="U62" i="393"/>
  <c r="O34" i="394"/>
  <c r="U7" i="394"/>
  <c r="T34" i="394"/>
  <c r="U34" i="394" s="1"/>
  <c r="O69" i="394"/>
  <c r="R73" i="394"/>
  <c r="N75" i="393"/>
  <c r="G9" i="388"/>
  <c r="G12" i="388" s="1"/>
  <c r="U72" i="391"/>
  <c r="U11" i="393"/>
  <c r="U64" i="393"/>
  <c r="R69" i="393"/>
  <c r="R73" i="393"/>
  <c r="B8" i="394"/>
  <c r="Q8" i="394" s="1"/>
  <c r="R20" i="394"/>
  <c r="M75" i="394"/>
  <c r="R61" i="391"/>
  <c r="Q73" i="391"/>
  <c r="R8" i="392"/>
  <c r="G42" i="393"/>
  <c r="F75" i="393"/>
  <c r="H65" i="393"/>
  <c r="L65" i="393" s="1"/>
  <c r="T65" i="393"/>
  <c r="K73" i="393"/>
  <c r="G6" i="394"/>
  <c r="G8" i="394" s="1"/>
  <c r="D21" i="394"/>
  <c r="Q9" i="394"/>
  <c r="O65" i="394"/>
  <c r="T46" i="394"/>
  <c r="U46" i="394" s="1"/>
  <c r="U62" i="394"/>
  <c r="U63" i="394"/>
  <c r="N75" i="394"/>
  <c r="I75" i="394"/>
  <c r="U70" i="394"/>
  <c r="K73" i="394"/>
  <c r="I48" i="394"/>
  <c r="T42" i="394"/>
  <c r="U42" i="394" s="1"/>
  <c r="J75" i="394"/>
  <c r="K65" i="394"/>
  <c r="K61" i="394"/>
  <c r="L58" i="394"/>
  <c r="L17" i="394"/>
  <c r="G61" i="394"/>
  <c r="Q65" i="394"/>
  <c r="G73" i="394"/>
  <c r="L10" i="394"/>
  <c r="Q37" i="394"/>
  <c r="H61" i="394"/>
  <c r="L61" i="394" s="1"/>
  <c r="H73" i="394"/>
  <c r="L73" i="394" s="1"/>
  <c r="G37" i="394"/>
  <c r="L70" i="394"/>
  <c r="H8" i="394"/>
  <c r="G9" i="394"/>
  <c r="G12" i="394" s="1"/>
  <c r="L42" i="394"/>
  <c r="H69" i="394"/>
  <c r="T61" i="394"/>
  <c r="I21" i="394"/>
  <c r="S38" i="394"/>
  <c r="L60" i="394"/>
  <c r="L62" i="394"/>
  <c r="L67" i="394"/>
  <c r="L72" i="394"/>
  <c r="B75" i="394"/>
  <c r="K38" i="394"/>
  <c r="K69" i="394"/>
  <c r="L9" i="394"/>
  <c r="Q20" i="394"/>
  <c r="Q42" i="394"/>
  <c r="H65" i="394"/>
  <c r="L65" i="394" s="1"/>
  <c r="T73" i="394"/>
  <c r="T9" i="394"/>
  <c r="U9" i="394" s="1"/>
  <c r="O21" i="393"/>
  <c r="K16" i="393"/>
  <c r="S34" i="393"/>
  <c r="H69" i="392"/>
  <c r="L69" i="392" s="1"/>
  <c r="L11" i="393"/>
  <c r="H16" i="391"/>
  <c r="L16" i="391" s="1"/>
  <c r="R34" i="391"/>
  <c r="L37" i="393"/>
  <c r="R12" i="391"/>
  <c r="U67" i="391"/>
  <c r="U18" i="392"/>
  <c r="U60" i="392"/>
  <c r="U18" i="393"/>
  <c r="D48" i="393"/>
  <c r="R38" i="393"/>
  <c r="O69" i="393"/>
  <c r="Q34" i="390"/>
  <c r="U14" i="392"/>
  <c r="Q61" i="392"/>
  <c r="Q69" i="392"/>
  <c r="O42" i="393"/>
  <c r="P69" i="393"/>
  <c r="Q16" i="391"/>
  <c r="G34" i="391"/>
  <c r="U7" i="393"/>
  <c r="H12" i="393"/>
  <c r="F48" i="393"/>
  <c r="Q37" i="393"/>
  <c r="P42" i="393"/>
  <c r="G46" i="393"/>
  <c r="J75" i="393"/>
  <c r="S69" i="393"/>
  <c r="U19" i="390"/>
  <c r="U14" i="391"/>
  <c r="O32" i="391"/>
  <c r="O34" i="391" s="1"/>
  <c r="U62" i="392"/>
  <c r="R69" i="392"/>
  <c r="R16" i="393"/>
  <c r="G34" i="393"/>
  <c r="O61" i="393"/>
  <c r="U66" i="393"/>
  <c r="U71" i="393"/>
  <c r="S73" i="388"/>
  <c r="O21" i="390"/>
  <c r="T20" i="390"/>
  <c r="Q65" i="390"/>
  <c r="U72" i="390"/>
  <c r="D21" i="391"/>
  <c r="O21" i="392"/>
  <c r="S46" i="392"/>
  <c r="U64" i="392"/>
  <c r="S69" i="392"/>
  <c r="U71" i="392"/>
  <c r="G6" i="393"/>
  <c r="G8" i="393" s="1"/>
  <c r="B12" i="393"/>
  <c r="Q12" i="393" s="1"/>
  <c r="S16" i="393"/>
  <c r="U15" i="393"/>
  <c r="H48" i="393"/>
  <c r="S38" i="393"/>
  <c r="R42" i="393"/>
  <c r="L46" i="393"/>
  <c r="P61" i="393"/>
  <c r="O73" i="393"/>
  <c r="U10" i="389"/>
  <c r="U71" i="389"/>
  <c r="T16" i="390"/>
  <c r="U17" i="390"/>
  <c r="K34" i="392"/>
  <c r="G65" i="392"/>
  <c r="U66" i="392"/>
  <c r="H8" i="393"/>
  <c r="U13" i="393"/>
  <c r="B38" i="393"/>
  <c r="T38" i="393" s="1"/>
  <c r="U38" i="393" s="1"/>
  <c r="S42" i="393"/>
  <c r="G65" i="393"/>
  <c r="U68" i="393"/>
  <c r="P73" i="393"/>
  <c r="S34" i="390"/>
  <c r="M48" i="392"/>
  <c r="G42" i="392"/>
  <c r="U58" i="392"/>
  <c r="F21" i="393"/>
  <c r="O46" i="393"/>
  <c r="R61" i="393"/>
  <c r="Q69" i="393"/>
  <c r="O21" i="388"/>
  <c r="Q20" i="388"/>
  <c r="S69" i="389"/>
  <c r="G16" i="390"/>
  <c r="O38" i="392"/>
  <c r="N48" i="392"/>
  <c r="U59" i="392"/>
  <c r="Q6" i="393"/>
  <c r="K8" i="393"/>
  <c r="U19" i="393"/>
  <c r="P46" i="393"/>
  <c r="Q46" i="393"/>
  <c r="T16" i="388"/>
  <c r="U66" i="389"/>
  <c r="U11" i="392"/>
  <c r="L42" i="392"/>
  <c r="J21" i="393"/>
  <c r="J23" i="393" s="1"/>
  <c r="K12" i="393"/>
  <c r="S20" i="393"/>
  <c r="T20" i="393"/>
  <c r="L34" i="393"/>
  <c r="U58" i="393"/>
  <c r="U63" i="393"/>
  <c r="Q65" i="393"/>
  <c r="R73" i="392"/>
  <c r="M21" i="393"/>
  <c r="R46" i="393"/>
  <c r="M48" i="391"/>
  <c r="S73" i="391"/>
  <c r="S73" i="392"/>
  <c r="T6" i="393"/>
  <c r="U6" i="393" s="1"/>
  <c r="N21" i="393"/>
  <c r="H16" i="393"/>
  <c r="L16" i="393" s="1"/>
  <c r="I48" i="393"/>
  <c r="I75" i="393"/>
  <c r="K65" i="393"/>
  <c r="K46" i="393"/>
  <c r="J48" i="393"/>
  <c r="M75" i="393"/>
  <c r="L6" i="393"/>
  <c r="H20" i="393"/>
  <c r="L20" i="393" s="1"/>
  <c r="L63" i="393"/>
  <c r="L10" i="393"/>
  <c r="L58" i="393"/>
  <c r="K38" i="393"/>
  <c r="K69" i="393"/>
  <c r="G61" i="393"/>
  <c r="G73" i="393"/>
  <c r="T73" i="393"/>
  <c r="Q34" i="393"/>
  <c r="H73" i="393"/>
  <c r="G37" i="393"/>
  <c r="G9" i="393"/>
  <c r="G12" i="393" s="1"/>
  <c r="L42" i="393"/>
  <c r="I21" i="393"/>
  <c r="B75" i="393"/>
  <c r="T37" i="393"/>
  <c r="U37" i="393" s="1"/>
  <c r="K61" i="393"/>
  <c r="L9" i="393"/>
  <c r="Q9" i="393"/>
  <c r="Q20" i="393"/>
  <c r="Q42" i="393"/>
  <c r="T61" i="393"/>
  <c r="T9" i="393"/>
  <c r="U9" i="393" s="1"/>
  <c r="E21" i="392"/>
  <c r="Q6" i="390"/>
  <c r="H69" i="391"/>
  <c r="L69" i="391" s="1"/>
  <c r="G16" i="392"/>
  <c r="C48" i="392"/>
  <c r="L37" i="392"/>
  <c r="S65" i="392"/>
  <c r="R20" i="390"/>
  <c r="U13" i="390"/>
  <c r="D48" i="392"/>
  <c r="C75" i="392"/>
  <c r="R65" i="392"/>
  <c r="F75" i="392"/>
  <c r="P65" i="392"/>
  <c r="U59" i="389"/>
  <c r="K46" i="390"/>
  <c r="G16" i="391"/>
  <c r="G20" i="391"/>
  <c r="C75" i="391"/>
  <c r="U5" i="392"/>
  <c r="U7" i="392"/>
  <c r="G20" i="392"/>
  <c r="R34" i="392"/>
  <c r="F48" i="392"/>
  <c r="Q37" i="392"/>
  <c r="O42" i="392"/>
  <c r="G46" i="392"/>
  <c r="O61" i="392"/>
  <c r="G65" i="387"/>
  <c r="R73" i="389"/>
  <c r="T34" i="390"/>
  <c r="U34" i="390" s="1"/>
  <c r="E21" i="391"/>
  <c r="M21" i="391"/>
  <c r="S46" i="391"/>
  <c r="D75" i="391"/>
  <c r="B8" i="392"/>
  <c r="Q8" i="392" s="1"/>
  <c r="B12" i="392"/>
  <c r="Q12" i="392" s="1"/>
  <c r="R16" i="392"/>
  <c r="H48" i="392"/>
  <c r="P42" i="392"/>
  <c r="P61" i="392"/>
  <c r="O65" i="392"/>
  <c r="O73" i="392"/>
  <c r="P69" i="392"/>
  <c r="T16" i="392"/>
  <c r="K61" i="387"/>
  <c r="U14" i="388"/>
  <c r="U60" i="389"/>
  <c r="K12" i="390"/>
  <c r="K73" i="390"/>
  <c r="L6" i="391"/>
  <c r="N21" i="391"/>
  <c r="U64" i="391"/>
  <c r="R69" i="391"/>
  <c r="D21" i="392"/>
  <c r="S16" i="392"/>
  <c r="S38" i="392"/>
  <c r="L46" i="392"/>
  <c r="U68" i="392"/>
  <c r="P73" i="392"/>
  <c r="D75" i="392"/>
  <c r="I75" i="389"/>
  <c r="T34" i="388"/>
  <c r="U34" i="388" s="1"/>
  <c r="G42" i="391"/>
  <c r="F75" i="391"/>
  <c r="U70" i="391"/>
  <c r="G6" i="392"/>
  <c r="G8" i="392" s="1"/>
  <c r="U13" i="392"/>
  <c r="U15" i="392"/>
  <c r="T37" i="392"/>
  <c r="U37" i="392" s="1"/>
  <c r="K65" i="392"/>
  <c r="T69" i="392"/>
  <c r="K8" i="387"/>
  <c r="R8" i="391"/>
  <c r="P21" i="391"/>
  <c r="N48" i="391"/>
  <c r="U58" i="391"/>
  <c r="U66" i="391"/>
  <c r="U71" i="391"/>
  <c r="K73" i="391"/>
  <c r="F21" i="392"/>
  <c r="H12" i="392"/>
  <c r="Q16" i="392"/>
  <c r="R20" i="392"/>
  <c r="U19" i="392"/>
  <c r="B38" i="392"/>
  <c r="T38" i="392" s="1"/>
  <c r="U38" i="392" s="1"/>
  <c r="S42" i="392"/>
  <c r="O69" i="392"/>
  <c r="N48" i="390"/>
  <c r="U10" i="391"/>
  <c r="Q16" i="389"/>
  <c r="T6" i="391"/>
  <c r="U6" i="391" s="1"/>
  <c r="L42" i="391"/>
  <c r="Q46" i="391"/>
  <c r="U59" i="391"/>
  <c r="S20" i="392"/>
  <c r="T20" i="392"/>
  <c r="L34" i="392"/>
  <c r="P38" i="392"/>
  <c r="O46" i="392"/>
  <c r="Q46" i="392"/>
  <c r="Q65" i="392"/>
  <c r="U11" i="391"/>
  <c r="U13" i="391"/>
  <c r="U17" i="391"/>
  <c r="K42" i="391"/>
  <c r="Q6" i="392"/>
  <c r="J21" i="392"/>
  <c r="J23" i="392" s="1"/>
  <c r="O34" i="392"/>
  <c r="Q34" i="392"/>
  <c r="P46" i="392"/>
  <c r="H65" i="392"/>
  <c r="L65" i="392" s="1"/>
  <c r="U63" i="392"/>
  <c r="N75" i="392"/>
  <c r="O65" i="391"/>
  <c r="M21" i="392"/>
  <c r="P34" i="392"/>
  <c r="S34" i="391"/>
  <c r="R73" i="391"/>
  <c r="N21" i="392"/>
  <c r="U10" i="392"/>
  <c r="H16" i="392"/>
  <c r="L16" i="392" s="1"/>
  <c r="S34" i="392"/>
  <c r="I75" i="392"/>
  <c r="R61" i="392"/>
  <c r="K46" i="392"/>
  <c r="R46" i="392"/>
  <c r="T46" i="392"/>
  <c r="U46" i="392" s="1"/>
  <c r="R42" i="392"/>
  <c r="I48" i="392"/>
  <c r="T42" i="392"/>
  <c r="U42" i="392" s="1"/>
  <c r="J75" i="392"/>
  <c r="J48" i="392"/>
  <c r="G37" i="392"/>
  <c r="L10" i="392"/>
  <c r="L58" i="392"/>
  <c r="M75" i="392"/>
  <c r="H20" i="392"/>
  <c r="L20" i="392" s="1"/>
  <c r="T73" i="392"/>
  <c r="G61" i="392"/>
  <c r="G73" i="392"/>
  <c r="H61" i="392"/>
  <c r="H73" i="392"/>
  <c r="L73" i="392" s="1"/>
  <c r="H8" i="392"/>
  <c r="G9" i="392"/>
  <c r="G12" i="392" s="1"/>
  <c r="I21" i="392"/>
  <c r="L62" i="392"/>
  <c r="T65" i="392"/>
  <c r="B75" i="392"/>
  <c r="T34" i="392"/>
  <c r="U34" i="392" s="1"/>
  <c r="K61" i="392"/>
  <c r="U70" i="392"/>
  <c r="L9" i="392"/>
  <c r="Q9" i="392"/>
  <c r="Q20" i="392"/>
  <c r="Q42" i="392"/>
  <c r="T61" i="392"/>
  <c r="T9" i="392"/>
  <c r="U9" i="392" s="1"/>
  <c r="K12" i="388"/>
  <c r="O61" i="389"/>
  <c r="G69" i="389"/>
  <c r="S73" i="389"/>
  <c r="H16" i="390"/>
  <c r="L16" i="390" s="1"/>
  <c r="N75" i="390"/>
  <c r="D48" i="391"/>
  <c r="J75" i="391"/>
  <c r="G65" i="391"/>
  <c r="S69" i="391"/>
  <c r="R34" i="390"/>
  <c r="N21" i="389"/>
  <c r="R12" i="390"/>
  <c r="H69" i="390"/>
  <c r="L69" i="390" s="1"/>
  <c r="O38" i="391"/>
  <c r="T16" i="391"/>
  <c r="Q37" i="391"/>
  <c r="O42" i="391"/>
  <c r="G46" i="391"/>
  <c r="O61" i="391"/>
  <c r="S65" i="391"/>
  <c r="P69" i="391"/>
  <c r="Q6" i="389"/>
  <c r="O21" i="389"/>
  <c r="U15" i="389"/>
  <c r="O65" i="389"/>
  <c r="S46" i="390"/>
  <c r="L46" i="390"/>
  <c r="U67" i="390"/>
  <c r="F48" i="391"/>
  <c r="P42" i="391"/>
  <c r="P61" i="391"/>
  <c r="O73" i="391"/>
  <c r="P65" i="391"/>
  <c r="R65" i="391"/>
  <c r="L37" i="391"/>
  <c r="B8" i="388"/>
  <c r="T8" i="388" s="1"/>
  <c r="R8" i="389"/>
  <c r="P21" i="389"/>
  <c r="S16" i="389"/>
  <c r="O42" i="389"/>
  <c r="Q42" i="389"/>
  <c r="R61" i="389"/>
  <c r="U7" i="390"/>
  <c r="H12" i="390"/>
  <c r="T37" i="390"/>
  <c r="U37" i="390" s="1"/>
  <c r="R42" i="390"/>
  <c r="U5" i="391"/>
  <c r="U7" i="391"/>
  <c r="R16" i="391"/>
  <c r="H20" i="391"/>
  <c r="L20" i="391" s="1"/>
  <c r="H48" i="391"/>
  <c r="S38" i="391"/>
  <c r="L46" i="391"/>
  <c r="U68" i="391"/>
  <c r="P73" i="391"/>
  <c r="G42" i="389"/>
  <c r="T6" i="389"/>
  <c r="U6" i="389" s="1"/>
  <c r="R8" i="390"/>
  <c r="B8" i="390"/>
  <c r="Q8" i="390" s="1"/>
  <c r="B38" i="390"/>
  <c r="G38" i="390" s="1"/>
  <c r="S42" i="390"/>
  <c r="U60" i="390"/>
  <c r="Q69" i="390"/>
  <c r="B8" i="391"/>
  <c r="Q8" i="391" s="1"/>
  <c r="B12" i="391"/>
  <c r="Q12" i="391" s="1"/>
  <c r="S16" i="391"/>
  <c r="U15" i="391"/>
  <c r="T37" i="391"/>
  <c r="U37" i="391" s="1"/>
  <c r="K46" i="391"/>
  <c r="K65" i="391"/>
  <c r="Q69" i="391"/>
  <c r="G16" i="389"/>
  <c r="O46" i="390"/>
  <c r="Q46" i="390"/>
  <c r="T61" i="390"/>
  <c r="B38" i="391"/>
  <c r="T38" i="391" s="1"/>
  <c r="U38" i="391" s="1"/>
  <c r="S42" i="391"/>
  <c r="O69" i="391"/>
  <c r="S16" i="390"/>
  <c r="U18" i="391"/>
  <c r="G42" i="388"/>
  <c r="H16" i="389"/>
  <c r="L16" i="389" s="1"/>
  <c r="G6" i="391"/>
  <c r="G8" i="391" s="1"/>
  <c r="R20" i="391"/>
  <c r="U19" i="391"/>
  <c r="P38" i="391"/>
  <c r="O46" i="391"/>
  <c r="M75" i="391"/>
  <c r="G69" i="388"/>
  <c r="U15" i="390"/>
  <c r="F21" i="391"/>
  <c r="H12" i="391"/>
  <c r="S20" i="391"/>
  <c r="T20" i="391"/>
  <c r="L34" i="391"/>
  <c r="P46" i="391"/>
  <c r="U62" i="391"/>
  <c r="U63" i="391"/>
  <c r="N75" i="391"/>
  <c r="M21" i="388"/>
  <c r="G46" i="388"/>
  <c r="R12" i="389"/>
  <c r="E21" i="390"/>
  <c r="J21" i="390"/>
  <c r="J23" i="390" s="1"/>
  <c r="K34" i="390"/>
  <c r="Q34" i="391"/>
  <c r="O21" i="391"/>
  <c r="G69" i="390"/>
  <c r="C48" i="391"/>
  <c r="L6" i="388"/>
  <c r="N21" i="388"/>
  <c r="P34" i="388"/>
  <c r="K73" i="389"/>
  <c r="L6" i="390"/>
  <c r="L34" i="390"/>
  <c r="T65" i="390"/>
  <c r="J21" i="391"/>
  <c r="J23" i="391" s="1"/>
  <c r="P34" i="391"/>
  <c r="R46" i="391"/>
  <c r="U60" i="391"/>
  <c r="I75" i="391"/>
  <c r="T46" i="391"/>
  <c r="U46" i="391" s="1"/>
  <c r="I48" i="391"/>
  <c r="R42" i="391"/>
  <c r="T42" i="391"/>
  <c r="U42" i="391" s="1"/>
  <c r="J48" i="391"/>
  <c r="G37" i="391"/>
  <c r="L10" i="391"/>
  <c r="T61" i="391"/>
  <c r="L70" i="391"/>
  <c r="T73" i="391"/>
  <c r="K69" i="391"/>
  <c r="L17" i="391"/>
  <c r="G61" i="391"/>
  <c r="Q65" i="391"/>
  <c r="H61" i="391"/>
  <c r="H73" i="391"/>
  <c r="L73" i="391" s="1"/>
  <c r="L58" i="391"/>
  <c r="H8" i="391"/>
  <c r="G9" i="391"/>
  <c r="G12" i="391" s="1"/>
  <c r="I21" i="391"/>
  <c r="L62" i="391"/>
  <c r="T65" i="391"/>
  <c r="B75" i="391"/>
  <c r="T34" i="391"/>
  <c r="U34" i="391" s="1"/>
  <c r="K61" i="391"/>
  <c r="L9" i="391"/>
  <c r="G73" i="391"/>
  <c r="Q9" i="391"/>
  <c r="Q20" i="391"/>
  <c r="Q42" i="391"/>
  <c r="H65" i="391"/>
  <c r="L65" i="391" s="1"/>
  <c r="T9" i="391"/>
  <c r="U9" i="391" s="1"/>
  <c r="F21" i="390"/>
  <c r="O34" i="390"/>
  <c r="P46" i="388"/>
  <c r="L14" i="389"/>
  <c r="K16" i="389"/>
  <c r="P61" i="389"/>
  <c r="I21" i="390"/>
  <c r="L14" i="390"/>
  <c r="P34" i="390"/>
  <c r="P46" i="390"/>
  <c r="K69" i="390"/>
  <c r="U10" i="387"/>
  <c r="U11" i="388"/>
  <c r="U13" i="388"/>
  <c r="G6" i="390"/>
  <c r="G8" i="390" s="1"/>
  <c r="U5" i="387"/>
  <c r="Q34" i="387"/>
  <c r="S42" i="387"/>
  <c r="G16" i="388"/>
  <c r="Q37" i="389"/>
  <c r="G46" i="389"/>
  <c r="M21" i="390"/>
  <c r="T46" i="390"/>
  <c r="U46" i="390" s="1"/>
  <c r="P65" i="390"/>
  <c r="M21" i="387"/>
  <c r="P42" i="389"/>
  <c r="S61" i="389"/>
  <c r="T6" i="390"/>
  <c r="U6" i="390" s="1"/>
  <c r="N21" i="390"/>
  <c r="K20" i="390"/>
  <c r="O65" i="390"/>
  <c r="K38" i="390"/>
  <c r="R73" i="390"/>
  <c r="S20" i="390"/>
  <c r="T9" i="388"/>
  <c r="U9" i="388" s="1"/>
  <c r="K16" i="388"/>
  <c r="K20" i="388"/>
  <c r="R38" i="388"/>
  <c r="S38" i="389"/>
  <c r="L46" i="389"/>
  <c r="U14" i="390"/>
  <c r="Q16" i="390"/>
  <c r="R65" i="390"/>
  <c r="S73" i="390"/>
  <c r="Q20" i="387"/>
  <c r="I21" i="389"/>
  <c r="T37" i="389"/>
  <c r="U37" i="389" s="1"/>
  <c r="T46" i="389"/>
  <c r="U46" i="389" s="1"/>
  <c r="P21" i="390"/>
  <c r="Q20" i="390"/>
  <c r="U62" i="390"/>
  <c r="S65" i="390"/>
  <c r="R69" i="390"/>
  <c r="H73" i="390"/>
  <c r="U71" i="390"/>
  <c r="D21" i="390"/>
  <c r="S16" i="387"/>
  <c r="E21" i="389"/>
  <c r="J21" i="389"/>
  <c r="J23" i="389" s="1"/>
  <c r="S42" i="389"/>
  <c r="U18" i="390"/>
  <c r="C48" i="390"/>
  <c r="R38" i="390"/>
  <c r="L37" i="390"/>
  <c r="F48" i="390"/>
  <c r="R61" i="390"/>
  <c r="F75" i="390"/>
  <c r="U64" i="390"/>
  <c r="S69" i="390"/>
  <c r="U17" i="389"/>
  <c r="L34" i="389"/>
  <c r="Q73" i="389"/>
  <c r="S61" i="390"/>
  <c r="I75" i="390"/>
  <c r="U66" i="390"/>
  <c r="O73" i="390"/>
  <c r="K46" i="387"/>
  <c r="P38" i="389"/>
  <c r="Q69" i="389"/>
  <c r="O38" i="390"/>
  <c r="P38" i="390"/>
  <c r="H61" i="390"/>
  <c r="L61" i="390" s="1"/>
  <c r="U59" i="390"/>
  <c r="J75" i="390"/>
  <c r="P73" i="390"/>
  <c r="U68" i="389"/>
  <c r="G20" i="390"/>
  <c r="Q37" i="390"/>
  <c r="U68" i="390"/>
  <c r="M48" i="389"/>
  <c r="U64" i="389"/>
  <c r="U5" i="390"/>
  <c r="U11" i="390"/>
  <c r="R16" i="390"/>
  <c r="O42" i="390"/>
  <c r="O61" i="390"/>
  <c r="T69" i="390"/>
  <c r="K34" i="388"/>
  <c r="S20" i="389"/>
  <c r="N48" i="389"/>
  <c r="S46" i="389"/>
  <c r="F75" i="389"/>
  <c r="U63" i="389"/>
  <c r="G65" i="389"/>
  <c r="R69" i="389"/>
  <c r="B12" i="390"/>
  <c r="Q12" i="390" s="1"/>
  <c r="S38" i="390"/>
  <c r="P42" i="390"/>
  <c r="G46" i="390"/>
  <c r="P61" i="390"/>
  <c r="T42" i="390"/>
  <c r="U42" i="390" s="1"/>
  <c r="P69" i="390"/>
  <c r="D48" i="390"/>
  <c r="G42" i="390"/>
  <c r="O69" i="390"/>
  <c r="L42" i="390"/>
  <c r="Q42" i="390"/>
  <c r="K65" i="390"/>
  <c r="J48" i="390"/>
  <c r="U70" i="390"/>
  <c r="L58" i="390"/>
  <c r="L70" i="390"/>
  <c r="G37" i="390"/>
  <c r="I48" i="390"/>
  <c r="Q61" i="390"/>
  <c r="G61" i="390"/>
  <c r="B75" i="390"/>
  <c r="C75" i="390"/>
  <c r="H48" i="390"/>
  <c r="L10" i="390"/>
  <c r="R46" i="390"/>
  <c r="U10" i="390"/>
  <c r="U58" i="390"/>
  <c r="U63" i="390"/>
  <c r="M48" i="390"/>
  <c r="D75" i="390"/>
  <c r="Q73" i="390"/>
  <c r="G73" i="390"/>
  <c r="M75" i="390"/>
  <c r="H20" i="390"/>
  <c r="L15" i="390"/>
  <c r="K8" i="390"/>
  <c r="L9" i="390"/>
  <c r="Q9" i="390"/>
  <c r="G65" i="390"/>
  <c r="G34" i="390"/>
  <c r="H65" i="390"/>
  <c r="L65" i="390" s="1"/>
  <c r="H8" i="390"/>
  <c r="G9" i="390"/>
  <c r="G12" i="390" s="1"/>
  <c r="K61" i="390"/>
  <c r="T9" i="390"/>
  <c r="U9" i="390" s="1"/>
  <c r="Q8" i="389"/>
  <c r="N48" i="387"/>
  <c r="K8" i="389"/>
  <c r="S65" i="389"/>
  <c r="P34" i="387"/>
  <c r="R73" i="388"/>
  <c r="M21" i="389"/>
  <c r="K12" i="389"/>
  <c r="R20" i="389"/>
  <c r="I48" i="389"/>
  <c r="R42" i="389"/>
  <c r="O46" i="389"/>
  <c r="K46" i="389"/>
  <c r="L60" i="389"/>
  <c r="N48" i="388"/>
  <c r="S61" i="388"/>
  <c r="U72" i="388"/>
  <c r="O73" i="389"/>
  <c r="I21" i="388"/>
  <c r="D48" i="388"/>
  <c r="S34" i="389"/>
  <c r="H48" i="389"/>
  <c r="U58" i="389"/>
  <c r="U67" i="389"/>
  <c r="P73" i="389"/>
  <c r="U72" i="389"/>
  <c r="K61" i="388"/>
  <c r="J48" i="389"/>
  <c r="R12" i="388"/>
  <c r="P42" i="388"/>
  <c r="R46" i="388"/>
  <c r="P46" i="389"/>
  <c r="K16" i="387"/>
  <c r="E21" i="388"/>
  <c r="G34" i="388"/>
  <c r="T37" i="388"/>
  <c r="U37" i="388" s="1"/>
  <c r="P65" i="388"/>
  <c r="U67" i="388"/>
  <c r="I75" i="388"/>
  <c r="U14" i="389"/>
  <c r="K38" i="389"/>
  <c r="R46" i="389"/>
  <c r="R65" i="389"/>
  <c r="T65" i="389"/>
  <c r="H73" i="387"/>
  <c r="L73" i="387" s="1"/>
  <c r="T20" i="389"/>
  <c r="U14" i="387"/>
  <c r="K38" i="387"/>
  <c r="S46" i="387"/>
  <c r="P73" i="387"/>
  <c r="D75" i="388"/>
  <c r="U62" i="388"/>
  <c r="D21" i="389"/>
  <c r="H12" i="389"/>
  <c r="O32" i="389"/>
  <c r="O34" i="389" s="1"/>
  <c r="G34" i="389"/>
  <c r="L37" i="389"/>
  <c r="F48" i="389"/>
  <c r="Q61" i="389"/>
  <c r="O69" i="389"/>
  <c r="G20" i="388"/>
  <c r="B38" i="388"/>
  <c r="T38" i="388" s="1"/>
  <c r="U38" i="388" s="1"/>
  <c r="U60" i="388"/>
  <c r="U62" i="389"/>
  <c r="U70" i="389"/>
  <c r="R12" i="387"/>
  <c r="L34" i="387"/>
  <c r="S61" i="387"/>
  <c r="R16" i="388"/>
  <c r="U19" i="388"/>
  <c r="U70" i="388"/>
  <c r="K73" i="388"/>
  <c r="G6" i="389"/>
  <c r="G8" i="389" s="1"/>
  <c r="U11" i="389"/>
  <c r="T16" i="389"/>
  <c r="U19" i="389"/>
  <c r="P34" i="389"/>
  <c r="C48" i="389"/>
  <c r="R38" i="389"/>
  <c r="L42" i="389"/>
  <c r="C75" i="389"/>
  <c r="L14" i="388"/>
  <c r="L37" i="388"/>
  <c r="K34" i="389"/>
  <c r="S65" i="387"/>
  <c r="U71" i="387"/>
  <c r="F48" i="388"/>
  <c r="P73" i="388"/>
  <c r="O38" i="389"/>
  <c r="R34" i="389"/>
  <c r="K12" i="387"/>
  <c r="U62" i="387"/>
  <c r="R69" i="387"/>
  <c r="H20" i="388"/>
  <c r="L34" i="388"/>
  <c r="O46" i="388"/>
  <c r="Q61" i="388"/>
  <c r="R65" i="388"/>
  <c r="O69" i="388"/>
  <c r="U5" i="389"/>
  <c r="U7" i="389"/>
  <c r="U13" i="389"/>
  <c r="M75" i="389"/>
  <c r="S69" i="387"/>
  <c r="R8" i="388"/>
  <c r="C75" i="388"/>
  <c r="S65" i="388"/>
  <c r="P69" i="388"/>
  <c r="G9" i="389"/>
  <c r="G12" i="389" s="1"/>
  <c r="U18" i="389"/>
  <c r="Q20" i="389"/>
  <c r="L62" i="389"/>
  <c r="N75" i="389"/>
  <c r="P69" i="389"/>
  <c r="S16" i="388"/>
  <c r="U15" i="388"/>
  <c r="T20" i="388"/>
  <c r="S46" i="388"/>
  <c r="R61" i="388"/>
  <c r="H8" i="389"/>
  <c r="L8" i="389" s="1"/>
  <c r="F21" i="389"/>
  <c r="L9" i="389"/>
  <c r="B12" i="389"/>
  <c r="Q12" i="389" s="1"/>
  <c r="R16" i="389"/>
  <c r="G20" i="389"/>
  <c r="D48" i="389"/>
  <c r="T42" i="389"/>
  <c r="U42" i="389" s="1"/>
  <c r="Q46" i="389"/>
  <c r="D75" i="389"/>
  <c r="P65" i="389"/>
  <c r="T69" i="389"/>
  <c r="K65" i="389"/>
  <c r="J75" i="389"/>
  <c r="L10" i="389"/>
  <c r="T61" i="389"/>
  <c r="T8" i="389"/>
  <c r="K69" i="389"/>
  <c r="L17" i="389"/>
  <c r="G61" i="389"/>
  <c r="Q65" i="389"/>
  <c r="G73" i="389"/>
  <c r="K20" i="389"/>
  <c r="Q34" i="389"/>
  <c r="K42" i="389"/>
  <c r="H61" i="389"/>
  <c r="L61" i="389" s="1"/>
  <c r="H73" i="389"/>
  <c r="L73" i="389" s="1"/>
  <c r="T73" i="389"/>
  <c r="L6" i="389"/>
  <c r="H20" i="389"/>
  <c r="L20" i="389" s="1"/>
  <c r="L68" i="389"/>
  <c r="B75" i="389"/>
  <c r="G37" i="389"/>
  <c r="H69" i="389"/>
  <c r="L69" i="389" s="1"/>
  <c r="L63" i="389"/>
  <c r="T34" i="389"/>
  <c r="U34" i="389" s="1"/>
  <c r="K61" i="389"/>
  <c r="Q9" i="389"/>
  <c r="B38" i="389"/>
  <c r="B48" i="389" s="1"/>
  <c r="H65" i="389"/>
  <c r="L65" i="389" s="1"/>
  <c r="T9" i="389"/>
  <c r="U9" i="389" s="1"/>
  <c r="K42" i="388"/>
  <c r="G42" i="387"/>
  <c r="M48" i="388"/>
  <c r="G6" i="387"/>
  <c r="G8" i="387" s="1"/>
  <c r="R73" i="387"/>
  <c r="P21" i="388"/>
  <c r="I48" i="388"/>
  <c r="N21" i="387"/>
  <c r="L46" i="387"/>
  <c r="S73" i="387"/>
  <c r="U10" i="388"/>
  <c r="U17" i="388"/>
  <c r="K8" i="388"/>
  <c r="U71" i="388"/>
  <c r="R8" i="387"/>
  <c r="P21" i="387"/>
  <c r="P46" i="387"/>
  <c r="P61" i="387"/>
  <c r="U66" i="388"/>
  <c r="T42" i="387"/>
  <c r="U42" i="387" s="1"/>
  <c r="O38" i="387"/>
  <c r="U17" i="387"/>
  <c r="R34" i="387"/>
  <c r="O42" i="387"/>
  <c r="Q42" i="387"/>
  <c r="R34" i="388"/>
  <c r="P38" i="388"/>
  <c r="O61" i="388"/>
  <c r="O73" i="388"/>
  <c r="G16" i="387"/>
  <c r="S34" i="387"/>
  <c r="P42" i="387"/>
  <c r="H12" i="388"/>
  <c r="S34" i="388"/>
  <c r="H48" i="388"/>
  <c r="L46" i="388"/>
  <c r="G65" i="388"/>
  <c r="U68" i="388"/>
  <c r="G6" i="388"/>
  <c r="G8" i="388" s="1"/>
  <c r="I75" i="387"/>
  <c r="Q16" i="388"/>
  <c r="R20" i="388"/>
  <c r="K38" i="388"/>
  <c r="T42" i="388"/>
  <c r="U42" i="388" s="1"/>
  <c r="Q46" i="388"/>
  <c r="F75" i="388"/>
  <c r="S69" i="388"/>
  <c r="U67" i="387"/>
  <c r="U7" i="388"/>
  <c r="L9" i="388"/>
  <c r="S20" i="388"/>
  <c r="P61" i="388"/>
  <c r="O21" i="387"/>
  <c r="K20" i="387"/>
  <c r="T34" i="387"/>
  <c r="U34" i="387" s="1"/>
  <c r="Q9" i="388"/>
  <c r="U18" i="388"/>
  <c r="J75" i="388"/>
  <c r="R16" i="387"/>
  <c r="O46" i="387"/>
  <c r="U60" i="387"/>
  <c r="O69" i="387"/>
  <c r="U5" i="388"/>
  <c r="D21" i="388"/>
  <c r="O65" i="388"/>
  <c r="R42" i="388"/>
  <c r="U63" i="388"/>
  <c r="M75" i="388"/>
  <c r="U19" i="387"/>
  <c r="U59" i="388"/>
  <c r="Q61" i="387"/>
  <c r="P69" i="387"/>
  <c r="K73" i="387"/>
  <c r="U6" i="388"/>
  <c r="F21" i="388"/>
  <c r="B12" i="388"/>
  <c r="Q12" i="388" s="1"/>
  <c r="C48" i="388"/>
  <c r="O35" i="388"/>
  <c r="O38" i="388" s="1"/>
  <c r="S42" i="388"/>
  <c r="T46" i="388"/>
  <c r="U46" i="388" s="1"/>
  <c r="N75" i="388"/>
  <c r="R69" i="388"/>
  <c r="T69" i="388"/>
  <c r="T65" i="388"/>
  <c r="K46" i="388"/>
  <c r="J48" i="388"/>
  <c r="G37" i="388"/>
  <c r="T73" i="388"/>
  <c r="Q6" i="388"/>
  <c r="H16" i="388"/>
  <c r="L16" i="388" s="1"/>
  <c r="K69" i="388"/>
  <c r="H69" i="388"/>
  <c r="L69" i="388" s="1"/>
  <c r="L17" i="388"/>
  <c r="G61" i="388"/>
  <c r="U64" i="388"/>
  <c r="Q65" i="388"/>
  <c r="G73" i="388"/>
  <c r="O32" i="388"/>
  <c r="O34" i="388" s="1"/>
  <c r="Q34" i="388"/>
  <c r="Q37" i="388"/>
  <c r="H61" i="388"/>
  <c r="H73" i="388"/>
  <c r="L73" i="388" s="1"/>
  <c r="L70" i="388"/>
  <c r="H8" i="388"/>
  <c r="L42" i="388"/>
  <c r="S38" i="388"/>
  <c r="B75" i="388"/>
  <c r="J21" i="388"/>
  <c r="J23" i="388" s="1"/>
  <c r="U58" i="388"/>
  <c r="T61" i="388"/>
  <c r="Q69" i="388"/>
  <c r="H65" i="388"/>
  <c r="L65" i="388" s="1"/>
  <c r="K65" i="388"/>
  <c r="P65" i="387"/>
  <c r="H69" i="387"/>
  <c r="L69" i="387" s="1"/>
  <c r="D75" i="387"/>
  <c r="M48" i="387"/>
  <c r="O65" i="387"/>
  <c r="U64" i="387"/>
  <c r="P38" i="387"/>
  <c r="H61" i="387"/>
  <c r="U59" i="387"/>
  <c r="H65" i="387"/>
  <c r="L65" i="387" s="1"/>
  <c r="U66" i="387"/>
  <c r="O73" i="387"/>
  <c r="R20" i="387"/>
  <c r="H12" i="387"/>
  <c r="S20" i="387"/>
  <c r="R38" i="387"/>
  <c r="O61" i="387"/>
  <c r="U68" i="387"/>
  <c r="U7" i="387"/>
  <c r="G20" i="387"/>
  <c r="U18" i="387"/>
  <c r="C48" i="387"/>
  <c r="T69" i="387"/>
  <c r="B8" i="387"/>
  <c r="Q8" i="387" s="1"/>
  <c r="Q9" i="387"/>
  <c r="U11" i="387"/>
  <c r="H20" i="387"/>
  <c r="L20" i="387" s="1"/>
  <c r="D48" i="387"/>
  <c r="D21" i="387"/>
  <c r="B12" i="387"/>
  <c r="Q12" i="387" s="1"/>
  <c r="G34" i="387"/>
  <c r="J75" i="387"/>
  <c r="U70" i="387"/>
  <c r="F21" i="387"/>
  <c r="T20" i="387"/>
  <c r="F48" i="387"/>
  <c r="L42" i="387"/>
  <c r="M75" i="387"/>
  <c r="I21" i="387"/>
  <c r="U13" i="387"/>
  <c r="U15" i="387"/>
  <c r="H48" i="387"/>
  <c r="Q46" i="387"/>
  <c r="U58" i="387"/>
  <c r="R61" i="387"/>
  <c r="U63" i="387"/>
  <c r="N75" i="387"/>
  <c r="F75" i="387"/>
  <c r="U72" i="387"/>
  <c r="U6" i="387"/>
  <c r="J21" i="387"/>
  <c r="J23" i="387" s="1"/>
  <c r="Q16" i="387"/>
  <c r="G69" i="387"/>
  <c r="Q73" i="387"/>
  <c r="R65" i="387"/>
  <c r="R46" i="387"/>
  <c r="T46" i="387"/>
  <c r="U46" i="387" s="1"/>
  <c r="R42" i="387"/>
  <c r="I48" i="387"/>
  <c r="K42" i="387"/>
  <c r="J48" i="387"/>
  <c r="C75" i="387"/>
  <c r="L58" i="387"/>
  <c r="T61" i="387"/>
  <c r="L70" i="387"/>
  <c r="T73" i="387"/>
  <c r="L37" i="387"/>
  <c r="L63" i="387"/>
  <c r="L68" i="387"/>
  <c r="T16" i="387"/>
  <c r="L6" i="387"/>
  <c r="G46" i="387"/>
  <c r="K69" i="387"/>
  <c r="Q6" i="387"/>
  <c r="E8" i="387"/>
  <c r="E21" i="387" s="1"/>
  <c r="H16" i="387"/>
  <c r="L16" i="387" s="1"/>
  <c r="G61" i="387"/>
  <c r="Q65" i="387"/>
  <c r="G73" i="387"/>
  <c r="Q37" i="387"/>
  <c r="G37" i="387"/>
  <c r="O32" i="387"/>
  <c r="O34" i="387" s="1"/>
  <c r="H8" i="387"/>
  <c r="G9" i="387"/>
  <c r="G12" i="387" s="1"/>
  <c r="S38" i="387"/>
  <c r="T65" i="387"/>
  <c r="B75" i="387"/>
  <c r="T37" i="387"/>
  <c r="U37" i="387" s="1"/>
  <c r="Q69" i="387"/>
  <c r="L9" i="387"/>
  <c r="B38" i="387"/>
  <c r="B48" i="387" s="1"/>
  <c r="K34" i="387"/>
  <c r="T9" i="387"/>
  <c r="U9" i="387" s="1"/>
  <c r="K65" i="387"/>
  <c r="J53" i="394" l="1"/>
  <c r="T8" i="393"/>
  <c r="U8" i="393" s="1"/>
  <c r="U16" i="395"/>
  <c r="U73" i="390"/>
  <c r="L8" i="393"/>
  <c r="U61" i="393"/>
  <c r="U69" i="394"/>
  <c r="L38" i="394"/>
  <c r="T38" i="394"/>
  <c r="U38" i="394" s="1"/>
  <c r="G38" i="394"/>
  <c r="G48" i="394" s="1"/>
  <c r="U61" i="395"/>
  <c r="P75" i="396"/>
  <c r="T12" i="394"/>
  <c r="U12" i="394" s="1"/>
  <c r="B48" i="394"/>
  <c r="Q48" i="394" s="1"/>
  <c r="U16" i="396"/>
  <c r="U20" i="396"/>
  <c r="L8" i="396"/>
  <c r="B48" i="396"/>
  <c r="I53" i="396" s="1"/>
  <c r="U73" i="396"/>
  <c r="P48" i="396"/>
  <c r="R21" i="395"/>
  <c r="G21" i="393"/>
  <c r="P75" i="395"/>
  <c r="O75" i="396"/>
  <c r="H75" i="393"/>
  <c r="L75" i="393" s="1"/>
  <c r="U69" i="392"/>
  <c r="J53" i="395"/>
  <c r="Q12" i="396"/>
  <c r="J53" i="396"/>
  <c r="U69" i="396"/>
  <c r="J24" i="396"/>
  <c r="P75" i="394"/>
  <c r="O75" i="395"/>
  <c r="T38" i="390"/>
  <c r="U38" i="390" s="1"/>
  <c r="P48" i="394"/>
  <c r="K75" i="396"/>
  <c r="G21" i="396"/>
  <c r="U61" i="394"/>
  <c r="L16" i="395"/>
  <c r="U65" i="395"/>
  <c r="U61" i="396"/>
  <c r="O75" i="393"/>
  <c r="K21" i="395"/>
  <c r="P48" i="395"/>
  <c r="K48" i="393"/>
  <c r="R75" i="391"/>
  <c r="S75" i="394"/>
  <c r="S75" i="395"/>
  <c r="J24" i="395"/>
  <c r="L38" i="396"/>
  <c r="J80" i="393"/>
  <c r="J81" i="393" s="1"/>
  <c r="U65" i="393"/>
  <c r="R75" i="395"/>
  <c r="U12" i="396"/>
  <c r="G38" i="392"/>
  <c r="G48" i="392" s="1"/>
  <c r="U20" i="394"/>
  <c r="K75" i="395"/>
  <c r="Q38" i="396"/>
  <c r="U20" i="395"/>
  <c r="O48" i="395"/>
  <c r="G21" i="395"/>
  <c r="R48" i="394"/>
  <c r="U73" i="393"/>
  <c r="U69" i="393"/>
  <c r="R75" i="394"/>
  <c r="R48" i="395"/>
  <c r="G38" i="396"/>
  <c r="G48" i="396" s="1"/>
  <c r="J53" i="393"/>
  <c r="K21" i="394"/>
  <c r="R21" i="394"/>
  <c r="L20" i="395"/>
  <c r="L12" i="396"/>
  <c r="O48" i="396"/>
  <c r="T8" i="396"/>
  <c r="U8" i="396" s="1"/>
  <c r="Q8" i="396"/>
  <c r="B21" i="396"/>
  <c r="Q21" i="396" s="1"/>
  <c r="J80" i="396"/>
  <c r="J81" i="396" s="1"/>
  <c r="K48" i="396"/>
  <c r="U65" i="396"/>
  <c r="I80" i="396"/>
  <c r="T75" i="396"/>
  <c r="Q75" i="396"/>
  <c r="H75" i="396"/>
  <c r="L75" i="396" s="1"/>
  <c r="H21" i="396"/>
  <c r="K21" i="396"/>
  <c r="G75" i="396"/>
  <c r="Q38" i="392"/>
  <c r="B21" i="393"/>
  <c r="T21" i="393" s="1"/>
  <c r="U16" i="394"/>
  <c r="B21" i="395"/>
  <c r="T21" i="395" s="1"/>
  <c r="R21" i="392"/>
  <c r="T12" i="395"/>
  <c r="U12" i="395" s="1"/>
  <c r="R21" i="390"/>
  <c r="S48" i="394"/>
  <c r="J24" i="389"/>
  <c r="O75" i="391"/>
  <c r="S48" i="393"/>
  <c r="T8" i="395"/>
  <c r="U8" i="395" s="1"/>
  <c r="R21" i="393"/>
  <c r="B21" i="391"/>
  <c r="T21" i="391" s="1"/>
  <c r="O48" i="392"/>
  <c r="S48" i="395"/>
  <c r="H21" i="394"/>
  <c r="O48" i="394"/>
  <c r="P75" i="393"/>
  <c r="L12" i="395"/>
  <c r="J80" i="395"/>
  <c r="J81" i="395" s="1"/>
  <c r="K48" i="395"/>
  <c r="H21" i="395"/>
  <c r="I80" i="395"/>
  <c r="T75" i="395"/>
  <c r="Q75" i="395"/>
  <c r="T38" i="395"/>
  <c r="U38" i="395" s="1"/>
  <c r="Q38" i="395"/>
  <c r="L38" i="395"/>
  <c r="G38" i="395"/>
  <c r="G48" i="395" s="1"/>
  <c r="G75" i="395"/>
  <c r="U73" i="395"/>
  <c r="L8" i="395"/>
  <c r="U69" i="395"/>
  <c r="H75" i="395"/>
  <c r="L75" i="395" s="1"/>
  <c r="B48" i="395"/>
  <c r="B48" i="390"/>
  <c r="L48" i="390" s="1"/>
  <c r="Q38" i="390"/>
  <c r="L12" i="392"/>
  <c r="K21" i="393"/>
  <c r="T8" i="390"/>
  <c r="U8" i="390" s="1"/>
  <c r="Q38" i="391"/>
  <c r="S48" i="392"/>
  <c r="B48" i="393"/>
  <c r="Q48" i="393" s="1"/>
  <c r="R75" i="393"/>
  <c r="B21" i="394"/>
  <c r="T21" i="394" s="1"/>
  <c r="J80" i="391"/>
  <c r="J81" i="391" s="1"/>
  <c r="T12" i="392"/>
  <c r="U12" i="392" s="1"/>
  <c r="R48" i="393"/>
  <c r="O48" i="393"/>
  <c r="G21" i="394"/>
  <c r="K75" i="394"/>
  <c r="S48" i="390"/>
  <c r="T12" i="393"/>
  <c r="U12" i="393" s="1"/>
  <c r="L38" i="393"/>
  <c r="P48" i="393"/>
  <c r="U61" i="392"/>
  <c r="O75" i="394"/>
  <c r="T8" i="394"/>
  <c r="U8" i="394" s="1"/>
  <c r="L38" i="390"/>
  <c r="U65" i="392"/>
  <c r="B21" i="392"/>
  <c r="T21" i="392" s="1"/>
  <c r="S75" i="392"/>
  <c r="J53" i="392"/>
  <c r="L73" i="393"/>
  <c r="G75" i="394"/>
  <c r="J80" i="390"/>
  <c r="J81" i="390" s="1"/>
  <c r="S75" i="393"/>
  <c r="B48" i="391"/>
  <c r="L48" i="391" s="1"/>
  <c r="P48" i="392"/>
  <c r="Q38" i="393"/>
  <c r="U69" i="390"/>
  <c r="L12" i="393"/>
  <c r="J53" i="389"/>
  <c r="R48" i="392"/>
  <c r="K75" i="393"/>
  <c r="U20" i="393"/>
  <c r="K48" i="394"/>
  <c r="J80" i="394"/>
  <c r="J81" i="394" s="1"/>
  <c r="L69" i="394"/>
  <c r="U65" i="394"/>
  <c r="I80" i="394"/>
  <c r="T75" i="394"/>
  <c r="Q75" i="394"/>
  <c r="H75" i="394"/>
  <c r="L75" i="394" s="1"/>
  <c r="J24" i="394"/>
  <c r="L8" i="394"/>
  <c r="U73" i="394"/>
  <c r="H21" i="393"/>
  <c r="S75" i="389"/>
  <c r="S75" i="391"/>
  <c r="J53" i="391"/>
  <c r="K21" i="392"/>
  <c r="O75" i="392"/>
  <c r="K75" i="389"/>
  <c r="R48" i="391"/>
  <c r="U16" i="391"/>
  <c r="U69" i="391"/>
  <c r="P75" i="392"/>
  <c r="S48" i="391"/>
  <c r="G38" i="393"/>
  <c r="G48" i="393" s="1"/>
  <c r="Q38" i="388"/>
  <c r="U16" i="393"/>
  <c r="G38" i="388"/>
  <c r="G48" i="388" s="1"/>
  <c r="K75" i="390"/>
  <c r="G21" i="392"/>
  <c r="K21" i="390"/>
  <c r="L38" i="391"/>
  <c r="R75" i="392"/>
  <c r="G75" i="393"/>
  <c r="I80" i="393"/>
  <c r="T75" i="393"/>
  <c r="Q75" i="393"/>
  <c r="J24" i="393"/>
  <c r="P48" i="390"/>
  <c r="L12" i="391"/>
  <c r="O75" i="390"/>
  <c r="B48" i="392"/>
  <c r="T48" i="392" s="1"/>
  <c r="T8" i="391"/>
  <c r="U8" i="391" s="1"/>
  <c r="H21" i="392"/>
  <c r="L38" i="392"/>
  <c r="J53" i="390"/>
  <c r="U16" i="389"/>
  <c r="L73" i="390"/>
  <c r="U65" i="389"/>
  <c r="U61" i="390"/>
  <c r="T12" i="391"/>
  <c r="U12" i="391" s="1"/>
  <c r="P48" i="391"/>
  <c r="J24" i="390"/>
  <c r="H75" i="391"/>
  <c r="L75" i="391" s="1"/>
  <c r="Q8" i="388"/>
  <c r="O48" i="391"/>
  <c r="P75" i="391"/>
  <c r="R21" i="391"/>
  <c r="T8" i="392"/>
  <c r="U8" i="392" s="1"/>
  <c r="J80" i="392"/>
  <c r="J81" i="392" s="1"/>
  <c r="U16" i="392"/>
  <c r="K75" i="392"/>
  <c r="K48" i="392"/>
  <c r="H75" i="392"/>
  <c r="L75" i="392" s="1"/>
  <c r="L61" i="392"/>
  <c r="G75" i="392"/>
  <c r="U20" i="392"/>
  <c r="U73" i="392"/>
  <c r="I80" i="392"/>
  <c r="T75" i="392"/>
  <c r="Q75" i="392"/>
  <c r="L8" i="392"/>
  <c r="J24" i="392"/>
  <c r="J80" i="389"/>
  <c r="J81" i="389" s="1"/>
  <c r="P75" i="390"/>
  <c r="O75" i="388"/>
  <c r="S75" i="388"/>
  <c r="G21" i="388"/>
  <c r="O48" i="389"/>
  <c r="L8" i="388"/>
  <c r="G48" i="390"/>
  <c r="P75" i="389"/>
  <c r="S75" i="387"/>
  <c r="K21" i="391"/>
  <c r="U20" i="391"/>
  <c r="G75" i="390"/>
  <c r="P48" i="389"/>
  <c r="R75" i="390"/>
  <c r="S75" i="390"/>
  <c r="G21" i="391"/>
  <c r="K75" i="391"/>
  <c r="U16" i="390"/>
  <c r="H21" i="391"/>
  <c r="G38" i="391"/>
  <c r="G48" i="391" s="1"/>
  <c r="U20" i="388"/>
  <c r="R75" i="388"/>
  <c r="R48" i="389"/>
  <c r="U73" i="387"/>
  <c r="K48" i="391"/>
  <c r="G75" i="391"/>
  <c r="L8" i="391"/>
  <c r="I80" i="391"/>
  <c r="T75" i="391"/>
  <c r="Q75" i="391"/>
  <c r="U73" i="391"/>
  <c r="U65" i="391"/>
  <c r="U61" i="391"/>
  <c r="J24" i="391"/>
  <c r="L61" i="391"/>
  <c r="K75" i="388"/>
  <c r="R21" i="389"/>
  <c r="S48" i="389"/>
  <c r="R48" i="390"/>
  <c r="K21" i="389"/>
  <c r="U16" i="388"/>
  <c r="J80" i="388"/>
  <c r="J81" i="388" s="1"/>
  <c r="O75" i="389"/>
  <c r="U20" i="389"/>
  <c r="T12" i="390"/>
  <c r="U12" i="390" s="1"/>
  <c r="T12" i="387"/>
  <c r="U12" i="387" s="1"/>
  <c r="L12" i="390"/>
  <c r="B21" i="390"/>
  <c r="Q21" i="390" s="1"/>
  <c r="T12" i="388"/>
  <c r="U12" i="388" s="1"/>
  <c r="G21" i="389"/>
  <c r="R75" i="389"/>
  <c r="O48" i="390"/>
  <c r="R21" i="388"/>
  <c r="H75" i="390"/>
  <c r="L75" i="390" s="1"/>
  <c r="U69" i="388"/>
  <c r="P75" i="388"/>
  <c r="P48" i="387"/>
  <c r="U8" i="389"/>
  <c r="K48" i="389"/>
  <c r="L20" i="390"/>
  <c r="U20" i="390"/>
  <c r="U65" i="390"/>
  <c r="K48" i="390"/>
  <c r="I80" i="390"/>
  <c r="T75" i="390"/>
  <c r="Q75" i="390"/>
  <c r="H21" i="390"/>
  <c r="L8" i="390"/>
  <c r="G21" i="390"/>
  <c r="O48" i="388"/>
  <c r="U61" i="388"/>
  <c r="J80" i="387"/>
  <c r="J81" i="387" s="1"/>
  <c r="R48" i="388"/>
  <c r="J24" i="388"/>
  <c r="L38" i="388"/>
  <c r="T12" i="389"/>
  <c r="U12" i="389" s="1"/>
  <c r="U61" i="387"/>
  <c r="B21" i="389"/>
  <c r="B48" i="388"/>
  <c r="P75" i="387"/>
  <c r="L20" i="388"/>
  <c r="J53" i="388"/>
  <c r="R75" i="387"/>
  <c r="U65" i="388"/>
  <c r="R48" i="387"/>
  <c r="R21" i="387"/>
  <c r="L12" i="389"/>
  <c r="S48" i="388"/>
  <c r="P48" i="388"/>
  <c r="U20" i="387"/>
  <c r="U73" i="388"/>
  <c r="H21" i="389"/>
  <c r="I53" i="389"/>
  <c r="T48" i="389"/>
  <c r="Q48" i="389"/>
  <c r="L48" i="389"/>
  <c r="H75" i="389"/>
  <c r="L75" i="389" s="1"/>
  <c r="G75" i="389"/>
  <c r="I80" i="389"/>
  <c r="T75" i="389"/>
  <c r="Q75" i="389"/>
  <c r="U61" i="389"/>
  <c r="T38" i="389"/>
  <c r="U38" i="389" s="1"/>
  <c r="Q38" i="389"/>
  <c r="G38" i="389"/>
  <c r="G48" i="389" s="1"/>
  <c r="L38" i="389"/>
  <c r="U69" i="389"/>
  <c r="U73" i="389"/>
  <c r="H75" i="388"/>
  <c r="L75" i="388" s="1"/>
  <c r="U69" i="387"/>
  <c r="O75" i="387"/>
  <c r="H75" i="387"/>
  <c r="L75" i="387" s="1"/>
  <c r="U65" i="387"/>
  <c r="K21" i="387"/>
  <c r="K75" i="387"/>
  <c r="J53" i="387"/>
  <c r="S48" i="387"/>
  <c r="T8" i="387"/>
  <c r="U8" i="387" s="1"/>
  <c r="K21" i="388"/>
  <c r="L12" i="388"/>
  <c r="B21" i="388"/>
  <c r="O48" i="387"/>
  <c r="K48" i="388"/>
  <c r="H21" i="388"/>
  <c r="U8" i="388"/>
  <c r="L61" i="388"/>
  <c r="I80" i="388"/>
  <c r="T75" i="388"/>
  <c r="Q75" i="388"/>
  <c r="G75" i="388"/>
  <c r="K48" i="387"/>
  <c r="L61" i="387"/>
  <c r="G75" i="387"/>
  <c r="B21" i="387"/>
  <c r="T21" i="387" s="1"/>
  <c r="G21" i="387"/>
  <c r="J24" i="387"/>
  <c r="H21" i="387"/>
  <c r="L12" i="387"/>
  <c r="I53" i="387"/>
  <c r="T48" i="387"/>
  <c r="Q48" i="387"/>
  <c r="L48" i="387"/>
  <c r="U16" i="387"/>
  <c r="T38" i="387"/>
  <c r="U38" i="387" s="1"/>
  <c r="Q38" i="387"/>
  <c r="G38" i="387"/>
  <c r="G48" i="387" s="1"/>
  <c r="L38" i="387"/>
  <c r="L8" i="387"/>
  <c r="I80" i="387"/>
  <c r="T75" i="387"/>
  <c r="Q75" i="387"/>
  <c r="L21" i="393" l="1"/>
  <c r="Q48" i="396"/>
  <c r="Q21" i="393"/>
  <c r="T48" i="394"/>
  <c r="U48" i="394" s="1"/>
  <c r="U51" i="394" s="1"/>
  <c r="L21" i="391"/>
  <c r="I53" i="394"/>
  <c r="I81" i="393"/>
  <c r="I53" i="391"/>
  <c r="L48" i="396"/>
  <c r="T48" i="396"/>
  <c r="U48" i="396" s="1"/>
  <c r="U51" i="396" s="1"/>
  <c r="L48" i="394"/>
  <c r="Q21" i="391"/>
  <c r="I23" i="394"/>
  <c r="I24" i="394" s="1"/>
  <c r="I23" i="396"/>
  <c r="I24" i="396" s="1"/>
  <c r="T48" i="391"/>
  <c r="I54" i="391" s="1"/>
  <c r="Q48" i="391"/>
  <c r="I23" i="391"/>
  <c r="I24" i="391" s="1"/>
  <c r="U75" i="393"/>
  <c r="U78" i="393" s="1"/>
  <c r="I23" i="393"/>
  <c r="I24" i="393" s="1"/>
  <c r="U75" i="389"/>
  <c r="U78" i="389" s="1"/>
  <c r="Q21" i="392"/>
  <c r="I81" i="389"/>
  <c r="I23" i="392"/>
  <c r="I24" i="392" s="1"/>
  <c r="U21" i="395"/>
  <c r="L21" i="394"/>
  <c r="Q21" i="394"/>
  <c r="L21" i="395"/>
  <c r="S8" i="395"/>
  <c r="S12" i="395"/>
  <c r="I23" i="395"/>
  <c r="I24" i="395" s="1"/>
  <c r="T21" i="396"/>
  <c r="U21" i="396" s="1"/>
  <c r="L21" i="396"/>
  <c r="U75" i="396"/>
  <c r="U78" i="396" s="1"/>
  <c r="I81" i="396"/>
  <c r="Q48" i="392"/>
  <c r="T48" i="393"/>
  <c r="U48" i="393" s="1"/>
  <c r="Q21" i="395"/>
  <c r="I53" i="393"/>
  <c r="U21" i="394"/>
  <c r="L48" i="392"/>
  <c r="Q48" i="390"/>
  <c r="I53" i="390"/>
  <c r="T48" i="390"/>
  <c r="U48" i="390" s="1"/>
  <c r="U51" i="390" s="1"/>
  <c r="I53" i="395"/>
  <c r="T48" i="395"/>
  <c r="Q48" i="395"/>
  <c r="L48" i="395"/>
  <c r="U75" i="395"/>
  <c r="U78" i="395" s="1"/>
  <c r="I81" i="395"/>
  <c r="U21" i="393"/>
  <c r="L21" i="392"/>
  <c r="S8" i="393"/>
  <c r="S8" i="394"/>
  <c r="S12" i="393"/>
  <c r="S12" i="394"/>
  <c r="I53" i="392"/>
  <c r="L48" i="393"/>
  <c r="U75" i="394"/>
  <c r="U78" i="394" s="1"/>
  <c r="I81" i="394"/>
  <c r="U21" i="392"/>
  <c r="U21" i="391"/>
  <c r="S8" i="391"/>
  <c r="S8" i="392"/>
  <c r="I81" i="388"/>
  <c r="L21" i="389"/>
  <c r="S12" i="391"/>
  <c r="S12" i="392"/>
  <c r="U75" i="392"/>
  <c r="U78" i="392" s="1"/>
  <c r="I81" i="392"/>
  <c r="U75" i="391"/>
  <c r="U78" i="391" s="1"/>
  <c r="I81" i="391"/>
  <c r="U48" i="392"/>
  <c r="I54" i="392"/>
  <c r="T21" i="390"/>
  <c r="U21" i="390" s="1"/>
  <c r="I81" i="390"/>
  <c r="I23" i="390"/>
  <c r="I24" i="390" s="1"/>
  <c r="S12" i="389"/>
  <c r="S12" i="390"/>
  <c r="L21" i="390"/>
  <c r="L21" i="388"/>
  <c r="U75" i="390"/>
  <c r="U78" i="390" s="1"/>
  <c r="S8" i="389"/>
  <c r="S8" i="390"/>
  <c r="U75" i="388"/>
  <c r="U78" i="388" s="1"/>
  <c r="L48" i="388"/>
  <c r="T48" i="388"/>
  <c r="Q48" i="388"/>
  <c r="I53" i="388"/>
  <c r="T21" i="389"/>
  <c r="U21" i="389" s="1"/>
  <c r="Q21" i="388"/>
  <c r="I23" i="389"/>
  <c r="I24" i="389" s="1"/>
  <c r="Q21" i="389"/>
  <c r="T21" i="388"/>
  <c r="U21" i="388" s="1"/>
  <c r="I23" i="388"/>
  <c r="I24" i="388" s="1"/>
  <c r="U21" i="387"/>
  <c r="U75" i="387"/>
  <c r="U78" i="387" s="1"/>
  <c r="I81" i="387"/>
  <c r="U48" i="389"/>
  <c r="I54" i="389"/>
  <c r="I23" i="387"/>
  <c r="I24" i="387" s="1"/>
  <c r="S12" i="387"/>
  <c r="S12" i="388"/>
  <c r="Q21" i="387"/>
  <c r="L21" i="387"/>
  <c r="S8" i="387"/>
  <c r="S8" i="388"/>
  <c r="U48" i="387"/>
  <c r="I54" i="387"/>
  <c r="U48" i="391" l="1"/>
  <c r="U51" i="391" s="1"/>
  <c r="J54" i="394"/>
  <c r="I54" i="394"/>
  <c r="I54" i="396"/>
  <c r="J54" i="396"/>
  <c r="I54" i="393"/>
  <c r="J54" i="390"/>
  <c r="I54" i="390"/>
  <c r="S21" i="395"/>
  <c r="S21" i="393"/>
  <c r="S21" i="391"/>
  <c r="S21" i="389"/>
  <c r="S21" i="392"/>
  <c r="S21" i="394"/>
  <c r="U48" i="395"/>
  <c r="I54" i="395"/>
  <c r="U51" i="393"/>
  <c r="J54" i="393"/>
  <c r="U51" i="392"/>
  <c r="J54" i="392"/>
  <c r="S21" i="388"/>
  <c r="S21" i="387"/>
  <c r="S21" i="390"/>
  <c r="U48" i="388"/>
  <c r="I54" i="388"/>
  <c r="U51" i="389"/>
  <c r="J54" i="389"/>
  <c r="U51" i="387"/>
  <c r="J54" i="387"/>
  <c r="J54" i="391" l="1"/>
  <c r="U51" i="395"/>
  <c r="J54" i="395"/>
  <c r="U51" i="388"/>
  <c r="J54" i="388"/>
</calcChain>
</file>

<file path=xl/sharedStrings.xml><?xml version="1.0" encoding="utf-8"?>
<sst xmlns="http://schemas.openxmlformats.org/spreadsheetml/2006/main" count="980" uniqueCount="47">
  <si>
    <t>BUDGET</t>
  </si>
  <si>
    <t>VARIANCE TO BUDGET</t>
  </si>
  <si>
    <t xml:space="preserve">STLY BOB </t>
  </si>
  <si>
    <t>Prov</t>
  </si>
  <si>
    <t>Conf</t>
  </si>
  <si>
    <t>Combined revenue - BOB plus PROV BOB</t>
  </si>
  <si>
    <t>Variance BOB plus PROV BOB to budget</t>
  </si>
  <si>
    <t>2026/2027</t>
  </si>
  <si>
    <t>Updates</t>
  </si>
  <si>
    <t>2025/26</t>
  </si>
  <si>
    <t>DAILY DETAIL REPORT 06 MARCH 2026 : 2025/6</t>
  </si>
  <si>
    <t>MONTH</t>
  </si>
  <si>
    <t>BOB Current Day</t>
  </si>
  <si>
    <t>BOB with Deposit Waiver</t>
  </si>
  <si>
    <t>OCC % CD</t>
  </si>
  <si>
    <t>BOB Previous Day</t>
  </si>
  <si>
    <t>OCC % PD</t>
  </si>
  <si>
    <t>Variance BOB CD vs PD</t>
  </si>
  <si>
    <t>PROV BOB Current Day</t>
  </si>
  <si>
    <t>PROV BOB Previous Day</t>
  </si>
  <si>
    <t>Variance PROV BOB CD VS PD</t>
  </si>
  <si>
    <t>BOB VARIANCE TO BUDGET</t>
  </si>
  <si>
    <t>OCC STLY</t>
  </si>
  <si>
    <t>LY BOB</t>
  </si>
  <si>
    <t>OCC LY</t>
  </si>
  <si>
    <t>BOB VARIANCE TO STLY</t>
  </si>
  <si>
    <t>BOB PROV &amp; CONF CD</t>
  </si>
  <si>
    <t>Q1</t>
  </si>
  <si>
    <t>Q2</t>
  </si>
  <si>
    <t>Q3</t>
  </si>
  <si>
    <t>Q4</t>
  </si>
  <si>
    <t>TOTAL</t>
  </si>
  <si>
    <r>
      <rPr>
        <b/>
        <sz val="10"/>
        <color theme="1"/>
        <rFont val="Avenir Next LT Pro"/>
        <family val="2"/>
      </rPr>
      <t xml:space="preserve">NOTE: </t>
    </r>
    <r>
      <rPr>
        <sz val="10"/>
        <color theme="1"/>
        <rFont val="Avenir Next LT Pro"/>
        <family val="2"/>
      </rPr>
      <t>STLY BOB updated every Friday</t>
    </r>
  </si>
  <si>
    <t xml:space="preserve"> </t>
  </si>
  <si>
    <t>2027/2028</t>
  </si>
  <si>
    <t>BOB CD</t>
  </si>
  <si>
    <t>PROV BOB CD</t>
  </si>
  <si>
    <t xml:space="preserve">DAILY DETAIL REPORT 01 SEPTEMBER 2026 </t>
  </si>
  <si>
    <t xml:space="preserve">DAILY DETAIL REPORT 02 SEPTEMBER 2026 </t>
  </si>
  <si>
    <t xml:space="preserve">DAILY DETAIL REPORT 03 SEPTEMBER 2026 </t>
  </si>
  <si>
    <t xml:space="preserve">DAILY DETAIL REPORT 04 SEPTEMBER 2026 </t>
  </si>
  <si>
    <t xml:space="preserve">DAILY DETAIL REPORT 07 SEPTEMBER 2026 </t>
  </si>
  <si>
    <t xml:space="preserve">DAILY DETAIL REPORT 08 SEPTEMBER 2026 </t>
  </si>
  <si>
    <t xml:space="preserve">DAILY DETAIL REPORT 09 SEPTEMBER 2026 </t>
  </si>
  <si>
    <t xml:space="preserve">DAILY DETAIL REPORT 10 SEPTEMBER 2026 </t>
  </si>
  <si>
    <t xml:space="preserve">DAILY DETAIL REPORT 11 SEPTEMBER 2026 </t>
  </si>
  <si>
    <t xml:space="preserve">DAILY DETAIL REPORT 14 SEPTEMBER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</si>
</sst>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C09]dd\ mmmm\ yyyy;@"/>
    <numFmt numFmtId="165" formatCode="#,##0_ ;[Red]\-#,##0\ "/>
    <numFmt numFmtId="166" formatCode="mmm\-yyyy"/>
  </numFmts>
  <fonts count="20" x14ac:knownFonts="1">
    <font>
      <sz val="11"/>
      <color theme="1"/>
      <name val="Avenir Next LT Pro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venir Next LT Pro"/>
      <family val="2"/>
    </font>
    <font>
      <sz val="10"/>
      <color theme="1"/>
      <name val="Avenir Next LT Pro Demi"/>
      <family val="2"/>
    </font>
    <font>
      <sz val="11"/>
      <color theme="1"/>
      <name val="Avenir Next LT Pro Demi"/>
      <family val="2"/>
    </font>
    <font>
      <b/>
      <sz val="8"/>
      <color theme="1"/>
      <name val="Avenir Next LT Pro"/>
      <family val="2"/>
    </font>
    <font>
      <b/>
      <sz val="10"/>
      <color theme="1"/>
      <name val="Avenir Next LT Pro"/>
      <family val="2"/>
    </font>
    <font>
      <u/>
      <sz val="10"/>
      <color theme="1"/>
      <name val="Avenir Next LT Pro"/>
      <family val="2"/>
    </font>
    <font>
      <i/>
      <sz val="10"/>
      <color theme="1"/>
      <name val="Avenir Next LT Pro"/>
      <family val="2"/>
    </font>
    <font>
      <sz val="10"/>
      <color rgb="FF00B050"/>
      <name val="Avenir Next LT Pro"/>
      <family val="2"/>
    </font>
    <font>
      <sz val="10"/>
      <color rgb="FFFF0000"/>
      <name val="Avenir Next LT Pro"/>
      <family val="2"/>
    </font>
    <font>
      <b/>
      <i/>
      <sz val="10"/>
      <color theme="1"/>
      <name val="Avenir Next LT Pro"/>
      <family val="2"/>
    </font>
    <font>
      <b/>
      <sz val="10"/>
      <color rgb="FF00B050"/>
      <name val="Avenir Next LT Pro"/>
      <family val="2"/>
    </font>
    <font>
      <b/>
      <sz val="11"/>
      <color theme="1"/>
      <name val="Avenir Next LT Pro"/>
      <family val="2"/>
    </font>
    <font>
      <b/>
      <sz val="10"/>
      <color rgb="FFFF0000"/>
      <name val="Avenir Next LT Pro"/>
      <family val="2"/>
    </font>
    <font>
      <b/>
      <sz val="10"/>
      <color theme="1"/>
      <name val="Avenir Next LT Pro Demi"/>
      <family val="2"/>
    </font>
    <font>
      <b/>
      <sz val="10"/>
      <color rgb="FF00B050"/>
      <name val="Avenir Next LT Pro Demi"/>
      <family val="2"/>
    </font>
    <font>
      <sz val="11"/>
      <color theme="1"/>
      <name val="Avenir Next LT Pro"/>
      <family val="2"/>
    </font>
    <font>
      <b/>
      <sz val="10"/>
      <color rgb="FF000000"/>
      <name val="Avenir Next LT Pro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8" fillId="0" borderId="0" applyFont="0" applyFill="0" applyBorder="0" applyAlignment="0" applyProtection="0"/>
  </cellStyleXfs>
  <cellXfs count="198">
    <xf numFmtId="0" fontId="0" fillId="0" borderId="0" xfId="0"/>
    <xf numFmtId="3" fontId="3" fillId="0" borderId="1" xfId="0" applyNumberFormat="1" applyFont="1" applyBorder="1"/>
    <xf numFmtId="0" fontId="3" fillId="0" borderId="0" xfId="0" applyFont="1"/>
    <xf numFmtId="165" fontId="9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7" fontId="3" fillId="0" borderId="12" xfId="0" applyNumberFormat="1" applyFont="1" applyBorder="1" applyAlignment="1">
      <alignment horizontal="center" vertical="center"/>
    </xf>
    <xf numFmtId="17" fontId="3" fillId="0" borderId="13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6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2" borderId="15" xfId="0" applyNumberFormat="1" applyFont="1" applyFill="1" applyBorder="1" applyAlignment="1">
      <alignment horizontal="center" vertical="center"/>
    </xf>
    <xf numFmtId="3" fontId="3" fillId="2" borderId="17" xfId="0" applyNumberFormat="1" applyFont="1" applyFill="1" applyBorder="1" applyAlignment="1">
      <alignment horizontal="center" vertical="center"/>
    </xf>
    <xf numFmtId="3" fontId="3" fillId="2" borderId="19" xfId="0" applyNumberFormat="1" applyFont="1" applyFill="1" applyBorder="1" applyAlignment="1">
      <alignment horizontal="center" vertical="center"/>
    </xf>
    <xf numFmtId="3" fontId="3" fillId="2" borderId="20" xfId="0" applyNumberFormat="1" applyFont="1" applyFill="1" applyBorder="1" applyAlignment="1">
      <alignment horizontal="center" vertical="center"/>
    </xf>
    <xf numFmtId="3" fontId="3" fillId="3" borderId="19" xfId="0" applyNumberFormat="1" applyFont="1" applyFill="1" applyBorder="1" applyAlignment="1">
      <alignment horizontal="center" vertical="center"/>
    </xf>
    <xf numFmtId="3" fontId="3" fillId="3" borderId="20" xfId="0" applyNumberFormat="1" applyFont="1" applyFill="1" applyBorder="1" applyAlignment="1">
      <alignment horizontal="center" vertical="center"/>
    </xf>
    <xf numFmtId="3" fontId="11" fillId="2" borderId="17" xfId="0" applyNumberFormat="1" applyFont="1" applyFill="1" applyBorder="1" applyAlignment="1">
      <alignment horizontal="center" vertical="center"/>
    </xf>
    <xf numFmtId="3" fontId="10" fillId="2" borderId="17" xfId="0" applyNumberFormat="1" applyFont="1" applyFill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165" fontId="3" fillId="4" borderId="15" xfId="0" applyNumberFormat="1" applyFont="1" applyFill="1" applyBorder="1" applyAlignment="1">
      <alignment horizontal="center" vertical="center"/>
    </xf>
    <xf numFmtId="165" fontId="10" fillId="4" borderId="17" xfId="0" applyNumberFormat="1" applyFont="1" applyFill="1" applyBorder="1" applyAlignment="1">
      <alignment horizontal="center" vertical="center"/>
    </xf>
    <xf numFmtId="165" fontId="10" fillId="4" borderId="21" xfId="0" applyNumberFormat="1" applyFont="1" applyFill="1" applyBorder="1" applyAlignment="1">
      <alignment horizontal="center" vertical="center"/>
    </xf>
    <xf numFmtId="17" fontId="3" fillId="0" borderId="22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3" xfId="0" applyNumberFormat="1" applyFont="1" applyFill="1" applyBorder="1" applyAlignment="1">
      <alignment horizontal="center" vertical="center"/>
    </xf>
    <xf numFmtId="3" fontId="3" fillId="3" borderId="23" xfId="0" applyNumberFormat="1" applyFont="1" applyFill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165" fontId="12" fillId="5" borderId="0" xfId="0" applyNumberFormat="1" applyFont="1" applyFill="1"/>
    <xf numFmtId="165" fontId="13" fillId="5" borderId="17" xfId="0" applyNumberFormat="1" applyFont="1" applyFill="1" applyBorder="1" applyAlignment="1">
      <alignment horizontal="center" vertical="center"/>
    </xf>
    <xf numFmtId="0" fontId="14" fillId="0" borderId="0" xfId="0" applyFont="1"/>
    <xf numFmtId="3" fontId="15" fillId="5" borderId="17" xfId="0" applyNumberFormat="1" applyFont="1" applyFill="1" applyBorder="1" applyAlignment="1">
      <alignment horizontal="center" vertical="center"/>
    </xf>
    <xf numFmtId="17" fontId="7" fillId="5" borderId="14" xfId="0" applyNumberFormat="1" applyFont="1" applyFill="1" applyBorder="1" applyAlignment="1">
      <alignment horizontal="center" vertical="center"/>
    </xf>
    <xf numFmtId="3" fontId="7" fillId="5" borderId="18" xfId="0" applyNumberFormat="1" applyFont="1" applyFill="1" applyBorder="1" applyAlignment="1">
      <alignment horizontal="center" vertical="center"/>
    </xf>
    <xf numFmtId="165" fontId="7" fillId="5" borderId="23" xfId="0" applyNumberFormat="1" applyFont="1" applyFill="1" applyBorder="1" applyAlignment="1">
      <alignment horizontal="center" vertical="center"/>
    </xf>
    <xf numFmtId="165" fontId="7" fillId="5" borderId="10" xfId="0" applyNumberFormat="1" applyFont="1" applyFill="1" applyBorder="1"/>
    <xf numFmtId="165" fontId="7" fillId="5" borderId="21" xfId="0" applyNumberFormat="1" applyFont="1" applyFill="1" applyBorder="1" applyAlignment="1">
      <alignment horizontal="center" vertical="center"/>
    </xf>
    <xf numFmtId="3" fontId="16" fillId="0" borderId="6" xfId="0" applyNumberFormat="1" applyFont="1" applyBorder="1" applyAlignment="1">
      <alignment horizontal="center" vertical="center"/>
    </xf>
    <xf numFmtId="3" fontId="7" fillId="2" borderId="6" xfId="0" applyNumberFormat="1" applyFont="1" applyFill="1" applyBorder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/>
    </xf>
    <xf numFmtId="165" fontId="17" fillId="0" borderId="6" xfId="0" applyNumberFormat="1" applyFont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  <xf numFmtId="3" fontId="7" fillId="5" borderId="21" xfId="0" applyNumberFormat="1" applyFont="1" applyFill="1" applyBorder="1" applyAlignment="1">
      <alignment horizontal="center" vertical="center"/>
    </xf>
    <xf numFmtId="9" fontId="3" fillId="0" borderId="19" xfId="3" applyFont="1" applyBorder="1" applyAlignment="1">
      <alignment horizontal="center" vertical="center"/>
    </xf>
    <xf numFmtId="9" fontId="3" fillId="0" borderId="20" xfId="3" applyFont="1" applyBorder="1" applyAlignment="1">
      <alignment horizontal="center" vertical="center"/>
    </xf>
    <xf numFmtId="9" fontId="3" fillId="0" borderId="23" xfId="3" applyFont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9" fontId="14" fillId="7" borderId="0" xfId="3" applyFont="1" applyFill="1" applyAlignment="1">
      <alignment horizontal="center" vertical="center"/>
    </xf>
    <xf numFmtId="9" fontId="7" fillId="5" borderId="14" xfId="3" applyFont="1" applyFill="1" applyBorder="1" applyAlignment="1">
      <alignment horizontal="center" vertical="center"/>
    </xf>
    <xf numFmtId="9" fontId="7" fillId="5" borderId="27" xfId="3" applyFont="1" applyFill="1" applyBorder="1" applyAlignment="1">
      <alignment horizontal="center" vertical="center"/>
    </xf>
    <xf numFmtId="165" fontId="3" fillId="0" borderId="28" xfId="0" applyNumberFormat="1" applyFont="1" applyBorder="1"/>
    <xf numFmtId="0" fontId="9" fillId="0" borderId="6" xfId="0" applyFont="1" applyBorder="1" applyAlignment="1">
      <alignment horizontal="center" wrapText="1"/>
    </xf>
    <xf numFmtId="165" fontId="7" fillId="5" borderId="25" xfId="0" applyNumberFormat="1" applyFont="1" applyFill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165" fontId="12" fillId="5" borderId="6" xfId="0" applyNumberFormat="1" applyFont="1" applyFill="1" applyBorder="1"/>
    <xf numFmtId="165" fontId="7" fillId="5" borderId="17" xfId="0" applyNumberFormat="1" applyFont="1" applyFill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9" fontId="7" fillId="5" borderId="31" xfId="3" applyFont="1" applyFill="1" applyBorder="1" applyAlignment="1">
      <alignment horizontal="center" vertical="center"/>
    </xf>
    <xf numFmtId="3" fontId="7" fillId="5" borderId="31" xfId="0" applyNumberFormat="1" applyFont="1" applyFill="1" applyBorder="1" applyAlignment="1">
      <alignment horizontal="center" vertical="center"/>
    </xf>
    <xf numFmtId="3" fontId="3" fillId="8" borderId="17" xfId="0" applyNumberFormat="1" applyFont="1" applyFill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3" fontId="3" fillId="0" borderId="33" xfId="0" applyNumberFormat="1" applyFont="1" applyBorder="1" applyAlignment="1">
      <alignment horizontal="center" vertical="center"/>
    </xf>
    <xf numFmtId="9" fontId="3" fillId="0" borderId="32" xfId="3" applyFont="1" applyBorder="1" applyAlignment="1">
      <alignment horizontal="center" vertical="center"/>
    </xf>
    <xf numFmtId="9" fontId="3" fillId="0" borderId="0" xfId="3" applyFont="1" applyAlignment="1">
      <alignment horizontal="center" vertical="center"/>
    </xf>
    <xf numFmtId="9" fontId="3" fillId="0" borderId="2" xfId="3" applyFont="1" applyBorder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165" fontId="7" fillId="5" borderId="9" xfId="0" applyNumberFormat="1" applyFont="1" applyFill="1" applyBorder="1" applyAlignment="1">
      <alignment horizontal="right" vertical="center"/>
    </xf>
    <xf numFmtId="165" fontId="7" fillId="5" borderId="6" xfId="0" applyNumberFormat="1" applyFont="1" applyFill="1" applyBorder="1" applyAlignment="1">
      <alignment horizontal="right" vertical="center"/>
    </xf>
    <xf numFmtId="165" fontId="7" fillId="5" borderId="27" xfId="0" applyNumberFormat="1" applyFont="1" applyFill="1" applyBorder="1" applyAlignment="1">
      <alignment horizontal="right" vertical="center"/>
    </xf>
    <xf numFmtId="165" fontId="7" fillId="5" borderId="24" xfId="0" applyNumberFormat="1" applyFont="1" applyFill="1" applyBorder="1" applyAlignment="1">
      <alignment horizontal="right" vertical="center"/>
    </xf>
    <xf numFmtId="3" fontId="3" fillId="8" borderId="20" xfId="0" applyNumberFormat="1" applyFont="1" applyFill="1" applyBorder="1" applyAlignment="1">
      <alignment horizontal="center" vertical="center"/>
    </xf>
    <xf numFmtId="9" fontId="19" fillId="6" borderId="34" xfId="0" applyNumberFormat="1" applyFont="1" applyFill="1" applyBorder="1" applyAlignment="1">
      <alignment horizontal="center" vertical="center"/>
    </xf>
    <xf numFmtId="9" fontId="7" fillId="5" borderId="23" xfId="3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65" fontId="3" fillId="4" borderId="12" xfId="0" applyNumberFormat="1" applyFont="1" applyFill="1" applyBorder="1" applyAlignment="1">
      <alignment horizontal="center" vertical="center"/>
    </xf>
    <xf numFmtId="165" fontId="3" fillId="4" borderId="13" xfId="0" applyNumberFormat="1" applyFont="1" applyFill="1" applyBorder="1" applyAlignment="1">
      <alignment horizontal="center" vertical="center"/>
    </xf>
    <xf numFmtId="165" fontId="3" fillId="4" borderId="22" xfId="0" applyNumberFormat="1" applyFont="1" applyFill="1" applyBorder="1" applyAlignment="1">
      <alignment horizontal="center" vertical="center"/>
    </xf>
    <xf numFmtId="165" fontId="7" fillId="5" borderId="22" xfId="0" applyNumberFormat="1" applyFont="1" applyFill="1" applyBorder="1" applyAlignment="1">
      <alignment horizontal="center" vertical="center"/>
    </xf>
    <xf numFmtId="165" fontId="7" fillId="4" borderId="7" xfId="0" applyNumberFormat="1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 wrapText="1"/>
    </xf>
    <xf numFmtId="165" fontId="7" fillId="5" borderId="13" xfId="0" applyNumberFormat="1" applyFont="1" applyFill="1" applyBorder="1" applyAlignment="1">
      <alignment horizontal="center" vertical="center"/>
    </xf>
    <xf numFmtId="165" fontId="7" fillId="4" borderId="22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3" fontId="16" fillId="0" borderId="8" xfId="0" applyNumberFormat="1" applyFont="1" applyBorder="1" applyAlignment="1">
      <alignment horizontal="center" vertical="center"/>
    </xf>
    <xf numFmtId="9" fontId="16" fillId="0" borderId="8" xfId="3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3" fontId="16" fillId="3" borderId="8" xfId="0" applyNumberFormat="1" applyFont="1" applyFill="1" applyBorder="1" applyAlignment="1">
      <alignment horizontal="center" vertical="center"/>
    </xf>
    <xf numFmtId="165" fontId="16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wrapText="1"/>
    </xf>
    <xf numFmtId="165" fontId="7" fillId="5" borderId="9" xfId="0" applyNumberFormat="1" applyFont="1" applyFill="1" applyBorder="1"/>
    <xf numFmtId="165" fontId="7" fillId="0" borderId="9" xfId="0" applyNumberFormat="1" applyFont="1" applyBorder="1"/>
    <xf numFmtId="3" fontId="7" fillId="0" borderId="0" xfId="0" applyNumberFormat="1" applyFont="1" applyAlignment="1">
      <alignment horizontal="center" vertical="center"/>
    </xf>
    <xf numFmtId="9" fontId="7" fillId="0" borderId="0" xfId="3" applyFont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9" fontId="14" fillId="0" borderId="8" xfId="3" applyFont="1" applyBorder="1" applyAlignment="1">
      <alignment horizontal="center" vertical="center"/>
    </xf>
    <xf numFmtId="17" fontId="3" fillId="0" borderId="15" xfId="0" applyNumberFormat="1" applyFont="1" applyBorder="1" applyAlignment="1">
      <alignment horizontal="center" vertical="center"/>
    </xf>
    <xf numFmtId="17" fontId="3" fillId="0" borderId="17" xfId="0" applyNumberFormat="1" applyFont="1" applyBorder="1" applyAlignment="1">
      <alignment horizontal="center" vertical="center"/>
    </xf>
    <xf numFmtId="17" fontId="3" fillId="0" borderId="21" xfId="0" applyNumberFormat="1" applyFont="1" applyBorder="1" applyAlignment="1">
      <alignment horizontal="center" vertical="center"/>
    </xf>
    <xf numFmtId="17" fontId="7" fillId="5" borderId="18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3" fontId="7" fillId="2" borderId="16" xfId="0" applyNumberFormat="1" applyFont="1" applyFill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3" fontId="7" fillId="5" borderId="22" xfId="0" applyNumberFormat="1" applyFont="1" applyFill="1" applyBorder="1" applyAlignment="1">
      <alignment horizontal="center" vertical="center"/>
    </xf>
    <xf numFmtId="3" fontId="3" fillId="0" borderId="37" xfId="0" applyNumberFormat="1" applyFont="1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3" fontId="3" fillId="0" borderId="38" xfId="0" applyNumberFormat="1" applyFont="1" applyBorder="1" applyAlignment="1">
      <alignment horizontal="center" vertical="center"/>
    </xf>
    <xf numFmtId="3" fontId="3" fillId="0" borderId="27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3" fontId="3" fillId="3" borderId="30" xfId="0" applyNumberFormat="1" applyFont="1" applyFill="1" applyBorder="1" applyAlignment="1">
      <alignment horizontal="center" vertical="center"/>
    </xf>
    <xf numFmtId="3" fontId="3" fillId="3" borderId="16" xfId="0" applyNumberFormat="1" applyFont="1" applyFill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17" fontId="7" fillId="5" borderId="17" xfId="0" applyNumberFormat="1" applyFont="1" applyFill="1" applyBorder="1" applyAlignment="1">
      <alignment horizontal="center" vertical="center"/>
    </xf>
    <xf numFmtId="3" fontId="7" fillId="5" borderId="20" xfId="0" applyNumberFormat="1" applyFont="1" applyFill="1" applyBorder="1" applyAlignment="1">
      <alignment horizontal="center" vertical="center"/>
    </xf>
    <xf numFmtId="3" fontId="7" fillId="5" borderId="17" xfId="0" applyNumberFormat="1" applyFont="1" applyFill="1" applyBorder="1" applyAlignment="1">
      <alignment horizontal="center" vertical="center"/>
    </xf>
    <xf numFmtId="9" fontId="7" fillId="5" borderId="20" xfId="3" applyFont="1" applyFill="1" applyBorder="1" applyAlignment="1">
      <alignment horizontal="center" vertical="center"/>
    </xf>
    <xf numFmtId="165" fontId="7" fillId="5" borderId="20" xfId="0" applyNumberFormat="1" applyFont="1" applyFill="1" applyBorder="1" applyAlignment="1">
      <alignment horizontal="center" vertical="center"/>
    </xf>
    <xf numFmtId="3" fontId="13" fillId="5" borderId="21" xfId="0" applyNumberFormat="1" applyFont="1" applyFill="1" applyBorder="1" applyAlignment="1">
      <alignment horizontal="center" vertical="center"/>
    </xf>
    <xf numFmtId="165" fontId="13" fillId="5" borderId="21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3" fontId="15" fillId="2" borderId="6" xfId="0" applyNumberFormat="1" applyFont="1" applyFill="1" applyBorder="1" applyAlignment="1">
      <alignment horizontal="center" vertical="center"/>
    </xf>
    <xf numFmtId="165" fontId="12" fillId="0" borderId="6" xfId="0" applyNumberFormat="1" applyFont="1" applyBorder="1"/>
    <xf numFmtId="165" fontId="13" fillId="4" borderId="6" xfId="0" applyNumberFormat="1" applyFont="1" applyFill="1" applyBorder="1" applyAlignment="1">
      <alignment horizontal="center" vertical="center"/>
    </xf>
    <xf numFmtId="3" fontId="7" fillId="5" borderId="13" xfId="0" applyNumberFormat="1" applyFont="1" applyFill="1" applyBorder="1" applyAlignment="1">
      <alignment horizontal="center" vertical="center"/>
    </xf>
    <xf numFmtId="165" fontId="7" fillId="5" borderId="26" xfId="0" applyNumberFormat="1" applyFont="1" applyFill="1" applyBorder="1" applyAlignment="1">
      <alignment horizontal="right" vertical="center"/>
    </xf>
    <xf numFmtId="165" fontId="7" fillId="5" borderId="5" xfId="0" applyNumberFormat="1" applyFont="1" applyFill="1" applyBorder="1" applyAlignment="1">
      <alignment horizontal="right" vertical="center"/>
    </xf>
    <xf numFmtId="165" fontId="12" fillId="0" borderId="9" xfId="0" applyNumberFormat="1" applyFont="1" applyBorder="1" applyAlignment="1">
      <alignment horizontal="right"/>
    </xf>
    <xf numFmtId="165" fontId="12" fillId="0" borderId="6" xfId="0" applyNumberFormat="1" applyFont="1" applyBorder="1" applyAlignment="1">
      <alignment horizontal="right"/>
    </xf>
    <xf numFmtId="0" fontId="4" fillId="0" borderId="30" xfId="0" applyFont="1" applyBorder="1" applyAlignment="1">
      <alignment horizontal="center" vertical="center" wrapText="1"/>
    </xf>
    <xf numFmtId="3" fontId="7" fillId="5" borderId="16" xfId="0" applyNumberFormat="1" applyFont="1" applyFill="1" applyBorder="1" applyAlignment="1">
      <alignment horizontal="center" vertical="center"/>
    </xf>
    <xf numFmtId="3" fontId="7" fillId="5" borderId="26" xfId="0" applyNumberFormat="1" applyFont="1" applyFill="1" applyBorder="1" applyAlignment="1">
      <alignment horizontal="center" vertical="center"/>
    </xf>
    <xf numFmtId="165" fontId="7" fillId="5" borderId="4" xfId="0" applyNumberFormat="1" applyFont="1" applyFill="1" applyBorder="1" applyAlignment="1">
      <alignment horizontal="center" vertical="center"/>
    </xf>
    <xf numFmtId="3" fontId="7" fillId="5" borderId="11" xfId="0" applyNumberFormat="1" applyFont="1" applyFill="1" applyBorder="1" applyAlignment="1">
      <alignment horizontal="center" vertical="center"/>
    </xf>
    <xf numFmtId="165" fontId="12" fillId="0" borderId="0" xfId="0" applyNumberFormat="1" applyFont="1"/>
    <xf numFmtId="165" fontId="12" fillId="0" borderId="9" xfId="0" applyNumberFormat="1" applyFont="1" applyBorder="1"/>
    <xf numFmtId="17" fontId="7" fillId="5" borderId="13" xfId="0" applyNumberFormat="1" applyFont="1" applyFill="1" applyBorder="1" applyAlignment="1">
      <alignment horizontal="center" vertical="center"/>
    </xf>
    <xf numFmtId="9" fontId="7" fillId="5" borderId="13" xfId="3" applyFont="1" applyFill="1" applyBorder="1" applyAlignment="1">
      <alignment horizontal="center" vertical="center"/>
    </xf>
    <xf numFmtId="9" fontId="7" fillId="5" borderId="26" xfId="3" applyFont="1" applyFill="1" applyBorder="1" applyAlignment="1">
      <alignment horizontal="center" vertical="center"/>
    </xf>
    <xf numFmtId="3" fontId="7" fillId="5" borderId="23" xfId="0" applyNumberFormat="1" applyFont="1" applyFill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3" fontId="3" fillId="0" borderId="43" xfId="0" applyNumberFormat="1" applyFont="1" applyBorder="1" applyAlignment="1">
      <alignment horizontal="center" vertical="center"/>
    </xf>
    <xf numFmtId="3" fontId="3" fillId="8" borderId="13" xfId="0" applyNumberFormat="1" applyFont="1" applyFill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9" fontId="3" fillId="0" borderId="13" xfId="3" applyFont="1" applyBorder="1" applyAlignment="1">
      <alignment horizontal="center" vertical="center"/>
    </xf>
    <xf numFmtId="9" fontId="3" fillId="0" borderId="22" xfId="3" applyFont="1" applyBorder="1" applyAlignment="1">
      <alignment horizontal="center" vertical="center"/>
    </xf>
    <xf numFmtId="9" fontId="3" fillId="0" borderId="37" xfId="3" applyFont="1" applyBorder="1" applyAlignment="1">
      <alignment horizontal="center" vertical="center"/>
    </xf>
    <xf numFmtId="9" fontId="3" fillId="0" borderId="26" xfId="3" applyFont="1" applyBorder="1" applyAlignment="1">
      <alignment horizontal="center" vertical="center"/>
    </xf>
    <xf numFmtId="9" fontId="3" fillId="0" borderId="12" xfId="3" applyFont="1" applyBorder="1" applyAlignment="1">
      <alignment horizontal="center" vertical="center"/>
    </xf>
    <xf numFmtId="9" fontId="7" fillId="5" borderId="22" xfId="3" applyFont="1" applyFill="1" applyBorder="1" applyAlignment="1">
      <alignment horizontal="center" vertical="center"/>
    </xf>
    <xf numFmtId="9" fontId="3" fillId="0" borderId="43" xfId="3" applyFont="1" applyBorder="1" applyAlignment="1">
      <alignment horizontal="center" vertical="center"/>
    </xf>
    <xf numFmtId="9" fontId="3" fillId="0" borderId="45" xfId="3" applyFont="1" applyBorder="1" applyAlignment="1">
      <alignment horizontal="center" vertical="center"/>
    </xf>
    <xf numFmtId="9" fontId="3" fillId="0" borderId="38" xfId="3" applyFont="1" applyBorder="1" applyAlignment="1">
      <alignment horizontal="center" vertical="center"/>
    </xf>
    <xf numFmtId="9" fontId="3" fillId="0" borderId="46" xfId="3" applyFont="1" applyBorder="1" applyAlignment="1">
      <alignment horizontal="center" vertical="center"/>
    </xf>
    <xf numFmtId="9" fontId="3" fillId="0" borderId="27" xfId="3" applyFont="1" applyBorder="1" applyAlignment="1">
      <alignment horizontal="center" vertical="center"/>
    </xf>
    <xf numFmtId="9" fontId="7" fillId="5" borderId="44" xfId="3" applyFont="1" applyFill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164" fontId="4" fillId="0" borderId="40" xfId="0" applyNumberFormat="1" applyFont="1" applyBorder="1" applyAlignment="1">
      <alignment horizontal="center" vertical="center"/>
    </xf>
    <xf numFmtId="164" fontId="4" fillId="0" borderId="41" xfId="0" applyNumberFormat="1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0" fillId="0" borderId="36" xfId="0" applyBorder="1"/>
    <xf numFmtId="0" fontId="0" fillId="0" borderId="39" xfId="0" applyBorder="1"/>
    <xf numFmtId="166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</cellXfs>
  <cellStyles count="4">
    <cellStyle name="Normal" xfId="0" builtinId="0"/>
    <cellStyle name="Normal 2" xfId="1" xr:uid="{CDD2AEBA-6F81-E344-88DD-6379A302FC3C}"/>
    <cellStyle name="Normal 3" xfId="2" xr:uid="{58686B67-980F-BB49-B20C-8F212D85FEFF}"/>
    <cellStyle name="Per cent" xfId="3" builtinId="5"/>
  </cellStyles>
  <dxfs count="220"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mruColors>
      <color rgb="FFF1B4A4"/>
      <color rgb="FFC05C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2026/2027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BOB CD</c:v>
          </c:tx>
          <c:spPr>
            <a:ln w="28575" cap="rnd">
              <a:solidFill>
                <a:srgbClr val="C05C27"/>
              </a:solidFill>
              <a:round/>
            </a:ln>
            <a:effectLst/>
          </c:spPr>
          <c:marker>
            <c:symbol val="none"/>
          </c:marker>
          <c:cat>
            <c:numRef>
              <c:f>('14Sep2026'!$A$31:$A$33,'14Sep2026'!$A$35:$A$37,'14Sep2026'!$A$39:$A$41,'14Sep2026'!$A$43:$A$45)</c:f>
              <c:numCache>
                <c:formatCode>mmm\-yy</c:formatCode>
                <c:ptCount val="12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46327</c:v>
                </c:pt>
                <c:pt idx="9">
                  <c:v>46357</c:v>
                </c:pt>
                <c:pt idx="10">
                  <c:v>46388</c:v>
                </c:pt>
                <c:pt idx="11">
                  <c:v>46419</c:v>
                </c:pt>
              </c:numCache>
            </c:numRef>
          </c:cat>
          <c:val>
            <c:numRef>
              <c:f>('14Sep2026'!$B$31:$B$33,'14Sep2026'!$B$35:$B$37,'14Sep2026'!$B$39:$B$41,'14Sep2026'!$B$43:$B$45)</c:f>
              <c:numCache>
                <c:formatCode>#,##0</c:formatCode>
                <c:ptCount val="12"/>
                <c:pt idx="0">
                  <c:v>5954987.4400000004</c:v>
                </c:pt>
                <c:pt idx="1">
                  <c:v>7888443.04</c:v>
                </c:pt>
                <c:pt idx="2">
                  <c:v>4273526.67</c:v>
                </c:pt>
                <c:pt idx="3">
                  <c:v>9659902.1699999999</c:v>
                </c:pt>
                <c:pt idx="4">
                  <c:v>12835536.539999999</c:v>
                </c:pt>
                <c:pt idx="5">
                  <c:v>16417804.35</c:v>
                </c:pt>
                <c:pt idx="6">
                  <c:v>6102932.2599999998</c:v>
                </c:pt>
                <c:pt idx="7">
                  <c:v>5077061.5199999996</c:v>
                </c:pt>
                <c:pt idx="8">
                  <c:v>1411152.17</c:v>
                </c:pt>
                <c:pt idx="9">
                  <c:v>11435158.560000001</c:v>
                </c:pt>
                <c:pt idx="10">
                  <c:v>4691404.3499999996</c:v>
                </c:pt>
                <c:pt idx="11">
                  <c:v>1457903.48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2-4467-BE23-330FB165BAD4}"/>
            </c:ext>
          </c:extLst>
        </c:ser>
        <c:ser>
          <c:idx val="1"/>
          <c:order val="1"/>
          <c:tx>
            <c:v>Budget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('14Sep2026'!$A$31:$A$33,'14Sep2026'!$A$35:$A$37,'14Sep2026'!$A$39:$A$41,'14Sep2026'!$A$43:$A$45)</c:f>
              <c:numCache>
                <c:formatCode>mmm\-yy</c:formatCode>
                <c:ptCount val="12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46327</c:v>
                </c:pt>
                <c:pt idx="9">
                  <c:v>46357</c:v>
                </c:pt>
                <c:pt idx="10">
                  <c:v>46388</c:v>
                </c:pt>
                <c:pt idx="11">
                  <c:v>46419</c:v>
                </c:pt>
              </c:numCache>
            </c:numRef>
          </c:cat>
          <c:val>
            <c:numRef>
              <c:f>('14Sep2026'!$H$31:$H$33,'14Sep2026'!$H$35:$H$37,'14Sep2026'!$H$39:$H$41,'14Sep2026'!$H$43:$H$45)</c:f>
              <c:numCache>
                <c:formatCode>#,##0</c:formatCode>
                <c:ptCount val="12"/>
                <c:pt idx="0">
                  <c:v>5730956.0652173907</c:v>
                </c:pt>
                <c:pt idx="1">
                  <c:v>8627145.3369565159</c:v>
                </c:pt>
                <c:pt idx="2">
                  <c:v>6848890.8507825974</c:v>
                </c:pt>
                <c:pt idx="3">
                  <c:v>18257878.260869566</c:v>
                </c:pt>
                <c:pt idx="4">
                  <c:v>17059430.556000002</c:v>
                </c:pt>
                <c:pt idx="5">
                  <c:v>14363449.749999985</c:v>
                </c:pt>
                <c:pt idx="6">
                  <c:v>7768152.0793478228</c:v>
                </c:pt>
                <c:pt idx="7">
                  <c:v>10894332.467391299</c:v>
                </c:pt>
                <c:pt idx="8">
                  <c:v>5676445.1834862372</c:v>
                </c:pt>
                <c:pt idx="9">
                  <c:v>17175133.532608688</c:v>
                </c:pt>
                <c:pt idx="10">
                  <c:v>8183909.504347831</c:v>
                </c:pt>
                <c:pt idx="11">
                  <c:v>3313577.3913043533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C2-4467-BE23-330FB165BAD4}"/>
            </c:ext>
          </c:extLst>
        </c:ser>
        <c:ser>
          <c:idx val="2"/>
          <c:order val="2"/>
          <c:tx>
            <c:v>STLY BOB</c:v>
          </c:tx>
          <c:spPr>
            <a:ln w="28575" cap="rnd">
              <a:solidFill>
                <a:srgbClr val="F1B4A4"/>
              </a:solidFill>
              <a:round/>
            </a:ln>
            <a:effectLst/>
          </c:spPr>
          <c:marker>
            <c:symbol val="none"/>
          </c:marker>
          <c:cat>
            <c:numRef>
              <c:f>('14Sep2026'!$A$31:$A$33,'14Sep2026'!$A$35:$A$37,'14Sep2026'!$A$39:$A$41,'14Sep2026'!$A$43:$A$45)</c:f>
              <c:numCache>
                <c:formatCode>mmm\-yy</c:formatCode>
                <c:ptCount val="12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46327</c:v>
                </c:pt>
                <c:pt idx="9">
                  <c:v>46357</c:v>
                </c:pt>
                <c:pt idx="10">
                  <c:v>46388</c:v>
                </c:pt>
                <c:pt idx="11">
                  <c:v>46419</c:v>
                </c:pt>
              </c:numCache>
            </c:numRef>
          </c:cat>
          <c:val>
            <c:numRef>
              <c:f>('14Sep2026'!$M$31:$M$33,'14Sep2026'!$M$35:$M$37,'14Sep2026'!$M$39:$M$41,'14Sep2026'!$M$43:$M$45)</c:f>
              <c:numCache>
                <c:formatCode>#,##0</c:formatCode>
                <c:ptCount val="12"/>
                <c:pt idx="0">
                  <c:v>2907157</c:v>
                </c:pt>
                <c:pt idx="1">
                  <c:v>6190451</c:v>
                </c:pt>
                <c:pt idx="2">
                  <c:v>4432903</c:v>
                </c:pt>
                <c:pt idx="3">
                  <c:v>12676957</c:v>
                </c:pt>
                <c:pt idx="4">
                  <c:v>10441826</c:v>
                </c:pt>
                <c:pt idx="5">
                  <c:v>8297520</c:v>
                </c:pt>
                <c:pt idx="6">
                  <c:v>5102942</c:v>
                </c:pt>
                <c:pt idx="7">
                  <c:v>7136769</c:v>
                </c:pt>
                <c:pt idx="8">
                  <c:v>2368113</c:v>
                </c:pt>
                <c:pt idx="9">
                  <c:v>8960000</c:v>
                </c:pt>
                <c:pt idx="10">
                  <c:v>4881739</c:v>
                </c:pt>
                <c:pt idx="11">
                  <c:v>918261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C2-4467-BE23-330FB165B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699344"/>
        <c:axId val="946223056"/>
      </c:lineChart>
      <c:dateAx>
        <c:axId val="602699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223056"/>
        <c:crosses val="autoZero"/>
        <c:auto val="1"/>
        <c:lblOffset val="100"/>
        <c:baseTimeUnit val="months"/>
      </c:dateAx>
      <c:valAx>
        <c:axId val="9462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9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2027/2028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BOB CD</c:v>
          </c:tx>
          <c:spPr>
            <a:ln w="28575" cap="rnd">
              <a:solidFill>
                <a:srgbClr val="C05C27"/>
              </a:solidFill>
              <a:round/>
            </a:ln>
            <a:effectLst/>
          </c:spPr>
          <c:marker>
            <c:symbol val="none"/>
          </c:marker>
          <c:cat>
            <c:numRef>
              <c:f>('14Sep2026'!$A$58:$A$60,'14Sep2026'!$A$62:$A$64,'14Sep2026'!$A$66:$A$68,'14Sep2026'!$A$70:$A$72)</c:f>
              <c:numCache>
                <c:formatCode>mmm\-yy</c:formatCode>
                <c:ptCount val="12"/>
                <c:pt idx="0">
                  <c:v>46447</c:v>
                </c:pt>
                <c:pt idx="1">
                  <c:v>46478</c:v>
                </c:pt>
                <c:pt idx="2">
                  <c:v>46508</c:v>
                </c:pt>
                <c:pt idx="3">
                  <c:v>46539</c:v>
                </c:pt>
                <c:pt idx="4">
                  <c:v>46569</c:v>
                </c:pt>
                <c:pt idx="5">
                  <c:v>46600</c:v>
                </c:pt>
                <c:pt idx="6">
                  <c:v>46631</c:v>
                </c:pt>
                <c:pt idx="7">
                  <c:v>46661</c:v>
                </c:pt>
                <c:pt idx="8">
                  <c:v>46692</c:v>
                </c:pt>
                <c:pt idx="9">
                  <c:v>46722</c:v>
                </c:pt>
                <c:pt idx="10">
                  <c:v>46753</c:v>
                </c:pt>
                <c:pt idx="11">
                  <c:v>46784</c:v>
                </c:pt>
              </c:numCache>
            </c:numRef>
          </c:cat>
          <c:val>
            <c:numRef>
              <c:f>('14Sep2026'!$B$58:$B$60,'14Sep2026'!$B$62:$B$64,'14Sep2026'!$B$66:$B$68,'14Sep2026'!$B$70:$B$72)</c:f>
              <c:numCache>
                <c:formatCode>#,##0</c:formatCode>
                <c:ptCount val="12"/>
                <c:pt idx="0">
                  <c:v>1941353.04</c:v>
                </c:pt>
                <c:pt idx="1">
                  <c:v>754240</c:v>
                </c:pt>
                <c:pt idx="2">
                  <c:v>1827546.09</c:v>
                </c:pt>
                <c:pt idx="3">
                  <c:v>6702947.8300000001</c:v>
                </c:pt>
                <c:pt idx="4">
                  <c:v>4596457.3899999997</c:v>
                </c:pt>
                <c:pt idx="5">
                  <c:v>544021.74</c:v>
                </c:pt>
                <c:pt idx="6">
                  <c:v>1879361.74</c:v>
                </c:pt>
                <c:pt idx="7">
                  <c:v>0</c:v>
                </c:pt>
                <c:pt idx="8">
                  <c:v>614762.61</c:v>
                </c:pt>
                <c:pt idx="9">
                  <c:v>3681390.43</c:v>
                </c:pt>
                <c:pt idx="10">
                  <c:v>891586.96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EF-4495-BA13-A7C538303188}"/>
            </c:ext>
          </c:extLst>
        </c:ser>
        <c:ser>
          <c:idx val="1"/>
          <c:order val="1"/>
          <c:tx>
            <c:v>Budget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('14Sep2026'!$A$58:$A$60,'14Sep2026'!$A$62:$A$64,'14Sep2026'!$A$66:$A$68,'14Sep2026'!$A$70:$A$72)</c:f>
              <c:numCache>
                <c:formatCode>mmm\-yy</c:formatCode>
                <c:ptCount val="12"/>
                <c:pt idx="0">
                  <c:v>46447</c:v>
                </c:pt>
                <c:pt idx="1">
                  <c:v>46478</c:v>
                </c:pt>
                <c:pt idx="2">
                  <c:v>46508</c:v>
                </c:pt>
                <c:pt idx="3">
                  <c:v>46539</c:v>
                </c:pt>
                <c:pt idx="4">
                  <c:v>46569</c:v>
                </c:pt>
                <c:pt idx="5">
                  <c:v>46600</c:v>
                </c:pt>
                <c:pt idx="6">
                  <c:v>46631</c:v>
                </c:pt>
                <c:pt idx="7">
                  <c:v>46661</c:v>
                </c:pt>
                <c:pt idx="8">
                  <c:v>46692</c:v>
                </c:pt>
                <c:pt idx="9">
                  <c:v>46722</c:v>
                </c:pt>
                <c:pt idx="10">
                  <c:v>46753</c:v>
                </c:pt>
                <c:pt idx="11">
                  <c:v>46784</c:v>
                </c:pt>
              </c:numCache>
            </c:numRef>
          </c:cat>
          <c:val>
            <c:numRef>
              <c:f>('14Sep2026'!$H$58:$H$60,'14Sep2026'!$H$62:$H$64,'14Sep2026'!$H$66:$H$68,'14Sep2026'!$H$70:$H$72)</c:f>
              <c:numCache>
                <c:formatCode>#,##0</c:formatCode>
                <c:ptCount val="12"/>
                <c:pt idx="0">
                  <c:v>6304051.6717391303</c:v>
                </c:pt>
                <c:pt idx="1">
                  <c:v>9489859.870652169</c:v>
                </c:pt>
                <c:pt idx="2">
                  <c:v>7533779.9358608574</c:v>
                </c:pt>
                <c:pt idx="3">
                  <c:v>20083666.086956523</c:v>
                </c:pt>
                <c:pt idx="4">
                  <c:v>18765373.611600004</c:v>
                </c:pt>
                <c:pt idx="5">
                  <c:v>15799794.724999985</c:v>
                </c:pt>
                <c:pt idx="6">
                  <c:v>8544967.2872826066</c:v>
                </c:pt>
                <c:pt idx="7">
                  <c:v>11983765.71413043</c:v>
                </c:pt>
                <c:pt idx="8">
                  <c:v>6244089.7018348612</c:v>
                </c:pt>
                <c:pt idx="9">
                  <c:v>18892646.885869559</c:v>
                </c:pt>
                <c:pt idx="10">
                  <c:v>9002300.4547826145</c:v>
                </c:pt>
                <c:pt idx="11">
                  <c:v>3644935.1304347888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EF-4495-BA13-A7C538303188}"/>
            </c:ext>
          </c:extLst>
        </c:ser>
        <c:ser>
          <c:idx val="2"/>
          <c:order val="2"/>
          <c:tx>
            <c:v>STLY BOB</c:v>
          </c:tx>
          <c:spPr>
            <a:ln w="28575" cap="rnd">
              <a:solidFill>
                <a:srgbClr val="F1B4A4"/>
              </a:solidFill>
              <a:round/>
            </a:ln>
            <a:effectLst/>
          </c:spPr>
          <c:marker>
            <c:symbol val="none"/>
          </c:marker>
          <c:cat>
            <c:numRef>
              <c:f>('14Sep2026'!$A$58:$A$60,'14Sep2026'!$A$62:$A$64,'14Sep2026'!$A$66:$A$68,'14Sep2026'!$A$70:$A$72)</c:f>
              <c:numCache>
                <c:formatCode>mmm\-yy</c:formatCode>
                <c:ptCount val="12"/>
                <c:pt idx="0">
                  <c:v>46447</c:v>
                </c:pt>
                <c:pt idx="1">
                  <c:v>46478</c:v>
                </c:pt>
                <c:pt idx="2">
                  <c:v>46508</c:v>
                </c:pt>
                <c:pt idx="3">
                  <c:v>46539</c:v>
                </c:pt>
                <c:pt idx="4">
                  <c:v>46569</c:v>
                </c:pt>
                <c:pt idx="5">
                  <c:v>46600</c:v>
                </c:pt>
                <c:pt idx="6">
                  <c:v>46631</c:v>
                </c:pt>
                <c:pt idx="7">
                  <c:v>46661</c:v>
                </c:pt>
                <c:pt idx="8">
                  <c:v>46692</c:v>
                </c:pt>
                <c:pt idx="9">
                  <c:v>46722</c:v>
                </c:pt>
                <c:pt idx="10">
                  <c:v>46753</c:v>
                </c:pt>
                <c:pt idx="11">
                  <c:v>46784</c:v>
                </c:pt>
              </c:numCache>
            </c:numRef>
          </c:cat>
          <c:val>
            <c:numRef>
              <c:f>('14Sep2026'!$M$58:$M$60,'14Sep2026'!$M$62:$M$64,'14Sep2026'!$M$66:$M$68,'14Sep2026'!$M$70:$M$72)</c:f>
              <c:numCache>
                <c:formatCode>#,##0</c:formatCode>
                <c:ptCount val="12"/>
                <c:pt idx="0">
                  <c:v>646457</c:v>
                </c:pt>
                <c:pt idx="1">
                  <c:v>1677826</c:v>
                </c:pt>
                <c:pt idx="2">
                  <c:v>967696</c:v>
                </c:pt>
                <c:pt idx="3">
                  <c:v>4523283</c:v>
                </c:pt>
                <c:pt idx="4">
                  <c:v>1197391</c:v>
                </c:pt>
                <c:pt idx="5">
                  <c:v>1810435</c:v>
                </c:pt>
                <c:pt idx="6">
                  <c:v>611674</c:v>
                </c:pt>
                <c:pt idx="7">
                  <c:v>1334543</c:v>
                </c:pt>
                <c:pt idx="8">
                  <c:v>0</c:v>
                </c:pt>
                <c:pt idx="9">
                  <c:v>4643478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EF-4495-BA13-A7C538303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133360"/>
        <c:axId val="701436096"/>
      </c:lineChart>
      <c:dateAx>
        <c:axId val="7011333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36096"/>
        <c:crosses val="autoZero"/>
        <c:auto val="1"/>
        <c:lblOffset val="100"/>
        <c:baseTimeUnit val="months"/>
      </c:dateAx>
      <c:valAx>
        <c:axId val="7014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3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406400</xdr:colOff>
      <xdr:row>28</xdr:row>
      <xdr:rowOff>241300</xdr:rowOff>
    </xdr:from>
    <xdr:to>
      <xdr:col>30</xdr:col>
      <xdr:colOff>444500</xdr:colOff>
      <xdr:row>47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BAAAEC-E030-43DA-9F27-5787E53F3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406400</xdr:colOff>
      <xdr:row>50</xdr:row>
      <xdr:rowOff>63500</xdr:rowOff>
    </xdr:from>
    <xdr:to>
      <xdr:col>30</xdr:col>
      <xdr:colOff>444500</xdr:colOff>
      <xdr:row>67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D9BDD2-2408-48C4-87B0-46994814F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87F8C8-C119-BC49-B3FD-952B9DFD5E6C}">
  <we:reference id="wa200011056" version="1.0.0.2" store="en-US" storeType="OMEX"/>
  <we:alternateReferences>
    <we:reference id="WA200011056" version="1.0.0.2" store="" storeType="OMEX"/>
  </we:alternateReferences>
  <we:properties>
    <we:property name="grokConversationBinding" value="{&quot;responseId&quot;:&quot;a3d4f1f4-b63e-4303-adc4-21f54431a8c4&quot;,&quot;title&quot;:&quot;Excel Workbook Fixes: Remove Circular References &amp; Optimize Size&quot;,&quot;transport&quot;:&quot;gateway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3EBF-1AFF-455A-A991-C7DEB40AF9A4}">
  <dimension ref="A1:AZ200"/>
  <sheetViews>
    <sheetView topLeftCell="A28" zoomScale="93" zoomScaleNormal="93" workbookViewId="0">
      <pane xSplit="1" topLeftCell="B1" activePane="topRight" state="frozen"/>
      <selection activeCell="O27" sqref="O27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v>0</v>
      </c>
      <c r="S8" s="49"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v>0</v>
      </c>
      <c r="S12" s="49"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v>0</v>
      </c>
      <c r="S16" s="49"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v>0</v>
      </c>
      <c r="S20" s="76"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v>0</v>
      </c>
      <c r="S21" s="148"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46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v>-8337753.9100000001</v>
      </c>
      <c r="S34" s="49">
        <v>8312964.1100000003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v>-16722695.65</v>
      </c>
      <c r="S38" s="49"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6102932.2599999998</v>
      </c>
      <c r="C39" s="20">
        <v>0</v>
      </c>
      <c r="D39" s="171">
        <v>0.7</v>
      </c>
      <c r="E39" s="20">
        <v>6102932.2599999998</v>
      </c>
      <c r="F39" s="65">
        <v>0.64</v>
      </c>
      <c r="G39" s="24">
        <f t="shared" si="8"/>
        <v>0</v>
      </c>
      <c r="H39" s="28">
        <v>7768152.0793478228</v>
      </c>
      <c r="I39" s="20">
        <v>0</v>
      </c>
      <c r="J39" s="20">
        <v>0</v>
      </c>
      <c r="K39" s="24">
        <f t="shared" si="13"/>
        <v>0</v>
      </c>
      <c r="L39" s="32">
        <f t="shared" si="9"/>
        <v>-1665219.819347823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999990.25999999978</v>
      </c>
      <c r="R39" s="3">
        <v>-5008359.13</v>
      </c>
      <c r="S39" s="3">
        <v>4589463.5599999996</v>
      </c>
      <c r="T39" s="97">
        <f t="shared" si="11"/>
        <v>6102932.2599999998</v>
      </c>
      <c r="U39" s="39">
        <f t="shared" si="12"/>
        <v>-1665219.819347823</v>
      </c>
    </row>
    <row r="40" spans="1:21" x14ac:dyDescent="0.2">
      <c r="A40" s="17">
        <v>46296</v>
      </c>
      <c r="B40" s="20">
        <v>5077061.5199999996</v>
      </c>
      <c r="C40" s="20">
        <v>0</v>
      </c>
      <c r="D40" s="171">
        <v>0.47</v>
      </c>
      <c r="E40" s="20">
        <v>5077061.5199999996</v>
      </c>
      <c r="F40" s="65">
        <v>0.47</v>
      </c>
      <c r="G40" s="24">
        <f t="shared" si="8"/>
        <v>0</v>
      </c>
      <c r="H40" s="28">
        <v>10894332.467391299</v>
      </c>
      <c r="I40" s="20">
        <v>1892860</v>
      </c>
      <c r="J40" s="20">
        <v>1892860</v>
      </c>
      <c r="K40" s="24">
        <f t="shared" si="13"/>
        <v>0</v>
      </c>
      <c r="L40" s="32">
        <f t="shared" si="9"/>
        <v>-5817270.9473912995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-2059707.4800000004</v>
      </c>
      <c r="R40" s="3">
        <v>-2125353.04</v>
      </c>
      <c r="S40" s="3">
        <v>2038092.82</v>
      </c>
      <c r="T40" s="97">
        <f t="shared" si="11"/>
        <v>6969921.5199999996</v>
      </c>
      <c r="U40" s="39">
        <f t="shared" si="12"/>
        <v>-3924410.9473912995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1192419.1299999999</v>
      </c>
      <c r="K41" s="24">
        <f t="shared" si="13"/>
        <v>0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12591145.949999999</v>
      </c>
      <c r="C42" s="141">
        <f>SUM(C39:C41)</f>
        <v>0</v>
      </c>
      <c r="D42" s="163">
        <f>SUM(D39:D41)/3</f>
        <v>0.4433333333333333</v>
      </c>
      <c r="E42" s="141">
        <f>SUM(E39:E41)</f>
        <v>12591145.949999999</v>
      </c>
      <c r="F42" s="142">
        <f>SUM(F39:F41)/3</f>
        <v>0.42333333333333328</v>
      </c>
      <c r="G42" s="141">
        <f t="shared" si="8"/>
        <v>0</v>
      </c>
      <c r="H42" s="140">
        <f>SUM(H39:H41)</f>
        <v>24338929.730225362</v>
      </c>
      <c r="I42" s="141">
        <f>SUM(I39:I41)</f>
        <v>3085279.13</v>
      </c>
      <c r="J42" s="141">
        <f>SUM(J39:J41)</f>
        <v>3085279.13</v>
      </c>
      <c r="K42" s="141">
        <f t="shared" si="13"/>
        <v>0</v>
      </c>
      <c r="L42" s="143">
        <f t="shared" si="9"/>
        <v>-11747783.780225363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-2016678.0500000007</v>
      </c>
      <c r="R42" s="151">
        <v>-9020601.7400000002</v>
      </c>
      <c r="S42" s="152">
        <v>8038708.5499999998</v>
      </c>
      <c r="T42" s="102">
        <f t="shared" si="11"/>
        <v>15676425.079999998</v>
      </c>
      <c r="U42" s="77">
        <f t="shared" si="12"/>
        <v>-8662504.6502253637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2226393.04</v>
      </c>
      <c r="J43" s="19">
        <v>2226393.04</v>
      </c>
      <c r="K43" s="34">
        <f>I43-J43</f>
        <v>0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378066.95</v>
      </c>
      <c r="S43" s="3">
        <v>5300767.26</v>
      </c>
      <c r="T43" s="97">
        <f t="shared" si="11"/>
        <v>13661551.600000001</v>
      </c>
      <c r="U43" s="39">
        <f t="shared" si="12"/>
        <v>-3513581.9326086864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2162521.7400000002</v>
      </c>
      <c r="J44" s="20">
        <v>2162521.7400000002</v>
      </c>
      <c r="K44" s="24">
        <f>I44-J44</f>
        <v>0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2162521.7400000002</v>
      </c>
      <c r="S44" s="3">
        <v>4458817.3899999997</v>
      </c>
      <c r="T44" s="97">
        <f t="shared" si="11"/>
        <v>6853926.0899999999</v>
      </c>
      <c r="U44" s="39">
        <f t="shared" si="12"/>
        <v>-1329983.4143478312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852555.65</v>
      </c>
      <c r="K45" s="44">
        <f t="shared" si="13"/>
        <v>0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5241470.4300000006</v>
      </c>
      <c r="J46" s="54">
        <f>SUM(J43:J45)</f>
        <v>5241470.4300000006</v>
      </c>
      <c r="K46" s="54">
        <f t="shared" si="13"/>
        <v>0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v>2763634.77</v>
      </c>
      <c r="S46" s="89">
        <v>11217488.130000001</v>
      </c>
      <c r="T46" s="102">
        <f t="shared" si="11"/>
        <v>22825936.82</v>
      </c>
      <c r="U46" s="57">
        <f t="shared" si="12"/>
        <v>-5846683.60826087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87205812.549999997</v>
      </c>
      <c r="C48" s="58">
        <f>SUM(C34+C38+C42+C46)</f>
        <v>0</v>
      </c>
      <c r="D48" s="106">
        <f>SUM(D34+D38+D42+D46)/4</f>
        <v>0.50583333333333336</v>
      </c>
      <c r="E48" s="58">
        <v>81345660.370000005</v>
      </c>
      <c r="F48" s="106">
        <f>SUM(F34+F38+F42+F46)/4</f>
        <v>0.50083333333333335</v>
      </c>
      <c r="G48" s="58">
        <f>SUM(G34+G38+G42+G46)</f>
        <v>0</v>
      </c>
      <c r="H48" s="109">
        <f>SUM(H34+H38+H42+H46)</f>
        <v>123899300.97831228</v>
      </c>
      <c r="I48" s="58">
        <f>SUM(I34+I38+I42+I46)</f>
        <v>8326749.5600000005</v>
      </c>
      <c r="J48" s="58">
        <f>SUM(J34+J38+J42+J46)</f>
        <v>8326749.5600000005</v>
      </c>
      <c r="K48" s="59">
        <f t="shared" si="13"/>
        <v>0</v>
      </c>
      <c r="L48" s="110">
        <f t="shared" ref="L48" si="15">B48-H48</f>
        <v>-36693488.428312287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12891174.549999997</v>
      </c>
      <c r="R48" s="153">
        <v>-31317416.530000001</v>
      </c>
      <c r="S48" s="154">
        <v>39811377.759999998</v>
      </c>
      <c r="T48" s="100">
        <f t="shared" si="11"/>
        <v>95532562.109999999</v>
      </c>
      <c r="U48" s="149">
        <f t="shared" si="12"/>
        <v>-28366738.868312284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-1492986.2562269624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95532562.109999999</v>
      </c>
      <c r="J53" s="7">
        <f>C48+J48</f>
        <v>8326749.5600000005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28366738.868312284</v>
      </c>
      <c r="J54" s="7">
        <f>I48-U48</f>
        <v>36693488.428312287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1970413.04</v>
      </c>
      <c r="J58" s="130">
        <v>1092180</v>
      </c>
      <c r="K58" s="23">
        <f>I58-J58</f>
        <v>878233.04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-493043.48</v>
      </c>
      <c r="S58" s="3">
        <v>1941353.04</v>
      </c>
      <c r="T58" s="96">
        <f t="shared" ref="T58:T69" si="16">B58+I58</f>
        <v>3911766.08</v>
      </c>
      <c r="U58" s="38">
        <f>T58-H58</f>
        <v>-2392285.5917391302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1449203.48</v>
      </c>
      <c r="J59" s="131">
        <v>1449203.48</v>
      </c>
      <c r="K59" s="24">
        <f t="shared" ref="K59:K75" si="18">I59-J59</f>
        <v>0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-3875225.22</v>
      </c>
      <c r="S59" s="3">
        <v>754240</v>
      </c>
      <c r="T59" s="97">
        <f t="shared" si="16"/>
        <v>2203443.48</v>
      </c>
      <c r="U59" s="39">
        <f t="shared" ref="U59:U75" si="21">T59-H59</f>
        <v>-7286416.3906521685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2714273.04</v>
      </c>
      <c r="K60" s="24">
        <f t="shared" si="18"/>
        <v>0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6133889.5600000005</v>
      </c>
      <c r="J61" s="157">
        <f>SUM(J58:J60)</f>
        <v>5255656.5199999996</v>
      </c>
      <c r="K61" s="141">
        <f t="shared" si="18"/>
        <v>878233.04000000097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v>-1862169.57</v>
      </c>
      <c r="S61" s="49">
        <v>4264530.4343478298</v>
      </c>
      <c r="T61" s="102">
        <f t="shared" si="16"/>
        <v>10657028.690000001</v>
      </c>
      <c r="U61" s="50">
        <f t="shared" si="21"/>
        <v>-12670662.788252156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5690681.7400000002</v>
      </c>
      <c r="J62" s="131">
        <v>5690681.7400000002</v>
      </c>
      <c r="K62" s="24">
        <f t="shared" si="18"/>
        <v>0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4396863.4800000004</v>
      </c>
      <c r="S62" s="3">
        <v>4102562.61</v>
      </c>
      <c r="T62" s="97">
        <f t="shared" si="16"/>
        <v>12393629.57</v>
      </c>
      <c r="U62" s="39">
        <f t="shared" si="21"/>
        <v>-7690036.5169565231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5429248.7000000002</v>
      </c>
      <c r="J63" s="131">
        <v>4670973.91</v>
      </c>
      <c r="K63" s="24">
        <f t="shared" si="18"/>
        <v>758274.79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5429248.7000000002</v>
      </c>
      <c r="S63" s="3">
        <v>4596457.3899999997</v>
      </c>
      <c r="T63" s="97">
        <f t="shared" si="16"/>
        <v>10025706.09</v>
      </c>
      <c r="U63" s="39">
        <f t="shared" si="21"/>
        <v>-8739667.5216000043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2830129.57</v>
      </c>
      <c r="J64" s="131">
        <v>2830129.57</v>
      </c>
      <c r="K64" s="24">
        <f t="shared" si="18"/>
        <v>0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2122072.1800000002</v>
      </c>
      <c r="S64" s="3">
        <v>544021.74</v>
      </c>
      <c r="T64" s="97">
        <f t="shared" si="16"/>
        <v>3374151.3099999996</v>
      </c>
      <c r="U64" s="39">
        <f t="shared" si="21"/>
        <v>-12425643.414999984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13950060.010000002</v>
      </c>
      <c r="J65" s="157">
        <f>SUM(J62:J64)</f>
        <v>13191785.220000001</v>
      </c>
      <c r="K65" s="141">
        <f t="shared" si="18"/>
        <v>758274.79000000097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v>11948184.359999999</v>
      </c>
      <c r="S65" s="49">
        <v>9243041.7400000002</v>
      </c>
      <c r="T65" s="102">
        <f t="shared" si="16"/>
        <v>25793486.969999999</v>
      </c>
      <c r="U65" s="50">
        <f t="shared" si="21"/>
        <v>-28855347.453556515</v>
      </c>
    </row>
    <row r="66" spans="1:21" x14ac:dyDescent="0.2">
      <c r="A66" s="122">
        <v>46631</v>
      </c>
      <c r="B66" s="22">
        <v>1879361.74</v>
      </c>
      <c r="C66" s="128"/>
      <c r="D66" s="171">
        <v>0.1</v>
      </c>
      <c r="E66" s="22">
        <v>1879361.74</v>
      </c>
      <c r="F66" s="174">
        <v>0.1</v>
      </c>
      <c r="G66" s="26">
        <f t="shared" si="22"/>
        <v>0</v>
      </c>
      <c r="H66" s="136">
        <f>H39*1.1</f>
        <v>8544967.2872826066</v>
      </c>
      <c r="I66" s="131">
        <v>660326.09</v>
      </c>
      <c r="J66" s="131">
        <v>660326.09</v>
      </c>
      <c r="K66" s="24">
        <f t="shared" si="18"/>
        <v>0</v>
      </c>
      <c r="L66" s="32">
        <f t="shared" si="19"/>
        <v>-6665605.5472826064</v>
      </c>
      <c r="M66" s="138">
        <v>611674</v>
      </c>
      <c r="N66" s="67">
        <v>0</v>
      </c>
      <c r="O66" s="19">
        <f>B39</f>
        <v>6102932.2599999998</v>
      </c>
      <c r="P66" s="65">
        <f>D39</f>
        <v>0.7</v>
      </c>
      <c r="Q66" s="34">
        <f t="shared" si="20"/>
        <v>1267687.74</v>
      </c>
      <c r="R66" s="3">
        <v>660326.09</v>
      </c>
      <c r="S66" s="3">
        <v>903545.22</v>
      </c>
      <c r="T66" s="97">
        <f t="shared" si="16"/>
        <v>2539687.83</v>
      </c>
      <c r="U66" s="39">
        <f t="shared" si="21"/>
        <v>-6005279.4572826065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0</v>
      </c>
      <c r="J67" s="131">
        <v>0</v>
      </c>
      <c r="K67" s="24">
        <f t="shared" si="18"/>
        <v>0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5077061.5199999996</v>
      </c>
      <c r="P67" s="65">
        <f>D40</f>
        <v>0.47</v>
      </c>
      <c r="Q67" s="34">
        <f t="shared" si="20"/>
        <v>-1334543</v>
      </c>
      <c r="R67" s="3">
        <v>0</v>
      </c>
      <c r="S67" s="3">
        <v>0</v>
      </c>
      <c r="T67" s="97">
        <f t="shared" si="16"/>
        <v>0</v>
      </c>
      <c r="U67" s="39">
        <f t="shared" si="21"/>
        <v>-11983765.71413043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671770.43</v>
      </c>
      <c r="J68" s="131">
        <v>671770.43</v>
      </c>
      <c r="K68" s="24">
        <f t="shared" si="18"/>
        <v>0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671770.43</v>
      </c>
      <c r="S68" s="3">
        <v>614762.61</v>
      </c>
      <c r="T68" s="97">
        <f t="shared" si="16"/>
        <v>1286533.04</v>
      </c>
      <c r="U68" s="39">
        <f t="shared" si="21"/>
        <v>-4957556.6618348612</v>
      </c>
    </row>
    <row r="69" spans="1:21" x14ac:dyDescent="0.2">
      <c r="A69" s="139" t="s">
        <v>29</v>
      </c>
      <c r="B69" s="140">
        <f>SUM(B66:B68)</f>
        <v>2494124.35</v>
      </c>
      <c r="C69" s="150">
        <f>SUM(C66:C68)</f>
        <v>0</v>
      </c>
      <c r="D69" s="176">
        <f>SUM(D66:D68)/3</f>
        <v>4.6666666666666669E-2</v>
      </c>
      <c r="E69" s="141">
        <f>SUM(E66:E68)</f>
        <v>2494124.35</v>
      </c>
      <c r="F69" s="71">
        <f>SUM(F66:F68)/3</f>
        <v>4.6666666666666669E-2</v>
      </c>
      <c r="G69" s="140">
        <f t="shared" si="22"/>
        <v>0</v>
      </c>
      <c r="H69" s="156">
        <f>SUM(H66:H68)</f>
        <v>26772822.703247897</v>
      </c>
      <c r="I69" s="157">
        <f>SUM(I66:I68)</f>
        <v>1332096.52</v>
      </c>
      <c r="J69" s="157">
        <f>SUM(J66:J68)</f>
        <v>1332096.52</v>
      </c>
      <c r="K69" s="141">
        <f t="shared" si="18"/>
        <v>0</v>
      </c>
      <c r="L69" s="143">
        <f t="shared" si="19"/>
        <v>-24278698.353247896</v>
      </c>
      <c r="M69" s="141">
        <f>SUM(M66:M68)</f>
        <v>1946217</v>
      </c>
      <c r="N69" s="69">
        <f>SUM(N66:N68)/3</f>
        <v>0</v>
      </c>
      <c r="O69" s="141">
        <f>SUM(O66:O68)</f>
        <v>12591145.949999999</v>
      </c>
      <c r="P69" s="142">
        <f>SUM(P66:P68)/3</f>
        <v>0.4433333333333333</v>
      </c>
      <c r="Q69" s="77">
        <f t="shared" si="20"/>
        <v>547907.35000000009</v>
      </c>
      <c r="R69" s="151">
        <v>1332096.52</v>
      </c>
      <c r="S69" s="152">
        <v>1518307.83</v>
      </c>
      <c r="T69" s="158">
        <f t="shared" si="16"/>
        <v>3826220.87</v>
      </c>
      <c r="U69" s="77">
        <f t="shared" si="21"/>
        <v>-22946601.833247896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0</v>
      </c>
      <c r="J70" s="132">
        <v>0</v>
      </c>
      <c r="K70" s="24">
        <f t="shared" si="18"/>
        <v>0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0</v>
      </c>
      <c r="S70" s="3">
        <v>3681390.43</v>
      </c>
      <c r="T70" s="97">
        <f>B70+I70</f>
        <v>3681390.43</v>
      </c>
      <c r="U70" s="39">
        <f t="shared" si="21"/>
        <v>-15211256.455869559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0</v>
      </c>
      <c r="J71" s="131">
        <v>466849.57</v>
      </c>
      <c r="K71" s="24">
        <f t="shared" si="18"/>
        <v>-466849.57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-2092352.17</v>
      </c>
      <c r="S71" s="3">
        <v>891586.96</v>
      </c>
      <c r="T71" s="97">
        <f>B71+I71</f>
        <v>891586.96</v>
      </c>
      <c r="U71" s="39">
        <f t="shared" si="21"/>
        <v>-8110713.4947826145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0</v>
      </c>
      <c r="J73" s="157">
        <f>SUM(J70:J72)</f>
        <v>466849.57</v>
      </c>
      <c r="K73" s="63">
        <f t="shared" si="18"/>
        <v>-466849.57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v>-2092352.17</v>
      </c>
      <c r="S73" s="91">
        <v>4572977.3899999997</v>
      </c>
      <c r="T73" s="74">
        <f t="shared" ref="T73" si="23">B73+I73</f>
        <v>4572977.3900000006</v>
      </c>
      <c r="U73" s="57">
        <f t="shared" si="21"/>
        <v>-26966905.081086963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23433667.830000002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0</v>
      </c>
      <c r="H75" s="109">
        <f>SUM(H61+H65+H69+H73)</f>
        <v>136289231.07614356</v>
      </c>
      <c r="I75" s="58">
        <f t="shared" si="24"/>
        <v>21416046.09</v>
      </c>
      <c r="J75" s="58">
        <f t="shared" si="24"/>
        <v>20246387.830000002</v>
      </c>
      <c r="K75" s="59">
        <f t="shared" si="18"/>
        <v>1169658.2599999979</v>
      </c>
      <c r="L75" s="110">
        <f t="shared" ref="L75" si="25">B75-H75</f>
        <v>-112855563.24614356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87205812.549999997</v>
      </c>
      <c r="P75" s="120">
        <f>SUM(P61+P65+P69+P73)/4</f>
        <v>0.50583333333333336</v>
      </c>
      <c r="Q75" s="60">
        <f>B75-M75</f>
        <v>6020884.8300000019</v>
      </c>
      <c r="R75" s="161">
        <v>9325759.1400000006</v>
      </c>
      <c r="S75" s="148">
        <v>19598857.394347802</v>
      </c>
      <c r="T75" s="100">
        <f>B75+I75</f>
        <v>44849713.920000002</v>
      </c>
      <c r="U75" s="149">
        <f t="shared" si="21"/>
        <v>-91439517.156143561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-4812606.1661128188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44849713.920000002</v>
      </c>
      <c r="J80" s="7">
        <f>C75+J75</f>
        <v>25495150.830000002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-91439517.156143561</v>
      </c>
      <c r="J81" s="7">
        <f>J80-I75</f>
        <v>4079104.7400000021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  <row r="94" spans="1:2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T94"/>
      <c r="U94"/>
    </row>
    <row r="95" spans="1:2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T95"/>
      <c r="U95"/>
    </row>
    <row r="96" spans="1:21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T96"/>
      <c r="U96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219" priority="12" operator="equal">
      <formula>0.1</formula>
    </cfRule>
    <cfRule type="cellIs" dxfId="218" priority="13" operator="equal">
      <formula>0.2</formula>
    </cfRule>
    <cfRule type="cellIs" dxfId="217" priority="14" operator="equal">
      <formula>0.3</formula>
    </cfRule>
    <cfRule type="cellIs" dxfId="216" priority="15" operator="equal">
      <formula>0.4</formula>
    </cfRule>
    <cfRule type="cellIs" dxfId="215" priority="16" operator="equal">
      <formula>0.5</formula>
    </cfRule>
    <cfRule type="cellIs" dxfId="214" priority="17" operator="equal">
      <formula>0.6</formula>
    </cfRule>
    <cfRule type="cellIs" dxfId="213" priority="18" operator="equal">
      <formula>0.7</formula>
    </cfRule>
    <cfRule type="cellIs" dxfId="212" priority="19" operator="equal">
      <formula>0.8</formula>
    </cfRule>
    <cfRule type="cellIs" dxfId="211" priority="20" stopIfTrue="1" operator="lessThan">
      <formula>-1</formula>
    </cfRule>
    <cfRule type="cellIs" dxfId="210" priority="21" operator="greaterThan">
      <formula>0.9</formula>
    </cfRule>
    <cfRule type="cellIs" dxfId="209" priority="22" operator="equal">
      <formula>0</formula>
    </cfRule>
  </conditionalFormatting>
  <conditionalFormatting sqref="G58:G75 K58:L75 Q58:Q75 U58:U75">
    <cfRule type="cellIs" dxfId="208" priority="1" operator="equal">
      <formula>0.1</formula>
    </cfRule>
    <cfRule type="cellIs" dxfId="207" priority="2" operator="equal">
      <formula>0.2</formula>
    </cfRule>
    <cfRule type="cellIs" dxfId="206" priority="3" operator="equal">
      <formula>0.3</formula>
    </cfRule>
    <cfRule type="cellIs" dxfId="205" priority="4" operator="equal">
      <formula>0.4</formula>
    </cfRule>
    <cfRule type="cellIs" dxfId="204" priority="5" operator="equal">
      <formula>0.5</formula>
    </cfRule>
    <cfRule type="cellIs" dxfId="203" priority="6" operator="equal">
      <formula>0.6</formula>
    </cfRule>
    <cfRule type="cellIs" dxfId="202" priority="7" operator="equal">
      <formula>0.7</formula>
    </cfRule>
    <cfRule type="cellIs" dxfId="201" priority="8" operator="equal">
      <formula>0.8</formula>
    </cfRule>
    <cfRule type="cellIs" dxfId="200" priority="9" stopIfTrue="1" operator="lessThan">
      <formula>-1</formula>
    </cfRule>
    <cfRule type="cellIs" dxfId="199" priority="10" operator="greaterThan">
      <formula>0.9</formula>
    </cfRule>
    <cfRule type="cellIs" dxfId="198" priority="11" operator="equal">
      <formula>0</formula>
    </cfRule>
  </conditionalFormatting>
  <pageMargins left="0.7" right="0.7" top="0.75" bottom="0.75" header="0.3" footer="0.3"/>
  <pageSetup paperSize="9" orientation="portrait" r:id="rId1"/>
  <ignoredErrors>
    <ignoredError sqref="D46:E46 N46:O46 N48:O48 D61:E61 H61 O61:P61 D65:E65 H65 O65:P65 D6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10D1-2358-4743-AEE2-C928E5048F9F}">
  <dimension ref="A1:AZ93"/>
  <sheetViews>
    <sheetView topLeftCell="A40" zoomScale="93" zoomScaleNormal="93" workbookViewId="0">
      <pane xSplit="1" topLeftCell="B1" activePane="topRight" state="frozen"/>
      <selection activeCell="E69" sqref="E69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f>SUM(R5:R7)</f>
        <v>0</v>
      </c>
      <c r="S8" s="49">
        <f>SUM(S5:S7)</f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f>SUM(R9:R11)</f>
        <v>0</v>
      </c>
      <c r="S12" s="49">
        <f>SUM(S9:S11)</f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f>SUM(R13:R15)</f>
        <v>0</v>
      </c>
      <c r="S16" s="49">
        <f>SUM(S13:S15)</f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f>SUM(R17:R19)</f>
        <v>0</v>
      </c>
      <c r="S20" s="76">
        <f>SUM(S17:S19)</f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f>SUM(R8+R12+R16+R20)</f>
        <v>0</v>
      </c>
      <c r="S21" s="148">
        <f>SUM(S8+S12+S16+S20)</f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45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f>SUM(R31:R33)</f>
        <v>-8337753.9100000001</v>
      </c>
      <c r="S34" s="49">
        <f>SUM(S31:S33)</f>
        <v>8312964.1099999994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f>SUM(R35:R37)</f>
        <v>-16722695.65</v>
      </c>
      <c r="S38" s="49">
        <f>SUM(S35:S37)</f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6102932.2599999998</v>
      </c>
      <c r="C39" s="20">
        <v>0</v>
      </c>
      <c r="D39" s="171">
        <v>0.7</v>
      </c>
      <c r="E39" s="20">
        <v>6102932.2599999998</v>
      </c>
      <c r="F39" s="65">
        <v>0.64</v>
      </c>
      <c r="G39" s="24">
        <f t="shared" si="8"/>
        <v>0</v>
      </c>
      <c r="H39" s="28">
        <v>7768152.0793478228</v>
      </c>
      <c r="I39" s="20">
        <v>0</v>
      </c>
      <c r="J39" s="20">
        <v>0</v>
      </c>
      <c r="K39" s="24">
        <f t="shared" si="13"/>
        <v>0</v>
      </c>
      <c r="L39" s="32">
        <f t="shared" si="9"/>
        <v>-1665219.819347823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999990.25999999978</v>
      </c>
      <c r="R39" s="3">
        <v>-5008359.13</v>
      </c>
      <c r="S39" s="3">
        <v>4589463.5599999996</v>
      </c>
      <c r="T39" s="97">
        <f t="shared" si="11"/>
        <v>6102932.2599999998</v>
      </c>
      <c r="U39" s="39">
        <f t="shared" si="12"/>
        <v>-1665219.819347823</v>
      </c>
    </row>
    <row r="40" spans="1:21" x14ac:dyDescent="0.2">
      <c r="A40" s="17">
        <v>46296</v>
      </c>
      <c r="B40" s="20">
        <v>5077061.5199999996</v>
      </c>
      <c r="C40" s="20">
        <v>0</v>
      </c>
      <c r="D40" s="171">
        <v>0.47</v>
      </c>
      <c r="E40" s="20">
        <v>4592822.3899999997</v>
      </c>
      <c r="F40" s="65">
        <v>0.46</v>
      </c>
      <c r="G40" s="24">
        <f t="shared" si="8"/>
        <v>484239.12999999989</v>
      </c>
      <c r="H40" s="28">
        <v>10894332.467391299</v>
      </c>
      <c r="I40" s="20">
        <v>1892860</v>
      </c>
      <c r="J40" s="20">
        <v>2377099.13</v>
      </c>
      <c r="K40" s="24">
        <f t="shared" si="13"/>
        <v>-484239.12999999989</v>
      </c>
      <c r="L40" s="32">
        <f t="shared" si="9"/>
        <v>-5817270.9473912995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-2059707.4800000004</v>
      </c>
      <c r="R40" s="3">
        <v>-2125353.04</v>
      </c>
      <c r="S40" s="3">
        <v>2038092.82</v>
      </c>
      <c r="T40" s="97">
        <f t="shared" si="11"/>
        <v>6969921.5199999996</v>
      </c>
      <c r="U40" s="39">
        <f t="shared" si="12"/>
        <v>-3924410.9473912995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1192419.1299999999</v>
      </c>
      <c r="K41" s="24">
        <f t="shared" si="13"/>
        <v>0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12591145.949999999</v>
      </c>
      <c r="C42" s="141">
        <f>SUM(C39:C41)</f>
        <v>0</v>
      </c>
      <c r="D42" s="163">
        <f>SUM(D39:D41)/3</f>
        <v>0.4433333333333333</v>
      </c>
      <c r="E42" s="141">
        <f>SUM(E39:E41)</f>
        <v>12106906.819999998</v>
      </c>
      <c r="F42" s="142">
        <f>SUM(F39:F41)/3</f>
        <v>0.42</v>
      </c>
      <c r="G42" s="141">
        <f t="shared" si="8"/>
        <v>484239.13000000082</v>
      </c>
      <c r="H42" s="140">
        <f>SUM(H39:H41)</f>
        <v>24338929.730225362</v>
      </c>
      <c r="I42" s="141">
        <f>SUM(I39:I41)</f>
        <v>3085279.13</v>
      </c>
      <c r="J42" s="141">
        <f>SUM(J39:J41)</f>
        <v>3569518.26</v>
      </c>
      <c r="K42" s="141">
        <f t="shared" si="13"/>
        <v>-484239.12999999989</v>
      </c>
      <c r="L42" s="143">
        <f t="shared" si="9"/>
        <v>-11747783.780225363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-2016678.0500000007</v>
      </c>
      <c r="R42" s="151">
        <f>SUM(R39:R41)</f>
        <v>-9020601.7400000002</v>
      </c>
      <c r="S42" s="152">
        <f>SUM(S39:S41)</f>
        <v>8038708.5499999998</v>
      </c>
      <c r="T42" s="102">
        <f t="shared" si="11"/>
        <v>15676425.079999998</v>
      </c>
      <c r="U42" s="77">
        <f t="shared" si="12"/>
        <v>-8662504.6502253637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2205001.7400000002</v>
      </c>
      <c r="J43" s="19">
        <v>2725436.52</v>
      </c>
      <c r="K43" s="34">
        <f>I43-J43</f>
        <v>-520434.7799999998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356675.65</v>
      </c>
      <c r="S43" s="3">
        <v>5300767.26</v>
      </c>
      <c r="T43" s="97">
        <f t="shared" si="11"/>
        <v>13640160.300000001</v>
      </c>
      <c r="U43" s="39">
        <f t="shared" si="12"/>
        <v>-3534973.2326086871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2162521.7400000002</v>
      </c>
      <c r="J44" s="20">
        <v>2212260.87</v>
      </c>
      <c r="K44" s="24">
        <f>I44-J44</f>
        <v>-49739.129999999888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2162521.7400000002</v>
      </c>
      <c r="S44" s="3">
        <v>4458817.3899999997</v>
      </c>
      <c r="T44" s="97">
        <f t="shared" si="11"/>
        <v>6853926.0899999999</v>
      </c>
      <c r="U44" s="39">
        <f t="shared" si="12"/>
        <v>-1329983.4143478312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852555.65</v>
      </c>
      <c r="K45" s="44">
        <f t="shared" si="13"/>
        <v>0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5220079.1300000008</v>
      </c>
      <c r="J46" s="54">
        <f>SUM(J43:J45)</f>
        <v>5790253.040000001</v>
      </c>
      <c r="K46" s="54">
        <f t="shared" si="13"/>
        <v>-570173.91000000015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f>SUM(R43:R45)</f>
        <v>2742243.47</v>
      </c>
      <c r="S46" s="89">
        <f>SUM(S43:S45)</f>
        <v>11217488.129999999</v>
      </c>
      <c r="T46" s="102">
        <f t="shared" si="11"/>
        <v>22804545.520000003</v>
      </c>
      <c r="U46" s="57">
        <f t="shared" si="12"/>
        <v>-5868074.908260867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87205812.549999997</v>
      </c>
      <c r="C48" s="58">
        <f>SUM(C34+C38+C42+C46)</f>
        <v>0</v>
      </c>
      <c r="D48" s="106">
        <f>SUM(D34+D38+D42+D46)/4</f>
        <v>0.50583333333333336</v>
      </c>
      <c r="E48" s="58">
        <v>81345660.370000005</v>
      </c>
      <c r="F48" s="106">
        <f>SUM(F34+F38+F42+F46)/4</f>
        <v>0.5</v>
      </c>
      <c r="G48" s="58">
        <f>SUM(G34+G38+G42+G46)</f>
        <v>484239.13000000082</v>
      </c>
      <c r="H48" s="109">
        <f>SUM(H34+H38+H42+H46)</f>
        <v>123899300.97831228</v>
      </c>
      <c r="I48" s="58">
        <f>SUM(I34+I38+I42+I46)</f>
        <v>8305358.2600000007</v>
      </c>
      <c r="J48" s="58">
        <f>SUM(J34+J38+J42+J46)</f>
        <v>9359771.3000000007</v>
      </c>
      <c r="K48" s="59">
        <f t="shared" si="13"/>
        <v>-1054413.04</v>
      </c>
      <c r="L48" s="110">
        <f t="shared" ref="L48" si="15">B48-H48</f>
        <v>-36693488.428312287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12891174.549999997</v>
      </c>
      <c r="R48" s="153">
        <f>SUM(R34+R38+R42+R46)</f>
        <v>-31338807.830000006</v>
      </c>
      <c r="S48" s="154">
        <f>SUM(S34+S38+S42+S46)</f>
        <v>39811377.759999998</v>
      </c>
      <c r="T48" s="100">
        <f t="shared" si="11"/>
        <v>95511170.810000002</v>
      </c>
      <c r="U48" s="149">
        <f t="shared" si="12"/>
        <v>-28388130.168312281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-1494112.114121699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95511170.810000002</v>
      </c>
      <c r="J53" s="7">
        <f>C48+J48</f>
        <v>9359771.3000000007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28388130.168312281</v>
      </c>
      <c r="J54" s="7">
        <f>I48-U48</f>
        <v>36693488.428312279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1092180</v>
      </c>
      <c r="J58" s="130">
        <v>1092180</v>
      </c>
      <c r="K58" s="23">
        <f>I58-J58</f>
        <v>0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-1371276.52</v>
      </c>
      <c r="S58" s="3">
        <v>1941353.04</v>
      </c>
      <c r="T58" s="96">
        <f t="shared" ref="T58:T69" si="16">B58+I58</f>
        <v>3033533.04</v>
      </c>
      <c r="U58" s="38">
        <f>T58-H58</f>
        <v>-3270518.6317391302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1449203.48</v>
      </c>
      <c r="J59" s="131">
        <v>1449203.48</v>
      </c>
      <c r="K59" s="24">
        <f t="shared" ref="K59:K75" si="18">I59-J59</f>
        <v>0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-3875225.22</v>
      </c>
      <c r="S59" s="3">
        <v>754240</v>
      </c>
      <c r="T59" s="97">
        <f t="shared" si="16"/>
        <v>2203443.48</v>
      </c>
      <c r="U59" s="39">
        <f t="shared" ref="U59:U75" si="21">T59-H59</f>
        <v>-7286416.3906521685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2714273.04</v>
      </c>
      <c r="K60" s="24">
        <f t="shared" si="18"/>
        <v>0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5255656.5199999996</v>
      </c>
      <c r="J61" s="157">
        <f>SUM(J58:J60)</f>
        <v>5255656.5199999996</v>
      </c>
      <c r="K61" s="141">
        <f t="shared" si="18"/>
        <v>0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f>SUM(R58:R60)</f>
        <v>-2740402.6100000003</v>
      </c>
      <c r="S61" s="49">
        <f>SUM(S58:S60)</f>
        <v>4264530.4343478298</v>
      </c>
      <c r="T61" s="102">
        <f t="shared" si="16"/>
        <v>9778795.6499999985</v>
      </c>
      <c r="U61" s="50">
        <f t="shared" si="21"/>
        <v>-13548895.828252159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6815405.2199999997</v>
      </c>
      <c r="J62" s="131">
        <v>3592309.57</v>
      </c>
      <c r="K62" s="24">
        <f t="shared" si="18"/>
        <v>3223095.65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5521586.96</v>
      </c>
      <c r="S62" s="3">
        <v>4102562.61</v>
      </c>
      <c r="T62" s="97">
        <f t="shared" si="16"/>
        <v>13518353.050000001</v>
      </c>
      <c r="U62" s="39">
        <f t="shared" si="21"/>
        <v>-6565313.0369565226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4670973.91</v>
      </c>
      <c r="J63" s="131">
        <v>3462313.04</v>
      </c>
      <c r="K63" s="24">
        <f t="shared" si="18"/>
        <v>1208660.8700000001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4670973.91</v>
      </c>
      <c r="S63" s="3">
        <v>4596457.3899999997</v>
      </c>
      <c r="T63" s="97">
        <f t="shared" si="16"/>
        <v>9267431.3000000007</v>
      </c>
      <c r="U63" s="39">
        <f t="shared" si="21"/>
        <v>-9497942.3116000034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2830129.57</v>
      </c>
      <c r="J64" s="131">
        <v>2830129.57</v>
      </c>
      <c r="K64" s="24">
        <f t="shared" si="18"/>
        <v>0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2122072.1800000002</v>
      </c>
      <c r="S64" s="3">
        <v>544021.74</v>
      </c>
      <c r="T64" s="97">
        <f t="shared" si="16"/>
        <v>3374151.3099999996</v>
      </c>
      <c r="U64" s="39">
        <f t="shared" si="21"/>
        <v>-12425643.414999984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14316508.699999999</v>
      </c>
      <c r="J65" s="157">
        <f>SUM(J62:J64)</f>
        <v>9884752.1799999997</v>
      </c>
      <c r="K65" s="141">
        <f t="shared" si="18"/>
        <v>4431756.5199999996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f>SUM(R62:R64)</f>
        <v>12314633.050000001</v>
      </c>
      <c r="S65" s="49">
        <f>SUM(S62:S64)</f>
        <v>9243041.7400000002</v>
      </c>
      <c r="T65" s="102">
        <f t="shared" si="16"/>
        <v>26159935.659999996</v>
      </c>
      <c r="U65" s="50">
        <f t="shared" si="21"/>
        <v>-28488898.763556518</v>
      </c>
    </row>
    <row r="66" spans="1:21" x14ac:dyDescent="0.2">
      <c r="A66" s="122">
        <v>46631</v>
      </c>
      <c r="B66" s="22">
        <v>1879361.74</v>
      </c>
      <c r="C66" s="128"/>
      <c r="D66" s="171">
        <v>0.1</v>
      </c>
      <c r="E66" s="22">
        <v>1879361.74</v>
      </c>
      <c r="F66" s="174">
        <v>0.1</v>
      </c>
      <c r="G66" s="26">
        <f t="shared" si="22"/>
        <v>0</v>
      </c>
      <c r="H66" s="136">
        <f>H39*1.1</f>
        <v>8544967.2872826066</v>
      </c>
      <c r="I66" s="131">
        <v>660326.09</v>
      </c>
      <c r="J66" s="131">
        <v>660326.09</v>
      </c>
      <c r="K66" s="24">
        <f t="shared" si="18"/>
        <v>0</v>
      </c>
      <c r="L66" s="32">
        <f t="shared" si="19"/>
        <v>-6665605.5472826064</v>
      </c>
      <c r="M66" s="138">
        <v>611674</v>
      </c>
      <c r="N66" s="67">
        <v>0</v>
      </c>
      <c r="O66" s="19">
        <f>B39</f>
        <v>6102932.2599999998</v>
      </c>
      <c r="P66" s="65">
        <f>D39</f>
        <v>0.7</v>
      </c>
      <c r="Q66" s="34">
        <f t="shared" si="20"/>
        <v>1267687.74</v>
      </c>
      <c r="R66" s="3">
        <v>660326.09</v>
      </c>
      <c r="S66" s="3">
        <v>903545.22</v>
      </c>
      <c r="T66" s="97">
        <f t="shared" si="16"/>
        <v>2539687.83</v>
      </c>
      <c r="U66" s="39">
        <f t="shared" si="21"/>
        <v>-6005279.4572826065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0</v>
      </c>
      <c r="J67" s="131">
        <v>1142365.22</v>
      </c>
      <c r="K67" s="24">
        <f t="shared" si="18"/>
        <v>-1142365.22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5077061.5199999996</v>
      </c>
      <c r="P67" s="65">
        <f>D40</f>
        <v>0.47</v>
      </c>
      <c r="Q67" s="34">
        <f t="shared" si="20"/>
        <v>-1334543</v>
      </c>
      <c r="R67" s="3">
        <v>0</v>
      </c>
      <c r="S67" s="3">
        <v>0</v>
      </c>
      <c r="T67" s="97">
        <f t="shared" si="16"/>
        <v>0</v>
      </c>
      <c r="U67" s="39">
        <f t="shared" si="21"/>
        <v>-11983765.71413043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671770.43</v>
      </c>
      <c r="J68" s="131">
        <v>671770.43</v>
      </c>
      <c r="K68" s="24">
        <f t="shared" si="18"/>
        <v>0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671770.43</v>
      </c>
      <c r="S68" s="3">
        <v>614762.61</v>
      </c>
      <c r="T68" s="97">
        <f t="shared" si="16"/>
        <v>1286533.04</v>
      </c>
      <c r="U68" s="39">
        <f t="shared" si="21"/>
        <v>-4957556.6618348612</v>
      </c>
    </row>
    <row r="69" spans="1:21" x14ac:dyDescent="0.2">
      <c r="A69" s="139" t="s">
        <v>29</v>
      </c>
      <c r="B69" s="140">
        <f>SUM(B66:B68)</f>
        <v>2494124.35</v>
      </c>
      <c r="C69" s="150">
        <f>SUM(C66:C68)</f>
        <v>0</v>
      </c>
      <c r="D69" s="176">
        <f>SUM(D66:D68)/3</f>
        <v>4.6666666666666669E-2</v>
      </c>
      <c r="E69" s="141">
        <f>SUM(E66:E68)</f>
        <v>2494124.35</v>
      </c>
      <c r="F69" s="71">
        <f>SUM(F66:F68)/3</f>
        <v>4.6666666666666669E-2</v>
      </c>
      <c r="G69" s="140">
        <f t="shared" si="22"/>
        <v>0</v>
      </c>
      <c r="H69" s="156">
        <f>SUM(H66:H68)</f>
        <v>26772822.703247897</v>
      </c>
      <c r="I69" s="157">
        <f>SUM(I66:I68)</f>
        <v>1332096.52</v>
      </c>
      <c r="J69" s="157">
        <f>SUM(J66:J68)</f>
        <v>2474461.7400000002</v>
      </c>
      <c r="K69" s="141">
        <f t="shared" si="18"/>
        <v>-1142365.2200000002</v>
      </c>
      <c r="L69" s="143">
        <f t="shared" si="19"/>
        <v>-24278698.353247896</v>
      </c>
      <c r="M69" s="141">
        <f>SUM(M66:M68)</f>
        <v>1946217</v>
      </c>
      <c r="N69" s="69">
        <f>SUM(N66:N68)/3</f>
        <v>0</v>
      </c>
      <c r="O69" s="141">
        <f>SUM(O66:O68)</f>
        <v>12591145.949999999</v>
      </c>
      <c r="P69" s="142">
        <f>SUM(P66:P68)/3</f>
        <v>0.4433333333333333</v>
      </c>
      <c r="Q69" s="77">
        <f t="shared" si="20"/>
        <v>547907.35000000009</v>
      </c>
      <c r="R69" s="151">
        <f>SUM(R66:R68)</f>
        <v>1332096.52</v>
      </c>
      <c r="S69" s="152">
        <f>SUM(S66:S68)</f>
        <v>1518307.83</v>
      </c>
      <c r="T69" s="158">
        <f t="shared" si="16"/>
        <v>3826220.87</v>
      </c>
      <c r="U69" s="77">
        <f t="shared" si="21"/>
        <v>-22946601.833247896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0</v>
      </c>
      <c r="J70" s="132">
        <v>0</v>
      </c>
      <c r="K70" s="24">
        <f t="shared" si="18"/>
        <v>0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0</v>
      </c>
      <c r="S70" s="3">
        <v>3681390.43</v>
      </c>
      <c r="T70" s="97">
        <f>B70+I70</f>
        <v>3681390.43</v>
      </c>
      <c r="U70" s="39">
        <f t="shared" si="21"/>
        <v>-15211256.455869559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466849.57</v>
      </c>
      <c r="J71" s="131">
        <v>466849.57</v>
      </c>
      <c r="K71" s="24">
        <f t="shared" si="18"/>
        <v>0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-1625502.6</v>
      </c>
      <c r="S71" s="3">
        <v>891586.96</v>
      </c>
      <c r="T71" s="97">
        <f>B71+I71</f>
        <v>1358436.53</v>
      </c>
      <c r="U71" s="39">
        <f t="shared" si="21"/>
        <v>-7643863.9247826142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466849.57</v>
      </c>
      <c r="J73" s="157">
        <f>SUM(J70:J72)</f>
        <v>466849.57</v>
      </c>
      <c r="K73" s="63">
        <f t="shared" si="18"/>
        <v>0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f>SUM(R70:R72)</f>
        <v>-1625502.6</v>
      </c>
      <c r="S73" s="91">
        <f>SUM(S70:S72)</f>
        <v>4572977.3900000006</v>
      </c>
      <c r="T73" s="74">
        <f t="shared" ref="T73" si="23">B73+I73</f>
        <v>5039826.9600000009</v>
      </c>
      <c r="U73" s="57">
        <f t="shared" si="21"/>
        <v>-26500055.511086963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23433667.830000002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0</v>
      </c>
      <c r="H75" s="109">
        <f>SUM(H61+H65+H69+H73)</f>
        <v>136289231.07614356</v>
      </c>
      <c r="I75" s="58">
        <f t="shared" si="24"/>
        <v>21371111.309999999</v>
      </c>
      <c r="J75" s="58">
        <f t="shared" si="24"/>
        <v>18081720.009999998</v>
      </c>
      <c r="K75" s="59">
        <f t="shared" si="18"/>
        <v>3289391.3000000007</v>
      </c>
      <c r="L75" s="110">
        <f t="shared" ref="L75" si="25">B75-H75</f>
        <v>-112855563.24614356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87205812.549999997</v>
      </c>
      <c r="P75" s="120">
        <f>SUM(P61+P65+P69+P73)/4</f>
        <v>0.50583333333333336</v>
      </c>
      <c r="Q75" s="60">
        <f>B75-M75</f>
        <v>6020884.8300000019</v>
      </c>
      <c r="R75" s="161">
        <f>SUM(R61+R65+R69+R73)</f>
        <v>9280824.3600000013</v>
      </c>
      <c r="S75" s="148">
        <f>SUM(S61+S65+S69+S73)</f>
        <v>19598857.394347832</v>
      </c>
      <c r="T75" s="100">
        <f>B75+I75</f>
        <v>44804779.140000001</v>
      </c>
      <c r="U75" s="149">
        <f t="shared" si="21"/>
        <v>-91484451.936143562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-4814971.1545338714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44804779.140000001</v>
      </c>
      <c r="J80" s="7">
        <f>C75+J75</f>
        <v>23330483.009999998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-91484451.936143562</v>
      </c>
      <c r="J81" s="7">
        <f>J80-I75</f>
        <v>1959371.6999999993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197" priority="12" operator="equal">
      <formula>0.1</formula>
    </cfRule>
    <cfRule type="cellIs" dxfId="196" priority="13" operator="equal">
      <formula>0.2</formula>
    </cfRule>
    <cfRule type="cellIs" dxfId="195" priority="14" operator="equal">
      <formula>0.3</formula>
    </cfRule>
    <cfRule type="cellIs" dxfId="194" priority="15" operator="equal">
      <formula>0.4</formula>
    </cfRule>
    <cfRule type="cellIs" dxfId="193" priority="16" operator="equal">
      <formula>0.5</formula>
    </cfRule>
    <cfRule type="cellIs" dxfId="192" priority="17" operator="equal">
      <formula>0.6</formula>
    </cfRule>
    <cfRule type="cellIs" dxfId="191" priority="18" operator="equal">
      <formula>0.7</formula>
    </cfRule>
    <cfRule type="cellIs" dxfId="190" priority="19" operator="equal">
      <formula>0.8</formula>
    </cfRule>
    <cfRule type="cellIs" dxfId="189" priority="20" stopIfTrue="1" operator="lessThan">
      <formula>-1</formula>
    </cfRule>
    <cfRule type="cellIs" dxfId="188" priority="21" operator="greaterThan">
      <formula>0.9</formula>
    </cfRule>
    <cfRule type="cellIs" dxfId="187" priority="22" operator="equal">
      <formula>0</formula>
    </cfRule>
  </conditionalFormatting>
  <conditionalFormatting sqref="G58:G75 K58:L75 Q58:Q75 U58:U75">
    <cfRule type="cellIs" dxfId="186" priority="1" operator="equal">
      <formula>0.1</formula>
    </cfRule>
    <cfRule type="cellIs" dxfId="185" priority="2" operator="equal">
      <formula>0.2</formula>
    </cfRule>
    <cfRule type="cellIs" dxfId="184" priority="3" operator="equal">
      <formula>0.3</formula>
    </cfRule>
    <cfRule type="cellIs" dxfId="183" priority="4" operator="equal">
      <formula>0.4</formula>
    </cfRule>
    <cfRule type="cellIs" dxfId="182" priority="5" operator="equal">
      <formula>0.5</formula>
    </cfRule>
    <cfRule type="cellIs" dxfId="181" priority="6" operator="equal">
      <formula>0.6</formula>
    </cfRule>
    <cfRule type="cellIs" dxfId="180" priority="7" operator="equal">
      <formula>0.7</formula>
    </cfRule>
    <cfRule type="cellIs" dxfId="179" priority="8" operator="equal">
      <formula>0.8</formula>
    </cfRule>
    <cfRule type="cellIs" dxfId="178" priority="9" stopIfTrue="1" operator="lessThan">
      <formula>-1</formula>
    </cfRule>
    <cfRule type="cellIs" dxfId="177" priority="10" operator="greaterThan">
      <formula>0.9</formula>
    </cfRule>
    <cfRule type="cellIs" dxfId="176" priority="1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BE5A-F7CA-4386-A837-71CF3CF43FAD}">
  <dimension ref="A1:AZ93"/>
  <sheetViews>
    <sheetView topLeftCell="A34" zoomScale="93" zoomScaleNormal="93" workbookViewId="0">
      <pane xSplit="1" topLeftCell="B1" activePane="topRight" state="frozen"/>
      <selection activeCell="E69" sqref="E69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f>SUM(R5:R7)</f>
        <v>0</v>
      </c>
      <c r="S8" s="49">
        <f>SUM(S5:S7)</f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f>SUM(R9:R11)</f>
        <v>0</v>
      </c>
      <c r="S12" s="49">
        <f>SUM(S9:S11)</f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f>SUM(R13:R15)</f>
        <v>0</v>
      </c>
      <c r="S16" s="49">
        <f>SUM(S13:S15)</f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f>SUM(R17:R19)</f>
        <v>0</v>
      </c>
      <c r="S20" s="76">
        <f>SUM(S17:S19)</f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f>SUM(R8+R12+R16+R20)</f>
        <v>0</v>
      </c>
      <c r="S21" s="148">
        <f>SUM(S8+S12+S16+S20)</f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44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f>SUM(R31:R33)</f>
        <v>-8337753.9100000001</v>
      </c>
      <c r="S34" s="49">
        <f>SUM(S31:S33)</f>
        <v>8312964.1099999994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f>SUM(R35:R37)</f>
        <v>-16722695.65</v>
      </c>
      <c r="S38" s="49">
        <f>SUM(S35:S37)</f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6102932.2599999998</v>
      </c>
      <c r="C39" s="20">
        <v>0</v>
      </c>
      <c r="D39" s="171">
        <v>0.7</v>
      </c>
      <c r="E39" s="20">
        <v>6102932.2599999998</v>
      </c>
      <c r="F39" s="65">
        <v>0.64</v>
      </c>
      <c r="G39" s="24">
        <f t="shared" si="8"/>
        <v>0</v>
      </c>
      <c r="H39" s="28">
        <v>7768152.0793478228</v>
      </c>
      <c r="I39" s="20">
        <v>0</v>
      </c>
      <c r="J39" s="20">
        <v>0</v>
      </c>
      <c r="K39" s="24">
        <f t="shared" si="13"/>
        <v>0</v>
      </c>
      <c r="L39" s="32">
        <f t="shared" si="9"/>
        <v>-1665219.819347823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999990.25999999978</v>
      </c>
      <c r="R39" s="3">
        <v>-5008359.13</v>
      </c>
      <c r="S39" s="3">
        <v>4589463.5599999996</v>
      </c>
      <c r="T39" s="97">
        <f t="shared" si="11"/>
        <v>6102932.2599999998</v>
      </c>
      <c r="U39" s="39">
        <f t="shared" si="12"/>
        <v>-1665219.819347823</v>
      </c>
    </row>
    <row r="40" spans="1:21" x14ac:dyDescent="0.2">
      <c r="A40" s="17">
        <v>46296</v>
      </c>
      <c r="B40" s="20">
        <v>4592822.3899999997</v>
      </c>
      <c r="C40" s="20">
        <v>0</v>
      </c>
      <c r="D40" s="171">
        <v>0.46</v>
      </c>
      <c r="E40" s="20">
        <v>4592822.3899999997</v>
      </c>
      <c r="F40" s="65">
        <v>0.46</v>
      </c>
      <c r="G40" s="24">
        <f t="shared" si="8"/>
        <v>0</v>
      </c>
      <c r="H40" s="28">
        <v>10894332.467391299</v>
      </c>
      <c r="I40" s="20">
        <v>2377099.13</v>
      </c>
      <c r="J40" s="20">
        <v>1392804.35</v>
      </c>
      <c r="K40" s="24">
        <f t="shared" si="13"/>
        <v>984294.7799999998</v>
      </c>
      <c r="L40" s="32">
        <f t="shared" si="9"/>
        <v>-6301510.0773912994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-2543946.6100000003</v>
      </c>
      <c r="R40" s="3">
        <v>-1641113.91</v>
      </c>
      <c r="S40" s="3">
        <v>1553853.69</v>
      </c>
      <c r="T40" s="97">
        <f t="shared" si="11"/>
        <v>6969921.5199999996</v>
      </c>
      <c r="U40" s="39">
        <f t="shared" si="12"/>
        <v>-3924410.9473912995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1192419.1299999999</v>
      </c>
      <c r="K41" s="24">
        <f t="shared" si="13"/>
        <v>0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12106906.819999998</v>
      </c>
      <c r="C42" s="141">
        <f>SUM(C39:C41)</f>
        <v>0</v>
      </c>
      <c r="D42" s="163">
        <f>SUM(D39:D41)/3</f>
        <v>0.43999999999999995</v>
      </c>
      <c r="E42" s="141">
        <f>SUM(E39:E41)</f>
        <v>12106906.819999998</v>
      </c>
      <c r="F42" s="142">
        <f>SUM(F39:F41)/3</f>
        <v>0.42</v>
      </c>
      <c r="G42" s="141">
        <f t="shared" si="8"/>
        <v>0</v>
      </c>
      <c r="H42" s="140">
        <f>SUM(H39:H41)</f>
        <v>24338929.730225362</v>
      </c>
      <c r="I42" s="141">
        <f>SUM(I39:I41)</f>
        <v>3569518.26</v>
      </c>
      <c r="J42" s="141">
        <f>SUM(J39:J41)</f>
        <v>2585223.48</v>
      </c>
      <c r="K42" s="141">
        <f t="shared" si="13"/>
        <v>984294.7799999998</v>
      </c>
      <c r="L42" s="143">
        <f t="shared" si="9"/>
        <v>-12232022.910225363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-2500917.1800000016</v>
      </c>
      <c r="R42" s="151">
        <f>SUM(R39:R41)</f>
        <v>-8536362.6099999994</v>
      </c>
      <c r="S42" s="152">
        <f>SUM(S39:S41)</f>
        <v>7554469.4199999999</v>
      </c>
      <c r="T42" s="102">
        <f t="shared" si="11"/>
        <v>15676425.079999998</v>
      </c>
      <c r="U42" s="77">
        <f t="shared" si="12"/>
        <v>-8662504.6502253637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2725436.52</v>
      </c>
      <c r="J43" s="19">
        <v>2725436.52</v>
      </c>
      <c r="K43" s="34">
        <f>I43-J43</f>
        <v>0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877110.43</v>
      </c>
      <c r="S43" s="3">
        <v>5300767.26</v>
      </c>
      <c r="T43" s="97">
        <f t="shared" si="11"/>
        <v>14160595.08</v>
      </c>
      <c r="U43" s="39">
        <f t="shared" si="12"/>
        <v>-3014538.4526086878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2212260.87</v>
      </c>
      <c r="J44" s="20">
        <v>2212260.87</v>
      </c>
      <c r="K44" s="24">
        <f>I44-J44</f>
        <v>0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2212260.87</v>
      </c>
      <c r="S44" s="3">
        <v>4458817.3899999997</v>
      </c>
      <c r="T44" s="97">
        <f t="shared" si="11"/>
        <v>6903665.2199999997</v>
      </c>
      <c r="U44" s="39">
        <f t="shared" si="12"/>
        <v>-1280244.2843478313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852555.65</v>
      </c>
      <c r="K45" s="44">
        <f t="shared" si="13"/>
        <v>0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5790253.040000001</v>
      </c>
      <c r="J46" s="54">
        <f>SUM(J43:J45)</f>
        <v>5790253.040000001</v>
      </c>
      <c r="K46" s="54">
        <f t="shared" si="13"/>
        <v>0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f>SUM(R43:R45)</f>
        <v>3312417.3800000004</v>
      </c>
      <c r="S46" s="89">
        <f>SUM(S43:S45)</f>
        <v>11217488.129999999</v>
      </c>
      <c r="T46" s="102">
        <f t="shared" si="11"/>
        <v>23374719.43</v>
      </c>
      <c r="U46" s="57">
        <f t="shared" si="12"/>
        <v>-5297900.9982608706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86721573.420000002</v>
      </c>
      <c r="C48" s="58">
        <f>SUM(C34+C38+C42+C46)</f>
        <v>0</v>
      </c>
      <c r="D48" s="106">
        <f>SUM(D34+D38+D42+D46)/4</f>
        <v>0.505</v>
      </c>
      <c r="E48" s="58">
        <v>81345660.370000005</v>
      </c>
      <c r="F48" s="106">
        <f>SUM(F34+F38+F42+F46)/4</f>
        <v>0.5</v>
      </c>
      <c r="G48" s="58">
        <f>SUM(G34+G38+G42+G46)</f>
        <v>0</v>
      </c>
      <c r="H48" s="109">
        <f>SUM(H34+H38+H42+H46)</f>
        <v>123899300.97831228</v>
      </c>
      <c r="I48" s="58">
        <f>SUM(I34+I38+I42+I46)</f>
        <v>9359771.3000000007</v>
      </c>
      <c r="J48" s="58">
        <f>SUM(J34+J38+J42+J46)</f>
        <v>8375476.5200000014</v>
      </c>
      <c r="K48" s="59">
        <f t="shared" si="13"/>
        <v>984294.77999999933</v>
      </c>
      <c r="L48" s="110">
        <f t="shared" ref="L48" si="15">B48-H48</f>
        <v>-37177727.558312282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12406935.420000002</v>
      </c>
      <c r="R48" s="153">
        <f>SUM(R34+R38+R42+R46)</f>
        <v>-30284394.790000003</v>
      </c>
      <c r="S48" s="154">
        <f>SUM(S34+S38+S42+S46)</f>
        <v>39327138.629999995</v>
      </c>
      <c r="T48" s="100">
        <f t="shared" si="11"/>
        <v>96081344.719999999</v>
      </c>
      <c r="U48" s="149">
        <f t="shared" si="12"/>
        <v>-27817956.258312285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-1464102.9609638045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96081344.719999999</v>
      </c>
      <c r="J53" s="7">
        <f>C48+J48</f>
        <v>8375476.5200000014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27817956.258312285</v>
      </c>
      <c r="J54" s="7">
        <f>I48-U48</f>
        <v>37177727.558312282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1092180</v>
      </c>
      <c r="J58" s="130">
        <v>1092180</v>
      </c>
      <c r="K58" s="23">
        <f>I58-J58</f>
        <v>0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-1371276.52</v>
      </c>
      <c r="S58" s="3">
        <v>1941353.04</v>
      </c>
      <c r="T58" s="96">
        <f t="shared" ref="T58:T69" si="16">B58+I58</f>
        <v>3033533.04</v>
      </c>
      <c r="U58" s="38">
        <f>T58-H58</f>
        <v>-3270518.6317391302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1449203.48</v>
      </c>
      <c r="J59" s="131">
        <v>1449203.48</v>
      </c>
      <c r="K59" s="24">
        <f t="shared" ref="K59:K75" si="18">I59-J59</f>
        <v>0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-3875225.22</v>
      </c>
      <c r="S59" s="3">
        <v>754240</v>
      </c>
      <c r="T59" s="97">
        <f t="shared" si="16"/>
        <v>2203443.48</v>
      </c>
      <c r="U59" s="39">
        <f t="shared" ref="U59:U75" si="21">T59-H59</f>
        <v>-7286416.3906521685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2714273.04</v>
      </c>
      <c r="K60" s="24">
        <f t="shared" si="18"/>
        <v>0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5255656.5199999996</v>
      </c>
      <c r="J61" s="157">
        <f>SUM(J58:J60)</f>
        <v>5255656.5199999996</v>
      </c>
      <c r="K61" s="141">
        <f t="shared" si="18"/>
        <v>0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f>SUM(R58:R60)</f>
        <v>-2740402.6100000003</v>
      </c>
      <c r="S61" s="49">
        <f>SUM(S58:S60)</f>
        <v>4264530.4343478298</v>
      </c>
      <c r="T61" s="102">
        <f t="shared" si="16"/>
        <v>9778795.6499999985</v>
      </c>
      <c r="U61" s="50">
        <f t="shared" si="21"/>
        <v>-13548895.828252159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3592309.57</v>
      </c>
      <c r="J62" s="131">
        <v>3592309.57</v>
      </c>
      <c r="K62" s="24">
        <f t="shared" si="18"/>
        <v>0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2298491.31</v>
      </c>
      <c r="S62" s="3">
        <v>4102562.61</v>
      </c>
      <c r="T62" s="97">
        <f t="shared" si="16"/>
        <v>10295257.4</v>
      </c>
      <c r="U62" s="39">
        <f t="shared" si="21"/>
        <v>-9788408.686956523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3462313.04</v>
      </c>
      <c r="J63" s="131">
        <v>5586060</v>
      </c>
      <c r="K63" s="24">
        <f t="shared" si="18"/>
        <v>-2123746.96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3462313.04</v>
      </c>
      <c r="S63" s="3">
        <v>4596457.3899999997</v>
      </c>
      <c r="T63" s="97">
        <f t="shared" si="16"/>
        <v>8058770.4299999997</v>
      </c>
      <c r="U63" s="39">
        <f t="shared" si="21"/>
        <v>-10706603.181600004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2830129.57</v>
      </c>
      <c r="J64" s="131">
        <v>2830129.57</v>
      </c>
      <c r="K64" s="24">
        <f t="shared" si="18"/>
        <v>0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2122072.1800000002</v>
      </c>
      <c r="S64" s="3">
        <v>544021.74</v>
      </c>
      <c r="T64" s="97">
        <f t="shared" si="16"/>
        <v>3374151.3099999996</v>
      </c>
      <c r="U64" s="39">
        <f t="shared" si="21"/>
        <v>-12425643.414999984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9884752.1799999997</v>
      </c>
      <c r="J65" s="157">
        <f>SUM(J62:J64)</f>
        <v>12008499.140000001</v>
      </c>
      <c r="K65" s="141">
        <f t="shared" si="18"/>
        <v>-2123746.9600000009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f>SUM(R62:R64)</f>
        <v>7882876.5299999993</v>
      </c>
      <c r="S65" s="49">
        <f>SUM(S62:S64)</f>
        <v>9243041.7400000002</v>
      </c>
      <c r="T65" s="102">
        <f t="shared" si="16"/>
        <v>21728179.140000001</v>
      </c>
      <c r="U65" s="50">
        <f t="shared" si="21"/>
        <v>-32920655.283556513</v>
      </c>
    </row>
    <row r="66" spans="1:21" x14ac:dyDescent="0.2">
      <c r="A66" s="122">
        <v>46631</v>
      </c>
      <c r="B66" s="22">
        <v>1879361.74</v>
      </c>
      <c r="C66" s="128"/>
      <c r="D66" s="171">
        <v>0.1</v>
      </c>
      <c r="E66" s="22">
        <v>1879361.74</v>
      </c>
      <c r="F66" s="174">
        <v>0.1</v>
      </c>
      <c r="G66" s="26">
        <f t="shared" si="22"/>
        <v>0</v>
      </c>
      <c r="H66" s="136">
        <f>H39*1.1</f>
        <v>8544967.2872826066</v>
      </c>
      <c r="I66" s="131">
        <v>660326.09</v>
      </c>
      <c r="J66" s="131">
        <v>660326.09</v>
      </c>
      <c r="K66" s="24">
        <f t="shared" si="18"/>
        <v>0</v>
      </c>
      <c r="L66" s="32">
        <f t="shared" si="19"/>
        <v>-6665605.5472826064</v>
      </c>
      <c r="M66" s="138">
        <v>611674</v>
      </c>
      <c r="N66" s="67">
        <v>0</v>
      </c>
      <c r="O66" s="19">
        <f>B39</f>
        <v>6102932.2599999998</v>
      </c>
      <c r="P66" s="65">
        <f>D39</f>
        <v>0.7</v>
      </c>
      <c r="Q66" s="34">
        <f t="shared" si="20"/>
        <v>1267687.74</v>
      </c>
      <c r="R66" s="3">
        <v>660326.09</v>
      </c>
      <c r="S66" s="3">
        <v>903545.22</v>
      </c>
      <c r="T66" s="97">
        <f t="shared" si="16"/>
        <v>2539687.83</v>
      </c>
      <c r="U66" s="39">
        <f t="shared" si="21"/>
        <v>-6005279.4572826065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1142365.22</v>
      </c>
      <c r="J67" s="131">
        <v>1142365.22</v>
      </c>
      <c r="K67" s="24">
        <f t="shared" si="18"/>
        <v>0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4592822.3899999997</v>
      </c>
      <c r="P67" s="65">
        <f>D40</f>
        <v>0.46</v>
      </c>
      <c r="Q67" s="34">
        <f t="shared" si="20"/>
        <v>-1334543</v>
      </c>
      <c r="R67" s="3">
        <v>1142365.22</v>
      </c>
      <c r="S67" s="3">
        <v>0</v>
      </c>
      <c r="T67" s="97">
        <f t="shared" si="16"/>
        <v>1142365.22</v>
      </c>
      <c r="U67" s="39">
        <f t="shared" si="21"/>
        <v>-10841400.494130429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671770.43</v>
      </c>
      <c r="J68" s="131">
        <v>671770.43</v>
      </c>
      <c r="K68" s="24">
        <f t="shared" si="18"/>
        <v>0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671770.43</v>
      </c>
      <c r="S68" s="3">
        <v>614762.61</v>
      </c>
      <c r="T68" s="97">
        <f t="shared" si="16"/>
        <v>1286533.04</v>
      </c>
      <c r="U68" s="39">
        <f t="shared" si="21"/>
        <v>-4957556.6618348612</v>
      </c>
    </row>
    <row r="69" spans="1:21" x14ac:dyDescent="0.2">
      <c r="A69" s="139" t="s">
        <v>29</v>
      </c>
      <c r="B69" s="140">
        <f>SUM(B66:B68)</f>
        <v>2494124.35</v>
      </c>
      <c r="C69" s="150">
        <f>SUM(C66:C68)</f>
        <v>0</v>
      </c>
      <c r="D69" s="176">
        <f>SUM(D66:D68)/3</f>
        <v>4.6666666666666669E-2</v>
      </c>
      <c r="E69" s="141">
        <f>SUM(E66:E68)</f>
        <v>2494124.35</v>
      </c>
      <c r="F69" s="71">
        <f>SUM(F66:F68)/3</f>
        <v>4.6666666666666669E-2</v>
      </c>
      <c r="G69" s="140">
        <f t="shared" si="22"/>
        <v>0</v>
      </c>
      <c r="H69" s="156">
        <f>SUM(H66:H68)</f>
        <v>26772822.703247897</v>
      </c>
      <c r="I69" s="157">
        <f>SUM(I66:I68)</f>
        <v>2474461.7400000002</v>
      </c>
      <c r="J69" s="157">
        <f>SUM(J66:J68)</f>
        <v>2474461.7400000002</v>
      </c>
      <c r="K69" s="141">
        <f t="shared" si="18"/>
        <v>0</v>
      </c>
      <c r="L69" s="143">
        <f t="shared" si="19"/>
        <v>-24278698.353247896</v>
      </c>
      <c r="M69" s="141">
        <f>SUM(M66:M68)</f>
        <v>1946217</v>
      </c>
      <c r="N69" s="69">
        <f>SUM(N66:N68)/3</f>
        <v>0</v>
      </c>
      <c r="O69" s="141">
        <f>SUM(O66:O68)</f>
        <v>12106906.819999998</v>
      </c>
      <c r="P69" s="142">
        <f>SUM(P66:P68)/3</f>
        <v>0.43999999999999995</v>
      </c>
      <c r="Q69" s="77">
        <f t="shared" si="20"/>
        <v>547907.35000000009</v>
      </c>
      <c r="R69" s="151">
        <f>SUM(R66:R68)</f>
        <v>2474461.7400000002</v>
      </c>
      <c r="S69" s="152">
        <f>SUM(S66:S68)</f>
        <v>1518307.83</v>
      </c>
      <c r="T69" s="158">
        <f t="shared" si="16"/>
        <v>4968586.09</v>
      </c>
      <c r="U69" s="77">
        <f t="shared" si="21"/>
        <v>-21804236.613247897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0</v>
      </c>
      <c r="J70" s="132">
        <v>4035780.87</v>
      </c>
      <c r="K70" s="24">
        <f t="shared" si="18"/>
        <v>-4035780.87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0</v>
      </c>
      <c r="S70" s="3">
        <v>3681390.43</v>
      </c>
      <c r="T70" s="97">
        <f>B70+I70</f>
        <v>3681390.43</v>
      </c>
      <c r="U70" s="39">
        <f t="shared" si="21"/>
        <v>-15211256.455869559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466849.57</v>
      </c>
      <c r="J71" s="131">
        <v>466849.57</v>
      </c>
      <c r="K71" s="24">
        <f t="shared" si="18"/>
        <v>0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-1625502.6</v>
      </c>
      <c r="S71" s="3">
        <v>891586.96</v>
      </c>
      <c r="T71" s="97">
        <f>B71+I71</f>
        <v>1358436.53</v>
      </c>
      <c r="U71" s="39">
        <f t="shared" si="21"/>
        <v>-7643863.9247826142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466849.57</v>
      </c>
      <c r="J73" s="157">
        <f>SUM(J70:J72)</f>
        <v>4502630.4400000004</v>
      </c>
      <c r="K73" s="63">
        <f t="shared" si="18"/>
        <v>-4035780.8700000006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f>SUM(R70:R72)</f>
        <v>-1625502.6</v>
      </c>
      <c r="S73" s="91">
        <f>SUM(S70:S72)</f>
        <v>4572977.3900000006</v>
      </c>
      <c r="T73" s="74">
        <f t="shared" ref="T73" si="23">B73+I73</f>
        <v>5039826.9600000009</v>
      </c>
      <c r="U73" s="57">
        <f t="shared" si="21"/>
        <v>-26500055.511086963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23433667.830000002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0</v>
      </c>
      <c r="H75" s="109">
        <f>SUM(H61+H65+H69+H73)</f>
        <v>136289231.07614356</v>
      </c>
      <c r="I75" s="58">
        <f t="shared" si="24"/>
        <v>18081720.009999998</v>
      </c>
      <c r="J75" s="58">
        <f t="shared" si="24"/>
        <v>24241247.84</v>
      </c>
      <c r="K75" s="59">
        <f t="shared" si="18"/>
        <v>-6159527.8300000019</v>
      </c>
      <c r="L75" s="110">
        <f t="shared" ref="L75" si="25">B75-H75</f>
        <v>-112855563.24614356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86721573.420000002</v>
      </c>
      <c r="P75" s="120">
        <f>SUM(P61+P65+P69+P73)/4</f>
        <v>0.505</v>
      </c>
      <c r="Q75" s="60">
        <f>B75-M75</f>
        <v>6020884.8300000019</v>
      </c>
      <c r="R75" s="161">
        <f>SUM(R61+R65+R69+R73)</f>
        <v>5991433.0599999987</v>
      </c>
      <c r="S75" s="148">
        <f>SUM(S61+S65+S69+S73)</f>
        <v>19598857.394347832</v>
      </c>
      <c r="T75" s="100">
        <f>B75+I75</f>
        <v>41515387.840000004</v>
      </c>
      <c r="U75" s="149">
        <f t="shared" si="21"/>
        <v>-94773843.236143559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-4988097.0124286087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41515387.840000004</v>
      </c>
      <c r="J80" s="7">
        <f>C75+J75</f>
        <v>29490010.84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-94773843.236143559</v>
      </c>
      <c r="J81" s="7">
        <f>J80-I75</f>
        <v>11408290.830000002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175" priority="12" operator="equal">
      <formula>0.1</formula>
    </cfRule>
    <cfRule type="cellIs" dxfId="174" priority="13" operator="equal">
      <formula>0.2</formula>
    </cfRule>
    <cfRule type="cellIs" dxfId="173" priority="14" operator="equal">
      <formula>0.3</formula>
    </cfRule>
    <cfRule type="cellIs" dxfId="172" priority="15" operator="equal">
      <formula>0.4</formula>
    </cfRule>
    <cfRule type="cellIs" dxfId="171" priority="16" operator="equal">
      <formula>0.5</formula>
    </cfRule>
    <cfRule type="cellIs" dxfId="170" priority="17" operator="equal">
      <formula>0.6</formula>
    </cfRule>
    <cfRule type="cellIs" dxfId="169" priority="18" operator="equal">
      <formula>0.7</formula>
    </cfRule>
    <cfRule type="cellIs" dxfId="168" priority="19" operator="equal">
      <formula>0.8</formula>
    </cfRule>
    <cfRule type="cellIs" dxfId="167" priority="20" stopIfTrue="1" operator="lessThan">
      <formula>-1</formula>
    </cfRule>
    <cfRule type="cellIs" dxfId="166" priority="21" operator="greaterThan">
      <formula>0.9</formula>
    </cfRule>
    <cfRule type="cellIs" dxfId="165" priority="22" operator="equal">
      <formula>0</formula>
    </cfRule>
  </conditionalFormatting>
  <conditionalFormatting sqref="G58:G75 K58:L75 Q58:Q75 U58:U75">
    <cfRule type="cellIs" dxfId="164" priority="1" operator="equal">
      <formula>0.1</formula>
    </cfRule>
    <cfRule type="cellIs" dxfId="163" priority="2" operator="equal">
      <formula>0.2</formula>
    </cfRule>
    <cfRule type="cellIs" dxfId="162" priority="3" operator="equal">
      <formula>0.3</formula>
    </cfRule>
    <cfRule type="cellIs" dxfId="161" priority="4" operator="equal">
      <formula>0.4</formula>
    </cfRule>
    <cfRule type="cellIs" dxfId="160" priority="5" operator="equal">
      <formula>0.5</formula>
    </cfRule>
    <cfRule type="cellIs" dxfId="159" priority="6" operator="equal">
      <formula>0.6</formula>
    </cfRule>
    <cfRule type="cellIs" dxfId="158" priority="7" operator="equal">
      <formula>0.7</formula>
    </cfRule>
    <cfRule type="cellIs" dxfId="157" priority="8" operator="equal">
      <formula>0.8</formula>
    </cfRule>
    <cfRule type="cellIs" dxfId="156" priority="9" stopIfTrue="1" operator="lessThan">
      <formula>-1</formula>
    </cfRule>
    <cfRule type="cellIs" dxfId="155" priority="10" operator="greaterThan">
      <formula>0.9</formula>
    </cfRule>
    <cfRule type="cellIs" dxfId="154" priority="1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CEDA-38F7-49C4-807A-400948B2A162}">
  <dimension ref="A1:AZ93"/>
  <sheetViews>
    <sheetView topLeftCell="A28" zoomScale="93" zoomScaleNormal="93" workbookViewId="0">
      <pane xSplit="1" topLeftCell="G1" activePane="topRight" state="frozen"/>
      <selection activeCell="E69" sqref="E69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f>SUM(R5:R7)</f>
        <v>0</v>
      </c>
      <c r="S8" s="49">
        <f>SUM(S5:S7)</f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f>SUM(R9:R11)</f>
        <v>0</v>
      </c>
      <c r="S12" s="49">
        <f>SUM(S9:S11)</f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f>SUM(R13:R15)</f>
        <v>0</v>
      </c>
      <c r="S16" s="49">
        <f>SUM(S13:S15)</f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f>SUM(R17:R19)</f>
        <v>0</v>
      </c>
      <c r="S20" s="76">
        <f>SUM(S17:S19)</f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f>SUM(R8+R12+R16+R20)</f>
        <v>0</v>
      </c>
      <c r="S21" s="148">
        <f>SUM(S8+S12+S16+S20)</f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43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f>SUM(R31:R33)</f>
        <v>-8337753.9100000001</v>
      </c>
      <c r="S34" s="49">
        <f>SUM(S31:S33)</f>
        <v>8312964.1099999994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f>SUM(R35:R37)</f>
        <v>-16722695.65</v>
      </c>
      <c r="S38" s="49">
        <f>SUM(S35:S37)</f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6102932.2599999998</v>
      </c>
      <c r="C39" s="20">
        <v>0</v>
      </c>
      <c r="D39" s="171">
        <v>0.7</v>
      </c>
      <c r="E39" s="20">
        <v>6102932.2599999998</v>
      </c>
      <c r="F39" s="65">
        <v>0.64</v>
      </c>
      <c r="G39" s="24">
        <f t="shared" si="8"/>
        <v>0</v>
      </c>
      <c r="H39" s="28">
        <v>7768152.0793478228</v>
      </c>
      <c r="I39" s="20">
        <v>0</v>
      </c>
      <c r="J39" s="20">
        <v>0</v>
      </c>
      <c r="K39" s="24">
        <f t="shared" si="13"/>
        <v>0</v>
      </c>
      <c r="L39" s="32">
        <f t="shared" si="9"/>
        <v>-1665219.819347823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999990.25999999978</v>
      </c>
      <c r="R39" s="3">
        <v>-5008359.13</v>
      </c>
      <c r="S39" s="3">
        <v>4589463.5599999996</v>
      </c>
      <c r="T39" s="97">
        <f t="shared" si="11"/>
        <v>6102932.2599999998</v>
      </c>
      <c r="U39" s="39">
        <f t="shared" si="12"/>
        <v>-1665219.819347823</v>
      </c>
    </row>
    <row r="40" spans="1:21" x14ac:dyDescent="0.2">
      <c r="A40" s="17">
        <v>46296</v>
      </c>
      <c r="B40" s="20">
        <v>4592822.3899999997</v>
      </c>
      <c r="C40" s="20">
        <v>0</v>
      </c>
      <c r="D40" s="171">
        <v>0.46</v>
      </c>
      <c r="E40" s="20">
        <v>4592822.3899999997</v>
      </c>
      <c r="F40" s="65">
        <v>0.46</v>
      </c>
      <c r="G40" s="24">
        <f t="shared" si="8"/>
        <v>0</v>
      </c>
      <c r="H40" s="28">
        <v>10894332.467391299</v>
      </c>
      <c r="I40" s="20">
        <v>1392804.35</v>
      </c>
      <c r="J40" s="20">
        <v>1392804.35</v>
      </c>
      <c r="K40" s="24">
        <f t="shared" si="13"/>
        <v>0</v>
      </c>
      <c r="L40" s="32">
        <f t="shared" si="9"/>
        <v>-6301510.0773912994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-2543946.6100000003</v>
      </c>
      <c r="R40" s="3">
        <v>-2625408.69</v>
      </c>
      <c r="S40" s="3">
        <v>1553853.69</v>
      </c>
      <c r="T40" s="97">
        <f t="shared" si="11"/>
        <v>5985626.7400000002</v>
      </c>
      <c r="U40" s="39">
        <f t="shared" si="12"/>
        <v>-4908705.7273912989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1192419.1299999999</v>
      </c>
      <c r="K41" s="24">
        <f t="shared" si="13"/>
        <v>0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12106906.819999998</v>
      </c>
      <c r="C42" s="141">
        <f>SUM(C39:C41)</f>
        <v>0</v>
      </c>
      <c r="D42" s="163">
        <f>SUM(D39:D41)/3</f>
        <v>0.43999999999999995</v>
      </c>
      <c r="E42" s="141">
        <f>SUM(E39:E41)</f>
        <v>12106906.819999998</v>
      </c>
      <c r="F42" s="142">
        <f>SUM(F39:F41)/3</f>
        <v>0.42</v>
      </c>
      <c r="G42" s="141">
        <f t="shared" si="8"/>
        <v>0</v>
      </c>
      <c r="H42" s="140">
        <f>SUM(H39:H41)</f>
        <v>24338929.730225362</v>
      </c>
      <c r="I42" s="141">
        <f>SUM(I39:I41)</f>
        <v>2585223.48</v>
      </c>
      <c r="J42" s="141">
        <f>SUM(J39:J41)</f>
        <v>2585223.48</v>
      </c>
      <c r="K42" s="141">
        <f t="shared" si="13"/>
        <v>0</v>
      </c>
      <c r="L42" s="143">
        <f t="shared" si="9"/>
        <v>-12232022.910225363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-2500917.1800000016</v>
      </c>
      <c r="R42" s="151">
        <f>SUM(R39:R41)</f>
        <v>-9520657.3900000006</v>
      </c>
      <c r="S42" s="152">
        <f>SUM(S39:S41)</f>
        <v>7554469.4199999999</v>
      </c>
      <c r="T42" s="102">
        <f t="shared" si="11"/>
        <v>14692130.299999999</v>
      </c>
      <c r="U42" s="77">
        <f t="shared" si="12"/>
        <v>-9646799.430225363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2725436.52</v>
      </c>
      <c r="J43" s="19">
        <v>2725436.52</v>
      </c>
      <c r="K43" s="34">
        <f>I43-J43</f>
        <v>0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877110.43</v>
      </c>
      <c r="S43" s="3">
        <v>5300767.26</v>
      </c>
      <c r="T43" s="97">
        <f t="shared" si="11"/>
        <v>14160595.08</v>
      </c>
      <c r="U43" s="39">
        <f t="shared" si="12"/>
        <v>-3014538.4526086878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2212260.87</v>
      </c>
      <c r="J44" s="20">
        <v>2212260.87</v>
      </c>
      <c r="K44" s="24">
        <f>I44-J44</f>
        <v>0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2212260.87</v>
      </c>
      <c r="S44" s="3">
        <v>4458817.3899999997</v>
      </c>
      <c r="T44" s="97">
        <f t="shared" si="11"/>
        <v>6903665.2199999997</v>
      </c>
      <c r="U44" s="39">
        <f t="shared" si="12"/>
        <v>-1280244.2843478313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852555.65</v>
      </c>
      <c r="K45" s="44">
        <f t="shared" si="13"/>
        <v>0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5790253.040000001</v>
      </c>
      <c r="J46" s="54">
        <f>SUM(J43:J45)</f>
        <v>5790253.040000001</v>
      </c>
      <c r="K46" s="54">
        <f t="shared" si="13"/>
        <v>0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f>SUM(R43:R45)</f>
        <v>3312417.3800000004</v>
      </c>
      <c r="S46" s="89">
        <f>SUM(S43:S45)</f>
        <v>11217488.129999999</v>
      </c>
      <c r="T46" s="102">
        <f t="shared" si="11"/>
        <v>23374719.43</v>
      </c>
      <c r="U46" s="57">
        <f t="shared" si="12"/>
        <v>-5297900.9982608706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86721573.420000002</v>
      </c>
      <c r="C48" s="58">
        <f>SUM(C34+C38+C42+C46)</f>
        <v>0</v>
      </c>
      <c r="D48" s="106">
        <f>SUM(D34+D38+D42+D46)/4</f>
        <v>0.505</v>
      </c>
      <c r="E48" s="58">
        <v>81345660.370000005</v>
      </c>
      <c r="F48" s="106">
        <f>SUM(F34+F38+F42+F46)/4</f>
        <v>0.5</v>
      </c>
      <c r="G48" s="58">
        <f>SUM(G34+G38+G42+G46)</f>
        <v>0</v>
      </c>
      <c r="H48" s="109">
        <f>SUM(H34+H38+H42+H46)</f>
        <v>123899300.97831228</v>
      </c>
      <c r="I48" s="58">
        <f>SUM(I34+I38+I42+I46)</f>
        <v>8375476.5200000014</v>
      </c>
      <c r="J48" s="58">
        <f>SUM(J34+J38+J42+J46)</f>
        <v>8375476.5200000014</v>
      </c>
      <c r="K48" s="59">
        <f t="shared" si="13"/>
        <v>0</v>
      </c>
      <c r="L48" s="110">
        <f t="shared" ref="L48" si="15">B48-H48</f>
        <v>-37177727.558312282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12406935.420000002</v>
      </c>
      <c r="R48" s="153">
        <f>SUM(R34+R38+R42+R46)</f>
        <v>-31268689.570000004</v>
      </c>
      <c r="S48" s="154">
        <f>SUM(S34+S38+S42+S46)</f>
        <v>39327138.629999995</v>
      </c>
      <c r="T48" s="100">
        <f t="shared" si="11"/>
        <v>95097049.939999998</v>
      </c>
      <c r="U48" s="149">
        <f t="shared" si="12"/>
        <v>-28802251.038312286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-1515907.9493848572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95097049.939999998</v>
      </c>
      <c r="J53" s="7">
        <f>C48+J48</f>
        <v>8375476.5200000014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28802251.038312286</v>
      </c>
      <c r="J54" s="7">
        <f>I48-U48</f>
        <v>37177727.558312289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1092180</v>
      </c>
      <c r="J58" s="130">
        <v>1229530.43</v>
      </c>
      <c r="K58" s="23">
        <f>I58-J58</f>
        <v>-137350.42999999993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-1371276.52</v>
      </c>
      <c r="S58" s="3">
        <v>1941353.04</v>
      </c>
      <c r="T58" s="96">
        <f t="shared" ref="T58:T69" si="16">B58+I58</f>
        <v>3033533.04</v>
      </c>
      <c r="U58" s="38">
        <f>T58-H58</f>
        <v>-3270518.6317391302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1449203.48</v>
      </c>
      <c r="J59" s="131">
        <v>1449203.48</v>
      </c>
      <c r="K59" s="24">
        <f t="shared" ref="K59:K75" si="18">I59-J59</f>
        <v>0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-3875225.22</v>
      </c>
      <c r="S59" s="3">
        <v>754240</v>
      </c>
      <c r="T59" s="97">
        <f t="shared" si="16"/>
        <v>2203443.48</v>
      </c>
      <c r="U59" s="39">
        <f t="shared" ref="U59:U75" si="21">T59-H59</f>
        <v>-7286416.3906521685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2714273.04</v>
      </c>
      <c r="K60" s="24">
        <f t="shared" si="18"/>
        <v>0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5255656.5199999996</v>
      </c>
      <c r="J61" s="157">
        <f>SUM(J58:J60)</f>
        <v>5393006.9500000002</v>
      </c>
      <c r="K61" s="141">
        <f t="shared" si="18"/>
        <v>-137350.43000000063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f>SUM(R58:R60)</f>
        <v>-2740402.6100000003</v>
      </c>
      <c r="S61" s="49">
        <f>SUM(S58:S60)</f>
        <v>4264530.4343478298</v>
      </c>
      <c r="T61" s="102">
        <f t="shared" si="16"/>
        <v>9778795.6499999985</v>
      </c>
      <c r="U61" s="50">
        <f t="shared" si="21"/>
        <v>-13548895.828252159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3592309.57</v>
      </c>
      <c r="J62" s="131">
        <v>2544803.48</v>
      </c>
      <c r="K62" s="24">
        <f t="shared" si="18"/>
        <v>1047506.0899999999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2298491.31</v>
      </c>
      <c r="S62" s="3">
        <v>4102562.61</v>
      </c>
      <c r="T62" s="97">
        <f t="shared" si="16"/>
        <v>10295257.4</v>
      </c>
      <c r="U62" s="39">
        <f t="shared" si="21"/>
        <v>-9788408.686956523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5586060</v>
      </c>
      <c r="J63" s="131">
        <v>5586060</v>
      </c>
      <c r="K63" s="24">
        <f t="shared" si="18"/>
        <v>0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5586060</v>
      </c>
      <c r="S63" s="3">
        <v>4596457.3899999997</v>
      </c>
      <c r="T63" s="97">
        <f t="shared" si="16"/>
        <v>10182517.390000001</v>
      </c>
      <c r="U63" s="39">
        <f t="shared" si="21"/>
        <v>-8582856.2216000035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2830129.57</v>
      </c>
      <c r="J64" s="131">
        <v>2974788.7</v>
      </c>
      <c r="K64" s="24">
        <f t="shared" si="18"/>
        <v>-144659.13000000035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2122072.1800000002</v>
      </c>
      <c r="S64" s="3">
        <v>544021.74</v>
      </c>
      <c r="T64" s="97">
        <f t="shared" si="16"/>
        <v>3374151.3099999996</v>
      </c>
      <c r="U64" s="39">
        <f t="shared" si="21"/>
        <v>-12425643.414999984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12008499.140000001</v>
      </c>
      <c r="J65" s="157">
        <f>SUM(J62:J64)</f>
        <v>11105652.18</v>
      </c>
      <c r="K65" s="141">
        <f t="shared" si="18"/>
        <v>902846.96000000089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f>SUM(R62:R64)</f>
        <v>10006623.49</v>
      </c>
      <c r="S65" s="49">
        <f>SUM(S62:S64)</f>
        <v>9243041.7400000002</v>
      </c>
      <c r="T65" s="102">
        <f t="shared" si="16"/>
        <v>23851926.100000001</v>
      </c>
      <c r="U65" s="50">
        <f t="shared" si="21"/>
        <v>-30796908.323556513</v>
      </c>
    </row>
    <row r="66" spans="1:21" x14ac:dyDescent="0.2">
      <c r="A66" s="122">
        <v>46631</v>
      </c>
      <c r="B66" s="22">
        <v>1879361.74</v>
      </c>
      <c r="C66" s="128"/>
      <c r="D66" s="171">
        <v>0.1</v>
      </c>
      <c r="E66" s="22">
        <v>1879361.74</v>
      </c>
      <c r="F66" s="174">
        <v>0.1</v>
      </c>
      <c r="G66" s="26">
        <f t="shared" si="22"/>
        <v>0</v>
      </c>
      <c r="H66" s="136">
        <f>H39*1.1</f>
        <v>8544967.2872826066</v>
      </c>
      <c r="I66" s="131">
        <v>660326.09</v>
      </c>
      <c r="J66" s="131">
        <v>1817807.83</v>
      </c>
      <c r="K66" s="24">
        <f t="shared" si="18"/>
        <v>-1157481.7400000002</v>
      </c>
      <c r="L66" s="32">
        <f t="shared" si="19"/>
        <v>-6665605.5472826064</v>
      </c>
      <c r="M66" s="138">
        <v>611674</v>
      </c>
      <c r="N66" s="67">
        <v>0</v>
      </c>
      <c r="O66" s="19">
        <f>B39</f>
        <v>6102932.2599999998</v>
      </c>
      <c r="P66" s="65">
        <f>D39</f>
        <v>0.7</v>
      </c>
      <c r="Q66" s="34">
        <f t="shared" si="20"/>
        <v>1267687.74</v>
      </c>
      <c r="R66" s="3">
        <v>660326.09</v>
      </c>
      <c r="S66" s="3">
        <v>903545.22</v>
      </c>
      <c r="T66" s="97">
        <f t="shared" si="16"/>
        <v>2539687.83</v>
      </c>
      <c r="U66" s="39">
        <f t="shared" si="21"/>
        <v>-6005279.4572826065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1142365.22</v>
      </c>
      <c r="J67" s="131">
        <v>1142365.22</v>
      </c>
      <c r="K67" s="24">
        <f t="shared" si="18"/>
        <v>0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4592822.3899999997</v>
      </c>
      <c r="P67" s="65">
        <f>D40</f>
        <v>0.46</v>
      </c>
      <c r="Q67" s="34">
        <f t="shared" si="20"/>
        <v>-1334543</v>
      </c>
      <c r="R67" s="3">
        <v>1142365.22</v>
      </c>
      <c r="S67" s="3">
        <v>0</v>
      </c>
      <c r="T67" s="97">
        <f t="shared" si="16"/>
        <v>1142365.22</v>
      </c>
      <c r="U67" s="39">
        <f t="shared" si="21"/>
        <v>-10841400.494130429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671770.43</v>
      </c>
      <c r="J68" s="131">
        <v>671770.43</v>
      </c>
      <c r="K68" s="24">
        <f t="shared" si="18"/>
        <v>0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671770.43</v>
      </c>
      <c r="S68" s="3">
        <v>614762.61</v>
      </c>
      <c r="T68" s="97">
        <f t="shared" si="16"/>
        <v>1286533.04</v>
      </c>
      <c r="U68" s="39">
        <f t="shared" si="21"/>
        <v>-4957556.6618348612</v>
      </c>
    </row>
    <row r="69" spans="1:21" x14ac:dyDescent="0.2">
      <c r="A69" s="139" t="s">
        <v>29</v>
      </c>
      <c r="B69" s="140">
        <f>SUM(B66:B68)</f>
        <v>2494124.35</v>
      </c>
      <c r="C69" s="150">
        <f>SUM(C66:C68)</f>
        <v>0</v>
      </c>
      <c r="D69" s="176">
        <f>SUM(D66:D68)/3</f>
        <v>4.6666666666666669E-2</v>
      </c>
      <c r="E69" s="141">
        <f>SUM(E66:E68)</f>
        <v>2494124.35</v>
      </c>
      <c r="F69" s="71">
        <f>SUM(F66:F68)/3</f>
        <v>4.6666666666666669E-2</v>
      </c>
      <c r="G69" s="140">
        <f t="shared" si="22"/>
        <v>0</v>
      </c>
      <c r="H69" s="156">
        <f>SUM(H66:H68)</f>
        <v>26772822.703247897</v>
      </c>
      <c r="I69" s="157">
        <f>SUM(I66:I68)</f>
        <v>2474461.7400000002</v>
      </c>
      <c r="J69" s="157">
        <f>SUM(J66:J68)</f>
        <v>3631943.48</v>
      </c>
      <c r="K69" s="141">
        <f t="shared" si="18"/>
        <v>-1157481.7399999998</v>
      </c>
      <c r="L69" s="143">
        <f t="shared" si="19"/>
        <v>-24278698.353247896</v>
      </c>
      <c r="M69" s="141">
        <f>SUM(M66:M68)</f>
        <v>1946217</v>
      </c>
      <c r="N69" s="69">
        <f>SUM(N66:N68)/3</f>
        <v>0</v>
      </c>
      <c r="O69" s="141">
        <f>SUM(O66:O68)</f>
        <v>12106906.819999998</v>
      </c>
      <c r="P69" s="142">
        <f>SUM(P66:P68)/3</f>
        <v>0.43999999999999995</v>
      </c>
      <c r="Q69" s="77">
        <f t="shared" si="20"/>
        <v>547907.35000000009</v>
      </c>
      <c r="R69" s="151">
        <f>SUM(R66:R68)</f>
        <v>2474461.7400000002</v>
      </c>
      <c r="S69" s="152">
        <f>SUM(S66:S68)</f>
        <v>1518307.83</v>
      </c>
      <c r="T69" s="158">
        <f t="shared" si="16"/>
        <v>4968586.09</v>
      </c>
      <c r="U69" s="77">
        <f t="shared" si="21"/>
        <v>-21804236.613247897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4035780.87</v>
      </c>
      <c r="J70" s="132">
        <v>4035780.87</v>
      </c>
      <c r="K70" s="24">
        <f t="shared" si="18"/>
        <v>0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4035780.87</v>
      </c>
      <c r="S70" s="3">
        <v>3681390.43</v>
      </c>
      <c r="T70" s="97">
        <f>B70+I70</f>
        <v>7717171.3000000007</v>
      </c>
      <c r="U70" s="39">
        <f t="shared" si="21"/>
        <v>-11175475.585869558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466849.57</v>
      </c>
      <c r="J71" s="131">
        <v>0</v>
      </c>
      <c r="K71" s="24">
        <f t="shared" si="18"/>
        <v>466849.57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-1625502.6</v>
      </c>
      <c r="S71" s="3">
        <v>891586.96</v>
      </c>
      <c r="T71" s="97">
        <f>B71+I71</f>
        <v>1358436.53</v>
      </c>
      <c r="U71" s="39">
        <f t="shared" si="21"/>
        <v>-7643863.9247826142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4502630.4400000004</v>
      </c>
      <c r="J73" s="157">
        <f>SUM(J70:J72)</f>
        <v>4035780.87</v>
      </c>
      <c r="K73" s="63">
        <f t="shared" si="18"/>
        <v>466849.5700000003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f>SUM(R70:R72)</f>
        <v>2410278.27</v>
      </c>
      <c r="S73" s="91">
        <f>SUM(S70:S72)</f>
        <v>4572977.3900000006</v>
      </c>
      <c r="T73" s="74">
        <f t="shared" ref="T73" si="23">B73+I73</f>
        <v>9075607.8300000019</v>
      </c>
      <c r="U73" s="57">
        <f t="shared" si="21"/>
        <v>-22464274.641086962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23433667.830000002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0</v>
      </c>
      <c r="H75" s="109">
        <f>SUM(H61+H65+H69+H73)</f>
        <v>136289231.07614356</v>
      </c>
      <c r="I75" s="58">
        <f t="shared" si="24"/>
        <v>24241247.84</v>
      </c>
      <c r="J75" s="58">
        <f t="shared" si="24"/>
        <v>24166383.48</v>
      </c>
      <c r="K75" s="59">
        <f t="shared" si="18"/>
        <v>74864.359999999404</v>
      </c>
      <c r="L75" s="110">
        <f t="shared" ref="L75" si="25">B75-H75</f>
        <v>-112855563.24614356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86721573.420000002</v>
      </c>
      <c r="P75" s="120">
        <f>SUM(P61+P65+P69+P73)/4</f>
        <v>0.505</v>
      </c>
      <c r="Q75" s="60">
        <f>B75-M75</f>
        <v>6020884.8300000019</v>
      </c>
      <c r="R75" s="161">
        <f>SUM(R61+R65+R69+R73)</f>
        <v>12150960.890000001</v>
      </c>
      <c r="S75" s="148">
        <f>SUM(S61+S65+S69+S73)</f>
        <v>19598857.394347832</v>
      </c>
      <c r="T75" s="100">
        <f>B75+I75</f>
        <v>47674915.670000002</v>
      </c>
      <c r="U75" s="149">
        <f t="shared" si="21"/>
        <v>-88614315.406143561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-4663911.3371654507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47674915.670000002</v>
      </c>
      <c r="J80" s="7">
        <f>C75+J75</f>
        <v>29415146.48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-88614315.406143561</v>
      </c>
      <c r="J81" s="7">
        <f>J80-I75</f>
        <v>5173898.6400000006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153" priority="12" operator="equal">
      <formula>0.1</formula>
    </cfRule>
    <cfRule type="cellIs" dxfId="152" priority="13" operator="equal">
      <formula>0.2</formula>
    </cfRule>
    <cfRule type="cellIs" dxfId="151" priority="14" operator="equal">
      <formula>0.3</formula>
    </cfRule>
    <cfRule type="cellIs" dxfId="150" priority="15" operator="equal">
      <formula>0.4</formula>
    </cfRule>
    <cfRule type="cellIs" dxfId="149" priority="16" operator="equal">
      <formula>0.5</formula>
    </cfRule>
    <cfRule type="cellIs" dxfId="148" priority="17" operator="equal">
      <formula>0.6</formula>
    </cfRule>
    <cfRule type="cellIs" dxfId="147" priority="18" operator="equal">
      <formula>0.7</formula>
    </cfRule>
    <cfRule type="cellIs" dxfId="146" priority="19" operator="equal">
      <formula>0.8</formula>
    </cfRule>
    <cfRule type="cellIs" dxfId="145" priority="20" stopIfTrue="1" operator="lessThan">
      <formula>-1</formula>
    </cfRule>
    <cfRule type="cellIs" dxfId="144" priority="21" operator="greaterThan">
      <formula>0.9</formula>
    </cfRule>
    <cfRule type="cellIs" dxfId="143" priority="22" operator="equal">
      <formula>0</formula>
    </cfRule>
  </conditionalFormatting>
  <conditionalFormatting sqref="G58:G75 K58:L75 Q58:Q75 U58:U75">
    <cfRule type="cellIs" dxfId="142" priority="1" operator="equal">
      <formula>0.1</formula>
    </cfRule>
    <cfRule type="cellIs" dxfId="141" priority="2" operator="equal">
      <formula>0.2</formula>
    </cfRule>
    <cfRule type="cellIs" dxfId="140" priority="3" operator="equal">
      <formula>0.3</formula>
    </cfRule>
    <cfRule type="cellIs" dxfId="139" priority="4" operator="equal">
      <formula>0.4</formula>
    </cfRule>
    <cfRule type="cellIs" dxfId="138" priority="5" operator="equal">
      <formula>0.5</formula>
    </cfRule>
    <cfRule type="cellIs" dxfId="137" priority="6" operator="equal">
      <formula>0.6</formula>
    </cfRule>
    <cfRule type="cellIs" dxfId="136" priority="7" operator="equal">
      <formula>0.7</formula>
    </cfRule>
    <cfRule type="cellIs" dxfId="135" priority="8" operator="equal">
      <formula>0.8</formula>
    </cfRule>
    <cfRule type="cellIs" dxfId="134" priority="9" stopIfTrue="1" operator="lessThan">
      <formula>-1</formula>
    </cfRule>
    <cfRule type="cellIs" dxfId="133" priority="10" operator="greaterThan">
      <formula>0.9</formula>
    </cfRule>
    <cfRule type="cellIs" dxfId="132" priority="1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84A6-E112-45A0-90DC-AA4C10B04C3B}">
  <dimension ref="A1:AZ93"/>
  <sheetViews>
    <sheetView topLeftCell="A30" zoomScale="93" zoomScaleNormal="93" workbookViewId="0">
      <pane xSplit="1" topLeftCell="B1" activePane="topRight" state="frozen"/>
      <selection activeCell="E69" sqref="E69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f>SUM(R5:R7)</f>
        <v>0</v>
      </c>
      <c r="S8" s="49">
        <f>SUM(S5:S7)</f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f>SUM(R9:R11)</f>
        <v>0</v>
      </c>
      <c r="S12" s="49">
        <f>SUM(S9:S11)</f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f>SUM(R13:R15)</f>
        <v>0</v>
      </c>
      <c r="S16" s="49">
        <f>SUM(S13:S15)</f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f>SUM(R17:R19)</f>
        <v>0</v>
      </c>
      <c r="S20" s="76">
        <f>SUM(S17:S19)</f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f>SUM(R8+R12+R16+R20)</f>
        <v>0</v>
      </c>
      <c r="S21" s="148">
        <f>SUM(S8+S12+S16+S20)</f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42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f>SUM(R31:R33)</f>
        <v>-8337753.9100000001</v>
      </c>
      <c r="S34" s="49">
        <f>SUM(S31:S33)</f>
        <v>8312964.1099999994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f>SUM(R35:R37)</f>
        <v>-16722695.65</v>
      </c>
      <c r="S38" s="49">
        <f>SUM(S35:S37)</f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6102932.2599999998</v>
      </c>
      <c r="C39" s="20">
        <v>0</v>
      </c>
      <c r="D39" s="171">
        <v>0.7</v>
      </c>
      <c r="E39" s="20">
        <v>6102932.2599999998</v>
      </c>
      <c r="F39" s="65">
        <v>0.64</v>
      </c>
      <c r="G39" s="24">
        <f t="shared" si="8"/>
        <v>0</v>
      </c>
      <c r="H39" s="28">
        <v>7768152.0793478228</v>
      </c>
      <c r="I39" s="20">
        <v>0</v>
      </c>
      <c r="J39" s="20">
        <v>1325055.6499999999</v>
      </c>
      <c r="K39" s="24">
        <f t="shared" si="13"/>
        <v>-1325055.6499999999</v>
      </c>
      <c r="L39" s="32">
        <f t="shared" si="9"/>
        <v>-1665219.819347823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999990.25999999978</v>
      </c>
      <c r="R39" s="3">
        <v>-5008359.13</v>
      </c>
      <c r="S39" s="3">
        <v>4589463.5599999996</v>
      </c>
      <c r="T39" s="97">
        <f t="shared" si="11"/>
        <v>6102932.2599999998</v>
      </c>
      <c r="U39" s="39">
        <f t="shared" si="12"/>
        <v>-1665219.819347823</v>
      </c>
    </row>
    <row r="40" spans="1:21" x14ac:dyDescent="0.2">
      <c r="A40" s="17">
        <v>46296</v>
      </c>
      <c r="B40" s="20">
        <v>4592822.3899999997</v>
      </c>
      <c r="C40" s="20">
        <v>0</v>
      </c>
      <c r="D40" s="171">
        <v>0.46</v>
      </c>
      <c r="E40" s="20">
        <v>4592822.3899999997</v>
      </c>
      <c r="F40" s="65">
        <v>0.46</v>
      </c>
      <c r="G40" s="24">
        <f t="shared" si="8"/>
        <v>0</v>
      </c>
      <c r="H40" s="28">
        <v>10894332.467391299</v>
      </c>
      <c r="I40" s="20">
        <v>1392804.35</v>
      </c>
      <c r="J40" s="20">
        <v>3013002.61</v>
      </c>
      <c r="K40" s="24">
        <f t="shared" si="13"/>
        <v>-1620198.2599999998</v>
      </c>
      <c r="L40" s="32">
        <f t="shared" si="9"/>
        <v>-6301510.0773912994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-2543946.6100000003</v>
      </c>
      <c r="R40" s="3">
        <v>-2625408.69</v>
      </c>
      <c r="S40" s="3">
        <v>1553853.69</v>
      </c>
      <c r="T40" s="97">
        <f t="shared" si="11"/>
        <v>5985626.7400000002</v>
      </c>
      <c r="U40" s="39">
        <f t="shared" si="12"/>
        <v>-4908705.7273912989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1192419.1299999999</v>
      </c>
      <c r="K41" s="24">
        <f t="shared" si="13"/>
        <v>0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12106906.819999998</v>
      </c>
      <c r="C42" s="141">
        <f>SUM(C39:C41)</f>
        <v>0</v>
      </c>
      <c r="D42" s="163">
        <f>SUM(D39:D41)/3</f>
        <v>0.43999999999999995</v>
      </c>
      <c r="E42" s="141">
        <f>SUM(E39:E41)</f>
        <v>12106906.819999998</v>
      </c>
      <c r="F42" s="142">
        <f>SUM(F39:F41)/3</f>
        <v>0.42</v>
      </c>
      <c r="G42" s="141">
        <f t="shared" si="8"/>
        <v>0</v>
      </c>
      <c r="H42" s="140">
        <f>SUM(H39:H41)</f>
        <v>24338929.730225362</v>
      </c>
      <c r="I42" s="141">
        <f>SUM(I39:I41)</f>
        <v>2585223.48</v>
      </c>
      <c r="J42" s="141">
        <f>SUM(J39:J41)</f>
        <v>5530477.3899999997</v>
      </c>
      <c r="K42" s="141">
        <f t="shared" si="13"/>
        <v>-2945253.9099999997</v>
      </c>
      <c r="L42" s="143">
        <f t="shared" si="9"/>
        <v>-12232022.910225363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-2500917.1800000016</v>
      </c>
      <c r="R42" s="151">
        <f>SUM(R39:R41)</f>
        <v>-9520657.3900000006</v>
      </c>
      <c r="S42" s="152">
        <f>SUM(S39:S41)</f>
        <v>7554469.4199999999</v>
      </c>
      <c r="T42" s="102">
        <f t="shared" si="11"/>
        <v>14692130.299999999</v>
      </c>
      <c r="U42" s="77">
        <f t="shared" si="12"/>
        <v>-9646799.430225363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2725436.52</v>
      </c>
      <c r="J43" s="19">
        <v>520434.78</v>
      </c>
      <c r="K43" s="34">
        <f>I43-J43</f>
        <v>2205001.7400000002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877110.43</v>
      </c>
      <c r="S43" s="3">
        <v>5300767.26</v>
      </c>
      <c r="T43" s="97">
        <f t="shared" si="11"/>
        <v>14160595.08</v>
      </c>
      <c r="U43" s="39">
        <f t="shared" si="12"/>
        <v>-3014538.4526086878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2212260.87</v>
      </c>
      <c r="J44" s="20">
        <v>2212260.87</v>
      </c>
      <c r="K44" s="24">
        <f>I44-J44</f>
        <v>0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2212260.87</v>
      </c>
      <c r="S44" s="3">
        <v>4458817.3899999997</v>
      </c>
      <c r="T44" s="97">
        <f t="shared" si="11"/>
        <v>6903665.2199999997</v>
      </c>
      <c r="U44" s="39">
        <f t="shared" si="12"/>
        <v>-1280244.2843478313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852555.65</v>
      </c>
      <c r="K45" s="44">
        <f t="shared" si="13"/>
        <v>0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5790253.040000001</v>
      </c>
      <c r="J46" s="54">
        <f>SUM(J43:J45)</f>
        <v>3585251.3000000003</v>
      </c>
      <c r="K46" s="54">
        <f t="shared" si="13"/>
        <v>2205001.7400000007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f>SUM(R43:R45)</f>
        <v>3312417.3800000004</v>
      </c>
      <c r="S46" s="89">
        <f>SUM(S43:S45)</f>
        <v>11217488.129999999</v>
      </c>
      <c r="T46" s="102">
        <f t="shared" si="11"/>
        <v>23374719.43</v>
      </c>
      <c r="U46" s="57">
        <f t="shared" si="12"/>
        <v>-5297900.9982608706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86721573.420000002</v>
      </c>
      <c r="C48" s="58">
        <f>SUM(C34+C38+C42+C46)</f>
        <v>0</v>
      </c>
      <c r="D48" s="106">
        <f>SUM(D34+D38+D42+D46)/4</f>
        <v>0.505</v>
      </c>
      <c r="E48" s="58">
        <v>81345660.370000005</v>
      </c>
      <c r="F48" s="106">
        <f>SUM(F34+F38+F42+F46)/4</f>
        <v>0.5</v>
      </c>
      <c r="G48" s="58">
        <f>SUM(G34+G38+G42+G46)</f>
        <v>0</v>
      </c>
      <c r="H48" s="109">
        <f>SUM(H34+H38+H42+H46)</f>
        <v>123899300.97831228</v>
      </c>
      <c r="I48" s="58">
        <f>SUM(I34+I38+I42+I46)</f>
        <v>8375476.5200000014</v>
      </c>
      <c r="J48" s="58">
        <f>SUM(J34+J38+J42+J46)</f>
        <v>9115728.6899999995</v>
      </c>
      <c r="K48" s="59">
        <f t="shared" si="13"/>
        <v>-740252.16999999806</v>
      </c>
      <c r="L48" s="110">
        <f t="shared" ref="L48" si="15">B48-H48</f>
        <v>-37177727.558312282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12406935.420000002</v>
      </c>
      <c r="R48" s="153">
        <f>SUM(R34+R38+R42+R46)</f>
        <v>-31268689.570000004</v>
      </c>
      <c r="S48" s="154">
        <f>SUM(S34+S38+S42+S46)</f>
        <v>39327138.629999995</v>
      </c>
      <c r="T48" s="100">
        <f t="shared" si="11"/>
        <v>95097049.939999998</v>
      </c>
      <c r="U48" s="149">
        <f t="shared" si="12"/>
        <v>-28802251.038312286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-1515907.9493848572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95097049.939999998</v>
      </c>
      <c r="J53" s="7">
        <f>C48+J48</f>
        <v>9115728.6899999995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28802251.038312286</v>
      </c>
      <c r="J54" s="7">
        <f>I48-U48</f>
        <v>37177727.558312289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1229530.43</v>
      </c>
      <c r="J58" s="130">
        <v>1511311.3</v>
      </c>
      <c r="K58" s="23">
        <f>I58-J58</f>
        <v>-281780.87000000011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-1233926.0900000001</v>
      </c>
      <c r="S58" s="3">
        <v>1941353.04</v>
      </c>
      <c r="T58" s="96">
        <f t="shared" ref="T58:T69" si="16">B58+I58</f>
        <v>3170883.4699999997</v>
      </c>
      <c r="U58" s="38">
        <f>T58-H58</f>
        <v>-3133168.2017391305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1449203.48</v>
      </c>
      <c r="J59" s="131">
        <v>623791.30000000005</v>
      </c>
      <c r="K59" s="24">
        <f t="shared" ref="K59:K75" si="18">I59-J59</f>
        <v>825412.17999999993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-3875225.22</v>
      </c>
      <c r="S59" s="3">
        <v>754240</v>
      </c>
      <c r="T59" s="97">
        <f t="shared" si="16"/>
        <v>2203443.48</v>
      </c>
      <c r="U59" s="39">
        <f t="shared" ref="U59:U75" si="21">T59-H59</f>
        <v>-7286416.3906521685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2714273.04</v>
      </c>
      <c r="K60" s="24">
        <f t="shared" si="18"/>
        <v>0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5393006.9500000002</v>
      </c>
      <c r="J61" s="157">
        <f>SUM(J58:J60)</f>
        <v>4849375.6400000006</v>
      </c>
      <c r="K61" s="141">
        <f t="shared" si="18"/>
        <v>543631.30999999959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f>SUM(R58:R60)</f>
        <v>-2603052.1800000006</v>
      </c>
      <c r="S61" s="49">
        <f>SUM(S58:S60)</f>
        <v>4264530.4343478298</v>
      </c>
      <c r="T61" s="102">
        <f t="shared" si="16"/>
        <v>9916146.0800000001</v>
      </c>
      <c r="U61" s="50">
        <f t="shared" si="21"/>
        <v>-13411545.398252157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2544803.48</v>
      </c>
      <c r="J62" s="131">
        <v>2544803.48</v>
      </c>
      <c r="K62" s="24">
        <f t="shared" si="18"/>
        <v>0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1250985.22</v>
      </c>
      <c r="S62" s="3">
        <v>4102562.61</v>
      </c>
      <c r="T62" s="97">
        <f t="shared" si="16"/>
        <v>9247751.3100000005</v>
      </c>
      <c r="U62" s="39">
        <f t="shared" si="21"/>
        <v>-10835914.776956523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5586060</v>
      </c>
      <c r="J63" s="131">
        <v>6266350.4299999997</v>
      </c>
      <c r="K63" s="24">
        <f t="shared" si="18"/>
        <v>-680290.4299999997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5586060</v>
      </c>
      <c r="S63" s="3">
        <v>4596457.3899999997</v>
      </c>
      <c r="T63" s="97">
        <f t="shared" si="16"/>
        <v>10182517.390000001</v>
      </c>
      <c r="U63" s="39">
        <f t="shared" si="21"/>
        <v>-8582856.2216000035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2974788.7</v>
      </c>
      <c r="J64" s="131">
        <v>2974788.7</v>
      </c>
      <c r="K64" s="24">
        <f t="shared" si="18"/>
        <v>0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2266731.31</v>
      </c>
      <c r="S64" s="3">
        <v>544021.74</v>
      </c>
      <c r="T64" s="97">
        <f t="shared" si="16"/>
        <v>3518810.4400000004</v>
      </c>
      <c r="U64" s="39">
        <f t="shared" si="21"/>
        <v>-12280984.284999985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11105652.18</v>
      </c>
      <c r="J65" s="157">
        <f>SUM(J62:J64)</f>
        <v>11785942.609999999</v>
      </c>
      <c r="K65" s="141">
        <f t="shared" si="18"/>
        <v>-680290.4299999997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f>SUM(R62:R64)</f>
        <v>9103776.5299999993</v>
      </c>
      <c r="S65" s="49">
        <f>SUM(S62:S64)</f>
        <v>9243041.7400000002</v>
      </c>
      <c r="T65" s="102">
        <f t="shared" si="16"/>
        <v>22949079.140000001</v>
      </c>
      <c r="U65" s="50">
        <f t="shared" si="21"/>
        <v>-31699755.283556513</v>
      </c>
    </row>
    <row r="66" spans="1:21" x14ac:dyDescent="0.2">
      <c r="A66" s="122">
        <v>46631</v>
      </c>
      <c r="B66" s="22">
        <v>1879361.74</v>
      </c>
      <c r="C66" s="128"/>
      <c r="D66" s="171">
        <v>0.1</v>
      </c>
      <c r="E66" s="22">
        <v>1879361.74</v>
      </c>
      <c r="F66" s="174">
        <v>0.1</v>
      </c>
      <c r="G66" s="26">
        <f t="shared" si="22"/>
        <v>0</v>
      </c>
      <c r="H66" s="136">
        <f>H39*1.1</f>
        <v>8544967.2872826066</v>
      </c>
      <c r="I66" s="131">
        <v>1817807.83</v>
      </c>
      <c r="J66" s="131">
        <v>1817807.83</v>
      </c>
      <c r="K66" s="24">
        <f t="shared" si="18"/>
        <v>0</v>
      </c>
      <c r="L66" s="32">
        <f t="shared" si="19"/>
        <v>-6665605.5472826064</v>
      </c>
      <c r="M66" s="138">
        <v>611674</v>
      </c>
      <c r="N66" s="67">
        <v>0</v>
      </c>
      <c r="O66" s="19">
        <f>B39</f>
        <v>6102932.2599999998</v>
      </c>
      <c r="P66" s="65">
        <f>D39</f>
        <v>0.7</v>
      </c>
      <c r="Q66" s="34">
        <f t="shared" si="20"/>
        <v>1267687.74</v>
      </c>
      <c r="R66" s="3">
        <v>1817807.83</v>
      </c>
      <c r="S66" s="3">
        <v>903545.22</v>
      </c>
      <c r="T66" s="97">
        <f t="shared" si="16"/>
        <v>3697169.5700000003</v>
      </c>
      <c r="U66" s="39">
        <f t="shared" si="21"/>
        <v>-4847797.7172826063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1142365.22</v>
      </c>
      <c r="J67" s="131">
        <v>1142365.22</v>
      </c>
      <c r="K67" s="24">
        <f t="shared" si="18"/>
        <v>0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4592822.3899999997</v>
      </c>
      <c r="P67" s="65">
        <f>D40</f>
        <v>0.46</v>
      </c>
      <c r="Q67" s="34">
        <f t="shared" si="20"/>
        <v>-1334543</v>
      </c>
      <c r="R67" s="3">
        <v>1142365.22</v>
      </c>
      <c r="S67" s="3">
        <v>0</v>
      </c>
      <c r="T67" s="97">
        <f t="shared" si="16"/>
        <v>1142365.22</v>
      </c>
      <c r="U67" s="39">
        <f t="shared" si="21"/>
        <v>-10841400.494130429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671770.43</v>
      </c>
      <c r="J68" s="131">
        <v>671770.43</v>
      </c>
      <c r="K68" s="24">
        <f t="shared" si="18"/>
        <v>0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671770.43</v>
      </c>
      <c r="S68" s="3">
        <v>614762.61</v>
      </c>
      <c r="T68" s="97">
        <f t="shared" si="16"/>
        <v>1286533.04</v>
      </c>
      <c r="U68" s="39">
        <f t="shared" si="21"/>
        <v>-4957556.6618348612</v>
      </c>
    </row>
    <row r="69" spans="1:21" x14ac:dyDescent="0.2">
      <c r="A69" s="139" t="s">
        <v>29</v>
      </c>
      <c r="B69" s="140">
        <f>SUM(B66:B68)</f>
        <v>2494124.35</v>
      </c>
      <c r="C69" s="150">
        <f>SUM(C66:C68)</f>
        <v>0</v>
      </c>
      <c r="D69" s="176">
        <f>SUM(D66:D68)/3</f>
        <v>4.6666666666666669E-2</v>
      </c>
      <c r="E69" s="141">
        <f>SUM(E66:E68)</f>
        <v>2494124.35</v>
      </c>
      <c r="F69" s="71">
        <f>SUM(F66:F68)/3</f>
        <v>4.6666666666666669E-2</v>
      </c>
      <c r="G69" s="140">
        <f t="shared" si="22"/>
        <v>0</v>
      </c>
      <c r="H69" s="156">
        <f>SUM(H66:H68)</f>
        <v>26772822.703247897</v>
      </c>
      <c r="I69" s="157">
        <f>SUM(I66:I68)</f>
        <v>3631943.48</v>
      </c>
      <c r="J69" s="157">
        <f>SUM(J66:J68)</f>
        <v>3631943.48</v>
      </c>
      <c r="K69" s="141">
        <f t="shared" si="18"/>
        <v>0</v>
      </c>
      <c r="L69" s="143">
        <f t="shared" si="19"/>
        <v>-24278698.353247896</v>
      </c>
      <c r="M69" s="141">
        <f>SUM(M66:M68)</f>
        <v>1946217</v>
      </c>
      <c r="N69" s="69">
        <f>SUM(N66:N68)/3</f>
        <v>0</v>
      </c>
      <c r="O69" s="141">
        <f>SUM(O66:O68)</f>
        <v>12106906.819999998</v>
      </c>
      <c r="P69" s="142">
        <f>SUM(P66:P68)/3</f>
        <v>0.43999999999999995</v>
      </c>
      <c r="Q69" s="77">
        <f t="shared" si="20"/>
        <v>547907.35000000009</v>
      </c>
      <c r="R69" s="151">
        <f>SUM(R66:R68)</f>
        <v>3631943.48</v>
      </c>
      <c r="S69" s="152">
        <f>SUM(S66:S68)</f>
        <v>1518307.83</v>
      </c>
      <c r="T69" s="158">
        <f t="shared" si="16"/>
        <v>6126067.8300000001</v>
      </c>
      <c r="U69" s="77">
        <f t="shared" si="21"/>
        <v>-20646754.873247899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4035780.87</v>
      </c>
      <c r="J70" s="132">
        <v>4035780.87</v>
      </c>
      <c r="K70" s="24">
        <f t="shared" si="18"/>
        <v>0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4035780.87</v>
      </c>
      <c r="S70" s="3">
        <v>3681390.43</v>
      </c>
      <c r="T70" s="97">
        <f>B70+I70</f>
        <v>7717171.3000000007</v>
      </c>
      <c r="U70" s="39">
        <f t="shared" si="21"/>
        <v>-11175475.585869558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0</v>
      </c>
      <c r="J71" s="131">
        <v>0</v>
      </c>
      <c r="K71" s="24">
        <f t="shared" si="18"/>
        <v>0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-2092352.17</v>
      </c>
      <c r="S71" s="3">
        <v>891586.96</v>
      </c>
      <c r="T71" s="97">
        <f>B71+I71</f>
        <v>891586.96</v>
      </c>
      <c r="U71" s="39">
        <f t="shared" si="21"/>
        <v>-8110713.4947826145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4035780.87</v>
      </c>
      <c r="J73" s="157">
        <f>SUM(J70:J72)</f>
        <v>4035780.87</v>
      </c>
      <c r="K73" s="63">
        <f t="shared" si="18"/>
        <v>0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f>SUM(R70:R72)</f>
        <v>1943428.7000000002</v>
      </c>
      <c r="S73" s="91">
        <f>SUM(S70:S72)</f>
        <v>4572977.3900000006</v>
      </c>
      <c r="T73" s="74">
        <f t="shared" ref="T73" si="23">B73+I73</f>
        <v>8608758.2600000016</v>
      </c>
      <c r="U73" s="57">
        <f t="shared" si="21"/>
        <v>-22931124.211086962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23433667.830000002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0</v>
      </c>
      <c r="H75" s="109">
        <f>SUM(H61+H65+H69+H73)</f>
        <v>136289231.07614356</v>
      </c>
      <c r="I75" s="58">
        <f t="shared" si="24"/>
        <v>24166383.48</v>
      </c>
      <c r="J75" s="58">
        <f t="shared" si="24"/>
        <v>24303042.600000001</v>
      </c>
      <c r="K75" s="59">
        <f t="shared" si="18"/>
        <v>-136659.12000000104</v>
      </c>
      <c r="L75" s="110">
        <f t="shared" ref="L75" si="25">B75-H75</f>
        <v>-112855563.24614356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86721573.420000002</v>
      </c>
      <c r="P75" s="120">
        <f>SUM(P61+P65+P69+P73)/4</f>
        <v>0.505</v>
      </c>
      <c r="Q75" s="60">
        <f>B75-M75</f>
        <v>6020884.8300000019</v>
      </c>
      <c r="R75" s="161">
        <f>SUM(R61+R65+R69+R73)</f>
        <v>12076096.529999997</v>
      </c>
      <c r="S75" s="148">
        <f>SUM(S61+S65+S69+S73)</f>
        <v>19598857.394347832</v>
      </c>
      <c r="T75" s="100">
        <f>B75+I75</f>
        <v>47600051.310000002</v>
      </c>
      <c r="U75" s="149">
        <f t="shared" si="21"/>
        <v>-88689179.76614356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-4667851.5666391347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47600051.310000002</v>
      </c>
      <c r="J80" s="7">
        <f>C75+J75</f>
        <v>29551805.600000001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-88689179.76614356</v>
      </c>
      <c r="J81" s="7">
        <f>J80-I75</f>
        <v>5385422.120000001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131" priority="12" operator="equal">
      <formula>0.1</formula>
    </cfRule>
    <cfRule type="cellIs" dxfId="130" priority="13" operator="equal">
      <formula>0.2</formula>
    </cfRule>
    <cfRule type="cellIs" dxfId="129" priority="14" operator="equal">
      <formula>0.3</formula>
    </cfRule>
    <cfRule type="cellIs" dxfId="128" priority="15" operator="equal">
      <formula>0.4</formula>
    </cfRule>
    <cfRule type="cellIs" dxfId="127" priority="16" operator="equal">
      <formula>0.5</formula>
    </cfRule>
    <cfRule type="cellIs" dxfId="126" priority="17" operator="equal">
      <formula>0.6</formula>
    </cfRule>
    <cfRule type="cellIs" dxfId="125" priority="18" operator="equal">
      <formula>0.7</formula>
    </cfRule>
    <cfRule type="cellIs" dxfId="124" priority="19" operator="equal">
      <formula>0.8</formula>
    </cfRule>
    <cfRule type="cellIs" dxfId="123" priority="20" stopIfTrue="1" operator="lessThan">
      <formula>-1</formula>
    </cfRule>
    <cfRule type="cellIs" dxfId="122" priority="21" operator="greaterThan">
      <formula>0.9</formula>
    </cfRule>
    <cfRule type="cellIs" dxfId="121" priority="22" operator="equal">
      <formula>0</formula>
    </cfRule>
  </conditionalFormatting>
  <conditionalFormatting sqref="G58:G75 K58:L75 Q58:Q75 U58:U75">
    <cfRule type="cellIs" dxfId="120" priority="1" operator="equal">
      <formula>0.1</formula>
    </cfRule>
    <cfRule type="cellIs" dxfId="119" priority="2" operator="equal">
      <formula>0.2</formula>
    </cfRule>
    <cfRule type="cellIs" dxfId="118" priority="3" operator="equal">
      <formula>0.3</formula>
    </cfRule>
    <cfRule type="cellIs" dxfId="117" priority="4" operator="equal">
      <formula>0.4</formula>
    </cfRule>
    <cfRule type="cellIs" dxfId="116" priority="5" operator="equal">
      <formula>0.5</formula>
    </cfRule>
    <cfRule type="cellIs" dxfId="115" priority="6" operator="equal">
      <formula>0.6</formula>
    </cfRule>
    <cfRule type="cellIs" dxfId="114" priority="7" operator="equal">
      <formula>0.7</formula>
    </cfRule>
    <cfRule type="cellIs" dxfId="113" priority="8" operator="equal">
      <formula>0.8</formula>
    </cfRule>
    <cfRule type="cellIs" dxfId="112" priority="9" stopIfTrue="1" operator="lessThan">
      <formula>-1</formula>
    </cfRule>
    <cfRule type="cellIs" dxfId="111" priority="10" operator="greaterThan">
      <formula>0.9</formula>
    </cfRule>
    <cfRule type="cellIs" dxfId="110" priority="1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F435-1A60-4E42-B55D-A926E6ECE746}">
  <dimension ref="A1:AZ93"/>
  <sheetViews>
    <sheetView topLeftCell="A29" zoomScale="93" zoomScaleNormal="93" workbookViewId="0">
      <pane xSplit="1" topLeftCell="B1" activePane="topRight" state="frozen"/>
      <selection activeCell="E69" sqref="E69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f>SUM(R5:R7)</f>
        <v>0</v>
      </c>
      <c r="S8" s="49">
        <f>SUM(S5:S7)</f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f>SUM(R9:R11)</f>
        <v>0</v>
      </c>
      <c r="S12" s="49">
        <f>SUM(S9:S11)</f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f>SUM(R13:R15)</f>
        <v>0</v>
      </c>
      <c r="S16" s="49">
        <f>SUM(S13:S15)</f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f>SUM(R17:R19)</f>
        <v>0</v>
      </c>
      <c r="S20" s="76">
        <f>SUM(S17:S19)</f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f>SUM(R8+R12+R16+R20)</f>
        <v>0</v>
      </c>
      <c r="S21" s="148">
        <f>SUM(S8+S12+S16+S20)</f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41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f>SUM(R31:R33)</f>
        <v>-8337753.9100000001</v>
      </c>
      <c r="S34" s="49">
        <f>SUM(S31:S33)</f>
        <v>8312964.1099999994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f>SUM(R35:R37)</f>
        <v>-16722695.65</v>
      </c>
      <c r="S38" s="49">
        <f>SUM(S35:S37)</f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6102932.2599999998</v>
      </c>
      <c r="C39" s="20">
        <v>0</v>
      </c>
      <c r="D39" s="171">
        <v>0.7</v>
      </c>
      <c r="E39" s="20">
        <v>6102932.2599999998</v>
      </c>
      <c r="F39" s="65">
        <v>0.64</v>
      </c>
      <c r="G39" s="24">
        <f t="shared" si="8"/>
        <v>0</v>
      </c>
      <c r="H39" s="28">
        <v>7768152.0793478228</v>
      </c>
      <c r="I39" s="20">
        <v>1325055.6499999999</v>
      </c>
      <c r="J39" s="20">
        <v>1325055.6499999999</v>
      </c>
      <c r="K39" s="24">
        <f t="shared" si="13"/>
        <v>0</v>
      </c>
      <c r="L39" s="32">
        <f t="shared" si="9"/>
        <v>-1665219.819347823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999990.25999999978</v>
      </c>
      <c r="R39" s="3">
        <v>-3683303.48</v>
      </c>
      <c r="S39" s="3">
        <v>4589463.5599999996</v>
      </c>
      <c r="T39" s="97">
        <f t="shared" si="11"/>
        <v>7427987.9100000001</v>
      </c>
      <c r="U39" s="39">
        <f t="shared" si="12"/>
        <v>-340164.16934782267</v>
      </c>
    </row>
    <row r="40" spans="1:21" x14ac:dyDescent="0.2">
      <c r="A40" s="17">
        <v>46296</v>
      </c>
      <c r="B40" s="20">
        <v>4592822.3899999997</v>
      </c>
      <c r="C40" s="20">
        <v>0</v>
      </c>
      <c r="D40" s="171">
        <v>0.46</v>
      </c>
      <c r="E40" s="20">
        <v>4592822.3899999997</v>
      </c>
      <c r="F40" s="65">
        <v>0.46</v>
      </c>
      <c r="G40" s="24">
        <f t="shared" si="8"/>
        <v>0</v>
      </c>
      <c r="H40" s="28">
        <v>10894332.467391299</v>
      </c>
      <c r="I40" s="20">
        <v>3013002.61</v>
      </c>
      <c r="J40" s="20">
        <v>2722195.65</v>
      </c>
      <c r="K40" s="24">
        <f t="shared" si="13"/>
        <v>290806.95999999996</v>
      </c>
      <c r="L40" s="32">
        <f t="shared" si="9"/>
        <v>-6301510.0773912994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-2543946.6100000003</v>
      </c>
      <c r="R40" s="3">
        <v>-1005210.43</v>
      </c>
      <c r="S40" s="3">
        <v>1553853.69</v>
      </c>
      <c r="T40" s="97">
        <f t="shared" si="11"/>
        <v>7605825</v>
      </c>
      <c r="U40" s="39">
        <f t="shared" si="12"/>
        <v>-3288507.4673912991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1192419.1299999999</v>
      </c>
      <c r="K41" s="24">
        <f t="shared" si="13"/>
        <v>0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12106906.819999998</v>
      </c>
      <c r="C42" s="141">
        <f>SUM(C39:C41)</f>
        <v>0</v>
      </c>
      <c r="D42" s="163">
        <f>SUM(D39:D41)/3</f>
        <v>0.43999999999999995</v>
      </c>
      <c r="E42" s="141">
        <f>SUM(E39:E41)</f>
        <v>12106906.819999998</v>
      </c>
      <c r="F42" s="142">
        <f>SUM(F39:F41)/3</f>
        <v>0.42</v>
      </c>
      <c r="G42" s="141">
        <f t="shared" si="8"/>
        <v>0</v>
      </c>
      <c r="H42" s="140">
        <f>SUM(H39:H41)</f>
        <v>24338929.730225362</v>
      </c>
      <c r="I42" s="141">
        <f>SUM(I39:I41)</f>
        <v>5530477.3899999997</v>
      </c>
      <c r="J42" s="141">
        <f>SUM(J39:J41)</f>
        <v>5239670.43</v>
      </c>
      <c r="K42" s="141">
        <f t="shared" si="13"/>
        <v>290806.95999999996</v>
      </c>
      <c r="L42" s="143">
        <f t="shared" si="9"/>
        <v>-12232022.910225363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-2500917.1800000016</v>
      </c>
      <c r="R42" s="151">
        <f>SUM(R39:R41)</f>
        <v>-6575403.4800000004</v>
      </c>
      <c r="S42" s="152">
        <f>SUM(S39:S41)</f>
        <v>7554469.4199999999</v>
      </c>
      <c r="T42" s="102">
        <f t="shared" si="11"/>
        <v>17637384.209999997</v>
      </c>
      <c r="U42" s="77">
        <f t="shared" si="12"/>
        <v>-6701545.5202253647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520434.78</v>
      </c>
      <c r="J43" s="19">
        <v>1479130.43</v>
      </c>
      <c r="K43" s="34">
        <f>I43-J43</f>
        <v>-958695.64999999991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-1327891.31</v>
      </c>
      <c r="S43" s="3">
        <v>5300767.26</v>
      </c>
      <c r="T43" s="97">
        <f t="shared" si="11"/>
        <v>11955593.34</v>
      </c>
      <c r="U43" s="39">
        <f t="shared" si="12"/>
        <v>-5219540.192608688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2206141.7400000002</v>
      </c>
      <c r="J44" s="20">
        <v>2206141.7400000002</v>
      </c>
      <c r="K44" s="24">
        <f>I44-J44</f>
        <v>0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2206141.7400000002</v>
      </c>
      <c r="S44" s="3">
        <v>4458817.3899999997</v>
      </c>
      <c r="T44" s="97">
        <f t="shared" si="11"/>
        <v>6897546.0899999999</v>
      </c>
      <c r="U44" s="39">
        <f t="shared" si="12"/>
        <v>-1286363.4143478312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852555.65</v>
      </c>
      <c r="K45" s="44">
        <f t="shared" si="13"/>
        <v>0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3579132.1700000004</v>
      </c>
      <c r="J46" s="54">
        <f>SUM(J43:J45)</f>
        <v>4537827.82</v>
      </c>
      <c r="K46" s="54">
        <f t="shared" si="13"/>
        <v>-958695.64999999991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f>SUM(R43:R45)</f>
        <v>1101296.5100000002</v>
      </c>
      <c r="S46" s="89">
        <f>SUM(S43:S45)</f>
        <v>11217488.129999999</v>
      </c>
      <c r="T46" s="102">
        <f t="shared" si="11"/>
        <v>21163598.560000002</v>
      </c>
      <c r="U46" s="57">
        <f t="shared" si="12"/>
        <v>-7509021.8682608679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86721573.420000002</v>
      </c>
      <c r="C48" s="58">
        <f>SUM(C34+C38+C42+C46)</f>
        <v>0</v>
      </c>
      <c r="D48" s="106">
        <f>SUM(D34+D38+D42+D46)/4</f>
        <v>0.505</v>
      </c>
      <c r="E48" s="58">
        <v>81345660.370000005</v>
      </c>
      <c r="F48" s="106">
        <f>SUM(F34+F38+F42+F46)/4</f>
        <v>0.5</v>
      </c>
      <c r="G48" s="58">
        <f>SUM(G34+G38+G42+G46)</f>
        <v>0</v>
      </c>
      <c r="H48" s="109">
        <f>SUM(H34+H38+H42+H46)</f>
        <v>123899300.97831228</v>
      </c>
      <c r="I48" s="58">
        <f>SUM(I34+I38+I42+I46)</f>
        <v>9109609.5600000005</v>
      </c>
      <c r="J48" s="58">
        <f>SUM(J34+J38+J42+J46)</f>
        <v>9777498.25</v>
      </c>
      <c r="K48" s="59">
        <f t="shared" si="13"/>
        <v>-667888.68999999948</v>
      </c>
      <c r="L48" s="110">
        <f t="shared" ref="L48" si="15">B48-H48</f>
        <v>-37177727.558312282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12406935.420000002</v>
      </c>
      <c r="R48" s="153">
        <f>SUM(R34+R38+R42+R46)</f>
        <v>-30534556.530000001</v>
      </c>
      <c r="S48" s="154">
        <f>SUM(S34+S38+S42+S46)</f>
        <v>39327138.629999995</v>
      </c>
      <c r="T48" s="100">
        <f t="shared" si="11"/>
        <v>95831182.980000004</v>
      </c>
      <c r="U48" s="149">
        <f t="shared" si="12"/>
        <v>-28068117.99831228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-1477269.3683322251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95831182.980000004</v>
      </c>
      <c r="J53" s="7">
        <f>C48+J48</f>
        <v>9777498.25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28068117.99831228</v>
      </c>
      <c r="J54" s="7">
        <f>I48-U48</f>
        <v>37177727.558312282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1511311.3</v>
      </c>
      <c r="J58" s="130">
        <v>1511311.3</v>
      </c>
      <c r="K58" s="23">
        <f>I58-J58</f>
        <v>0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-952145.22</v>
      </c>
      <c r="S58" s="3">
        <v>1941353.04</v>
      </c>
      <c r="T58" s="96">
        <f t="shared" ref="T58:T69" si="16">B58+I58</f>
        <v>3452664.34</v>
      </c>
      <c r="U58" s="38">
        <f>T58-H58</f>
        <v>-2851387.3317391304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623791.30000000005</v>
      </c>
      <c r="J59" s="131">
        <v>623791.30000000005</v>
      </c>
      <c r="K59" s="24">
        <f t="shared" ref="K59:K75" si="18">I59-J59</f>
        <v>0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-4700637.4000000004</v>
      </c>
      <c r="S59" s="3">
        <v>754240</v>
      </c>
      <c r="T59" s="97">
        <f t="shared" si="16"/>
        <v>1378031.3</v>
      </c>
      <c r="U59" s="39">
        <f t="shared" ref="U59:U75" si="21">T59-H59</f>
        <v>-8111828.5706521692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2714273.04</v>
      </c>
      <c r="K60" s="24">
        <f t="shared" si="18"/>
        <v>0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4849375.6400000006</v>
      </c>
      <c r="J61" s="157">
        <f>SUM(J58:J60)</f>
        <v>4849375.6400000006</v>
      </c>
      <c r="K61" s="141">
        <f t="shared" si="18"/>
        <v>0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f>SUM(R58:R60)</f>
        <v>-3146683.49</v>
      </c>
      <c r="S61" s="49">
        <f>SUM(S58:S60)</f>
        <v>4264530.4343478298</v>
      </c>
      <c r="T61" s="102">
        <f t="shared" si="16"/>
        <v>9372514.7699999996</v>
      </c>
      <c r="U61" s="50">
        <f t="shared" si="21"/>
        <v>-13955176.708252158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2544803.48</v>
      </c>
      <c r="J62" s="131">
        <v>2544803.48</v>
      </c>
      <c r="K62" s="24">
        <f t="shared" si="18"/>
        <v>0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1250985.22</v>
      </c>
      <c r="S62" s="3">
        <v>4102562.61</v>
      </c>
      <c r="T62" s="97">
        <f t="shared" si="16"/>
        <v>9247751.3100000005</v>
      </c>
      <c r="U62" s="39">
        <f t="shared" si="21"/>
        <v>-10835914.776956523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6266350.4299999997</v>
      </c>
      <c r="J63" s="131">
        <v>7374232.1699999999</v>
      </c>
      <c r="K63" s="24">
        <f t="shared" si="18"/>
        <v>-1107881.7400000002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6266350.4299999997</v>
      </c>
      <c r="S63" s="3">
        <v>4596457.3899999997</v>
      </c>
      <c r="T63" s="97">
        <f t="shared" si="16"/>
        <v>10862807.82</v>
      </c>
      <c r="U63" s="39">
        <f t="shared" si="21"/>
        <v>-7902565.7916000038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2974788.7</v>
      </c>
      <c r="J64" s="131">
        <v>2974788.7</v>
      </c>
      <c r="K64" s="24">
        <f t="shared" si="18"/>
        <v>0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2266731.31</v>
      </c>
      <c r="S64" s="3">
        <v>544021.74</v>
      </c>
      <c r="T64" s="97">
        <f t="shared" si="16"/>
        <v>3518810.4400000004</v>
      </c>
      <c r="U64" s="39">
        <f t="shared" si="21"/>
        <v>-12280984.284999985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11785942.609999999</v>
      </c>
      <c r="J65" s="157">
        <f>SUM(J62:J64)</f>
        <v>12893824.350000001</v>
      </c>
      <c r="K65" s="141">
        <f t="shared" si="18"/>
        <v>-1107881.7400000021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f>SUM(R62:R64)</f>
        <v>9784066.959999999</v>
      </c>
      <c r="S65" s="49">
        <f>SUM(S62:S64)</f>
        <v>9243041.7400000002</v>
      </c>
      <c r="T65" s="102">
        <f t="shared" si="16"/>
        <v>23629369.57</v>
      </c>
      <c r="U65" s="50">
        <f t="shared" si="21"/>
        <v>-31019464.853556514</v>
      </c>
    </row>
    <row r="66" spans="1:21" x14ac:dyDescent="0.2">
      <c r="A66" s="122">
        <v>46631</v>
      </c>
      <c r="B66" s="22">
        <v>1879361.74</v>
      </c>
      <c r="C66" s="128"/>
      <c r="D66" s="171">
        <v>0.1</v>
      </c>
      <c r="E66" s="22">
        <v>1879361.74</v>
      </c>
      <c r="F66" s="174">
        <v>0.1</v>
      </c>
      <c r="G66" s="26">
        <f t="shared" si="22"/>
        <v>0</v>
      </c>
      <c r="H66" s="136">
        <f>H39*1.1</f>
        <v>8544967.2872826066</v>
      </c>
      <c r="I66" s="131">
        <v>1817807.83</v>
      </c>
      <c r="J66" s="131">
        <v>1157481.74</v>
      </c>
      <c r="K66" s="24">
        <f t="shared" si="18"/>
        <v>660326.09000000008</v>
      </c>
      <c r="L66" s="32">
        <f t="shared" si="19"/>
        <v>-6665605.5472826064</v>
      </c>
      <c r="M66" s="138">
        <v>611674</v>
      </c>
      <c r="N66" s="67">
        <v>0</v>
      </c>
      <c r="O66" s="19">
        <f>B39</f>
        <v>6102932.2599999998</v>
      </c>
      <c r="P66" s="65">
        <f>D39</f>
        <v>0.7</v>
      </c>
      <c r="Q66" s="34">
        <f t="shared" si="20"/>
        <v>1267687.74</v>
      </c>
      <c r="R66" s="3">
        <v>1817807.83</v>
      </c>
      <c r="S66" s="3">
        <v>903545.22</v>
      </c>
      <c r="T66" s="97">
        <f t="shared" si="16"/>
        <v>3697169.5700000003</v>
      </c>
      <c r="U66" s="39">
        <f t="shared" si="21"/>
        <v>-4847797.7172826063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1142365.22</v>
      </c>
      <c r="J67" s="131">
        <v>1142365.22</v>
      </c>
      <c r="K67" s="24">
        <f t="shared" si="18"/>
        <v>0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4592822.3899999997</v>
      </c>
      <c r="P67" s="65">
        <f>D40</f>
        <v>0.46</v>
      </c>
      <c r="Q67" s="34">
        <f t="shared" si="20"/>
        <v>-1334543</v>
      </c>
      <c r="R67" s="3">
        <v>1142365.22</v>
      </c>
      <c r="S67" s="3">
        <v>0</v>
      </c>
      <c r="T67" s="97">
        <f t="shared" si="16"/>
        <v>1142365.22</v>
      </c>
      <c r="U67" s="39">
        <f t="shared" si="21"/>
        <v>-10841400.494130429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671770.43</v>
      </c>
      <c r="J68" s="131">
        <v>671770.43</v>
      </c>
      <c r="K68" s="24">
        <f t="shared" si="18"/>
        <v>0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671770.43</v>
      </c>
      <c r="S68" s="3">
        <v>614762.61</v>
      </c>
      <c r="T68" s="97">
        <f t="shared" si="16"/>
        <v>1286533.04</v>
      </c>
      <c r="U68" s="39">
        <f t="shared" si="21"/>
        <v>-4957556.6618348612</v>
      </c>
    </row>
    <row r="69" spans="1:21" x14ac:dyDescent="0.2">
      <c r="A69" s="139" t="s">
        <v>29</v>
      </c>
      <c r="B69" s="140">
        <f>SUM(B66:B68)</f>
        <v>2494124.35</v>
      </c>
      <c r="C69" s="150">
        <f>SUM(C66:C68)</f>
        <v>0</v>
      </c>
      <c r="D69" s="176">
        <f>SUM(D66:D68)/3</f>
        <v>4.6666666666666669E-2</v>
      </c>
      <c r="E69" s="141">
        <f>SUM(E66:E68)</f>
        <v>2494124.35</v>
      </c>
      <c r="F69" s="71">
        <f>SUM(F66:F68)/3</f>
        <v>4.6666666666666669E-2</v>
      </c>
      <c r="G69" s="140">
        <f t="shared" si="22"/>
        <v>0</v>
      </c>
      <c r="H69" s="156">
        <f>SUM(H66:H68)</f>
        <v>26772822.703247897</v>
      </c>
      <c r="I69" s="157">
        <f>SUM(I66:I68)</f>
        <v>3631943.48</v>
      </c>
      <c r="J69" s="157">
        <f>SUM(J66:J68)</f>
        <v>2971617.39</v>
      </c>
      <c r="K69" s="141">
        <f t="shared" si="18"/>
        <v>660326.08999999985</v>
      </c>
      <c r="L69" s="143">
        <f t="shared" si="19"/>
        <v>-24278698.353247896</v>
      </c>
      <c r="M69" s="141">
        <f>SUM(M66:M68)</f>
        <v>1946217</v>
      </c>
      <c r="N69" s="69">
        <f>SUM(N66:N68)/3</f>
        <v>0</v>
      </c>
      <c r="O69" s="141">
        <f>SUM(O66:O68)</f>
        <v>12106906.819999998</v>
      </c>
      <c r="P69" s="142">
        <f>SUM(P66:P68)/3</f>
        <v>0.43999999999999995</v>
      </c>
      <c r="Q69" s="77">
        <f t="shared" si="20"/>
        <v>547907.35000000009</v>
      </c>
      <c r="R69" s="151">
        <f>SUM(R66:R68)</f>
        <v>3631943.48</v>
      </c>
      <c r="S69" s="152">
        <f>SUM(S66:S68)</f>
        <v>1518307.83</v>
      </c>
      <c r="T69" s="158">
        <f t="shared" si="16"/>
        <v>6126067.8300000001</v>
      </c>
      <c r="U69" s="77">
        <f t="shared" si="21"/>
        <v>-20646754.873247899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4035780.87</v>
      </c>
      <c r="J70" s="132">
        <v>4035780.87</v>
      </c>
      <c r="K70" s="24">
        <f t="shared" si="18"/>
        <v>0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4035780.87</v>
      </c>
      <c r="S70" s="3">
        <v>3681390.43</v>
      </c>
      <c r="T70" s="97">
        <f>B70+I70</f>
        <v>7717171.3000000007</v>
      </c>
      <c r="U70" s="39">
        <f t="shared" si="21"/>
        <v>-11175475.585869558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0</v>
      </c>
      <c r="J71" s="131">
        <v>0</v>
      </c>
      <c r="K71" s="24">
        <f t="shared" si="18"/>
        <v>0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-2092352.17</v>
      </c>
      <c r="S71" s="3">
        <v>891586.96</v>
      </c>
      <c r="T71" s="97">
        <f>B71+I71</f>
        <v>891586.96</v>
      </c>
      <c r="U71" s="39">
        <f t="shared" si="21"/>
        <v>-8110713.4947826145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4035780.87</v>
      </c>
      <c r="J73" s="157">
        <f>SUM(J70:J72)</f>
        <v>4035780.87</v>
      </c>
      <c r="K73" s="63">
        <f t="shared" si="18"/>
        <v>0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f>SUM(R70:R72)</f>
        <v>1943428.7000000002</v>
      </c>
      <c r="S73" s="91">
        <f>SUM(S70:S72)</f>
        <v>4572977.3900000006</v>
      </c>
      <c r="T73" s="74">
        <f t="shared" ref="T73" si="23">B73+I73</f>
        <v>8608758.2600000016</v>
      </c>
      <c r="U73" s="57">
        <f t="shared" si="21"/>
        <v>-22931124.211086962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23433667.830000002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0</v>
      </c>
      <c r="H75" s="109">
        <f>SUM(H61+H65+H69+H73)</f>
        <v>136289231.07614356</v>
      </c>
      <c r="I75" s="58">
        <f t="shared" si="24"/>
        <v>24303042.600000001</v>
      </c>
      <c r="J75" s="58">
        <f t="shared" si="24"/>
        <v>24750598.250000004</v>
      </c>
      <c r="K75" s="59">
        <f t="shared" si="18"/>
        <v>-447555.65000000224</v>
      </c>
      <c r="L75" s="110">
        <f t="shared" ref="L75" si="25">B75-H75</f>
        <v>-112855563.24614356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86721573.420000002</v>
      </c>
      <c r="P75" s="120">
        <f>SUM(P61+P65+P69+P73)/4</f>
        <v>0.505</v>
      </c>
      <c r="Q75" s="60">
        <f>B75-M75</f>
        <v>6020884.8300000019</v>
      </c>
      <c r="R75" s="161">
        <f>SUM(R61+R65+R69+R73)</f>
        <v>12212755.649999999</v>
      </c>
      <c r="S75" s="148">
        <f>SUM(S61+S65+S69+S73)</f>
        <v>19598857.394347832</v>
      </c>
      <c r="T75" s="100">
        <f>B75+I75</f>
        <v>47736710.430000007</v>
      </c>
      <c r="U75" s="149">
        <f t="shared" si="21"/>
        <v>-88552520.646143556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-4660658.9813759765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47736710.430000007</v>
      </c>
      <c r="J80" s="7">
        <f>C75+J75</f>
        <v>29999361.250000004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-88552520.646143556</v>
      </c>
      <c r="J81" s="7">
        <f>J80-I75</f>
        <v>5696318.6500000022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109" priority="12" operator="equal">
      <formula>0.1</formula>
    </cfRule>
    <cfRule type="cellIs" dxfId="108" priority="13" operator="equal">
      <formula>0.2</formula>
    </cfRule>
    <cfRule type="cellIs" dxfId="107" priority="14" operator="equal">
      <formula>0.3</formula>
    </cfRule>
    <cfRule type="cellIs" dxfId="106" priority="15" operator="equal">
      <formula>0.4</formula>
    </cfRule>
    <cfRule type="cellIs" dxfId="105" priority="16" operator="equal">
      <formula>0.5</formula>
    </cfRule>
    <cfRule type="cellIs" dxfId="104" priority="17" operator="equal">
      <formula>0.6</formula>
    </cfRule>
    <cfRule type="cellIs" dxfId="103" priority="18" operator="equal">
      <formula>0.7</formula>
    </cfRule>
    <cfRule type="cellIs" dxfId="102" priority="19" operator="equal">
      <formula>0.8</formula>
    </cfRule>
    <cfRule type="cellIs" dxfId="101" priority="20" stopIfTrue="1" operator="lessThan">
      <formula>-1</formula>
    </cfRule>
    <cfRule type="cellIs" dxfId="100" priority="21" operator="greaterThan">
      <formula>0.9</formula>
    </cfRule>
    <cfRule type="cellIs" dxfId="99" priority="22" operator="equal">
      <formula>0</formula>
    </cfRule>
  </conditionalFormatting>
  <conditionalFormatting sqref="G58:G75 K58:L75 Q58:Q75 U58:U75">
    <cfRule type="cellIs" dxfId="98" priority="1" operator="equal">
      <formula>0.1</formula>
    </cfRule>
    <cfRule type="cellIs" dxfId="97" priority="2" operator="equal">
      <formula>0.2</formula>
    </cfRule>
    <cfRule type="cellIs" dxfId="96" priority="3" operator="equal">
      <formula>0.3</formula>
    </cfRule>
    <cfRule type="cellIs" dxfId="95" priority="4" operator="equal">
      <formula>0.4</formula>
    </cfRule>
    <cfRule type="cellIs" dxfId="94" priority="5" operator="equal">
      <formula>0.5</formula>
    </cfRule>
    <cfRule type="cellIs" dxfId="93" priority="6" operator="equal">
      <formula>0.6</formula>
    </cfRule>
    <cfRule type="cellIs" dxfId="92" priority="7" operator="equal">
      <formula>0.7</formula>
    </cfRule>
    <cfRule type="cellIs" dxfId="91" priority="8" operator="equal">
      <formula>0.8</formula>
    </cfRule>
    <cfRule type="cellIs" dxfId="90" priority="9" stopIfTrue="1" operator="lessThan">
      <formula>-1</formula>
    </cfRule>
    <cfRule type="cellIs" dxfId="89" priority="10" operator="greaterThan">
      <formula>0.9</formula>
    </cfRule>
    <cfRule type="cellIs" dxfId="88" priority="1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C966-3F34-48E4-800D-62BB6D814904}">
  <dimension ref="A1:AZ93"/>
  <sheetViews>
    <sheetView topLeftCell="A39" zoomScale="93" zoomScaleNormal="93" workbookViewId="0">
      <pane xSplit="1" topLeftCell="B1" activePane="topRight" state="frozen"/>
      <selection activeCell="E69" sqref="E69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f>SUM(R5:R7)</f>
        <v>0</v>
      </c>
      <c r="S8" s="49">
        <f>SUM(S5:S7)</f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f>SUM(R9:R11)</f>
        <v>0</v>
      </c>
      <c r="S12" s="49">
        <f>SUM(S9:S11)</f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f>SUM(R13:R15)</f>
        <v>0</v>
      </c>
      <c r="S16" s="49">
        <f>SUM(S13:S15)</f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f>SUM(R17:R19)</f>
        <v>0</v>
      </c>
      <c r="S20" s="76">
        <f>SUM(S17:S19)</f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f>SUM(R8+R12+R16+R20)</f>
        <v>0</v>
      </c>
      <c r="S21" s="148">
        <f>SUM(S8+S12+S16+S20)</f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40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f>SUM(R31:R33)</f>
        <v>-8337753.9100000001</v>
      </c>
      <c r="S34" s="49">
        <f>SUM(S31:S33)</f>
        <v>8312964.1099999994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f>SUM(R35:R37)</f>
        <v>-16722695.65</v>
      </c>
      <c r="S38" s="49">
        <f>SUM(S35:S37)</f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6102932.2599999998</v>
      </c>
      <c r="C39" s="20">
        <v>0</v>
      </c>
      <c r="D39" s="171">
        <v>0.7</v>
      </c>
      <c r="E39" s="20">
        <v>5653992.2599999998</v>
      </c>
      <c r="F39" s="65">
        <v>0.64</v>
      </c>
      <c r="G39" s="24">
        <f t="shared" si="8"/>
        <v>448940</v>
      </c>
      <c r="H39" s="28">
        <v>7768152.0793478228</v>
      </c>
      <c r="I39" s="20">
        <v>1325055.6499999999</v>
      </c>
      <c r="J39" s="20">
        <v>0</v>
      </c>
      <c r="K39" s="24">
        <f t="shared" si="13"/>
        <v>1325055.6499999999</v>
      </c>
      <c r="L39" s="32">
        <f t="shared" si="9"/>
        <v>-1665219.819347823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999990.25999999978</v>
      </c>
      <c r="R39" s="3">
        <v>-3683303.48</v>
      </c>
      <c r="S39" s="3">
        <v>4589463.5599999996</v>
      </c>
      <c r="T39" s="97">
        <f t="shared" si="11"/>
        <v>7427987.9100000001</v>
      </c>
      <c r="U39" s="39">
        <f t="shared" si="12"/>
        <v>-340164.16934782267</v>
      </c>
    </row>
    <row r="40" spans="1:21" x14ac:dyDescent="0.2">
      <c r="A40" s="17">
        <v>46296</v>
      </c>
      <c r="B40" s="20">
        <v>4592822.3899999997</v>
      </c>
      <c r="C40" s="20">
        <v>0</v>
      </c>
      <c r="D40" s="171">
        <v>0.46</v>
      </c>
      <c r="E40" s="20">
        <v>5030105.87</v>
      </c>
      <c r="F40" s="65">
        <v>0.46</v>
      </c>
      <c r="G40" s="24">
        <f t="shared" si="8"/>
        <v>-437283.48000000045</v>
      </c>
      <c r="H40" s="28">
        <v>10894332.467391299</v>
      </c>
      <c r="I40" s="20">
        <v>2722195.65</v>
      </c>
      <c r="J40" s="20">
        <v>3060478.26</v>
      </c>
      <c r="K40" s="24">
        <f t="shared" si="13"/>
        <v>-338282.60999999987</v>
      </c>
      <c r="L40" s="32">
        <f t="shared" si="9"/>
        <v>-6301510.0773912994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-2543946.6100000003</v>
      </c>
      <c r="R40" s="3">
        <v>-1296017.3899999999</v>
      </c>
      <c r="S40" s="3">
        <v>1553853.69</v>
      </c>
      <c r="T40" s="97">
        <f t="shared" si="11"/>
        <v>7315018.0399999991</v>
      </c>
      <c r="U40" s="39">
        <f t="shared" si="12"/>
        <v>-3579314.4273913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1192419.1299999999</v>
      </c>
      <c r="K41" s="24">
        <f t="shared" si="13"/>
        <v>0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12106906.819999998</v>
      </c>
      <c r="C42" s="141">
        <f>SUM(C39:C41)</f>
        <v>0</v>
      </c>
      <c r="D42" s="163">
        <f>SUM(D39:D41)/3</f>
        <v>0.43999999999999995</v>
      </c>
      <c r="E42" s="141">
        <f>SUM(E39:E41)</f>
        <v>12095250.299999999</v>
      </c>
      <c r="F42" s="142">
        <f>SUM(F39:F41)/3</f>
        <v>0.42</v>
      </c>
      <c r="G42" s="141">
        <f t="shared" si="8"/>
        <v>11656.519999999553</v>
      </c>
      <c r="H42" s="140">
        <f>SUM(H39:H41)</f>
        <v>24338929.730225362</v>
      </c>
      <c r="I42" s="141">
        <f>SUM(I39:I41)</f>
        <v>5239670.43</v>
      </c>
      <c r="J42" s="141">
        <f>SUM(J39:J41)</f>
        <v>4252897.3899999997</v>
      </c>
      <c r="K42" s="141">
        <f t="shared" si="13"/>
        <v>986773.04</v>
      </c>
      <c r="L42" s="143">
        <f t="shared" si="9"/>
        <v>-12232022.910225363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-2500917.1800000016</v>
      </c>
      <c r="R42" s="151">
        <f>SUM(R39:R41)</f>
        <v>-6866210.4400000004</v>
      </c>
      <c r="S42" s="152">
        <f>SUM(S39:S41)</f>
        <v>7554469.4199999999</v>
      </c>
      <c r="T42" s="102">
        <f t="shared" si="11"/>
        <v>17346577.25</v>
      </c>
      <c r="U42" s="77">
        <f t="shared" si="12"/>
        <v>-6992352.4802253619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1479130.43</v>
      </c>
      <c r="J43" s="19">
        <v>1479130.43</v>
      </c>
      <c r="K43" s="34">
        <f>I43-J43</f>
        <v>0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-369195.66</v>
      </c>
      <c r="S43" s="3">
        <v>5300767.26</v>
      </c>
      <c r="T43" s="97">
        <f t="shared" si="11"/>
        <v>12914288.99</v>
      </c>
      <c r="U43" s="39">
        <f t="shared" si="12"/>
        <v>-4260844.5426086877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2206141.7400000002</v>
      </c>
      <c r="J44" s="20">
        <v>2206141.7400000002</v>
      </c>
      <c r="K44" s="24">
        <f>I44-J44</f>
        <v>0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2206141.7400000002</v>
      </c>
      <c r="S44" s="3">
        <v>4458817.3899999997</v>
      </c>
      <c r="T44" s="97">
        <f t="shared" si="11"/>
        <v>6897546.0899999999</v>
      </c>
      <c r="U44" s="39">
        <f t="shared" si="12"/>
        <v>-1286363.4143478312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852555.65</v>
      </c>
      <c r="K45" s="44">
        <f t="shared" si="13"/>
        <v>0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4537827.82</v>
      </c>
      <c r="J46" s="54">
        <f>SUM(J43:J45)</f>
        <v>4537827.82</v>
      </c>
      <c r="K46" s="54">
        <f t="shared" si="13"/>
        <v>0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f>SUM(R43:R45)</f>
        <v>2059992.1600000004</v>
      </c>
      <c r="S46" s="89">
        <f>SUM(S43:S45)</f>
        <v>11217488.129999999</v>
      </c>
      <c r="T46" s="102">
        <f t="shared" si="11"/>
        <v>22122294.210000001</v>
      </c>
      <c r="U46" s="57">
        <f t="shared" si="12"/>
        <v>-6550326.2182608694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86721573.420000002</v>
      </c>
      <c r="C48" s="58">
        <f>SUM(C34+C38+C42+C46)</f>
        <v>0</v>
      </c>
      <c r="D48" s="106">
        <f>SUM(D34+D38+D42+D46)/4</f>
        <v>0.505</v>
      </c>
      <c r="E48" s="58">
        <v>81345660.370000005</v>
      </c>
      <c r="F48" s="106">
        <f>SUM(F34+F38+F42+F46)/4</f>
        <v>0.5</v>
      </c>
      <c r="G48" s="58">
        <f>SUM(G34+G38+G42+G46)</f>
        <v>11656.519999999553</v>
      </c>
      <c r="H48" s="109">
        <f>SUM(H34+H38+H42+H46)</f>
        <v>123899300.97831228</v>
      </c>
      <c r="I48" s="58">
        <f>SUM(I34+I38+I42+I46)</f>
        <v>9777498.25</v>
      </c>
      <c r="J48" s="58">
        <f>SUM(J34+J38+J42+J46)</f>
        <v>8790725.2100000009</v>
      </c>
      <c r="K48" s="59">
        <f t="shared" si="13"/>
        <v>986773.03999999911</v>
      </c>
      <c r="L48" s="110">
        <f t="shared" ref="L48" si="15">B48-H48</f>
        <v>-37177727.558312282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12406935.420000002</v>
      </c>
      <c r="R48" s="153">
        <f>SUM(R34+R38+R42+R46)</f>
        <v>-29866667.840000004</v>
      </c>
      <c r="S48" s="154">
        <f>SUM(S34+S38+S42+S46)</f>
        <v>39327138.629999995</v>
      </c>
      <c r="T48" s="100">
        <f t="shared" si="11"/>
        <v>96499071.670000002</v>
      </c>
      <c r="U48" s="149">
        <f t="shared" si="12"/>
        <v>-27400229.308312282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-1442117.3320164359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96499071.670000002</v>
      </c>
      <c r="J53" s="7">
        <f>C48+J48</f>
        <v>8790725.2100000009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27400229.308312282</v>
      </c>
      <c r="J54" s="7">
        <f>I48-U48</f>
        <v>37177727.558312282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1511311.3</v>
      </c>
      <c r="J58" s="130">
        <v>1511311.3</v>
      </c>
      <c r="K58" s="23">
        <f>I58-J58</f>
        <v>0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-952145.22</v>
      </c>
      <c r="S58" s="3">
        <v>1941353.04</v>
      </c>
      <c r="T58" s="96">
        <f t="shared" ref="T58:T69" si="16">B58+I58</f>
        <v>3452664.34</v>
      </c>
      <c r="U58" s="38">
        <f>T58-H58</f>
        <v>-2851387.3317391304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623791.30000000005</v>
      </c>
      <c r="J59" s="131">
        <v>623791.30000000005</v>
      </c>
      <c r="K59" s="24">
        <f t="shared" ref="K59:K75" si="18">I59-J59</f>
        <v>0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-4700637.4000000004</v>
      </c>
      <c r="S59" s="3">
        <v>754240</v>
      </c>
      <c r="T59" s="97">
        <f t="shared" si="16"/>
        <v>1378031.3</v>
      </c>
      <c r="U59" s="39">
        <f t="shared" ref="U59:U75" si="21">T59-H59</f>
        <v>-8111828.5706521692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2714273.04</v>
      </c>
      <c r="K60" s="24">
        <f t="shared" si="18"/>
        <v>0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4849375.6400000006</v>
      </c>
      <c r="J61" s="157">
        <f>SUM(J58:J60)</f>
        <v>4849375.6400000006</v>
      </c>
      <c r="K61" s="141">
        <f t="shared" si="18"/>
        <v>0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f>SUM(R58:R60)</f>
        <v>-3146683.49</v>
      </c>
      <c r="S61" s="49">
        <f>SUM(S58:S60)</f>
        <v>4264530.4343478298</v>
      </c>
      <c r="T61" s="102">
        <f t="shared" si="16"/>
        <v>9372514.7699999996</v>
      </c>
      <c r="U61" s="50">
        <f t="shared" si="21"/>
        <v>-13955176.708252158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2544803.48</v>
      </c>
      <c r="J62" s="131">
        <v>2544803.48</v>
      </c>
      <c r="K62" s="24">
        <f t="shared" si="18"/>
        <v>0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1250985.22</v>
      </c>
      <c r="S62" s="3">
        <v>4102562.61</v>
      </c>
      <c r="T62" s="97">
        <f t="shared" si="16"/>
        <v>9247751.3100000005</v>
      </c>
      <c r="U62" s="39">
        <f t="shared" si="21"/>
        <v>-10835914.776956523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7374232.1699999999</v>
      </c>
      <c r="J63" s="131">
        <v>7374232.1699999999</v>
      </c>
      <c r="K63" s="24">
        <f t="shared" si="18"/>
        <v>0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7374232.1699999999</v>
      </c>
      <c r="S63" s="3">
        <v>4596457.3899999997</v>
      </c>
      <c r="T63" s="97">
        <f t="shared" si="16"/>
        <v>11970689.559999999</v>
      </c>
      <c r="U63" s="39">
        <f t="shared" si="21"/>
        <v>-6794684.0516000055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2974788.7</v>
      </c>
      <c r="J64" s="131">
        <v>2974788.7</v>
      </c>
      <c r="K64" s="24">
        <f t="shared" si="18"/>
        <v>0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2266731.31</v>
      </c>
      <c r="S64" s="3">
        <v>544021.74</v>
      </c>
      <c r="T64" s="97">
        <f t="shared" si="16"/>
        <v>3518810.4400000004</v>
      </c>
      <c r="U64" s="39">
        <f t="shared" si="21"/>
        <v>-12280984.284999985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12893824.350000001</v>
      </c>
      <c r="J65" s="157">
        <f>SUM(J62:J64)</f>
        <v>12893824.350000001</v>
      </c>
      <c r="K65" s="141">
        <f t="shared" si="18"/>
        <v>0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f>SUM(R62:R64)</f>
        <v>10891948.700000001</v>
      </c>
      <c r="S65" s="49">
        <f>SUM(S62:S64)</f>
        <v>9243041.7400000002</v>
      </c>
      <c r="T65" s="102">
        <f t="shared" si="16"/>
        <v>24737251.310000002</v>
      </c>
      <c r="U65" s="50">
        <f t="shared" si="21"/>
        <v>-29911583.113556512</v>
      </c>
    </row>
    <row r="66" spans="1:21" x14ac:dyDescent="0.2">
      <c r="A66" s="122">
        <v>46631</v>
      </c>
      <c r="B66" s="22">
        <v>1879361.74</v>
      </c>
      <c r="C66" s="128"/>
      <c r="D66" s="171">
        <v>0.1</v>
      </c>
      <c r="E66" s="22">
        <v>1879361.74</v>
      </c>
      <c r="F66" s="174">
        <v>0.1</v>
      </c>
      <c r="G66" s="26">
        <f t="shared" si="22"/>
        <v>0</v>
      </c>
      <c r="H66" s="136">
        <f>H39*1.1</f>
        <v>8544967.2872826066</v>
      </c>
      <c r="I66" s="131">
        <v>1157481.74</v>
      </c>
      <c r="J66" s="131">
        <v>1157481.74</v>
      </c>
      <c r="K66" s="24">
        <f t="shared" si="18"/>
        <v>0</v>
      </c>
      <c r="L66" s="32">
        <f t="shared" si="19"/>
        <v>-6665605.5472826064</v>
      </c>
      <c r="M66" s="138">
        <v>611674</v>
      </c>
      <c r="N66" s="67">
        <v>0</v>
      </c>
      <c r="O66" s="19">
        <f>B39</f>
        <v>6102932.2599999998</v>
      </c>
      <c r="P66" s="65">
        <f>D39</f>
        <v>0.7</v>
      </c>
      <c r="Q66" s="34">
        <f t="shared" si="20"/>
        <v>1267687.74</v>
      </c>
      <c r="R66" s="3">
        <v>1157481.74</v>
      </c>
      <c r="S66" s="3">
        <v>903545.22</v>
      </c>
      <c r="T66" s="97">
        <f t="shared" si="16"/>
        <v>3036843.48</v>
      </c>
      <c r="U66" s="39">
        <f t="shared" si="21"/>
        <v>-5508123.8072826061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1142365.22</v>
      </c>
      <c r="J67" s="131">
        <v>1142365.22</v>
      </c>
      <c r="K67" s="24">
        <f t="shared" si="18"/>
        <v>0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4592822.3899999997</v>
      </c>
      <c r="P67" s="65">
        <f>D40</f>
        <v>0.46</v>
      </c>
      <c r="Q67" s="34">
        <f t="shared" si="20"/>
        <v>-1334543</v>
      </c>
      <c r="R67" s="3">
        <v>1142365.22</v>
      </c>
      <c r="S67" s="3">
        <v>0</v>
      </c>
      <c r="T67" s="97">
        <f t="shared" si="16"/>
        <v>1142365.22</v>
      </c>
      <c r="U67" s="39">
        <f t="shared" si="21"/>
        <v>-10841400.494130429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671770.43</v>
      </c>
      <c r="J68" s="131">
        <v>671770.43</v>
      </c>
      <c r="K68" s="24">
        <f t="shared" si="18"/>
        <v>0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671770.43</v>
      </c>
      <c r="S68" s="3">
        <v>614762.61</v>
      </c>
      <c r="T68" s="97">
        <f t="shared" si="16"/>
        <v>1286533.04</v>
      </c>
      <c r="U68" s="39">
        <f t="shared" si="21"/>
        <v>-4957556.6618348612</v>
      </c>
    </row>
    <row r="69" spans="1:21" x14ac:dyDescent="0.2">
      <c r="A69" s="139" t="s">
        <v>29</v>
      </c>
      <c r="B69" s="140">
        <f>SUM(B66:B68)</f>
        <v>2494124.35</v>
      </c>
      <c r="C69" s="150">
        <f>SUM(C66:C68)</f>
        <v>0</v>
      </c>
      <c r="D69" s="176">
        <f>SUM(D66:D68)/3</f>
        <v>4.6666666666666669E-2</v>
      </c>
      <c r="E69" s="141">
        <f>SUM(E66:E68)</f>
        <v>2494124.35</v>
      </c>
      <c r="F69" s="71">
        <f>SUM(F66:F68)/3</f>
        <v>4.6666666666666669E-2</v>
      </c>
      <c r="G69" s="140">
        <f t="shared" si="22"/>
        <v>0</v>
      </c>
      <c r="H69" s="156">
        <f>SUM(H66:H68)</f>
        <v>26772822.703247897</v>
      </c>
      <c r="I69" s="157">
        <f>SUM(I66:I68)</f>
        <v>2971617.39</v>
      </c>
      <c r="J69" s="157">
        <f>SUM(J66:J68)</f>
        <v>2971617.39</v>
      </c>
      <c r="K69" s="141">
        <f t="shared" si="18"/>
        <v>0</v>
      </c>
      <c r="L69" s="143">
        <f t="shared" si="19"/>
        <v>-24278698.353247896</v>
      </c>
      <c r="M69" s="141">
        <f>SUM(M66:M68)</f>
        <v>1946217</v>
      </c>
      <c r="N69" s="69">
        <f>SUM(N66:N68)/3</f>
        <v>0</v>
      </c>
      <c r="O69" s="141">
        <f>SUM(O66:O68)</f>
        <v>12106906.819999998</v>
      </c>
      <c r="P69" s="142">
        <f>SUM(P66:P68)/3</f>
        <v>0.43999999999999995</v>
      </c>
      <c r="Q69" s="77">
        <f t="shared" si="20"/>
        <v>547907.35000000009</v>
      </c>
      <c r="R69" s="151">
        <f>SUM(R66:R68)</f>
        <v>2971617.39</v>
      </c>
      <c r="S69" s="152">
        <f>SUM(S66:S68)</f>
        <v>1518307.83</v>
      </c>
      <c r="T69" s="158">
        <f t="shared" si="16"/>
        <v>5465741.7400000002</v>
      </c>
      <c r="U69" s="77">
        <f t="shared" si="21"/>
        <v>-21307080.963247895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4035780.87</v>
      </c>
      <c r="J70" s="132">
        <v>4035780.87</v>
      </c>
      <c r="K70" s="24">
        <f t="shared" si="18"/>
        <v>0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4035780.87</v>
      </c>
      <c r="S70" s="3">
        <v>3681390.43</v>
      </c>
      <c r="T70" s="97">
        <f>B70+I70</f>
        <v>7717171.3000000007</v>
      </c>
      <c r="U70" s="39">
        <f t="shared" si="21"/>
        <v>-11175475.585869558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0</v>
      </c>
      <c r="J71" s="131">
        <v>0</v>
      </c>
      <c r="K71" s="24">
        <f t="shared" si="18"/>
        <v>0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-2092352.17</v>
      </c>
      <c r="S71" s="3">
        <v>891586.96</v>
      </c>
      <c r="T71" s="97">
        <f>B71+I71</f>
        <v>891586.96</v>
      </c>
      <c r="U71" s="39">
        <f t="shared" si="21"/>
        <v>-8110713.4947826145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4035780.87</v>
      </c>
      <c r="J73" s="157">
        <f>SUM(J70:J72)</f>
        <v>4035780.87</v>
      </c>
      <c r="K73" s="63">
        <f t="shared" si="18"/>
        <v>0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f>SUM(R70:R72)</f>
        <v>1943428.7000000002</v>
      </c>
      <c r="S73" s="91">
        <f>SUM(S70:S72)</f>
        <v>4572977.3900000006</v>
      </c>
      <c r="T73" s="74">
        <f t="shared" ref="T73" si="23">B73+I73</f>
        <v>8608758.2600000016</v>
      </c>
      <c r="U73" s="57">
        <f t="shared" si="21"/>
        <v>-22931124.211086962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23433667.830000002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0</v>
      </c>
      <c r="H75" s="109">
        <f>SUM(H61+H65+H69+H73)</f>
        <v>136289231.07614356</v>
      </c>
      <c r="I75" s="58">
        <f t="shared" si="24"/>
        <v>24750598.250000004</v>
      </c>
      <c r="J75" s="58">
        <f t="shared" si="24"/>
        <v>24750598.250000004</v>
      </c>
      <c r="K75" s="59">
        <f t="shared" si="18"/>
        <v>0</v>
      </c>
      <c r="L75" s="110">
        <f t="shared" ref="L75" si="25">B75-H75</f>
        <v>-112855563.24614356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86721573.420000002</v>
      </c>
      <c r="P75" s="120">
        <f>SUM(P61+P65+P69+P73)/4</f>
        <v>0.505</v>
      </c>
      <c r="Q75" s="60">
        <f>B75-M75</f>
        <v>6020884.8300000019</v>
      </c>
      <c r="R75" s="161">
        <f>SUM(R61+R65+R69+R73)</f>
        <v>12660311.300000001</v>
      </c>
      <c r="S75" s="148">
        <f>SUM(S61+S65+S69+S73)</f>
        <v>19598857.394347832</v>
      </c>
      <c r="T75" s="100">
        <f>B75+I75</f>
        <v>48184266.080000006</v>
      </c>
      <c r="U75" s="149">
        <f t="shared" si="21"/>
        <v>-88104964.99614355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-4637103.4208496604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48184266.080000006</v>
      </c>
      <c r="J80" s="7">
        <f>C75+J75</f>
        <v>29999361.250000004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-88104964.99614355</v>
      </c>
      <c r="J81" s="7">
        <f>J80-I75</f>
        <v>5248763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87" priority="12" operator="equal">
      <formula>0.1</formula>
    </cfRule>
    <cfRule type="cellIs" dxfId="86" priority="13" operator="equal">
      <formula>0.2</formula>
    </cfRule>
    <cfRule type="cellIs" dxfId="85" priority="14" operator="equal">
      <formula>0.3</formula>
    </cfRule>
    <cfRule type="cellIs" dxfId="84" priority="15" operator="equal">
      <formula>0.4</formula>
    </cfRule>
    <cfRule type="cellIs" dxfId="83" priority="16" operator="equal">
      <formula>0.5</formula>
    </cfRule>
    <cfRule type="cellIs" dxfId="82" priority="17" operator="equal">
      <formula>0.6</formula>
    </cfRule>
    <cfRule type="cellIs" dxfId="81" priority="18" operator="equal">
      <formula>0.7</formula>
    </cfRule>
    <cfRule type="cellIs" dxfId="80" priority="19" operator="equal">
      <formula>0.8</formula>
    </cfRule>
    <cfRule type="cellIs" dxfId="79" priority="20" stopIfTrue="1" operator="lessThan">
      <formula>-1</formula>
    </cfRule>
    <cfRule type="cellIs" dxfId="78" priority="21" operator="greaterThan">
      <formula>0.9</formula>
    </cfRule>
    <cfRule type="cellIs" dxfId="77" priority="22" operator="equal">
      <formula>0</formula>
    </cfRule>
  </conditionalFormatting>
  <conditionalFormatting sqref="G58:G75 K58:L75 Q58:Q75 U58:U75">
    <cfRule type="cellIs" dxfId="76" priority="1" operator="equal">
      <formula>0.1</formula>
    </cfRule>
    <cfRule type="cellIs" dxfId="75" priority="2" operator="equal">
      <formula>0.2</formula>
    </cfRule>
    <cfRule type="cellIs" dxfId="74" priority="3" operator="equal">
      <formula>0.3</formula>
    </cfRule>
    <cfRule type="cellIs" dxfId="73" priority="4" operator="equal">
      <formula>0.4</formula>
    </cfRule>
    <cfRule type="cellIs" dxfId="72" priority="5" operator="equal">
      <formula>0.5</formula>
    </cfRule>
    <cfRule type="cellIs" dxfId="71" priority="6" operator="equal">
      <formula>0.6</formula>
    </cfRule>
    <cfRule type="cellIs" dxfId="70" priority="7" operator="equal">
      <formula>0.7</formula>
    </cfRule>
    <cfRule type="cellIs" dxfId="69" priority="8" operator="equal">
      <formula>0.8</formula>
    </cfRule>
    <cfRule type="cellIs" dxfId="68" priority="9" stopIfTrue="1" operator="lessThan">
      <formula>-1</formula>
    </cfRule>
    <cfRule type="cellIs" dxfId="67" priority="10" operator="greaterThan">
      <formula>0.9</formula>
    </cfRule>
    <cfRule type="cellIs" dxfId="66" priority="1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583F-3470-4288-AD97-48385C017A45}">
  <dimension ref="A1:AZ93"/>
  <sheetViews>
    <sheetView topLeftCell="A28" zoomScale="93" zoomScaleNormal="93" workbookViewId="0">
      <pane xSplit="1" topLeftCell="B1" activePane="topRight" state="frozen"/>
      <selection activeCell="E69" sqref="E69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f>SUM(R5:R7)</f>
        <v>0</v>
      </c>
      <c r="S8" s="49">
        <f>SUM(S5:S7)</f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f>SUM(R9:R11)</f>
        <v>0</v>
      </c>
      <c r="S12" s="49">
        <f>SUM(S9:S11)</f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f>SUM(R13:R15)</f>
        <v>0</v>
      </c>
      <c r="S16" s="49">
        <f>SUM(S13:S15)</f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f>SUM(R17:R19)</f>
        <v>0</v>
      </c>
      <c r="S20" s="76">
        <f>SUM(S17:S19)</f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f>SUM(R8+R12+R16+R20)</f>
        <v>0</v>
      </c>
      <c r="S21" s="148">
        <f>SUM(S8+S12+S16+S20)</f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39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f>SUM(R31:R33)</f>
        <v>-8337753.9100000001</v>
      </c>
      <c r="S34" s="49">
        <f>SUM(S31:S33)</f>
        <v>8312964.1099999994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f>SUM(R35:R37)</f>
        <v>-16722695.65</v>
      </c>
      <c r="S38" s="49">
        <f>SUM(S35:S37)</f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5653992.2599999998</v>
      </c>
      <c r="C39" s="20">
        <v>0</v>
      </c>
      <c r="D39" s="171">
        <v>0.64</v>
      </c>
      <c r="E39" s="20">
        <v>5653992.2599999998</v>
      </c>
      <c r="F39" s="65">
        <v>0.64</v>
      </c>
      <c r="G39" s="24">
        <f t="shared" si="8"/>
        <v>0</v>
      </c>
      <c r="H39" s="28">
        <v>7768152.0793478228</v>
      </c>
      <c r="I39" s="20">
        <v>0</v>
      </c>
      <c r="J39" s="20">
        <v>0</v>
      </c>
      <c r="K39" s="24">
        <f t="shared" si="13"/>
        <v>0</v>
      </c>
      <c r="L39" s="32">
        <f t="shared" si="9"/>
        <v>-2114159.819347823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551050.25999999978</v>
      </c>
      <c r="R39" s="3">
        <v>-5008359.13</v>
      </c>
      <c r="S39" s="3">
        <v>4140523.56</v>
      </c>
      <c r="T39" s="97">
        <f t="shared" si="11"/>
        <v>5653992.2599999998</v>
      </c>
      <c r="U39" s="39">
        <f t="shared" si="12"/>
        <v>-2114159.819347823</v>
      </c>
    </row>
    <row r="40" spans="1:21" x14ac:dyDescent="0.2">
      <c r="A40" s="17">
        <v>46296</v>
      </c>
      <c r="B40" s="20">
        <v>5030105.87</v>
      </c>
      <c r="C40" s="20">
        <v>0</v>
      </c>
      <c r="D40" s="171">
        <v>0.46</v>
      </c>
      <c r="E40" s="20">
        <v>5030105.87</v>
      </c>
      <c r="F40" s="65">
        <v>0.46</v>
      </c>
      <c r="G40" s="24">
        <f t="shared" si="8"/>
        <v>0</v>
      </c>
      <c r="H40" s="28">
        <v>10894332.467391299</v>
      </c>
      <c r="I40" s="20">
        <v>3060478.26</v>
      </c>
      <c r="J40" s="20">
        <v>2949173.91</v>
      </c>
      <c r="K40" s="24">
        <f t="shared" si="13"/>
        <v>111304.34999999963</v>
      </c>
      <c r="L40" s="32">
        <f t="shared" si="9"/>
        <v>-5864226.597391299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-2106663.13</v>
      </c>
      <c r="R40" s="3">
        <v>-957734.78</v>
      </c>
      <c r="S40" s="3">
        <v>1991137.17</v>
      </c>
      <c r="T40" s="97">
        <f t="shared" si="11"/>
        <v>8090584.1299999999</v>
      </c>
      <c r="U40" s="39">
        <f t="shared" si="12"/>
        <v>-2803748.3373912992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1192419.1299999999</v>
      </c>
      <c r="K41" s="24">
        <f t="shared" si="13"/>
        <v>0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12095250.299999999</v>
      </c>
      <c r="C42" s="141">
        <f>SUM(C39:C41)</f>
        <v>0</v>
      </c>
      <c r="D42" s="163">
        <f>SUM(D39:D41)/3</f>
        <v>0.42</v>
      </c>
      <c r="E42" s="141">
        <f>SUM(E39:E41)</f>
        <v>12095250.299999999</v>
      </c>
      <c r="F42" s="142">
        <f>SUM(F39:F41)/3</f>
        <v>0.42</v>
      </c>
      <c r="G42" s="141">
        <f t="shared" si="8"/>
        <v>0</v>
      </c>
      <c r="H42" s="140">
        <f>SUM(H39:H41)</f>
        <v>24338929.730225362</v>
      </c>
      <c r="I42" s="141">
        <f>SUM(I39:I41)</f>
        <v>4252897.3899999997</v>
      </c>
      <c r="J42" s="141">
        <f>SUM(J39:J41)</f>
        <v>4141593.04</v>
      </c>
      <c r="K42" s="141">
        <f t="shared" si="13"/>
        <v>111304.34999999963</v>
      </c>
      <c r="L42" s="143">
        <f t="shared" si="9"/>
        <v>-12243679.430225363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-2512573.7000000011</v>
      </c>
      <c r="R42" s="151">
        <f>SUM(R39:R41)</f>
        <v>-7852983.4800000004</v>
      </c>
      <c r="S42" s="152">
        <f>SUM(S39:S41)</f>
        <v>7542812.9000000004</v>
      </c>
      <c r="T42" s="102">
        <f t="shared" si="11"/>
        <v>16348147.689999998</v>
      </c>
      <c r="U42" s="77">
        <f t="shared" si="12"/>
        <v>-7990782.0402253643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1479130.43</v>
      </c>
      <c r="J43" s="19">
        <v>1479130.43</v>
      </c>
      <c r="K43" s="34">
        <f>I43-J43</f>
        <v>0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-369195.66</v>
      </c>
      <c r="S43" s="3">
        <v>5300767.26</v>
      </c>
      <c r="T43" s="97">
        <f t="shared" si="11"/>
        <v>12914288.99</v>
      </c>
      <c r="U43" s="39">
        <f t="shared" si="12"/>
        <v>-4260844.5426086877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2206141.7400000002</v>
      </c>
      <c r="J44" s="20">
        <v>2206141.7400000002</v>
      </c>
      <c r="K44" s="24">
        <f>I44-J44</f>
        <v>0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2206141.7400000002</v>
      </c>
      <c r="S44" s="3">
        <v>4458817.3899999997</v>
      </c>
      <c r="T44" s="97">
        <f t="shared" si="11"/>
        <v>6897546.0899999999</v>
      </c>
      <c r="U44" s="39">
        <f t="shared" si="12"/>
        <v>-1286363.4143478312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852555.65</v>
      </c>
      <c r="K45" s="44">
        <f t="shared" si="13"/>
        <v>0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4537827.82</v>
      </c>
      <c r="J46" s="54">
        <f>SUM(J43:J45)</f>
        <v>4537827.82</v>
      </c>
      <c r="K46" s="54">
        <f t="shared" si="13"/>
        <v>0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f>SUM(R43:R45)</f>
        <v>2059992.1600000004</v>
      </c>
      <c r="S46" s="89">
        <f>SUM(S43:S45)</f>
        <v>11217488.129999999</v>
      </c>
      <c r="T46" s="102">
        <f t="shared" si="11"/>
        <v>22122294.210000001</v>
      </c>
      <c r="U46" s="57">
        <f t="shared" si="12"/>
        <v>-6550326.2182608694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86709916.900000006</v>
      </c>
      <c r="C48" s="58">
        <f>SUM(C34+C38+C42+C46)</f>
        <v>0</v>
      </c>
      <c r="D48" s="106">
        <f>SUM(D34+D38+D42+D46)/4</f>
        <v>0.5</v>
      </c>
      <c r="E48" s="58">
        <v>81345660.370000005</v>
      </c>
      <c r="F48" s="106">
        <f>SUM(F34+F38+F42+F46)/4</f>
        <v>0.5</v>
      </c>
      <c r="G48" s="58">
        <f>SUM(G34+G38+G42+G46)</f>
        <v>0</v>
      </c>
      <c r="H48" s="109">
        <f>SUM(H34+H38+H42+H46)</f>
        <v>123899300.97831228</v>
      </c>
      <c r="I48" s="58">
        <f>SUM(I34+I38+I42+I46)</f>
        <v>8790725.2100000009</v>
      </c>
      <c r="J48" s="58">
        <f>SUM(J34+J38+J42+J46)</f>
        <v>8679420.8599999994</v>
      </c>
      <c r="K48" s="59">
        <f t="shared" si="13"/>
        <v>111304.35000000149</v>
      </c>
      <c r="L48" s="110">
        <f t="shared" ref="L48" si="15">B48-H48</f>
        <v>-37189384.078312278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12395278.900000006</v>
      </c>
      <c r="R48" s="153">
        <f>SUM(R34+R38+R42+R46)</f>
        <v>-30853440.880000003</v>
      </c>
      <c r="S48" s="154">
        <f>SUM(S34+S38+S42+S46)</f>
        <v>39315482.109999999</v>
      </c>
      <c r="T48" s="100">
        <f t="shared" si="11"/>
        <v>95500642.110000014</v>
      </c>
      <c r="U48" s="149">
        <f t="shared" si="12"/>
        <v>-28398658.868312269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-1494666.2562269615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95500642.110000014</v>
      </c>
      <c r="J53" s="7">
        <f>C48+J48</f>
        <v>8679420.8599999994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28398658.868312269</v>
      </c>
      <c r="J54" s="7">
        <f>I48-U48</f>
        <v>37189384.07831227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1511311.3</v>
      </c>
      <c r="J58" s="130">
        <v>1511311.3</v>
      </c>
      <c r="K58" s="23">
        <f>I58-J58</f>
        <v>0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-952145.22</v>
      </c>
      <c r="S58" s="3">
        <v>1941353.04</v>
      </c>
      <c r="T58" s="96">
        <f t="shared" ref="T58:T69" si="16">B58+I58</f>
        <v>3452664.34</v>
      </c>
      <c r="U58" s="38">
        <f>T58-H58</f>
        <v>-2851387.3317391304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623791.30000000005</v>
      </c>
      <c r="J59" s="131">
        <v>623791.30000000005</v>
      </c>
      <c r="K59" s="24">
        <f t="shared" ref="K59:K75" si="18">I59-J59</f>
        <v>0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-4700637.4000000004</v>
      </c>
      <c r="S59" s="3">
        <v>754240</v>
      </c>
      <c r="T59" s="97">
        <f t="shared" si="16"/>
        <v>1378031.3</v>
      </c>
      <c r="U59" s="39">
        <f t="shared" ref="U59:U75" si="21">T59-H59</f>
        <v>-8111828.5706521692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2714273.04</v>
      </c>
      <c r="K60" s="24">
        <f t="shared" si="18"/>
        <v>0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4849375.6400000006</v>
      </c>
      <c r="J61" s="157">
        <f>SUM(J58:J60)</f>
        <v>4849375.6400000006</v>
      </c>
      <c r="K61" s="141">
        <f t="shared" si="18"/>
        <v>0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f>SUM(R58:R60)</f>
        <v>-3146683.49</v>
      </c>
      <c r="S61" s="49">
        <f>SUM(S58:S60)</f>
        <v>4264530.4343478298</v>
      </c>
      <c r="T61" s="102">
        <f t="shared" si="16"/>
        <v>9372514.7699999996</v>
      </c>
      <c r="U61" s="50">
        <f t="shared" si="21"/>
        <v>-13955176.708252158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2544803.48</v>
      </c>
      <c r="J62" s="131">
        <v>2544803.48</v>
      </c>
      <c r="K62" s="24">
        <f t="shared" si="18"/>
        <v>0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1250985.22</v>
      </c>
      <c r="S62" s="3">
        <v>4102562.61</v>
      </c>
      <c r="T62" s="97">
        <f t="shared" si="16"/>
        <v>9247751.3100000005</v>
      </c>
      <c r="U62" s="39">
        <f t="shared" si="21"/>
        <v>-10835914.776956523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7374232.1699999999</v>
      </c>
      <c r="J63" s="131">
        <v>9502818.2599999998</v>
      </c>
      <c r="K63" s="24">
        <f t="shared" si="18"/>
        <v>-2128586.09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7374232.1699999999</v>
      </c>
      <c r="S63" s="3">
        <v>4596457.3899999997</v>
      </c>
      <c r="T63" s="97">
        <f t="shared" si="16"/>
        <v>11970689.559999999</v>
      </c>
      <c r="U63" s="39">
        <f t="shared" si="21"/>
        <v>-6794684.0516000055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2974788.7</v>
      </c>
      <c r="J64" s="131">
        <v>2974788.7</v>
      </c>
      <c r="K64" s="24">
        <f t="shared" si="18"/>
        <v>0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2266731.31</v>
      </c>
      <c r="S64" s="3">
        <v>544021.74</v>
      </c>
      <c r="T64" s="97">
        <f t="shared" si="16"/>
        <v>3518810.4400000004</v>
      </c>
      <c r="U64" s="39">
        <f t="shared" si="21"/>
        <v>-12280984.284999985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12893824.350000001</v>
      </c>
      <c r="J65" s="157">
        <f>SUM(J62:J64)</f>
        <v>15022410.440000001</v>
      </c>
      <c r="K65" s="141">
        <f t="shared" si="18"/>
        <v>-2128586.09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f>SUM(R62:R64)</f>
        <v>10891948.700000001</v>
      </c>
      <c r="S65" s="49">
        <f>SUM(S62:S64)</f>
        <v>9243041.7400000002</v>
      </c>
      <c r="T65" s="102">
        <f t="shared" si="16"/>
        <v>24737251.310000002</v>
      </c>
      <c r="U65" s="50">
        <f t="shared" si="21"/>
        <v>-29911583.113556512</v>
      </c>
    </row>
    <row r="66" spans="1:21" x14ac:dyDescent="0.2">
      <c r="A66" s="122">
        <v>46631</v>
      </c>
      <c r="B66" s="22">
        <v>1879361.74</v>
      </c>
      <c r="C66" s="128"/>
      <c r="D66" s="171">
        <v>0.1</v>
      </c>
      <c r="E66" s="22">
        <v>1731448.7</v>
      </c>
      <c r="F66" s="174">
        <v>0.1</v>
      </c>
      <c r="G66" s="26">
        <f t="shared" si="22"/>
        <v>147913.04000000004</v>
      </c>
      <c r="H66" s="136">
        <f>H39*1.1</f>
        <v>8544967.2872826066</v>
      </c>
      <c r="I66" s="131">
        <v>1157481.74</v>
      </c>
      <c r="J66" s="131">
        <v>1157481.74</v>
      </c>
      <c r="K66" s="24">
        <f t="shared" si="18"/>
        <v>0</v>
      </c>
      <c r="L66" s="32">
        <f t="shared" si="19"/>
        <v>-6665605.5472826064</v>
      </c>
      <c r="M66" s="138">
        <v>611674</v>
      </c>
      <c r="N66" s="67">
        <v>0</v>
      </c>
      <c r="O66" s="19">
        <f>B39</f>
        <v>5653992.2599999998</v>
      </c>
      <c r="P66" s="65">
        <f>D39</f>
        <v>0.64</v>
      </c>
      <c r="Q66" s="34">
        <f t="shared" si="20"/>
        <v>1267687.74</v>
      </c>
      <c r="R66" s="3">
        <v>1157481.74</v>
      </c>
      <c r="S66" s="3">
        <v>903545.22</v>
      </c>
      <c r="T66" s="97">
        <f t="shared" si="16"/>
        <v>3036843.48</v>
      </c>
      <c r="U66" s="39">
        <f t="shared" si="21"/>
        <v>-5508123.8072826061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1142365.22</v>
      </c>
      <c r="J67" s="131">
        <v>1142365.22</v>
      </c>
      <c r="K67" s="24">
        <f t="shared" si="18"/>
        <v>0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5030105.87</v>
      </c>
      <c r="P67" s="65">
        <f>D40</f>
        <v>0.46</v>
      </c>
      <c r="Q67" s="34">
        <f t="shared" si="20"/>
        <v>-1334543</v>
      </c>
      <c r="R67" s="3">
        <v>1142365.22</v>
      </c>
      <c r="S67" s="3">
        <v>0</v>
      </c>
      <c r="T67" s="97">
        <f t="shared" si="16"/>
        <v>1142365.22</v>
      </c>
      <c r="U67" s="39">
        <f t="shared" si="21"/>
        <v>-10841400.494130429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671770.43</v>
      </c>
      <c r="J68" s="131">
        <v>671770.43</v>
      </c>
      <c r="K68" s="24">
        <f t="shared" si="18"/>
        <v>0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671770.43</v>
      </c>
      <c r="S68" s="3">
        <v>614762.61</v>
      </c>
      <c r="T68" s="97">
        <f t="shared" si="16"/>
        <v>1286533.04</v>
      </c>
      <c r="U68" s="39">
        <f t="shared" si="21"/>
        <v>-4957556.6618348612</v>
      </c>
    </row>
    <row r="69" spans="1:21" x14ac:dyDescent="0.2">
      <c r="A69" s="139" t="s">
        <v>29</v>
      </c>
      <c r="B69" s="140">
        <f>SUM(B66:B68)</f>
        <v>2494124.35</v>
      </c>
      <c r="C69" s="150">
        <f>SUM(C66:C68)</f>
        <v>0</v>
      </c>
      <c r="D69" s="176">
        <f>SUM(D66:D68)/3</f>
        <v>4.6666666666666669E-2</v>
      </c>
      <c r="E69" s="141">
        <f>SUM(E66:E68)</f>
        <v>2346211.31</v>
      </c>
      <c r="F69" s="71">
        <f>SUM(F66:F68)/3</f>
        <v>4.6666666666666669E-2</v>
      </c>
      <c r="G69" s="140">
        <f t="shared" si="22"/>
        <v>147913.04000000004</v>
      </c>
      <c r="H69" s="156">
        <f>SUM(H66:H68)</f>
        <v>26772822.703247897</v>
      </c>
      <c r="I69" s="157">
        <f>SUM(I66:I68)</f>
        <v>2971617.39</v>
      </c>
      <c r="J69" s="157">
        <f>SUM(J66:J68)</f>
        <v>2971617.39</v>
      </c>
      <c r="K69" s="141">
        <f t="shared" si="18"/>
        <v>0</v>
      </c>
      <c r="L69" s="143">
        <f t="shared" si="19"/>
        <v>-24278698.353247896</v>
      </c>
      <c r="M69" s="141">
        <f>SUM(M66:M68)</f>
        <v>1946217</v>
      </c>
      <c r="N69" s="69">
        <f>SUM(N66:N68)/3</f>
        <v>0</v>
      </c>
      <c r="O69" s="141">
        <f>SUM(O66:O68)</f>
        <v>12095250.299999999</v>
      </c>
      <c r="P69" s="142">
        <f>SUM(P66:P68)/3</f>
        <v>0.42</v>
      </c>
      <c r="Q69" s="77">
        <f t="shared" si="20"/>
        <v>547907.35000000009</v>
      </c>
      <c r="R69" s="151">
        <f>SUM(R66:R68)</f>
        <v>2971617.39</v>
      </c>
      <c r="S69" s="152">
        <f>SUM(S66:S68)</f>
        <v>1518307.83</v>
      </c>
      <c r="T69" s="158">
        <f t="shared" si="16"/>
        <v>5465741.7400000002</v>
      </c>
      <c r="U69" s="77">
        <f t="shared" si="21"/>
        <v>-21307080.963247895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4035780.87</v>
      </c>
      <c r="J70" s="132">
        <v>4035780.87</v>
      </c>
      <c r="K70" s="24">
        <f t="shared" si="18"/>
        <v>0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4035780.87</v>
      </c>
      <c r="S70" s="3">
        <v>3681390.43</v>
      </c>
      <c r="T70" s="97">
        <f>B70+I70</f>
        <v>7717171.3000000007</v>
      </c>
      <c r="U70" s="39">
        <f t="shared" si="21"/>
        <v>-11175475.585869558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0</v>
      </c>
      <c r="J71" s="131">
        <v>0</v>
      </c>
      <c r="K71" s="24">
        <f t="shared" si="18"/>
        <v>0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-2092352.17</v>
      </c>
      <c r="S71" s="3">
        <v>891586.96</v>
      </c>
      <c r="T71" s="97">
        <f>B71+I71</f>
        <v>891586.96</v>
      </c>
      <c r="U71" s="39">
        <f t="shared" si="21"/>
        <v>-8110713.4947826145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4035780.87</v>
      </c>
      <c r="J73" s="157">
        <f>SUM(J70:J72)</f>
        <v>4035780.87</v>
      </c>
      <c r="K73" s="63">
        <f t="shared" si="18"/>
        <v>0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f>SUM(R70:R72)</f>
        <v>1943428.7000000002</v>
      </c>
      <c r="S73" s="91">
        <f>SUM(S70:S72)</f>
        <v>4572977.3900000006</v>
      </c>
      <c r="T73" s="74">
        <f t="shared" ref="T73" si="23">B73+I73</f>
        <v>8608758.2600000016</v>
      </c>
      <c r="U73" s="57">
        <f t="shared" si="21"/>
        <v>-22931124.211086962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23433667.830000002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147913.04000000004</v>
      </c>
      <c r="H75" s="109">
        <f>SUM(H61+H65+H69+H73)</f>
        <v>136289231.07614356</v>
      </c>
      <c r="I75" s="58">
        <f t="shared" si="24"/>
        <v>24750598.250000004</v>
      </c>
      <c r="J75" s="58">
        <f t="shared" si="24"/>
        <v>26879184.340000004</v>
      </c>
      <c r="K75" s="59">
        <f t="shared" si="18"/>
        <v>-2128586.09</v>
      </c>
      <c r="L75" s="110">
        <f t="shared" ref="L75" si="25">B75-H75</f>
        <v>-112855563.24614356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86709916.900000006</v>
      </c>
      <c r="P75" s="120">
        <f>SUM(P61+P65+P69+P73)/4</f>
        <v>0.5</v>
      </c>
      <c r="Q75" s="60">
        <f>B75-M75</f>
        <v>6020884.8300000019</v>
      </c>
      <c r="R75" s="161">
        <f>SUM(R61+R65+R69+R73)</f>
        <v>12660311.300000001</v>
      </c>
      <c r="S75" s="148">
        <f>SUM(S61+S65+S69+S73)</f>
        <v>19598857.394347832</v>
      </c>
      <c r="T75" s="100">
        <f>B75+I75</f>
        <v>48184266.080000006</v>
      </c>
      <c r="U75" s="149">
        <f t="shared" si="21"/>
        <v>-88104964.99614355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-4637103.4208496604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48184266.080000006</v>
      </c>
      <c r="J80" s="7">
        <f>C75+J75</f>
        <v>32127947.340000004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-88104964.99614355</v>
      </c>
      <c r="J81" s="7">
        <f>J80-I75</f>
        <v>7377349.0899999999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65" priority="12" operator="equal">
      <formula>0.1</formula>
    </cfRule>
    <cfRule type="cellIs" dxfId="64" priority="13" operator="equal">
      <formula>0.2</formula>
    </cfRule>
    <cfRule type="cellIs" dxfId="63" priority="14" operator="equal">
      <formula>0.3</formula>
    </cfRule>
    <cfRule type="cellIs" dxfId="62" priority="15" operator="equal">
      <formula>0.4</formula>
    </cfRule>
    <cfRule type="cellIs" dxfId="61" priority="16" operator="equal">
      <formula>0.5</formula>
    </cfRule>
    <cfRule type="cellIs" dxfId="60" priority="17" operator="equal">
      <formula>0.6</formula>
    </cfRule>
    <cfRule type="cellIs" dxfId="59" priority="18" operator="equal">
      <formula>0.7</formula>
    </cfRule>
    <cfRule type="cellIs" dxfId="58" priority="19" operator="equal">
      <formula>0.8</formula>
    </cfRule>
    <cfRule type="cellIs" dxfId="57" priority="20" stopIfTrue="1" operator="lessThan">
      <formula>-1</formula>
    </cfRule>
    <cfRule type="cellIs" dxfId="56" priority="21" operator="greaterThan">
      <formula>0.9</formula>
    </cfRule>
    <cfRule type="cellIs" dxfId="55" priority="22" operator="equal">
      <formula>0</formula>
    </cfRule>
  </conditionalFormatting>
  <conditionalFormatting sqref="G58:G75 K58:L75 Q58:Q75 U58:U75">
    <cfRule type="cellIs" dxfId="54" priority="1" operator="equal">
      <formula>0.1</formula>
    </cfRule>
    <cfRule type="cellIs" dxfId="53" priority="2" operator="equal">
      <formula>0.2</formula>
    </cfRule>
    <cfRule type="cellIs" dxfId="52" priority="3" operator="equal">
      <formula>0.3</formula>
    </cfRule>
    <cfRule type="cellIs" dxfId="51" priority="4" operator="equal">
      <formula>0.4</formula>
    </cfRule>
    <cfRule type="cellIs" dxfId="50" priority="5" operator="equal">
      <formula>0.5</formula>
    </cfRule>
    <cfRule type="cellIs" dxfId="49" priority="6" operator="equal">
      <formula>0.6</formula>
    </cfRule>
    <cfRule type="cellIs" dxfId="48" priority="7" operator="equal">
      <formula>0.7</formula>
    </cfRule>
    <cfRule type="cellIs" dxfId="47" priority="8" operator="equal">
      <formula>0.8</formula>
    </cfRule>
    <cfRule type="cellIs" dxfId="46" priority="9" stopIfTrue="1" operator="lessThan">
      <formula>-1</formula>
    </cfRule>
    <cfRule type="cellIs" dxfId="45" priority="10" operator="greaterThan">
      <formula>0.9</formula>
    </cfRule>
    <cfRule type="cellIs" dxfId="44" priority="1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786B-F631-46E5-86AD-1477753DA23E}">
  <dimension ref="A1:AZ93"/>
  <sheetViews>
    <sheetView topLeftCell="A28" zoomScale="93" zoomScaleNormal="93" workbookViewId="0">
      <pane xSplit="1" topLeftCell="B1" activePane="topRight" state="frozen"/>
      <selection activeCell="E69" sqref="E69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f>SUM(R5:R7)</f>
        <v>0</v>
      </c>
      <c r="S8" s="49">
        <f>SUM(S5:S7)</f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f>SUM(R9:R11)</f>
        <v>0</v>
      </c>
      <c r="S12" s="49">
        <f>SUM(S9:S11)</f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f>SUM(R13:R15)</f>
        <v>0</v>
      </c>
      <c r="S16" s="49">
        <f>SUM(S13:S15)</f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f>SUM(R17:R19)</f>
        <v>0</v>
      </c>
      <c r="S20" s="76">
        <f>SUM(S17:S19)</f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f>SUM(R8+R12+R16+R20)</f>
        <v>0</v>
      </c>
      <c r="S21" s="148">
        <f>SUM(S8+S12+S16+S20)</f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38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f>SUM(R31:R33)</f>
        <v>-8337753.9100000001</v>
      </c>
      <c r="S34" s="49">
        <f>SUM(S31:S33)</f>
        <v>8312964.1099999994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f>SUM(R35:R37)</f>
        <v>-16722695.65</v>
      </c>
      <c r="S38" s="49">
        <f>SUM(S35:S37)</f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5653992.2599999998</v>
      </c>
      <c r="C39" s="20">
        <v>0</v>
      </c>
      <c r="D39" s="171">
        <v>0.64</v>
      </c>
      <c r="E39" s="20">
        <v>5653992.2599999998</v>
      </c>
      <c r="F39" s="65">
        <v>0.64</v>
      </c>
      <c r="G39" s="24">
        <f t="shared" si="8"/>
        <v>0</v>
      </c>
      <c r="H39" s="28">
        <v>7768152.0793478228</v>
      </c>
      <c r="I39" s="20">
        <v>0</v>
      </c>
      <c r="J39" s="20">
        <v>0</v>
      </c>
      <c r="K39" s="24">
        <f t="shared" si="13"/>
        <v>0</v>
      </c>
      <c r="L39" s="32">
        <f t="shared" si="9"/>
        <v>-2114159.819347823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551050.25999999978</v>
      </c>
      <c r="R39" s="3">
        <v>-5008359.13</v>
      </c>
      <c r="S39" s="3">
        <v>4140523.56</v>
      </c>
      <c r="T39" s="97">
        <f t="shared" si="11"/>
        <v>5653992.2599999998</v>
      </c>
      <c r="U39" s="39">
        <f t="shared" si="12"/>
        <v>-2114159.819347823</v>
      </c>
    </row>
    <row r="40" spans="1:21" x14ac:dyDescent="0.2">
      <c r="A40" s="17">
        <v>46296</v>
      </c>
      <c r="B40" s="20">
        <v>5030105.87</v>
      </c>
      <c r="C40" s="20">
        <v>0</v>
      </c>
      <c r="D40" s="171">
        <v>0.46</v>
      </c>
      <c r="E40" s="20">
        <v>5030105.87</v>
      </c>
      <c r="F40" s="65">
        <v>0.46</v>
      </c>
      <c r="G40" s="24">
        <f t="shared" si="8"/>
        <v>0</v>
      </c>
      <c r="H40" s="28">
        <v>10894332.467391299</v>
      </c>
      <c r="I40" s="20">
        <v>2949173.91</v>
      </c>
      <c r="J40" s="20">
        <v>2949173.91</v>
      </c>
      <c r="K40" s="24">
        <f t="shared" si="13"/>
        <v>0</v>
      </c>
      <c r="L40" s="32">
        <f t="shared" si="9"/>
        <v>-5864226.597391299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-2106663.13</v>
      </c>
      <c r="R40" s="3">
        <v>-1069039.1299999999</v>
      </c>
      <c r="S40" s="3">
        <v>1991137.17</v>
      </c>
      <c r="T40" s="97">
        <f t="shared" si="11"/>
        <v>7979279.7800000003</v>
      </c>
      <c r="U40" s="39">
        <f t="shared" si="12"/>
        <v>-2915052.6873912988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1192419.1299999999</v>
      </c>
      <c r="K41" s="24">
        <f t="shared" si="13"/>
        <v>0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12095250.299999999</v>
      </c>
      <c r="C42" s="141">
        <f>SUM(C39:C41)</f>
        <v>0</v>
      </c>
      <c r="D42" s="163">
        <f>SUM(D39:D41)/3</f>
        <v>0.42</v>
      </c>
      <c r="E42" s="141">
        <f>SUM(E39:E41)</f>
        <v>12095250.299999999</v>
      </c>
      <c r="F42" s="142">
        <f>SUM(F39:F41)/3</f>
        <v>0.42</v>
      </c>
      <c r="G42" s="141">
        <f t="shared" si="8"/>
        <v>0</v>
      </c>
      <c r="H42" s="140">
        <f>SUM(H39:H41)</f>
        <v>24338929.730225362</v>
      </c>
      <c r="I42" s="141">
        <f>SUM(I39:I41)</f>
        <v>4141593.04</v>
      </c>
      <c r="J42" s="141">
        <f>SUM(J39:J41)</f>
        <v>4141593.04</v>
      </c>
      <c r="K42" s="141">
        <f t="shared" si="13"/>
        <v>0</v>
      </c>
      <c r="L42" s="143">
        <f t="shared" si="9"/>
        <v>-12243679.430225363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-2512573.7000000011</v>
      </c>
      <c r="R42" s="151">
        <f>SUM(R39:R41)</f>
        <v>-7964287.8300000001</v>
      </c>
      <c r="S42" s="152">
        <f>SUM(S39:S41)</f>
        <v>7542812.9000000004</v>
      </c>
      <c r="T42" s="102">
        <f t="shared" si="11"/>
        <v>16236843.34</v>
      </c>
      <c r="U42" s="77">
        <f t="shared" si="12"/>
        <v>-8102086.390225362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1479130.43</v>
      </c>
      <c r="J43" s="19">
        <v>1479130.43</v>
      </c>
      <c r="K43" s="34">
        <f>I43-J43</f>
        <v>0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-369195.66</v>
      </c>
      <c r="S43" s="3">
        <v>5300767.26</v>
      </c>
      <c r="T43" s="97">
        <f t="shared" si="11"/>
        <v>12914288.99</v>
      </c>
      <c r="U43" s="39">
        <f t="shared" si="12"/>
        <v>-4260844.5426086877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2206141.7400000002</v>
      </c>
      <c r="J44" s="20">
        <v>2206141.7400000002</v>
      </c>
      <c r="K44" s="24">
        <f>I44-J44</f>
        <v>0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2206141.7400000002</v>
      </c>
      <c r="S44" s="3">
        <v>4458817.3899999997</v>
      </c>
      <c r="T44" s="97">
        <f t="shared" si="11"/>
        <v>6897546.0899999999</v>
      </c>
      <c r="U44" s="39">
        <f t="shared" si="12"/>
        <v>-1286363.4143478312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852555.65</v>
      </c>
      <c r="K45" s="44">
        <f t="shared" si="13"/>
        <v>0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4537827.82</v>
      </c>
      <c r="J46" s="54">
        <f>SUM(J43:J45)</f>
        <v>4537827.82</v>
      </c>
      <c r="K46" s="54">
        <f t="shared" si="13"/>
        <v>0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f>SUM(R43:R45)</f>
        <v>2059992.1600000004</v>
      </c>
      <c r="S46" s="89">
        <f>SUM(S43:S45)</f>
        <v>11217488.129999999</v>
      </c>
      <c r="T46" s="102">
        <f t="shared" si="11"/>
        <v>22122294.210000001</v>
      </c>
      <c r="U46" s="57">
        <f t="shared" si="12"/>
        <v>-6550326.2182608694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86709916.900000006</v>
      </c>
      <c r="C48" s="58">
        <f>SUM(C34+C38+C42+C46)</f>
        <v>0</v>
      </c>
      <c r="D48" s="106">
        <f>SUM(D34+D38+D42+D46)/4</f>
        <v>0.5</v>
      </c>
      <c r="E48" s="58">
        <v>81345660.370000005</v>
      </c>
      <c r="F48" s="106">
        <f>SUM(F34+F38+F42+F46)/4</f>
        <v>0.5</v>
      </c>
      <c r="G48" s="58">
        <f>SUM(G34+G38+G42+G46)</f>
        <v>0</v>
      </c>
      <c r="H48" s="109">
        <f>SUM(H34+H38+H42+H46)</f>
        <v>123899300.97831228</v>
      </c>
      <c r="I48" s="58">
        <f>SUM(I34+I38+I42+I46)</f>
        <v>8679420.8599999994</v>
      </c>
      <c r="J48" s="58">
        <f>SUM(J34+J38+J42+J46)</f>
        <v>8679420.8599999994</v>
      </c>
      <c r="K48" s="59">
        <f t="shared" si="13"/>
        <v>0</v>
      </c>
      <c r="L48" s="110">
        <f t="shared" ref="L48" si="15">B48-H48</f>
        <v>-37189384.078312278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12395278.900000006</v>
      </c>
      <c r="R48" s="153">
        <f>SUM(R34+R38+R42+R46)</f>
        <v>-30964745.23</v>
      </c>
      <c r="S48" s="154">
        <f>SUM(S34+S38+S42+S46)</f>
        <v>39315482.109999999</v>
      </c>
      <c r="T48" s="100">
        <f t="shared" si="11"/>
        <v>95389337.760000005</v>
      </c>
      <c r="U48" s="149">
        <f t="shared" si="12"/>
        <v>-28509963.218312278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-1500524.3799111724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95389337.760000005</v>
      </c>
      <c r="J53" s="7">
        <f>C48+J48</f>
        <v>8679420.8599999994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28509963.218312278</v>
      </c>
      <c r="J54" s="7">
        <f>I48-U48</f>
        <v>37189384.078312278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1511311.3</v>
      </c>
      <c r="J58" s="130">
        <v>1511311.3</v>
      </c>
      <c r="K58" s="23">
        <f>I58-J58</f>
        <v>0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-952145.22</v>
      </c>
      <c r="S58" s="3">
        <v>1941353.04</v>
      </c>
      <c r="T58" s="96">
        <f t="shared" ref="T58:T69" si="16">B58+I58</f>
        <v>3452664.34</v>
      </c>
      <c r="U58" s="38">
        <f>T58-H58</f>
        <v>-2851387.3317391304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623791.30000000005</v>
      </c>
      <c r="J59" s="131">
        <v>623791.30000000005</v>
      </c>
      <c r="K59" s="24">
        <f t="shared" ref="K59:K75" si="18">I59-J59</f>
        <v>0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-4700637.4000000004</v>
      </c>
      <c r="S59" s="3">
        <v>754240</v>
      </c>
      <c r="T59" s="97">
        <f t="shared" si="16"/>
        <v>1378031.3</v>
      </c>
      <c r="U59" s="39">
        <f t="shared" ref="U59:U75" si="21">T59-H59</f>
        <v>-8111828.5706521692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2714273.04</v>
      </c>
      <c r="K60" s="24">
        <f t="shared" si="18"/>
        <v>0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4849375.6400000006</v>
      </c>
      <c r="J61" s="157">
        <f>SUM(J58:J60)</f>
        <v>4849375.6400000006</v>
      </c>
      <c r="K61" s="141">
        <f t="shared" si="18"/>
        <v>0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f>SUM(R58:R60)</f>
        <v>-3146683.49</v>
      </c>
      <c r="S61" s="49">
        <f>SUM(S58:S60)</f>
        <v>4264530.4343478298</v>
      </c>
      <c r="T61" s="102">
        <f t="shared" si="16"/>
        <v>9372514.7699999996</v>
      </c>
      <c r="U61" s="50">
        <f t="shared" si="21"/>
        <v>-13955176.708252158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2544803.48</v>
      </c>
      <c r="J62" s="131">
        <v>2544803.48</v>
      </c>
      <c r="K62" s="24">
        <f t="shared" si="18"/>
        <v>0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1250985.22</v>
      </c>
      <c r="S62" s="3">
        <v>4102562.61</v>
      </c>
      <c r="T62" s="97">
        <f t="shared" si="16"/>
        <v>9247751.3100000005</v>
      </c>
      <c r="U62" s="39">
        <f t="shared" si="21"/>
        <v>-10835914.776956523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9502818.2599999998</v>
      </c>
      <c r="J63" s="131">
        <v>10630901.74</v>
      </c>
      <c r="K63" s="24">
        <f t="shared" si="18"/>
        <v>-1128083.4800000004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9502818.2599999998</v>
      </c>
      <c r="S63" s="3">
        <v>4596457.3899999997</v>
      </c>
      <c r="T63" s="97">
        <f t="shared" si="16"/>
        <v>14099275.649999999</v>
      </c>
      <c r="U63" s="39">
        <f t="shared" si="21"/>
        <v>-4666097.9616000056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2974788.7</v>
      </c>
      <c r="J64" s="131">
        <v>979238.26</v>
      </c>
      <c r="K64" s="24">
        <f t="shared" si="18"/>
        <v>1995550.4400000002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2266731.31</v>
      </c>
      <c r="S64" s="3">
        <v>544021.74</v>
      </c>
      <c r="T64" s="97">
        <f t="shared" si="16"/>
        <v>3518810.4400000004</v>
      </c>
      <c r="U64" s="39">
        <f t="shared" si="21"/>
        <v>-12280984.284999985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15022410.440000001</v>
      </c>
      <c r="J65" s="157">
        <f>SUM(J62:J64)</f>
        <v>14154943.48</v>
      </c>
      <c r="K65" s="141">
        <f t="shared" si="18"/>
        <v>867466.96000000089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f>SUM(R62:R64)</f>
        <v>13020534.790000001</v>
      </c>
      <c r="S65" s="49">
        <f>SUM(S62:S64)</f>
        <v>9243041.7400000002</v>
      </c>
      <c r="T65" s="102">
        <f t="shared" si="16"/>
        <v>26865837.399999999</v>
      </c>
      <c r="U65" s="50">
        <f t="shared" si="21"/>
        <v>-27782997.023556516</v>
      </c>
    </row>
    <row r="66" spans="1:21" x14ac:dyDescent="0.2">
      <c r="A66" s="122">
        <v>46631</v>
      </c>
      <c r="B66" s="22">
        <v>1731448.7</v>
      </c>
      <c r="C66" s="128"/>
      <c r="D66" s="171">
        <v>0.1</v>
      </c>
      <c r="E66" s="22">
        <v>1731448.7</v>
      </c>
      <c r="F66" s="174">
        <v>0.1</v>
      </c>
      <c r="G66" s="26">
        <f t="shared" si="22"/>
        <v>0</v>
      </c>
      <c r="H66" s="136">
        <f>H39*1.1</f>
        <v>8544967.2872826066</v>
      </c>
      <c r="I66" s="131">
        <v>1157481.74</v>
      </c>
      <c r="J66" s="131">
        <v>1157481.74</v>
      </c>
      <c r="K66" s="24">
        <f t="shared" si="18"/>
        <v>0</v>
      </c>
      <c r="L66" s="32">
        <f t="shared" si="19"/>
        <v>-6813518.5872826064</v>
      </c>
      <c r="M66" s="138">
        <v>611674</v>
      </c>
      <c r="N66" s="67">
        <v>0</v>
      </c>
      <c r="O66" s="19">
        <f>B39</f>
        <v>5653992.2599999998</v>
      </c>
      <c r="P66" s="65">
        <f>D39</f>
        <v>0.64</v>
      </c>
      <c r="Q66" s="34">
        <f t="shared" si="20"/>
        <v>1119774.7</v>
      </c>
      <c r="R66" s="3">
        <v>1157481.74</v>
      </c>
      <c r="S66" s="3">
        <v>755632.18</v>
      </c>
      <c r="T66" s="97">
        <f t="shared" si="16"/>
        <v>2888930.44</v>
      </c>
      <c r="U66" s="39">
        <f t="shared" si="21"/>
        <v>-5656036.8472826071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1142365.22</v>
      </c>
      <c r="J67" s="131">
        <v>1142365.22</v>
      </c>
      <c r="K67" s="24">
        <f t="shared" si="18"/>
        <v>0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5030105.87</v>
      </c>
      <c r="P67" s="65">
        <f>D40</f>
        <v>0.46</v>
      </c>
      <c r="Q67" s="34">
        <f t="shared" si="20"/>
        <v>-1334543</v>
      </c>
      <c r="R67" s="3">
        <v>1142365.22</v>
      </c>
      <c r="S67" s="3">
        <v>0</v>
      </c>
      <c r="T67" s="97">
        <f t="shared" si="16"/>
        <v>1142365.22</v>
      </c>
      <c r="U67" s="39">
        <f t="shared" si="21"/>
        <v>-10841400.494130429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671770.43</v>
      </c>
      <c r="J68" s="131">
        <v>1012796.52</v>
      </c>
      <c r="K68" s="24">
        <f t="shared" si="18"/>
        <v>-341026.08999999997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671770.43</v>
      </c>
      <c r="S68" s="3">
        <v>614762.61</v>
      </c>
      <c r="T68" s="97">
        <f t="shared" si="16"/>
        <v>1286533.04</v>
      </c>
      <c r="U68" s="39">
        <f t="shared" si="21"/>
        <v>-4957556.6618348612</v>
      </c>
    </row>
    <row r="69" spans="1:21" x14ac:dyDescent="0.2">
      <c r="A69" s="139" t="s">
        <v>29</v>
      </c>
      <c r="B69" s="140">
        <f>SUM(B66:B68)</f>
        <v>2346211.31</v>
      </c>
      <c r="C69" s="150">
        <f>SUM(C66:C68)</f>
        <v>0</v>
      </c>
      <c r="D69" s="176">
        <f>SUM(D66:D68)/3</f>
        <v>4.6666666666666669E-2</v>
      </c>
      <c r="E69" s="141">
        <f>SUM(E66:E68)</f>
        <v>2346211.31</v>
      </c>
      <c r="F69" s="71">
        <f>SUM(F66:F68)/3</f>
        <v>4.6666666666666669E-2</v>
      </c>
      <c r="G69" s="140">
        <f t="shared" si="22"/>
        <v>0</v>
      </c>
      <c r="H69" s="156">
        <f>SUM(H66:H68)</f>
        <v>26772822.703247897</v>
      </c>
      <c r="I69" s="157">
        <f>SUM(I66:I68)</f>
        <v>2971617.39</v>
      </c>
      <c r="J69" s="157">
        <f>SUM(J66:J68)</f>
        <v>3312643.48</v>
      </c>
      <c r="K69" s="141">
        <f t="shared" si="18"/>
        <v>-341026.08999999985</v>
      </c>
      <c r="L69" s="143">
        <f t="shared" si="19"/>
        <v>-24426611.393247899</v>
      </c>
      <c r="M69" s="141">
        <f>SUM(M66:M68)</f>
        <v>1946217</v>
      </c>
      <c r="N69" s="69">
        <f>SUM(N66:N68)/3</f>
        <v>0</v>
      </c>
      <c r="O69" s="141">
        <f>SUM(O66:O68)</f>
        <v>12095250.299999999</v>
      </c>
      <c r="P69" s="142">
        <f>SUM(P66:P68)/3</f>
        <v>0.42</v>
      </c>
      <c r="Q69" s="77">
        <f t="shared" si="20"/>
        <v>399994.31000000006</v>
      </c>
      <c r="R69" s="151">
        <f>SUM(R66:R68)</f>
        <v>2971617.39</v>
      </c>
      <c r="S69" s="152">
        <f>SUM(S66:S68)</f>
        <v>1370394.79</v>
      </c>
      <c r="T69" s="158">
        <f t="shared" si="16"/>
        <v>5317828.7</v>
      </c>
      <c r="U69" s="77">
        <f t="shared" si="21"/>
        <v>-21454994.003247898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4035780.87</v>
      </c>
      <c r="J70" s="132">
        <v>4035780.87</v>
      </c>
      <c r="K70" s="24">
        <f t="shared" si="18"/>
        <v>0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4035780.87</v>
      </c>
      <c r="S70" s="3">
        <v>3681390.43</v>
      </c>
      <c r="T70" s="97">
        <f>B70+I70</f>
        <v>7717171.3000000007</v>
      </c>
      <c r="U70" s="39">
        <f t="shared" si="21"/>
        <v>-11175475.585869558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0</v>
      </c>
      <c r="J71" s="131">
        <v>0</v>
      </c>
      <c r="K71" s="24">
        <f t="shared" si="18"/>
        <v>0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-2092352.17</v>
      </c>
      <c r="S71" s="3">
        <v>891586.96</v>
      </c>
      <c r="T71" s="97">
        <f>B71+I71</f>
        <v>891586.96</v>
      </c>
      <c r="U71" s="39">
        <f t="shared" si="21"/>
        <v>-8110713.4947826145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4035780.87</v>
      </c>
      <c r="J73" s="157">
        <f>SUM(J70:J72)</f>
        <v>4035780.87</v>
      </c>
      <c r="K73" s="63">
        <f t="shared" si="18"/>
        <v>0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f>SUM(R70:R72)</f>
        <v>1943428.7000000002</v>
      </c>
      <c r="S73" s="91">
        <f>SUM(S70:S72)</f>
        <v>4572977.3900000006</v>
      </c>
      <c r="T73" s="74">
        <f t="shared" ref="T73" si="23">B73+I73</f>
        <v>8608758.2600000016</v>
      </c>
      <c r="U73" s="57">
        <f t="shared" si="21"/>
        <v>-22931124.211086962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23285754.789999999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0</v>
      </c>
      <c r="H75" s="109">
        <f>SUM(H61+H65+H69+H73)</f>
        <v>136289231.07614356</v>
      </c>
      <c r="I75" s="58">
        <f t="shared" si="24"/>
        <v>26879184.340000004</v>
      </c>
      <c r="J75" s="58">
        <f t="shared" si="24"/>
        <v>26352743.470000003</v>
      </c>
      <c r="K75" s="59">
        <f t="shared" si="18"/>
        <v>526440.87000000104</v>
      </c>
      <c r="L75" s="110">
        <f t="shared" ref="L75" si="25">B75-H75</f>
        <v>-113003476.28614357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86709916.900000006</v>
      </c>
      <c r="P75" s="120">
        <f>SUM(P61+P65+P69+P73)/4</f>
        <v>0.5</v>
      </c>
      <c r="Q75" s="60">
        <f>B75-M75</f>
        <v>5872971.7899999991</v>
      </c>
      <c r="R75" s="161">
        <f>SUM(R61+R65+R69+R73)</f>
        <v>14788897.390000001</v>
      </c>
      <c r="S75" s="148">
        <f>SUM(S61+S65+S69+S73)</f>
        <v>19450944.354347829</v>
      </c>
      <c r="T75" s="100">
        <f>B75+I75</f>
        <v>50164939.130000003</v>
      </c>
      <c r="U75" s="149">
        <f t="shared" si="21"/>
        <v>-86124291.946143568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-4532857.4708496612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50164939.130000003</v>
      </c>
      <c r="J80" s="7">
        <f>C75+J75</f>
        <v>31601506.470000003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-86124291.946143568</v>
      </c>
      <c r="J81" s="7">
        <f>J80-I75</f>
        <v>4722322.129999999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43" priority="12" operator="equal">
      <formula>0.1</formula>
    </cfRule>
    <cfRule type="cellIs" dxfId="42" priority="13" operator="equal">
      <formula>0.2</formula>
    </cfRule>
    <cfRule type="cellIs" dxfId="41" priority="14" operator="equal">
      <formula>0.3</formula>
    </cfRule>
    <cfRule type="cellIs" dxfId="40" priority="15" operator="equal">
      <formula>0.4</formula>
    </cfRule>
    <cfRule type="cellIs" dxfId="39" priority="16" operator="equal">
      <formula>0.5</formula>
    </cfRule>
    <cfRule type="cellIs" dxfId="38" priority="17" operator="equal">
      <formula>0.6</formula>
    </cfRule>
    <cfRule type="cellIs" dxfId="37" priority="18" operator="equal">
      <formula>0.7</formula>
    </cfRule>
    <cfRule type="cellIs" dxfId="36" priority="19" operator="equal">
      <formula>0.8</formula>
    </cfRule>
    <cfRule type="cellIs" dxfId="35" priority="20" stopIfTrue="1" operator="lessThan">
      <formula>-1</formula>
    </cfRule>
    <cfRule type="cellIs" dxfId="34" priority="21" operator="greaterThan">
      <formula>0.9</formula>
    </cfRule>
    <cfRule type="cellIs" dxfId="33" priority="22" operator="equal">
      <formula>0</formula>
    </cfRule>
  </conditionalFormatting>
  <conditionalFormatting sqref="G58:G75 K58:L75 Q58:Q75 U58:U75">
    <cfRule type="cellIs" dxfId="32" priority="1" operator="equal">
      <formula>0.1</formula>
    </cfRule>
    <cfRule type="cellIs" dxfId="31" priority="2" operator="equal">
      <formula>0.2</formula>
    </cfRule>
    <cfRule type="cellIs" dxfId="30" priority="3" operator="equal">
      <formula>0.3</formula>
    </cfRule>
    <cfRule type="cellIs" dxfId="29" priority="4" operator="equal">
      <formula>0.4</formula>
    </cfRule>
    <cfRule type="cellIs" dxfId="28" priority="5" operator="equal">
      <formula>0.5</formula>
    </cfRule>
    <cfRule type="cellIs" dxfId="27" priority="6" operator="equal">
      <formula>0.6</formula>
    </cfRule>
    <cfRule type="cellIs" dxfId="26" priority="7" operator="equal">
      <formula>0.7</formula>
    </cfRule>
    <cfRule type="cellIs" dxfId="25" priority="8" operator="equal">
      <formula>0.8</formula>
    </cfRule>
    <cfRule type="cellIs" dxfId="24" priority="9" stopIfTrue="1" operator="lessThan">
      <formula>-1</formula>
    </cfRule>
    <cfRule type="cellIs" dxfId="23" priority="10" operator="greaterThan">
      <formula>0.9</formula>
    </cfRule>
    <cfRule type="cellIs" dxfId="22" priority="1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1F4C-5F0E-498C-A75D-6281B45953FD}">
  <dimension ref="A1:AZ93"/>
  <sheetViews>
    <sheetView tabSelected="1" topLeftCell="A40" zoomScale="93" zoomScaleNormal="93" workbookViewId="0">
      <pane xSplit="1" topLeftCell="B1" activePane="topRight" state="frozen"/>
      <selection activeCell="E69" sqref="E69"/>
      <selection pane="topRight" activeCell="E69" sqref="E69"/>
    </sheetView>
  </sheetViews>
  <sheetFormatPr baseColWidth="10" defaultColWidth="8.83203125" defaultRowHeight="14" outlineLevelRow="1" outlineLevelCol="1" x14ac:dyDescent="0.2"/>
  <cols>
    <col min="1" max="1" width="10.33203125" style="11" customWidth="1"/>
    <col min="2" max="3" width="12.33203125" style="11" customWidth="1"/>
    <col min="4" max="4" width="9.33203125" style="11" customWidth="1"/>
    <col min="5" max="5" width="12.33203125" style="11" customWidth="1"/>
    <col min="6" max="6" width="9.33203125" style="11" customWidth="1"/>
    <col min="7" max="13" width="12.33203125" style="11" customWidth="1"/>
    <col min="14" max="14" width="9.33203125" style="11" customWidth="1"/>
    <col min="15" max="15" width="12.33203125" style="11" customWidth="1"/>
    <col min="16" max="16" width="9.33203125" style="11" customWidth="1"/>
    <col min="17" max="17" width="12.33203125" style="11" customWidth="1"/>
    <col min="18" max="18" width="12.83203125" hidden="1" customWidth="1" outlineLevel="1"/>
    <col min="19" max="19" width="12.1640625" hidden="1" customWidth="1" outlineLevel="1"/>
    <col min="20" max="20" width="12.83203125" style="11" customWidth="1" collapsed="1"/>
    <col min="21" max="21" width="12.83203125" style="11" customWidth="1"/>
  </cols>
  <sheetData>
    <row r="1" spans="1:52" ht="15" hidden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4"/>
      <c r="U1" s="4"/>
    </row>
    <row r="2" spans="1:52" ht="21" hidden="1" customHeight="1" x14ac:dyDescent="0.2">
      <c r="A2" s="183" t="s">
        <v>10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  <c r="S2" s="185"/>
      <c r="T2" s="185"/>
      <c r="U2" s="186"/>
    </row>
    <row r="3" spans="1:52" ht="6" hidden="1" customHeight="1" x14ac:dyDescent="0.2">
      <c r="A3" s="5"/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2"/>
      <c r="S3" s="2"/>
      <c r="T3" s="5"/>
      <c r="U3" s="5"/>
    </row>
    <row r="4" spans="1:52" s="12" customFormat="1" ht="43" hidden="1" thickBot="1" x14ac:dyDescent="0.25">
      <c r="A4" s="13" t="s">
        <v>11</v>
      </c>
      <c r="B4" s="104" t="s">
        <v>12</v>
      </c>
      <c r="C4" s="13" t="s">
        <v>13</v>
      </c>
      <c r="D4" s="104" t="s">
        <v>14</v>
      </c>
      <c r="E4" s="104" t="s">
        <v>15</v>
      </c>
      <c r="F4" s="107" t="s">
        <v>16</v>
      </c>
      <c r="G4" s="14" t="s">
        <v>17</v>
      </c>
      <c r="H4" s="108" t="s">
        <v>0</v>
      </c>
      <c r="I4" s="13" t="s">
        <v>18</v>
      </c>
      <c r="J4" s="13" t="s">
        <v>19</v>
      </c>
      <c r="K4" s="14" t="s">
        <v>20</v>
      </c>
      <c r="L4" s="104" t="s">
        <v>21</v>
      </c>
      <c r="M4" s="13" t="s">
        <v>2</v>
      </c>
      <c r="N4" s="104" t="s">
        <v>22</v>
      </c>
      <c r="O4" s="13" t="s">
        <v>23</v>
      </c>
      <c r="P4" s="104" t="s">
        <v>24</v>
      </c>
      <c r="Q4" s="13" t="s">
        <v>25</v>
      </c>
      <c r="R4" s="111" t="s">
        <v>3</v>
      </c>
      <c r="S4" s="73" t="s">
        <v>4</v>
      </c>
      <c r="T4" s="95" t="s">
        <v>26</v>
      </c>
      <c r="U4" s="37" t="s">
        <v>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15" hidden="1" thickBot="1" x14ac:dyDescent="0.25">
      <c r="A5" s="121">
        <v>45717</v>
      </c>
      <c r="B5" s="21">
        <v>2907156.52</v>
      </c>
      <c r="C5" s="18">
        <v>0</v>
      </c>
      <c r="D5" s="64">
        <v>0.45</v>
      </c>
      <c r="E5" s="21">
        <v>2907156.52</v>
      </c>
      <c r="F5" s="64">
        <v>0.45</v>
      </c>
      <c r="G5" s="23">
        <f>B5-E5</f>
        <v>0</v>
      </c>
      <c r="H5" s="27">
        <f>8830956/1.15</f>
        <v>7679092.1739130439</v>
      </c>
      <c r="I5" s="18">
        <v>0</v>
      </c>
      <c r="J5" s="18">
        <v>0</v>
      </c>
      <c r="K5" s="23">
        <f>I5-J5</f>
        <v>0</v>
      </c>
      <c r="L5" s="31">
        <f t="shared" ref="L5:L21" si="0">B5-H5</f>
        <v>-4771935.6539130434</v>
      </c>
      <c r="M5" s="18">
        <v>7337775.7400000002</v>
      </c>
      <c r="N5" s="64">
        <v>0.48</v>
      </c>
      <c r="O5" s="18">
        <v>7337776</v>
      </c>
      <c r="P5" s="64">
        <v>0.66</v>
      </c>
      <c r="Q5" s="33">
        <f t="shared" ref="Q5:Q21" si="1">B5-M5</f>
        <v>-4430619.2200000007</v>
      </c>
      <c r="R5" s="72">
        <v>0</v>
      </c>
      <c r="S5" s="3">
        <v>0</v>
      </c>
      <c r="T5" s="96">
        <f t="shared" ref="T5:T21" si="2">B5+I5</f>
        <v>2907156.52</v>
      </c>
      <c r="U5" s="38">
        <f t="shared" ref="U5:U21" si="3">T5-H5</f>
        <v>-4771935.6539130434</v>
      </c>
    </row>
    <row r="6" spans="1:52" ht="15" hidden="1" thickBot="1" x14ac:dyDescent="0.25">
      <c r="A6" s="122">
        <v>45748</v>
      </c>
      <c r="B6" s="7">
        <f>6173058.7+17392</f>
        <v>6190450.7000000002</v>
      </c>
      <c r="C6" s="19">
        <v>0</v>
      </c>
      <c r="D6" s="65">
        <v>0.46</v>
      </c>
      <c r="E6" s="7">
        <f>6173058.7+17392</f>
        <v>6190450.7000000002</v>
      </c>
      <c r="F6" s="65">
        <v>0.46</v>
      </c>
      <c r="G6" s="24">
        <f t="shared" ref="G6:G19" si="4">B6-E6</f>
        <v>0</v>
      </c>
      <c r="H6" s="28">
        <f>9970435/1.15</f>
        <v>8669943.478260871</v>
      </c>
      <c r="I6" s="19">
        <v>0</v>
      </c>
      <c r="J6" s="19">
        <v>0</v>
      </c>
      <c r="K6" s="24">
        <f t="shared" ref="K6:K21" si="5">I6-J6</f>
        <v>0</v>
      </c>
      <c r="L6" s="32">
        <f t="shared" si="0"/>
        <v>-2479492.7782608708</v>
      </c>
      <c r="M6" s="20">
        <v>4398534.3899999997</v>
      </c>
      <c r="N6" s="65">
        <v>0.34</v>
      </c>
      <c r="O6" s="20">
        <v>4398534</v>
      </c>
      <c r="P6" s="65">
        <v>0.46</v>
      </c>
      <c r="Q6" s="35">
        <f t="shared" si="1"/>
        <v>1791916.3100000005</v>
      </c>
      <c r="R6" s="72">
        <v>0</v>
      </c>
      <c r="S6" s="3">
        <v>0</v>
      </c>
      <c r="T6" s="97">
        <f t="shared" si="2"/>
        <v>6190450.7000000002</v>
      </c>
      <c r="U6" s="39">
        <f t="shared" si="3"/>
        <v>-2479492.7782608708</v>
      </c>
    </row>
    <row r="7" spans="1:52" ht="15" hidden="1" thickBot="1" x14ac:dyDescent="0.25">
      <c r="A7" s="122">
        <v>45778</v>
      </c>
      <c r="B7" s="22">
        <v>4432903.1478260802</v>
      </c>
      <c r="C7" s="20">
        <v>0</v>
      </c>
      <c r="D7" s="65">
        <v>0.51</v>
      </c>
      <c r="E7" s="22">
        <v>4432903.1478260802</v>
      </c>
      <c r="F7" s="65">
        <v>0.51</v>
      </c>
      <c r="G7" s="24">
        <f t="shared" si="4"/>
        <v>0</v>
      </c>
      <c r="H7" s="28">
        <f>6623217/1.15</f>
        <v>5759319.1304347832</v>
      </c>
      <c r="I7" s="19">
        <v>0</v>
      </c>
      <c r="J7" s="19">
        <v>0</v>
      </c>
      <c r="K7" s="24">
        <f t="shared" si="5"/>
        <v>0</v>
      </c>
      <c r="L7" s="32">
        <f t="shared" si="0"/>
        <v>-1326415.982608703</v>
      </c>
      <c r="M7" s="20">
        <v>6551226.9299999997</v>
      </c>
      <c r="N7" s="65">
        <v>0.42</v>
      </c>
      <c r="O7" s="20">
        <v>5912096</v>
      </c>
      <c r="P7" s="65">
        <v>0.62</v>
      </c>
      <c r="Q7" s="34">
        <f t="shared" si="1"/>
        <v>-2118323.7821739195</v>
      </c>
      <c r="R7" s="72">
        <v>0</v>
      </c>
      <c r="S7" s="3">
        <v>0</v>
      </c>
      <c r="T7" s="97">
        <f t="shared" si="2"/>
        <v>4432903.1478260802</v>
      </c>
      <c r="U7" s="39">
        <f t="shared" si="3"/>
        <v>-1326415.982608703</v>
      </c>
    </row>
    <row r="8" spans="1:52" s="51" customFormat="1" ht="15" hidden="1" thickBot="1" x14ac:dyDescent="0.25">
      <c r="A8" s="139" t="s">
        <v>27</v>
      </c>
      <c r="B8" s="140">
        <f>SUM(B5:B7)</f>
        <v>13530510.367826082</v>
      </c>
      <c r="C8" s="141">
        <v>0</v>
      </c>
      <c r="D8" s="142">
        <f>SUM(D5:D7)/3</f>
        <v>0.47333333333333333</v>
      </c>
      <c r="E8" s="140">
        <f>SUM(E5:E7)</f>
        <v>13530510.367826082</v>
      </c>
      <c r="F8" s="142">
        <f>SUM(F5:F7)/3</f>
        <v>0.47333333333333333</v>
      </c>
      <c r="G8" s="141">
        <f>SUM(G5:G7)/3</f>
        <v>0</v>
      </c>
      <c r="H8" s="140">
        <f>SUM(H5:H7)</f>
        <v>22108354.782608695</v>
      </c>
      <c r="I8" s="141">
        <f>SUM(I5:I7)</f>
        <v>0</v>
      </c>
      <c r="J8" s="141">
        <f>SUM(J5:J7)</f>
        <v>0</v>
      </c>
      <c r="K8" s="141">
        <f>I8-J8</f>
        <v>0</v>
      </c>
      <c r="L8" s="143">
        <f t="shared" si="0"/>
        <v>-8577844.4147826135</v>
      </c>
      <c r="M8" s="141">
        <f>SUM(M5:M7)</f>
        <v>18287537.059999999</v>
      </c>
      <c r="N8" s="142">
        <f>SUM(N5:N7)/3</f>
        <v>0.41333333333333333</v>
      </c>
      <c r="O8" s="141">
        <f>SUM(O5:O7)</f>
        <v>17648406</v>
      </c>
      <c r="P8" s="142">
        <f>SUM(P5:P7)/3</f>
        <v>0.58000000000000007</v>
      </c>
      <c r="Q8" s="77">
        <f t="shared" si="1"/>
        <v>-4757026.6921739168</v>
      </c>
      <c r="R8" s="56">
        <f>SUM(R5:R7)</f>
        <v>0</v>
      </c>
      <c r="S8" s="49">
        <f>SUM(S5:S7)</f>
        <v>0</v>
      </c>
      <c r="T8" s="102">
        <f t="shared" si="2"/>
        <v>13530510.367826082</v>
      </c>
      <c r="U8" s="50">
        <f t="shared" si="3"/>
        <v>-8577844.4147826135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ht="15" hidden="1" thickBot="1" x14ac:dyDescent="0.25">
      <c r="A9" s="122">
        <v>45809</v>
      </c>
      <c r="B9" s="22">
        <f>12460434.78+104348+39130.45+73043.48</f>
        <v>12676956.709999999</v>
      </c>
      <c r="C9" s="20">
        <v>0</v>
      </c>
      <c r="D9" s="65">
        <v>0.83</v>
      </c>
      <c r="E9" s="22">
        <f>12460434.78+104348+39130.45+73043.48</f>
        <v>12676956.709999999</v>
      </c>
      <c r="F9" s="65">
        <v>0.83</v>
      </c>
      <c r="G9" s="24">
        <f t="shared" si="4"/>
        <v>0</v>
      </c>
      <c r="H9" s="28">
        <f>13332065/1.15</f>
        <v>11593100</v>
      </c>
      <c r="I9" s="20">
        <v>0</v>
      </c>
      <c r="J9" s="20">
        <v>0</v>
      </c>
      <c r="K9" s="24">
        <f t="shared" si="5"/>
        <v>0</v>
      </c>
      <c r="L9" s="32">
        <f t="shared" si="0"/>
        <v>1083856.709999999</v>
      </c>
      <c r="M9" s="20">
        <v>9690000</v>
      </c>
      <c r="N9" s="65">
        <v>0.56999999999999995</v>
      </c>
      <c r="O9" s="20">
        <v>9690000</v>
      </c>
      <c r="P9" s="65">
        <v>0.62</v>
      </c>
      <c r="Q9" s="35">
        <f t="shared" si="1"/>
        <v>2986956.709999999</v>
      </c>
      <c r="R9" s="72">
        <v>0</v>
      </c>
      <c r="S9" s="3">
        <v>0</v>
      </c>
      <c r="T9" s="97">
        <f t="shared" si="2"/>
        <v>12676956.709999999</v>
      </c>
      <c r="U9" s="39">
        <f t="shared" si="3"/>
        <v>1083856.709999999</v>
      </c>
    </row>
    <row r="10" spans="1:52" ht="15" hidden="1" thickBot="1" x14ac:dyDescent="0.25">
      <c r="A10" s="122">
        <v>45839</v>
      </c>
      <c r="B10" s="26">
        <v>10297695.66</v>
      </c>
      <c r="C10" s="24">
        <v>0</v>
      </c>
      <c r="D10" s="65">
        <v>0.65</v>
      </c>
      <c r="E10" s="26">
        <v>10297695.66</v>
      </c>
      <c r="F10" s="65">
        <v>0.65</v>
      </c>
      <c r="G10" s="24">
        <f t="shared" si="4"/>
        <v>0</v>
      </c>
      <c r="H10" s="28">
        <f>13776467/1.15</f>
        <v>11979536.521739131</v>
      </c>
      <c r="I10" s="20">
        <v>0</v>
      </c>
      <c r="J10" s="20">
        <v>0</v>
      </c>
      <c r="K10" s="24">
        <v>0</v>
      </c>
      <c r="L10" s="32">
        <f t="shared" si="0"/>
        <v>-1681840.8617391307</v>
      </c>
      <c r="M10" s="20">
        <v>9012176.4299999997</v>
      </c>
      <c r="N10" s="65">
        <v>0.51</v>
      </c>
      <c r="O10" s="20">
        <v>9012176</v>
      </c>
      <c r="P10" s="65">
        <v>0.74</v>
      </c>
      <c r="Q10" s="35">
        <f t="shared" si="1"/>
        <v>1285519.2300000004</v>
      </c>
      <c r="R10" s="72">
        <v>0</v>
      </c>
      <c r="S10" s="3">
        <v>0</v>
      </c>
      <c r="T10" s="97">
        <f t="shared" si="2"/>
        <v>10297695.66</v>
      </c>
      <c r="U10" s="39">
        <f t="shared" si="3"/>
        <v>-1681840.8617391307</v>
      </c>
    </row>
    <row r="11" spans="1:52" ht="15" hidden="1" thickBot="1" x14ac:dyDescent="0.25">
      <c r="A11" s="122">
        <v>45870</v>
      </c>
      <c r="B11" s="22">
        <v>8297519.5700000003</v>
      </c>
      <c r="C11" s="20">
        <v>0</v>
      </c>
      <c r="D11" s="65">
        <v>0.57999999999999996</v>
      </c>
      <c r="E11" s="22">
        <v>8297519.5700000003</v>
      </c>
      <c r="F11" s="65">
        <v>0.57999999999999996</v>
      </c>
      <c r="G11" s="24">
        <f t="shared" si="4"/>
        <v>0</v>
      </c>
      <c r="H11" s="28">
        <f>13776467/1.15</f>
        <v>11979536.521739131</v>
      </c>
      <c r="I11" s="20">
        <v>0</v>
      </c>
      <c r="J11" s="20">
        <v>0</v>
      </c>
      <c r="K11" s="29">
        <f>I11-J11</f>
        <v>0</v>
      </c>
      <c r="L11" s="32">
        <f t="shared" si="0"/>
        <v>-3682016.9517391305</v>
      </c>
      <c r="M11" s="20">
        <v>10743043</v>
      </c>
      <c r="N11" s="65">
        <v>0.66</v>
      </c>
      <c r="O11" s="20">
        <v>10743043</v>
      </c>
      <c r="P11" s="65">
        <v>0.73</v>
      </c>
      <c r="Q11" s="34">
        <f t="shared" si="1"/>
        <v>-2445523.4299999997</v>
      </c>
      <c r="R11" s="72">
        <v>0</v>
      </c>
      <c r="S11" s="3">
        <v>0</v>
      </c>
      <c r="T11" s="97">
        <f t="shared" si="2"/>
        <v>8297519.5700000003</v>
      </c>
      <c r="U11" s="39">
        <f t="shared" si="3"/>
        <v>-3682016.9517391305</v>
      </c>
    </row>
    <row r="12" spans="1:52" ht="15" hidden="1" thickBot="1" x14ac:dyDescent="0.25">
      <c r="A12" s="139" t="s">
        <v>28</v>
      </c>
      <c r="B12" s="140">
        <f>SUM(B9:B11)</f>
        <v>31272171.939999998</v>
      </c>
      <c r="C12" s="141">
        <v>0</v>
      </c>
      <c r="D12" s="142">
        <f>SUM(D9:D11)/3</f>
        <v>0.68666666666666665</v>
      </c>
      <c r="E12" s="140">
        <f>SUM(E9:E11)</f>
        <v>31272171.939999998</v>
      </c>
      <c r="F12" s="142">
        <f>SUM(F9:F11)/3</f>
        <v>0.68666666666666665</v>
      </c>
      <c r="G12" s="141">
        <f>SUM(G9:G11)/3</f>
        <v>0</v>
      </c>
      <c r="H12" s="140">
        <f>SUM(H9:H11)</f>
        <v>35552173.043478265</v>
      </c>
      <c r="I12" s="141">
        <f>SUM(I9:I11)</f>
        <v>0</v>
      </c>
      <c r="J12" s="141">
        <f>SUM(J9:J11)</f>
        <v>0</v>
      </c>
      <c r="K12" s="52">
        <f t="shared" si="5"/>
        <v>0</v>
      </c>
      <c r="L12" s="143">
        <f t="shar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     <f>SUM(O9:O11)</f>
        <v>29445219</v>
      </c>
      <c r="P12" s="142">
        <f>SUM(P9:P11)/3</f>
        <v>0.69666666666666666</v>
      </c>
      <c r="Q12" s="77">
        <f t="shared" si="1"/>
        <v>1826952.5099999979</v>
      </c>
      <c r="R12" s="56">
        <f>SUM(R9:R11)</f>
        <v>0</v>
      </c>
      <c r="S12" s="49">
        <f>SUM(S9:S11)</f>
        <v>0</v>
      </c>
      <c r="T12" s="102">
        <f t="shared" si="2"/>
        <v>31272171.939999998</v>
      </c>
      <c r="U12" s="50">
        <f t="shared" si="3"/>
        <v>-4280001.1034782678</v>
      </c>
    </row>
    <row r="13" spans="1:52" ht="15" hidden="1" thickBot="1" x14ac:dyDescent="0.25">
      <c r="A13" s="122">
        <v>45901</v>
      </c>
      <c r="B13" s="22">
        <v>5592298.4800000004</v>
      </c>
      <c r="C13" s="20">
        <v>0</v>
      </c>
      <c r="D13" s="65">
        <v>0.56000000000000005</v>
      </c>
      <c r="E13" s="22">
        <v>5592298.4800000004</v>
      </c>
      <c r="F13" s="65">
        <v>0.56000000000000005</v>
      </c>
      <c r="G13" s="24">
        <f t="shared" si="4"/>
        <v>0</v>
      </c>
      <c r="H13" s="28">
        <f>9258261/1.15</f>
        <v>8050661.7391304355</v>
      </c>
      <c r="I13" s="20">
        <v>0</v>
      </c>
      <c r="J13" s="20">
        <v>0</v>
      </c>
      <c r="K13" s="24">
        <f t="shared" si="5"/>
        <v>0</v>
      </c>
      <c r="L13" s="32">
        <f t="shared" si="0"/>
        <v>-2458363.2591304351</v>
      </c>
      <c r="M13" s="20">
        <v>2840870</v>
      </c>
      <c r="N13" s="65">
        <v>0.18</v>
      </c>
      <c r="O13" s="20">
        <v>2840870</v>
      </c>
      <c r="P13" s="65">
        <v>0.38</v>
      </c>
      <c r="Q13" s="35">
        <f t="shared" si="1"/>
        <v>2751428.4800000004</v>
      </c>
      <c r="R13" s="72">
        <v>0</v>
      </c>
      <c r="S13" s="3">
        <v>0</v>
      </c>
      <c r="T13" s="97">
        <f t="shared" si="2"/>
        <v>5592298.4800000004</v>
      </c>
      <c r="U13" s="39">
        <f t="shared" si="3"/>
        <v>-2458363.2591304351</v>
      </c>
    </row>
    <row r="14" spans="1:52" ht="15" hidden="1" thickBot="1" x14ac:dyDescent="0.25">
      <c r="A14" s="122">
        <v>45931</v>
      </c>
      <c r="B14" s="22">
        <v>8447638.2599999998</v>
      </c>
      <c r="C14" s="20">
        <v>0</v>
      </c>
      <c r="D14" s="65">
        <v>0.68</v>
      </c>
      <c r="E14" s="22">
        <v>8447638.2599999998</v>
      </c>
      <c r="F14" s="65">
        <v>0.68</v>
      </c>
      <c r="G14" s="24">
        <f t="shared" si="4"/>
        <v>0</v>
      </c>
      <c r="H14" s="28">
        <f>9566870/1.15</f>
        <v>8319017.3913043486</v>
      </c>
      <c r="I14" s="20">
        <v>0</v>
      </c>
      <c r="J14" s="20">
        <v>0</v>
      </c>
      <c r="K14" s="24">
        <f t="shared" si="5"/>
        <v>0</v>
      </c>
      <c r="L14" s="32">
        <f t="shared" si="0"/>
        <v>128620.86869565118</v>
      </c>
      <c r="M14" s="20">
        <v>1348039</v>
      </c>
      <c r="N14" s="65">
        <v>0.24</v>
      </c>
      <c r="O14" s="20">
        <v>1348039</v>
      </c>
      <c r="P14" s="65">
        <v>0.42</v>
      </c>
      <c r="Q14" s="35">
        <f t="shared" si="1"/>
        <v>7099599.2599999998</v>
      </c>
      <c r="R14" s="72">
        <v>0</v>
      </c>
      <c r="S14" s="3">
        <v>0</v>
      </c>
      <c r="T14" s="97">
        <f t="shared" si="2"/>
        <v>8447638.2599999998</v>
      </c>
      <c r="U14" s="39">
        <f t="shared" si="3"/>
        <v>128620.86869565118</v>
      </c>
    </row>
    <row r="15" spans="1:52" ht="15" hidden="1" thickBot="1" x14ac:dyDescent="0.25">
      <c r="A15" s="122">
        <v>45962</v>
      </c>
      <c r="B15" s="22">
        <v>3009761.67</v>
      </c>
      <c r="C15" s="20">
        <v>0</v>
      </c>
      <c r="D15" s="65">
        <v>0.44</v>
      </c>
      <c r="E15" s="22">
        <v>3009761.67</v>
      </c>
      <c r="F15" s="65">
        <v>0.44</v>
      </c>
      <c r="G15" s="24">
        <f t="shared" si="4"/>
        <v>0</v>
      </c>
      <c r="H15" s="28">
        <f>7833913/1.15</f>
        <v>6812098.2608695654</v>
      </c>
      <c r="I15" s="20">
        <v>0</v>
      </c>
      <c r="J15" s="20">
        <v>0</v>
      </c>
      <c r="K15" s="24">
        <f t="shared" si="5"/>
        <v>0</v>
      </c>
      <c r="L15" s="32">
        <f t="shared" si="0"/>
        <v>-3802336.5908695655</v>
      </c>
      <c r="M15" s="20">
        <v>2589457</v>
      </c>
      <c r="N15" s="65">
        <v>0.18</v>
      </c>
      <c r="O15" s="20">
        <v>2475326</v>
      </c>
      <c r="P15" s="65">
        <v>0.48</v>
      </c>
      <c r="Q15" s="34">
        <f t="shared" si="1"/>
        <v>420304.66999999993</v>
      </c>
      <c r="R15" s="72">
        <v>0</v>
      </c>
      <c r="S15" s="3">
        <v>0</v>
      </c>
      <c r="T15" s="97">
        <f t="shared" si="2"/>
        <v>3009761.67</v>
      </c>
      <c r="U15" s="39">
        <f t="shared" si="3"/>
        <v>-3802336.5908695655</v>
      </c>
    </row>
    <row r="16" spans="1:52" ht="15" hidden="1" thickBot="1" x14ac:dyDescent="0.25">
      <c r="A16" s="139" t="s">
        <v>29</v>
      </c>
      <c r="B16" s="140">
        <f>SUM(B13:B15)</f>
        <v>17049698.41</v>
      </c>
      <c r="C16" s="141">
        <v>0</v>
      </c>
      <c r="D16" s="142">
        <f>SUM(D13:D15)/3</f>
        <v>0.56000000000000005</v>
      </c>
      <c r="E16" s="140">
        <f>SUM(E13:E15)</f>
        <v>17049698.41</v>
      </c>
      <c r="F16" s="142">
        <f>SUM(F13:F15)/3</f>
        <v>0.56000000000000005</v>
      </c>
      <c r="G16" s="141">
        <f>SUM(G13:G15)</f>
        <v>0</v>
      </c>
      <c r="H16" s="140">
        <f>SUM(H13:H15)</f>
        <v>23181777.391304351</v>
      </c>
      <c r="I16" s="141">
        <f>SUM(I13:I15)</f>
        <v>0</v>
      </c>
      <c r="J16" s="141">
        <f>SUM(J13:J15)</f>
        <v>0</v>
      </c>
      <c r="K16" s="141">
        <f t="shared" si="5"/>
        <v>0</v>
      </c>
      <c r="L16" s="143">
        <f t="shared" si="0"/>
        <v>-6132078.9813043512</v>
      </c>
      <c r="M16" s="141">
        <f>SUM(M13:M15)</f>
        <v>6778366</v>
      </c>
      <c r="N16" s="142">
        <f>SUM(N13:N15)/3</f>
        <v>0.19999999999999998</v>
      </c>
      <c r="O16" s="141">
        <f>SUM(O13:O15)</f>
        <v>6664235</v>
      </c>
      <c r="P16" s="93">
        <f>SUM(P13:P15)/3</f>
        <v>0.42666666666666669</v>
      </c>
      <c r="Q16" s="77">
        <f t="shared" si="1"/>
        <v>10271332.41</v>
      </c>
      <c r="R16" s="56">
        <f>SUM(R13:R15)</f>
        <v>0</v>
      </c>
      <c r="S16" s="49">
        <f>SUM(S13:S15)</f>
        <v>0</v>
      </c>
      <c r="T16" s="102">
        <f t="shared" si="2"/>
        <v>17049698.41</v>
      </c>
      <c r="U16" s="50">
        <f t="shared" si="3"/>
        <v>-6132078.9813043512</v>
      </c>
    </row>
    <row r="17" spans="1:32" ht="15" hidden="1" thickBot="1" x14ac:dyDescent="0.25">
      <c r="A17" s="122">
        <v>45992</v>
      </c>
      <c r="B17" s="22">
        <v>11974608.699999999</v>
      </c>
      <c r="C17" s="22">
        <v>0</v>
      </c>
      <c r="D17" s="65">
        <v>0.68</v>
      </c>
      <c r="E17" s="22">
        <v>11974608.699999999</v>
      </c>
      <c r="F17" s="65">
        <v>0.68</v>
      </c>
      <c r="G17" s="24">
        <f t="shared" si="4"/>
        <v>0</v>
      </c>
      <c r="H17" s="28">
        <f>13535544/1.15</f>
        <v>11770038.260869566</v>
      </c>
      <c r="I17" s="20">
        <v>0</v>
      </c>
      <c r="J17" s="20">
        <v>0</v>
      </c>
      <c r="K17" s="30">
        <f t="shared" si="5"/>
        <v>0</v>
      </c>
      <c r="L17" s="32">
        <f t="shared" si="0"/>
        <v>204570.4391304329</v>
      </c>
      <c r="M17" s="20">
        <v>9734401</v>
      </c>
      <c r="N17" s="65">
        <v>0.43</v>
      </c>
      <c r="O17" s="20">
        <v>9734401</v>
      </c>
      <c r="P17" s="65">
        <v>0.59</v>
      </c>
      <c r="Q17" s="34">
        <f t="shared" si="1"/>
        <v>2240207.6999999993</v>
      </c>
      <c r="R17" s="72">
        <v>0</v>
      </c>
      <c r="S17" s="3">
        <v>0</v>
      </c>
      <c r="T17" s="97">
        <f t="shared" si="2"/>
        <v>11974608.699999999</v>
      </c>
      <c r="U17" s="39">
        <f t="shared" si="3"/>
        <v>204570.4391304329</v>
      </c>
    </row>
    <row r="18" spans="1:32" ht="15" hidden="1" customHeight="1" x14ac:dyDescent="0.2">
      <c r="A18" s="122">
        <v>46023</v>
      </c>
      <c r="B18" s="22">
        <v>5886195.6500000004</v>
      </c>
      <c r="C18" s="22">
        <v>0</v>
      </c>
      <c r="D18" s="65">
        <v>0.39</v>
      </c>
      <c r="E18" s="22">
        <v>5886195.6500000004</v>
      </c>
      <c r="F18" s="65">
        <v>0.39</v>
      </c>
      <c r="G18" s="24">
        <f t="shared" si="4"/>
        <v>0</v>
      </c>
      <c r="H18" s="28">
        <f>6623217/1.15</f>
        <v>5759319.1304347832</v>
      </c>
      <c r="I18" s="20">
        <v>0</v>
      </c>
      <c r="J18" s="20">
        <v>0</v>
      </c>
      <c r="K18" s="24">
        <f t="shared" si="5"/>
        <v>0</v>
      </c>
      <c r="L18" s="32">
        <f t="shared" si="0"/>
        <v>126876.5195652172</v>
      </c>
      <c r="M18" s="20">
        <v>8363424</v>
      </c>
      <c r="N18" s="65">
        <v>0.34</v>
      </c>
      <c r="O18" s="20">
        <v>8363424</v>
      </c>
      <c r="P18" s="65">
        <v>0.62</v>
      </c>
      <c r="Q18" s="35">
        <f t="shared" si="1"/>
        <v>-2477228.3499999996</v>
      </c>
      <c r="R18" s="72">
        <v>0</v>
      </c>
      <c r="S18" s="3">
        <v>0</v>
      </c>
      <c r="T18" s="97">
        <f t="shared" si="2"/>
        <v>5886195.6500000004</v>
      </c>
      <c r="U18" s="39">
        <f t="shared" si="3"/>
        <v>126876.5195652172</v>
      </c>
    </row>
    <row r="19" spans="1:32" ht="15" hidden="1" thickBot="1" x14ac:dyDescent="0.25">
      <c r="A19" s="123">
        <v>46054</v>
      </c>
      <c r="B19" s="43">
        <v>1617964.38</v>
      </c>
      <c r="C19" s="42">
        <v>0</v>
      </c>
      <c r="D19" s="66">
        <v>0.28000000000000003</v>
      </c>
      <c r="E19" s="43">
        <v>1617964.38</v>
      </c>
      <c r="F19" s="66">
        <v>0.28000000000000003</v>
      </c>
      <c r="G19" s="44">
        <f t="shared" si="4"/>
        <v>0</v>
      </c>
      <c r="H19" s="46">
        <f>5317565/1.15</f>
        <v>4623969.5652173916</v>
      </c>
      <c r="I19" s="42">
        <v>0</v>
      </c>
      <c r="J19" s="42">
        <v>0</v>
      </c>
      <c r="K19" s="48">
        <f t="shared" si="5"/>
        <v>0</v>
      </c>
      <c r="L19" s="47">
        <f t="shared" si="0"/>
        <v>-3006005.1852173917</v>
      </c>
      <c r="M19" s="42">
        <v>1819974</v>
      </c>
      <c r="N19" s="66">
        <v>0.01</v>
      </c>
      <c r="O19" s="42">
        <v>1819974</v>
      </c>
      <c r="P19" s="66">
        <v>0.24</v>
      </c>
      <c r="Q19" s="36">
        <f t="shared" si="1"/>
        <v>-202009.62000000011</v>
      </c>
      <c r="R19" s="72">
        <v>0</v>
      </c>
      <c r="S19" s="3">
        <v>-90948.663478258997</v>
      </c>
      <c r="T19" s="98">
        <f t="shared" si="2"/>
        <v>1617964.38</v>
      </c>
      <c r="U19" s="40">
        <f t="shared" si="3"/>
        <v>-3006005.1852173917</v>
      </c>
    </row>
    <row r="20" spans="1:32" ht="15" hidden="1" thickBot="1" x14ac:dyDescent="0.25">
      <c r="A20" s="124" t="s">
        <v>30</v>
      </c>
      <c r="B20" s="80">
        <f t="shared" ref="B20:J20" si="6">SUM(B17:B19)</f>
        <v>19478768.73</v>
      </c>
      <c r="C20" s="54">
        <f>SUM(C17+C18)</f>
        <v>0</v>
      </c>
      <c r="D20" s="79">
        <f>SUM(D17:D19)/3</f>
        <v>0.45</v>
      </c>
      <c r="E20" s="80">
        <f t="shared" ref="E20" si="7">SUM(E17:E19)</f>
        <v>19478768.73</v>
      </c>
      <c r="F20" s="79">
        <f>SUM(F17:F19)/3</f>
        <v>0.45</v>
      </c>
      <c r="G20" s="54">
        <f>SUM(G17:G19)</f>
        <v>0</v>
      </c>
      <c r="H20" s="80">
        <f>SUM(H17:H19)</f>
        <v>22153326.956521742</v>
      </c>
      <c r="I20" s="54">
        <f t="shared" si="6"/>
        <v>0</v>
      </c>
      <c r="J20" s="54">
        <f t="shared" si="6"/>
        <v>0</v>
      </c>
      <c r="K20" s="144">
        <f t="shared" si="5"/>
        <v>0</v>
      </c>
      <c r="L20" s="55">
        <f t="shared" si="0"/>
        <v>-2674558.2265217416</v>
      </c>
      <c r="M20" s="54">
        <f>SUM(M17:M19)</f>
        <v>19917799</v>
      </c>
      <c r="N20" s="79">
        <f>SUM(N17:N19)/3</f>
        <v>0.26</v>
      </c>
      <c r="O20" s="54">
        <f>SUM(O17:O19)</f>
        <v>19917799</v>
      </c>
      <c r="P20" s="94">
        <f>SUM(P17:P19)/3</f>
        <v>0.48333333333333334</v>
      </c>
      <c r="Q20" s="145">
        <f t="shared" si="1"/>
        <v>-439030.26999999955</v>
      </c>
      <c r="R20" s="112">
        <f>SUM(R17:R19)</f>
        <v>0</v>
      </c>
      <c r="S20" s="76">
        <f>SUM(S17:S19)</f>
        <v>-90948.663478258997</v>
      </c>
      <c r="T20" s="99">
        <f t="shared" si="2"/>
        <v>19478768.73</v>
      </c>
      <c r="U20" s="145">
        <f t="shared" si="3"/>
        <v>-2674558.2265217416</v>
      </c>
    </row>
    <row r="21" spans="1:32" ht="15" hidden="1" thickBot="1" x14ac:dyDescent="0.25">
      <c r="A21" s="146" t="s">
        <v>31</v>
      </c>
      <c r="B21" s="105">
        <f>SUM(B8+B12+B16+B20)</f>
        <v>81331149.447826087</v>
      </c>
      <c r="C21" s="58">
        <f>SUM(C8+C12+C16+C20)</f>
        <v>0</v>
      </c>
      <c r="D21" s="106">
        <f>SUM(D8+D12+D16+D20)/4</f>
        <v>0.54249999999999998</v>
      </c>
      <c r="E21" s="105">
        <f>SUM(E8+E12+E16+E20)</f>
        <v>81331149.447826087</v>
      </c>
      <c r="F21" s="106">
        <f>SUM(F8+F12+F16+F20)/4</f>
        <v>0.54249999999999998</v>
      </c>
      <c r="G21" s="59">
        <f>SUM(G8+G12+G16+G20)</f>
        <v>0</v>
      </c>
      <c r="H21" s="109">
        <f>SUM(H8+H12+H16+H20)</f>
        <v>102995632.17391306</v>
      </c>
      <c r="I21" s="58">
        <f>SUM(I8+I12+I16+I20)</f>
        <v>0</v>
      </c>
      <c r="J21" s="58">
        <f>SUM(J8+J12+J16+J20)</f>
        <v>0</v>
      </c>
      <c r="K21" s="147">
        <f t="shared" si="5"/>
        <v>0</v>
      </c>
      <c r="L21" s="110">
        <f t="shared" si="0"/>
        <v>-21664482.726086974</v>
      </c>
      <c r="M21" s="58">
        <f>SUM(M8+M12+M16+M20)</f>
        <v>74428921.489999995</v>
      </c>
      <c r="N21" s="106">
        <f>SUM(N8+N12+N16+N20)/4</f>
        <v>0.36333333333333334</v>
      </c>
      <c r="O21" s="58">
        <f>SUM(O8+O12+O16+O20)</f>
        <v>73675659</v>
      </c>
      <c r="P21" s="106">
        <f>SUM(P8+P12+P16+P20)/4</f>
        <v>0.54666666666666675</v>
      </c>
      <c r="Q21" s="61">
        <f t="shared" si="1"/>
        <v>6902227.9578260928</v>
      </c>
      <c r="R21" s="113">
        <f>SUM(R8+R12+R16+R20)</f>
        <v>0</v>
      </c>
      <c r="S21" s="148">
        <f>SUM(S8+S12+S16+S20)</f>
        <v>-90948.663478258997</v>
      </c>
      <c r="T21" s="100">
        <f t="shared" si="2"/>
        <v>81331149.447826087</v>
      </c>
      <c r="U21" s="149">
        <f t="shared" si="3"/>
        <v>-21664482.726086974</v>
      </c>
    </row>
    <row r="22" spans="1:32" ht="15" hidden="1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4"/>
      <c r="U22" s="4"/>
    </row>
    <row r="23" spans="1:32" ht="15" hidden="1" thickBot="1" x14ac:dyDescent="0.25">
      <c r="A23" s="15" t="s">
        <v>5</v>
      </c>
      <c r="B23" s="4"/>
      <c r="C23" s="4"/>
      <c r="D23" s="4"/>
      <c r="E23" s="4"/>
      <c r="F23" s="4"/>
      <c r="G23" s="4"/>
      <c r="H23" s="4"/>
      <c r="I23" s="7">
        <f>B21+I21</f>
        <v>81331149.447826087</v>
      </c>
      <c r="J23" s="7">
        <f>C21+J21</f>
        <v>0</v>
      </c>
      <c r="K23" s="87"/>
      <c r="L23" s="4"/>
      <c r="M23" s="4"/>
      <c r="N23" s="4"/>
      <c r="O23" s="4"/>
      <c r="P23" s="4"/>
      <c r="Q23" s="4"/>
      <c r="R23" s="2"/>
      <c r="S23" s="2"/>
      <c r="T23" s="4"/>
      <c r="U23" s="4"/>
    </row>
    <row r="24" spans="1:32" ht="15" hidden="1" thickBot="1" x14ac:dyDescent="0.25">
      <c r="A24" s="15" t="s">
        <v>6</v>
      </c>
      <c r="B24" s="4"/>
      <c r="C24" s="4"/>
      <c r="D24" s="4"/>
      <c r="E24" s="4"/>
      <c r="F24" s="4"/>
      <c r="G24" s="4"/>
      <c r="H24" s="4"/>
      <c r="I24" s="7">
        <f>I23-H21</f>
        <v>-21664482.726086974</v>
      </c>
      <c r="J24" s="7">
        <f>J23-I21</f>
        <v>0</v>
      </c>
      <c r="K24" s="7"/>
      <c r="L24" s="9"/>
      <c r="M24" s="4"/>
      <c r="N24" s="4"/>
      <c r="O24" s="4"/>
      <c r="P24" s="4"/>
      <c r="Q24" s="4"/>
      <c r="R24" s="2"/>
      <c r="S24" s="2"/>
      <c r="T24" s="68"/>
      <c r="U24" s="4"/>
    </row>
    <row r="25" spans="1:32" ht="15" hidden="1" thickBo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4"/>
      <c r="P25" s="4"/>
      <c r="Q25" s="4"/>
      <c r="R25" s="2"/>
      <c r="S25" s="2"/>
      <c r="T25" s="4"/>
      <c r="U25" s="4"/>
    </row>
    <row r="26" spans="1:32" ht="15" hidden="1" thickBot="1" x14ac:dyDescent="0.25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4"/>
      <c r="P26" s="4"/>
      <c r="Q26" s="4"/>
      <c r="R26" s="2"/>
      <c r="S26" s="2"/>
      <c r="T26" s="4"/>
      <c r="U26" s="4"/>
    </row>
    <row r="27" spans="1:32" ht="15" hidden="1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4"/>
      <c r="U27" s="4"/>
    </row>
    <row r="28" spans="1:32" ht="21" customHeight="1" thickBot="1" x14ac:dyDescent="0.25">
      <c r="A28" s="2"/>
      <c r="B28" s="187" t="s">
        <v>37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</row>
    <row r="29" spans="1:32" ht="21" customHeight="1" x14ac:dyDescent="0.2">
      <c r="A29" s="190" t="s">
        <v>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192"/>
      <c r="T29" s="192"/>
      <c r="U29" s="193"/>
    </row>
    <row r="30" spans="1:32" s="12" customFormat="1" ht="40.25" customHeight="1" x14ac:dyDescent="0.2">
      <c r="A30" s="13" t="s">
        <v>11</v>
      </c>
      <c r="B30" s="104" t="s">
        <v>12</v>
      </c>
      <c r="C30" s="13" t="s">
        <v>13</v>
      </c>
      <c r="D30" s="104" t="s">
        <v>14</v>
      </c>
      <c r="E30" s="13" t="s">
        <v>15</v>
      </c>
      <c r="F30" s="116" t="s">
        <v>16</v>
      </c>
      <c r="G30" s="14" t="s">
        <v>17</v>
      </c>
      <c r="H30" s="117" t="s">
        <v>0</v>
      </c>
      <c r="I30" s="13" t="s">
        <v>18</v>
      </c>
      <c r="J30" s="13" t="s">
        <v>19</v>
      </c>
      <c r="K30" s="14" t="s">
        <v>20</v>
      </c>
      <c r="L30" s="119" t="s">
        <v>21</v>
      </c>
      <c r="M30" s="13" t="s">
        <v>2</v>
      </c>
      <c r="N30" s="104" t="s">
        <v>22</v>
      </c>
      <c r="O30" s="13" t="s">
        <v>23</v>
      </c>
      <c r="P30" s="104" t="s">
        <v>24</v>
      </c>
      <c r="Q30" s="13" t="s">
        <v>25</v>
      </c>
      <c r="R30" s="111" t="s">
        <v>3</v>
      </c>
      <c r="S30" s="73" t="s">
        <v>4</v>
      </c>
      <c r="T30" s="101" t="s">
        <v>26</v>
      </c>
      <c r="U30" s="37" t="s">
        <v>1</v>
      </c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16">
        <v>46082</v>
      </c>
      <c r="B31" s="18">
        <v>5954987.4400000004</v>
      </c>
      <c r="C31" s="18">
        <v>0</v>
      </c>
      <c r="D31" s="175">
        <v>0.61</v>
      </c>
      <c r="E31" s="18">
        <v>5954987.4400000004</v>
      </c>
      <c r="F31" s="64">
        <v>0.61</v>
      </c>
      <c r="G31" s="23">
        <f t="shared" ref="G31:G47" si="8">B31-E31</f>
        <v>0</v>
      </c>
      <c r="H31" s="27">
        <v>5730956.0652173907</v>
      </c>
      <c r="I31" s="18">
        <v>0</v>
      </c>
      <c r="J31" s="18">
        <v>0</v>
      </c>
      <c r="K31" s="23">
        <f>I31-J31</f>
        <v>0</v>
      </c>
      <c r="L31" s="31">
        <f t="shared" ref="L31:L46" si="9">B31-H31</f>
        <v>224031.37478260975</v>
      </c>
      <c r="M31" s="18">
        <v>2907157</v>
      </c>
      <c r="N31" s="67">
        <v>0.23</v>
      </c>
      <c r="O31" s="18">
        <f>B5</f>
        <v>2907156.52</v>
      </c>
      <c r="P31" s="64">
        <f>D5</f>
        <v>0.45</v>
      </c>
      <c r="Q31" s="33">
        <f t="shared" ref="Q31:Q46" si="10">B31-M31</f>
        <v>3047830.4400000004</v>
      </c>
      <c r="R31" s="3">
        <v>-1874478.26</v>
      </c>
      <c r="S31" s="3">
        <v>2083647.44</v>
      </c>
      <c r="T31" s="96">
        <f t="shared" ref="T31:T48" si="11">B31+I31</f>
        <v>5954987.4400000004</v>
      </c>
      <c r="U31" s="38">
        <f>T31-H31</f>
        <v>224031.37478260975</v>
      </c>
    </row>
    <row r="32" spans="1:32" x14ac:dyDescent="0.2">
      <c r="A32" s="17">
        <v>46113</v>
      </c>
      <c r="B32" s="19">
        <v>7888443.04</v>
      </c>
      <c r="C32" s="19">
        <v>0</v>
      </c>
      <c r="D32" s="171">
        <v>0.87</v>
      </c>
      <c r="E32" s="19">
        <v>7888443.04</v>
      </c>
      <c r="F32" s="65">
        <v>0.87</v>
      </c>
      <c r="G32" s="24">
        <f t="shared" si="8"/>
        <v>0</v>
      </c>
      <c r="H32" s="28">
        <v>8627145.3369565159</v>
      </c>
      <c r="I32" s="20">
        <v>0</v>
      </c>
      <c r="J32" s="20">
        <v>0</v>
      </c>
      <c r="K32" s="24">
        <f>I32-J32</f>
        <v>0</v>
      </c>
      <c r="L32" s="32">
        <f t="shared" si="9"/>
        <v>-738702.29695651587</v>
      </c>
      <c r="M32" s="20">
        <v>6190451</v>
      </c>
      <c r="N32" s="67">
        <v>0.36</v>
      </c>
      <c r="O32" s="20">
        <f>B6</f>
        <v>6190450.7000000002</v>
      </c>
      <c r="P32" s="65">
        <f>D6</f>
        <v>0.46</v>
      </c>
      <c r="Q32" s="34">
        <f t="shared" si="10"/>
        <v>1697992.04</v>
      </c>
      <c r="R32" s="3">
        <v>-3270065.22</v>
      </c>
      <c r="S32" s="3">
        <v>3809885.65</v>
      </c>
      <c r="T32" s="97">
        <f t="shared" si="11"/>
        <v>7888443.04</v>
      </c>
      <c r="U32" s="39">
        <f t="shared" ref="U32:U48" si="12">T32-H32</f>
        <v>-738702.29695651587</v>
      </c>
    </row>
    <row r="33" spans="1:21" x14ac:dyDescent="0.2">
      <c r="A33" s="17">
        <v>46143</v>
      </c>
      <c r="B33" s="20">
        <v>4273526.67</v>
      </c>
      <c r="C33" s="20">
        <v>0</v>
      </c>
      <c r="D33" s="171">
        <v>0.5</v>
      </c>
      <c r="E33" s="20">
        <v>4273526.67</v>
      </c>
      <c r="F33" s="65">
        <v>0.5</v>
      </c>
      <c r="G33" s="24">
        <f t="shared" si="8"/>
        <v>0</v>
      </c>
      <c r="H33" s="28">
        <v>6848890.8507825974</v>
      </c>
      <c r="I33" s="20">
        <v>0</v>
      </c>
      <c r="J33" s="20">
        <v>0</v>
      </c>
      <c r="K33" s="24">
        <f t="shared" ref="K33:K48" si="13">I33-J33</f>
        <v>0</v>
      </c>
      <c r="L33" s="32">
        <f t="shared" si="9"/>
        <v>-2575364.1807825975</v>
      </c>
      <c r="M33" s="20">
        <v>4432903</v>
      </c>
      <c r="N33" s="67">
        <v>0.28999999999999998</v>
      </c>
      <c r="O33" s="20">
        <f>B7</f>
        <v>4432903.1478260802</v>
      </c>
      <c r="P33" s="65">
        <f>D7</f>
        <v>0.51</v>
      </c>
      <c r="Q33" s="34">
        <f t="shared" si="10"/>
        <v>-159376.33000000007</v>
      </c>
      <c r="R33" s="3">
        <v>-3193210.43</v>
      </c>
      <c r="S33" s="3">
        <v>2419431.02</v>
      </c>
      <c r="T33" s="97">
        <f t="shared" si="11"/>
        <v>4273526.67</v>
      </c>
      <c r="U33" s="39">
        <f t="shared" si="12"/>
        <v>-2575364.1807825975</v>
      </c>
    </row>
    <row r="34" spans="1:21" x14ac:dyDescent="0.2">
      <c r="A34" s="162" t="s">
        <v>27</v>
      </c>
      <c r="B34" s="141">
        <f>SUM(B31:B33)</f>
        <v>18116957.149999999</v>
      </c>
      <c r="C34" s="141">
        <f>SUM(C31:C33)</f>
        <v>0</v>
      </c>
      <c r="D34" s="163">
        <f>SUM(D31:D33)/3</f>
        <v>0.66</v>
      </c>
      <c r="E34" s="141">
        <f>SUM(E31:E33)</f>
        <v>18116957.149999999</v>
      </c>
      <c r="F34" s="142">
        <f>SUM(F31:F33)/3</f>
        <v>0.66</v>
      </c>
      <c r="G34" s="141">
        <f t="shared" si="8"/>
        <v>0</v>
      </c>
      <c r="H34" s="140">
        <f>SUM(H31:H33)</f>
        <v>21206992.252956502</v>
      </c>
      <c r="I34" s="141">
        <f>SUM(I31:I33)</f>
        <v>0</v>
      </c>
      <c r="J34" s="141">
        <f>SUM(J31:J33)</f>
        <v>0</v>
      </c>
      <c r="K34" s="141">
        <f t="shared" si="13"/>
        <v>0</v>
      </c>
      <c r="L34" s="143">
        <f t="shared" si="9"/>
        <v>-3090035.1029565036</v>
      </c>
      <c r="M34" s="141">
        <f>SUM(M31:M33)</f>
        <v>13530511</v>
      </c>
      <c r="N34" s="69">
        <f>SUM(N31:N33)/3</f>
        <v>0.29333333333333328</v>
      </c>
      <c r="O34" s="141">
        <f>SUM(O31:O33)</f>
        <v>13530510.367826082</v>
      </c>
      <c r="P34" s="142">
        <f>SUM(P31:P33)/3</f>
        <v>0.47333333333333333</v>
      </c>
      <c r="Q34" s="77">
        <f t="shared" si="10"/>
        <v>4586446.1499999985</v>
      </c>
      <c r="R34" s="49">
        <f>SUM(R31:R33)</f>
        <v>-8337753.9100000001</v>
      </c>
      <c r="S34" s="49">
        <f>SUM(S31:S33)</f>
        <v>8312964.1099999994</v>
      </c>
      <c r="T34" s="102">
        <f t="shared" si="11"/>
        <v>18116957.149999999</v>
      </c>
      <c r="U34" s="50">
        <f t="shared" si="12"/>
        <v>-3090035.1029565036</v>
      </c>
    </row>
    <row r="35" spans="1:21" x14ac:dyDescent="0.2">
      <c r="A35" s="17">
        <v>46174</v>
      </c>
      <c r="B35" s="81">
        <v>9659902.1699999999</v>
      </c>
      <c r="C35" s="20">
        <v>0</v>
      </c>
      <c r="D35" s="171">
        <v>0.49</v>
      </c>
      <c r="E35" s="81">
        <v>9659902.1699999999</v>
      </c>
      <c r="F35" s="65">
        <v>0.49</v>
      </c>
      <c r="G35" s="24">
        <f t="shared" si="8"/>
        <v>0</v>
      </c>
      <c r="H35" s="28">
        <v>18257878.260869566</v>
      </c>
      <c r="I35" s="20">
        <v>0</v>
      </c>
      <c r="J35" s="20">
        <v>0</v>
      </c>
      <c r="K35" s="24">
        <f t="shared" si="13"/>
        <v>0</v>
      </c>
      <c r="L35" s="32">
        <f t="shared" si="9"/>
        <v>-8597976.0908695664</v>
      </c>
      <c r="M35" s="20">
        <v>12676957</v>
      </c>
      <c r="N35" s="67">
        <v>0.46</v>
      </c>
      <c r="O35" s="20">
        <f>B9</f>
        <v>12676956.709999999</v>
      </c>
      <c r="P35" s="65">
        <f>D9</f>
        <v>0.83</v>
      </c>
      <c r="Q35" s="34">
        <f t="shared" si="10"/>
        <v>-3017054.83</v>
      </c>
      <c r="R35" s="3">
        <v>-5630260.8700000001</v>
      </c>
      <c r="S35" s="3">
        <v>1347826.08</v>
      </c>
      <c r="T35" s="97">
        <f t="shared" si="11"/>
        <v>9659902.1699999999</v>
      </c>
      <c r="U35" s="39">
        <f t="shared" si="12"/>
        <v>-8597976.0908695664</v>
      </c>
    </row>
    <row r="36" spans="1:21" x14ac:dyDescent="0.2">
      <c r="A36" s="17">
        <v>46204</v>
      </c>
      <c r="B36" s="81">
        <v>12835536.539999999</v>
      </c>
      <c r="C36" s="20">
        <v>0</v>
      </c>
      <c r="D36" s="171">
        <v>0.69</v>
      </c>
      <c r="E36" s="81">
        <v>12835536.539999999</v>
      </c>
      <c r="F36" s="65">
        <v>0.69</v>
      </c>
      <c r="G36" s="24">
        <f t="shared" si="8"/>
        <v>0</v>
      </c>
      <c r="H36" s="28">
        <v>17059430.556000002</v>
      </c>
      <c r="I36" s="20">
        <v>0</v>
      </c>
      <c r="J36" s="20">
        <v>0</v>
      </c>
      <c r="K36" s="24">
        <f t="shared" si="13"/>
        <v>0</v>
      </c>
      <c r="L36" s="32">
        <f t="shared" si="9"/>
        <v>-4223894.0160000026</v>
      </c>
      <c r="M36" s="20">
        <v>10441826</v>
      </c>
      <c r="N36" s="67">
        <v>0.41</v>
      </c>
      <c r="O36" s="20">
        <f>B10</f>
        <v>10297695.66</v>
      </c>
      <c r="P36" s="65">
        <f>D10</f>
        <v>0.65</v>
      </c>
      <c r="Q36" s="34">
        <f t="shared" si="10"/>
        <v>2393710.5399999991</v>
      </c>
      <c r="R36" s="3">
        <v>-7287391.2999999998</v>
      </c>
      <c r="S36" s="3">
        <v>3673516.97</v>
      </c>
      <c r="T36" s="97">
        <f t="shared" si="11"/>
        <v>12835536.539999999</v>
      </c>
      <c r="U36" s="39">
        <f t="shared" si="12"/>
        <v>-4223894.0160000026</v>
      </c>
    </row>
    <row r="37" spans="1:21" x14ac:dyDescent="0.2">
      <c r="A37" s="17">
        <v>46235</v>
      </c>
      <c r="B37" s="20">
        <f>14940404.35+1477400</f>
        <v>16417804.35</v>
      </c>
      <c r="C37" s="20">
        <v>0</v>
      </c>
      <c r="D37" s="171">
        <v>0.68</v>
      </c>
      <c r="E37" s="20">
        <f>14940404.35+1477400</f>
        <v>16417804.35</v>
      </c>
      <c r="F37" s="65">
        <v>0.68</v>
      </c>
      <c r="G37" s="24">
        <f t="shared" si="8"/>
        <v>0</v>
      </c>
      <c r="H37" s="28">
        <v>14363449.749999985</v>
      </c>
      <c r="I37" s="20">
        <v>0</v>
      </c>
      <c r="J37" s="20">
        <v>0</v>
      </c>
      <c r="K37" s="24">
        <f t="shared" si="13"/>
        <v>0</v>
      </c>
      <c r="L37" s="32">
        <f t="shared" si="9"/>
        <v>2054354.6000000145</v>
      </c>
      <c r="M37" s="20">
        <v>8297520</v>
      </c>
      <c r="N37" s="67">
        <v>0.31</v>
      </c>
      <c r="O37" s="20">
        <f>B11</f>
        <v>8297519.5700000003</v>
      </c>
      <c r="P37" s="65">
        <f>D11</f>
        <v>0.57999999999999996</v>
      </c>
      <c r="Q37" s="34">
        <f t="shared" si="10"/>
        <v>8120284.3499999996</v>
      </c>
      <c r="R37" s="3">
        <v>-3805043.48</v>
      </c>
      <c r="S37" s="3">
        <v>7220873.9199999999</v>
      </c>
      <c r="T37" s="97">
        <f t="shared" si="11"/>
        <v>16417804.35</v>
      </c>
      <c r="U37" s="39">
        <f t="shared" si="12"/>
        <v>2054354.6000000145</v>
      </c>
    </row>
    <row r="38" spans="1:21" x14ac:dyDescent="0.2">
      <c r="A38" s="162" t="s">
        <v>28</v>
      </c>
      <c r="B38" s="141">
        <f>SUM(B35:B37)</f>
        <v>38913243.060000002</v>
      </c>
      <c r="C38" s="141">
        <f>SUM(C35:C37)</f>
        <v>0</v>
      </c>
      <c r="D38" s="163">
        <f>SUM(D35:D37)/3</f>
        <v>0.62</v>
      </c>
      <c r="E38" s="141">
        <f>SUM(E35:E37)</f>
        <v>38913243.060000002</v>
      </c>
      <c r="F38" s="142">
        <f>SUM(F35:F37)/3</f>
        <v>0.62</v>
      </c>
      <c r="G38" s="141">
        <f t="shared" si="8"/>
        <v>0</v>
      </c>
      <c r="H38" s="140">
        <f>SUM(H35:H37)</f>
        <v>49680758.566869557</v>
      </c>
      <c r="I38" s="141">
        <f>SUM(I35:I37)</f>
        <v>0</v>
      </c>
      <c r="J38" s="141">
        <f>SUM(J35:J37)</f>
        <v>0</v>
      </c>
      <c r="K38" s="141">
        <f t="shared" si="13"/>
        <v>0</v>
      </c>
      <c r="L38" s="143">
        <f t="shared" si="9"/>
        <v>-10767515.506869555</v>
      </c>
      <c r="M38" s="141">
        <f>SUM(M35:M37)</f>
        <v>31416303</v>
      </c>
      <c r="N38" s="69">
        <f>SUM(N35:N37)/3</f>
        <v>0.39333333333333331</v>
      </c>
      <c r="O38" s="141">
        <f>SUM(O35:O37)</f>
        <v>31272171.939999998</v>
      </c>
      <c r="P38" s="142">
        <f>SUM(P35:P37)/3</f>
        <v>0.68666666666666665</v>
      </c>
      <c r="Q38" s="77">
        <f t="shared" si="10"/>
        <v>7496940.0600000024</v>
      </c>
      <c r="R38" s="49">
        <f>SUM(R35:R37)</f>
        <v>-16722695.65</v>
      </c>
      <c r="S38" s="49">
        <f>SUM(S35:S37)</f>
        <v>12242216.970000001</v>
      </c>
      <c r="T38" s="102">
        <f t="shared" si="11"/>
        <v>38913243.060000002</v>
      </c>
      <c r="U38" s="50">
        <f t="shared" si="12"/>
        <v>-10767515.506869555</v>
      </c>
    </row>
    <row r="39" spans="1:21" ht="15.5" customHeight="1" x14ac:dyDescent="0.2">
      <c r="A39" s="17">
        <v>46266</v>
      </c>
      <c r="B39" s="20">
        <v>5653992.2599999998</v>
      </c>
      <c r="C39" s="20">
        <v>0</v>
      </c>
      <c r="D39" s="171">
        <v>0.64</v>
      </c>
      <c r="E39" s="20">
        <v>5653992.2599999998</v>
      </c>
      <c r="F39" s="65">
        <v>0.64</v>
      </c>
      <c r="G39" s="24">
        <f t="shared" si="8"/>
        <v>0</v>
      </c>
      <c r="H39" s="28">
        <v>7768152.0793478228</v>
      </c>
      <c r="I39" s="20">
        <v>0</v>
      </c>
      <c r="J39" s="20">
        <v>0</v>
      </c>
      <c r="K39" s="24">
        <f t="shared" si="13"/>
        <v>0</v>
      </c>
      <c r="L39" s="32">
        <f t="shared" si="9"/>
        <v>-2114159.819347823</v>
      </c>
      <c r="M39" s="20">
        <v>5102942</v>
      </c>
      <c r="N39" s="67">
        <v>0.12</v>
      </c>
      <c r="O39" s="20">
        <f>B13</f>
        <v>5592298.4800000004</v>
      </c>
      <c r="P39" s="65">
        <f>D13</f>
        <v>0.56000000000000005</v>
      </c>
      <c r="Q39" s="34">
        <f t="shared" si="10"/>
        <v>551050.25999999978</v>
      </c>
      <c r="R39" s="3">
        <v>-5008359.13</v>
      </c>
      <c r="S39" s="3">
        <v>4140523.56</v>
      </c>
      <c r="T39" s="97">
        <f t="shared" si="11"/>
        <v>5653992.2599999998</v>
      </c>
      <c r="U39" s="39">
        <f t="shared" si="12"/>
        <v>-2114159.819347823</v>
      </c>
    </row>
    <row r="40" spans="1:21" x14ac:dyDescent="0.2">
      <c r="A40" s="17">
        <v>46296</v>
      </c>
      <c r="B40" s="20">
        <v>5030105.87</v>
      </c>
      <c r="C40" s="20">
        <v>0</v>
      </c>
      <c r="D40" s="171">
        <v>0.46</v>
      </c>
      <c r="E40" s="20">
        <v>5030105.87</v>
      </c>
      <c r="F40" s="65">
        <v>0.46</v>
      </c>
      <c r="G40" s="24">
        <f t="shared" si="8"/>
        <v>0</v>
      </c>
      <c r="H40" s="28">
        <v>10894332.467391299</v>
      </c>
      <c r="I40" s="20">
        <v>2949173.91</v>
      </c>
      <c r="J40" s="20">
        <v>3946217.39</v>
      </c>
      <c r="K40" s="24">
        <f t="shared" si="13"/>
        <v>-997043.48</v>
      </c>
      <c r="L40" s="32">
        <f t="shared" si="9"/>
        <v>-5864226.597391299</v>
      </c>
      <c r="M40" s="20">
        <v>7136769</v>
      </c>
      <c r="N40" s="67">
        <v>0.14000000000000001</v>
      </c>
      <c r="O40" s="20">
        <f>B14</f>
        <v>8447638.2599999998</v>
      </c>
      <c r="P40" s="65">
        <f>D14</f>
        <v>0.68</v>
      </c>
      <c r="Q40" s="34">
        <f t="shared" si="10"/>
        <v>-2106663.13</v>
      </c>
      <c r="R40" s="3">
        <v>-1069039.1299999999</v>
      </c>
      <c r="S40" s="3">
        <v>1991137.17</v>
      </c>
      <c r="T40" s="97">
        <f t="shared" si="11"/>
        <v>7979279.7800000003</v>
      </c>
      <c r="U40" s="39">
        <f t="shared" si="12"/>
        <v>-2915052.6873912988</v>
      </c>
    </row>
    <row r="41" spans="1:21" x14ac:dyDescent="0.2">
      <c r="A41" s="17">
        <v>46327</v>
      </c>
      <c r="B41" s="20">
        <v>1411152.17</v>
      </c>
      <c r="C41" s="20">
        <v>0</v>
      </c>
      <c r="D41" s="171">
        <v>0.16</v>
      </c>
      <c r="E41" s="20">
        <v>1411152.17</v>
      </c>
      <c r="F41" s="65">
        <v>0.16</v>
      </c>
      <c r="G41" s="24">
        <f t="shared" si="8"/>
        <v>0</v>
      </c>
      <c r="H41" s="28">
        <v>5676445.1834862372</v>
      </c>
      <c r="I41" s="20">
        <v>1192419.1299999999</v>
      </c>
      <c r="J41" s="20">
        <v>17391.3</v>
      </c>
      <c r="K41" s="24">
        <f t="shared" si="13"/>
        <v>1175027.8299999998</v>
      </c>
      <c r="L41" s="32">
        <f t="shared" si="9"/>
        <v>-4265293.0134862373</v>
      </c>
      <c r="M41" s="20">
        <v>2368113</v>
      </c>
      <c r="N41" s="67">
        <v>7.0000000000000007E-2</v>
      </c>
      <c r="O41" s="20">
        <f>B15</f>
        <v>3009761.67</v>
      </c>
      <c r="P41" s="65">
        <f>D15</f>
        <v>0.44</v>
      </c>
      <c r="Q41" s="34">
        <f t="shared" si="10"/>
        <v>-956960.83000000007</v>
      </c>
      <c r="R41" s="3">
        <v>-1886889.57</v>
      </c>
      <c r="S41" s="3">
        <v>1411152.17</v>
      </c>
      <c r="T41" s="97">
        <f t="shared" si="11"/>
        <v>2603571.2999999998</v>
      </c>
      <c r="U41" s="39">
        <f t="shared" si="12"/>
        <v>-3072873.8834862374</v>
      </c>
    </row>
    <row r="42" spans="1:21" x14ac:dyDescent="0.2">
      <c r="A42" s="162" t="s">
        <v>29</v>
      </c>
      <c r="B42" s="141">
        <f>SUM(B39:B41)</f>
        <v>12095250.299999999</v>
      </c>
      <c r="C42" s="141">
        <f>SUM(C39:C41)</f>
        <v>0</v>
      </c>
      <c r="D42" s="163">
        <f>SUM(D39:D41)/3</f>
        <v>0.42</v>
      </c>
      <c r="E42" s="141">
        <f>SUM(E39:E41)</f>
        <v>12095250.299999999</v>
      </c>
      <c r="F42" s="142">
        <f>SUM(F39:F41)/3</f>
        <v>0.42</v>
      </c>
      <c r="G42" s="141">
        <f t="shared" si="8"/>
        <v>0</v>
      </c>
      <c r="H42" s="140">
        <f>SUM(H39:H41)</f>
        <v>24338929.730225362</v>
      </c>
      <c r="I42" s="141">
        <f>SUM(I39:I41)</f>
        <v>4141593.04</v>
      </c>
      <c r="J42" s="141">
        <f>SUM(J39:J41)</f>
        <v>3963608.69</v>
      </c>
      <c r="K42" s="141">
        <f t="shared" si="13"/>
        <v>177984.35000000009</v>
      </c>
      <c r="L42" s="143">
        <f t="shared" si="9"/>
        <v>-12243679.430225363</v>
      </c>
      <c r="M42" s="141">
        <f>SUM(M39:M41)</f>
        <v>14607824</v>
      </c>
      <c r="N42" s="69">
        <f>SUM(N39:N41)/3</f>
        <v>0.11</v>
      </c>
      <c r="O42" s="141">
        <f>SUM(O39:O41)</f>
        <v>17049698.41</v>
      </c>
      <c r="P42" s="142">
        <f>SUM(P39:P41)/3</f>
        <v>0.56000000000000005</v>
      </c>
      <c r="Q42" s="77">
        <f t="shared" si="10"/>
        <v>-2512573.7000000011</v>
      </c>
      <c r="R42" s="151">
        <f>SUM(R39:R41)</f>
        <v>-7964287.8300000001</v>
      </c>
      <c r="S42" s="152">
        <f>SUM(S39:S41)</f>
        <v>7542812.9000000004</v>
      </c>
      <c r="T42" s="102">
        <f t="shared" si="11"/>
        <v>16236843.34</v>
      </c>
      <c r="U42" s="77">
        <f t="shared" si="12"/>
        <v>-8102086.390225362</v>
      </c>
    </row>
    <row r="43" spans="1:21" x14ac:dyDescent="0.2">
      <c r="A43" s="17">
        <v>46357</v>
      </c>
      <c r="B43" s="20">
        <v>11435158.560000001</v>
      </c>
      <c r="C43" s="20">
        <v>0</v>
      </c>
      <c r="D43" s="171">
        <v>0.53</v>
      </c>
      <c r="E43" s="20">
        <v>11435158.560000001</v>
      </c>
      <c r="F43" s="65">
        <v>0.53</v>
      </c>
      <c r="G43" s="24">
        <f t="shared" si="8"/>
        <v>0</v>
      </c>
      <c r="H43" s="28">
        <v>17175133.532608688</v>
      </c>
      <c r="I43" s="19">
        <v>1479130.43</v>
      </c>
      <c r="J43" s="19">
        <v>1351304.35</v>
      </c>
      <c r="K43" s="34">
        <f>I43-J43</f>
        <v>127826.07999999984</v>
      </c>
      <c r="L43" s="32">
        <f t="shared" si="9"/>
        <v>-5739974.9726086874</v>
      </c>
      <c r="M43" s="20">
        <v>8960000</v>
      </c>
      <c r="N43" s="67">
        <v>0.22</v>
      </c>
      <c r="O43" s="20">
        <f>B17</f>
        <v>11974608.699999999</v>
      </c>
      <c r="P43" s="65">
        <f>D17</f>
        <v>0.68</v>
      </c>
      <c r="Q43" s="34">
        <f t="shared" si="10"/>
        <v>2475158.5600000005</v>
      </c>
      <c r="R43" s="3">
        <v>-369195.66</v>
      </c>
      <c r="S43" s="3">
        <v>5300767.26</v>
      </c>
      <c r="T43" s="97">
        <f t="shared" si="11"/>
        <v>12914288.99</v>
      </c>
      <c r="U43" s="39">
        <f t="shared" si="12"/>
        <v>-4260844.5426086877</v>
      </c>
    </row>
    <row r="44" spans="1:21" x14ac:dyDescent="0.2">
      <c r="A44" s="17">
        <v>46388</v>
      </c>
      <c r="B44" s="20">
        <v>4691404.3499999996</v>
      </c>
      <c r="C44" s="20">
        <v>0</v>
      </c>
      <c r="D44" s="171">
        <v>0.28999999999999998</v>
      </c>
      <c r="E44" s="20">
        <v>4691404.3499999996</v>
      </c>
      <c r="F44" s="65">
        <v>0.28999999999999998</v>
      </c>
      <c r="G44" s="24">
        <f t="shared" si="8"/>
        <v>0</v>
      </c>
      <c r="H44" s="28">
        <v>8183909.504347831</v>
      </c>
      <c r="I44" s="20">
        <v>2206141.7400000002</v>
      </c>
      <c r="J44" s="20">
        <v>4935652.17</v>
      </c>
      <c r="K44" s="24">
        <f>I44-J44</f>
        <v>-2729510.4299999997</v>
      </c>
      <c r="L44" s="32">
        <f t="shared" si="9"/>
        <v>-3492505.1543478314</v>
      </c>
      <c r="M44" s="20">
        <v>4881739</v>
      </c>
      <c r="N44" s="67">
        <v>0.08</v>
      </c>
      <c r="O44" s="20">
        <f>B18</f>
        <v>5886195.6500000004</v>
      </c>
      <c r="P44" s="65">
        <f>D18</f>
        <v>0.39</v>
      </c>
      <c r="Q44" s="34">
        <f t="shared" si="10"/>
        <v>-190334.65000000037</v>
      </c>
      <c r="R44" s="3">
        <v>2206141.7400000002</v>
      </c>
      <c r="S44" s="3">
        <v>4458817.3899999997</v>
      </c>
      <c r="T44" s="97">
        <f t="shared" si="11"/>
        <v>6897546.0899999999</v>
      </c>
      <c r="U44" s="39">
        <f t="shared" si="12"/>
        <v>-1286363.4143478312</v>
      </c>
    </row>
    <row r="45" spans="1:21" x14ac:dyDescent="0.2">
      <c r="A45" s="41">
        <v>46419</v>
      </c>
      <c r="B45" s="42">
        <v>1457903.48</v>
      </c>
      <c r="C45" s="20">
        <v>0</v>
      </c>
      <c r="D45" s="172">
        <v>0.08</v>
      </c>
      <c r="E45" s="42">
        <v>1457903.48</v>
      </c>
      <c r="F45" s="66">
        <v>0.08</v>
      </c>
      <c r="G45" s="44">
        <f t="shared" si="8"/>
        <v>0</v>
      </c>
      <c r="H45" s="46">
        <v>3313577.3913043533</v>
      </c>
      <c r="I45" s="42">
        <v>852555.65</v>
      </c>
      <c r="J45" s="42">
        <v>1633209.57</v>
      </c>
      <c r="K45" s="44">
        <f t="shared" si="13"/>
        <v>-780653.92</v>
      </c>
      <c r="L45" s="47">
        <f t="shared" si="9"/>
        <v>-1855673.9113043533</v>
      </c>
      <c r="M45" s="42">
        <v>918261</v>
      </c>
      <c r="N45" s="67">
        <v>0</v>
      </c>
      <c r="O45" s="42">
        <f>B19</f>
        <v>1617964.38</v>
      </c>
      <c r="P45" s="66">
        <f>D19</f>
        <v>0.28000000000000003</v>
      </c>
      <c r="Q45" s="78">
        <f t="shared" si="10"/>
        <v>539642.48</v>
      </c>
      <c r="R45" s="3">
        <v>223046.08</v>
      </c>
      <c r="S45" s="3">
        <v>1457903.48</v>
      </c>
      <c r="T45" s="97">
        <f t="shared" si="11"/>
        <v>2310459.13</v>
      </c>
      <c r="U45" s="40">
        <f t="shared" si="12"/>
        <v>-1003118.2613043534</v>
      </c>
    </row>
    <row r="46" spans="1:21" x14ac:dyDescent="0.2">
      <c r="A46" s="53" t="s">
        <v>30</v>
      </c>
      <c r="B46" s="54">
        <f>SUM(B43:B45)</f>
        <v>17584466.390000001</v>
      </c>
      <c r="C46" s="54">
        <f>SUM(C43:C45)</f>
        <v>0</v>
      </c>
      <c r="D46" s="70">
        <f>SUM(D43:D45)/3</f>
        <v>0.3</v>
      </c>
      <c r="E46" s="54">
        <f>SUM(E43:E45)</f>
        <v>17584466.390000001</v>
      </c>
      <c r="F46" s="79">
        <f>SUM(F43:F45)/3</f>
        <v>0.3</v>
      </c>
      <c r="G46" s="63">
        <f t="shared" si="8"/>
        <v>0</v>
      </c>
      <c r="H46" s="80">
        <f>SUM(H43:H45)</f>
        <v>28672620.42826087</v>
      </c>
      <c r="I46" s="54">
        <f>SUM(I43:I45)</f>
        <v>4537827.82</v>
      </c>
      <c r="J46" s="54">
        <f>SUM(J43:J45)</f>
        <v>7920166.0899999999</v>
      </c>
      <c r="K46" s="54">
        <f t="shared" si="13"/>
        <v>-3382338.2699999996</v>
      </c>
      <c r="L46" s="55">
        <f t="shared" si="9"/>
        <v>-11088154.03826087</v>
      </c>
      <c r="M46" s="54">
        <f t="shared" ref="M46:O46" si="14">SUM(M43:M45)</f>
        <v>14760000</v>
      </c>
      <c r="N46" s="69">
        <f>SUM(N43:N45)/3</f>
        <v>9.9999999999999992E-2</v>
      </c>
      <c r="O46" s="54">
        <f t="shared" si="14"/>
        <v>19478768.73</v>
      </c>
      <c r="P46" s="79">
        <f>SUM(P43:P45)/3</f>
        <v>0.45</v>
      </c>
      <c r="Q46" s="57">
        <f t="shared" si="10"/>
        <v>2824466.3900000006</v>
      </c>
      <c r="R46" s="88">
        <f>SUM(R43:R45)</f>
        <v>2059992.1600000004</v>
      </c>
      <c r="S46" s="89">
        <f>SUM(S43:S45)</f>
        <v>11217488.129999999</v>
      </c>
      <c r="T46" s="102">
        <f t="shared" si="11"/>
        <v>22122294.210000001</v>
      </c>
      <c r="U46" s="57">
        <f t="shared" si="12"/>
        <v>-6550326.2182608694</v>
      </c>
    </row>
    <row r="47" spans="1:21" hidden="1" x14ac:dyDescent="0.2">
      <c r="A47" s="125"/>
      <c r="B47" s="114"/>
      <c r="C47" s="126"/>
      <c r="D47" s="115"/>
      <c r="E47" s="126"/>
      <c r="F47" s="115"/>
      <c r="G47" s="127">
        <f t="shared" si="8"/>
        <v>0</v>
      </c>
      <c r="H47" s="118"/>
      <c r="I47" s="126"/>
      <c r="J47" s="126"/>
      <c r="K47" s="62">
        <f t="shared" si="13"/>
        <v>0</v>
      </c>
      <c r="L47" s="75"/>
      <c r="M47" s="126"/>
      <c r="N47" s="115">
        <v>0.44666666666666666</v>
      </c>
      <c r="O47" s="126"/>
      <c r="P47" s="114"/>
      <c r="Q47" s="126"/>
      <c r="R47" s="153"/>
      <c r="S47" s="154"/>
      <c r="T47" s="103">
        <f t="shared" si="11"/>
        <v>0</v>
      </c>
      <c r="U47" s="149">
        <f t="shared" si="12"/>
        <v>0</v>
      </c>
    </row>
    <row r="48" spans="1:21" x14ac:dyDescent="0.2">
      <c r="A48" s="146" t="s">
        <v>31</v>
      </c>
      <c r="B48" s="105">
        <f>SUM(B34+B38+B42+B46)</f>
        <v>86709916.900000006</v>
      </c>
      <c r="C48" s="58">
        <f>SUM(C34+C38+C42+C46)</f>
        <v>0</v>
      </c>
      <c r="D48" s="106">
        <f>SUM(D34+D38+D42+D46)/4</f>
        <v>0.5</v>
      </c>
      <c r="E48" s="58">
        <v>81345660.370000005</v>
      </c>
      <c r="F48" s="106">
        <f>SUM(F34+F38+F42+F46)/4</f>
        <v>0.5</v>
      </c>
      <c r="G48" s="58">
        <f>SUM(G34+G38+G42+G46)</f>
        <v>0</v>
      </c>
      <c r="H48" s="109">
        <f>SUM(H34+H38+H42+H46)</f>
        <v>123899300.97831228</v>
      </c>
      <c r="I48" s="58">
        <f>SUM(I34+I38+I42+I46)</f>
        <v>8679420.8599999994</v>
      </c>
      <c r="J48" s="58">
        <f>SUM(J34+J38+J42+J46)</f>
        <v>11883774.779999999</v>
      </c>
      <c r="K48" s="59">
        <f t="shared" si="13"/>
        <v>-3204353.92</v>
      </c>
      <c r="L48" s="110">
        <f t="shared" ref="L48" si="15">B48-H48</f>
        <v>-37189384.078312278</v>
      </c>
      <c r="M48" s="58">
        <f>SUM(M34+M38+M42+M46)</f>
        <v>74314638</v>
      </c>
      <c r="N48" s="120">
        <f>SUM(N34+N38+N42+N46)/4</f>
        <v>0.22416666666666663</v>
      </c>
      <c r="O48" s="58">
        <f>SUM(O34+O38+O42+O46)</f>
        <v>81331149.447826087</v>
      </c>
      <c r="P48" s="106">
        <f>SUM(P34+P38+P42+P46)/4</f>
        <v>0.54249999999999998</v>
      </c>
      <c r="Q48" s="60">
        <f>B48-M48</f>
        <v>12395278.900000006</v>
      </c>
      <c r="R48" s="153">
        <f>SUM(R34+R38+R42+R46)</f>
        <v>-30964745.23</v>
      </c>
      <c r="S48" s="154">
        <f>SUM(S34+S38+S42+S46)</f>
        <v>39315482.109999999</v>
      </c>
      <c r="T48" s="100">
        <f t="shared" si="11"/>
        <v>95389337.760000005</v>
      </c>
      <c r="U48" s="149">
        <f t="shared" si="12"/>
        <v>-28509963.218312278</v>
      </c>
    </row>
    <row r="49" spans="1:32" x14ac:dyDescent="0.2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4"/>
      <c r="L49" s="4"/>
      <c r="M49" s="8"/>
      <c r="N49" s="8"/>
      <c r="O49" s="4"/>
      <c r="P49" s="4"/>
      <c r="Q49" s="4"/>
      <c r="R49" s="2"/>
      <c r="S49" s="2"/>
      <c r="T49" s="4"/>
      <c r="U49" s="4"/>
    </row>
    <row r="50" spans="1:32" hidden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4"/>
      <c r="U50" s="4"/>
    </row>
    <row r="51" spans="1:32" outlineLevel="1" x14ac:dyDescent="0.2">
      <c r="A51" s="4"/>
      <c r="B51" s="9" t="s">
        <v>8</v>
      </c>
      <c r="C51" s="9"/>
      <c r="D51" s="4"/>
      <c r="E51" s="9" t="s">
        <v>8</v>
      </c>
      <c r="F51" s="4"/>
      <c r="G51" s="4"/>
      <c r="H51" s="4"/>
      <c r="I51" s="4"/>
      <c r="J51" s="4"/>
      <c r="K51" s="4"/>
      <c r="L51" s="170"/>
      <c r="M51" s="4"/>
      <c r="N51" s="4"/>
      <c r="O51" s="4"/>
      <c r="P51" s="4"/>
      <c r="Q51" s="4"/>
      <c r="R51" s="2"/>
      <c r="S51" s="2"/>
      <c r="T51" s="4"/>
      <c r="U51" s="4">
        <f>U48/19</f>
        <v>-1500524.3799111724</v>
      </c>
    </row>
    <row r="52" spans="1:32" outlineLevel="1" x14ac:dyDescent="0.2">
      <c r="A52" s="4"/>
      <c r="B52" s="10" t="s">
        <v>9</v>
      </c>
      <c r="C52" s="10"/>
      <c r="D52" s="4"/>
      <c r="E52" s="10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4"/>
      <c r="U52" s="4"/>
    </row>
    <row r="53" spans="1:32" x14ac:dyDescent="0.2">
      <c r="A53" s="15" t="s">
        <v>5</v>
      </c>
      <c r="B53" s="4"/>
      <c r="C53" s="4"/>
      <c r="D53" s="4"/>
      <c r="E53" s="4"/>
      <c r="F53" s="4"/>
      <c r="G53" s="4"/>
      <c r="H53" s="4"/>
      <c r="I53" s="7">
        <f>B48+I48</f>
        <v>95389337.760000005</v>
      </c>
      <c r="J53" s="7">
        <f>C48+J48</f>
        <v>11883774.779999999</v>
      </c>
      <c r="K53" s="7"/>
      <c r="L53" s="4"/>
      <c r="M53" s="4"/>
      <c r="N53" s="4"/>
      <c r="O53" s="4"/>
      <c r="P53" s="4"/>
      <c r="Q53" s="4"/>
      <c r="R53" s="2"/>
      <c r="S53" s="2"/>
      <c r="T53" s="4"/>
      <c r="U53" s="4"/>
    </row>
    <row r="54" spans="1:32" x14ac:dyDescent="0.2">
      <c r="A54" s="15" t="s">
        <v>6</v>
      </c>
      <c r="B54" s="4"/>
      <c r="C54" s="4"/>
      <c r="D54" s="4"/>
      <c r="E54" s="4"/>
      <c r="F54" s="4"/>
      <c r="G54" s="4"/>
      <c r="H54" s="4"/>
      <c r="I54" s="7">
        <f>H48-T48</f>
        <v>28509963.218312278</v>
      </c>
      <c r="J54" s="7">
        <f>I48-U48</f>
        <v>37189384.078312278</v>
      </c>
      <c r="K54" s="7"/>
      <c r="L54" s="9"/>
      <c r="M54" s="4"/>
      <c r="N54" s="4"/>
      <c r="O54" s="4"/>
      <c r="P54" s="4"/>
      <c r="Q54" s="4"/>
      <c r="R54" s="2"/>
      <c r="S54" s="2"/>
      <c r="T54" s="68"/>
      <c r="U54" s="4"/>
    </row>
    <row r="55" spans="1:32" outlineLevel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4"/>
      <c r="U55" s="4"/>
    </row>
    <row r="56" spans="1:32" ht="21" customHeight="1" x14ac:dyDescent="0.2">
      <c r="A56" s="194" t="s">
        <v>34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S56" s="196"/>
      <c r="T56" s="196"/>
      <c r="U56" s="197"/>
    </row>
    <row r="57" spans="1:32" s="12" customFormat="1" ht="42" x14ac:dyDescent="0.2">
      <c r="A57" s="13" t="s">
        <v>11</v>
      </c>
      <c r="B57" s="119" t="s">
        <v>35</v>
      </c>
      <c r="C57" s="13" t="s">
        <v>13</v>
      </c>
      <c r="D57" s="119" t="s">
        <v>14</v>
      </c>
      <c r="E57" s="13" t="s">
        <v>15</v>
      </c>
      <c r="F57" s="116" t="s">
        <v>16</v>
      </c>
      <c r="G57" s="14" t="s">
        <v>17</v>
      </c>
      <c r="H57" s="134" t="s">
        <v>0</v>
      </c>
      <c r="I57" s="13" t="s">
        <v>36</v>
      </c>
      <c r="J57" s="13" t="s">
        <v>19</v>
      </c>
      <c r="K57" s="14" t="s">
        <v>20</v>
      </c>
      <c r="L57" s="119" t="s">
        <v>21</v>
      </c>
      <c r="M57" s="13" t="s">
        <v>2</v>
      </c>
      <c r="N57" s="104" t="s">
        <v>22</v>
      </c>
      <c r="O57" s="155" t="s">
        <v>23</v>
      </c>
      <c r="P57" s="104" t="s">
        <v>24</v>
      </c>
      <c r="Q57" s="13" t="s">
        <v>25</v>
      </c>
      <c r="R57" s="111" t="s">
        <v>3</v>
      </c>
      <c r="S57" s="73" t="s">
        <v>4</v>
      </c>
      <c r="T57" s="101" t="s">
        <v>26</v>
      </c>
      <c r="U57" s="37" t="s">
        <v>1</v>
      </c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121">
        <v>46447</v>
      </c>
      <c r="B58" s="21">
        <v>1941353.04</v>
      </c>
      <c r="C58" s="166"/>
      <c r="D58" s="175">
        <v>0.28000000000000003</v>
      </c>
      <c r="E58" s="21">
        <v>1941353.04</v>
      </c>
      <c r="F58" s="173">
        <v>0.28000000000000003</v>
      </c>
      <c r="G58" s="25">
        <f>B58-E58</f>
        <v>0</v>
      </c>
      <c r="H58" s="135">
        <f>H31*1.1</f>
        <v>6304051.6717391303</v>
      </c>
      <c r="I58" s="130">
        <v>1511311.3</v>
      </c>
      <c r="J58" s="130">
        <v>1690150.43</v>
      </c>
      <c r="K58" s="23">
        <f>I58-J58</f>
        <v>-178839.12999999989</v>
      </c>
      <c r="L58" s="31">
        <f>B58-H58</f>
        <v>-4362698.6317391302</v>
      </c>
      <c r="M58" s="137">
        <v>646457</v>
      </c>
      <c r="N58" s="84">
        <v>0</v>
      </c>
      <c r="O58" s="82">
        <f>B31</f>
        <v>5954987.4400000004</v>
      </c>
      <c r="P58" s="84">
        <f>D31</f>
        <v>0.61</v>
      </c>
      <c r="Q58" s="33">
        <f>B58-M58</f>
        <v>1294896.04</v>
      </c>
      <c r="R58" s="3">
        <v>-952145.22</v>
      </c>
      <c r="S58" s="3">
        <v>1941353.04</v>
      </c>
      <c r="T58" s="96">
        <f t="shared" ref="T58:T69" si="16">B58+I58</f>
        <v>3452664.34</v>
      </c>
      <c r="U58" s="38">
        <f>T58-H58</f>
        <v>-2851387.3317391304</v>
      </c>
    </row>
    <row r="59" spans="1:32" x14ac:dyDescent="0.2">
      <c r="A59" s="122">
        <v>46478</v>
      </c>
      <c r="B59" s="7">
        <v>754240</v>
      </c>
      <c r="C59" s="167"/>
      <c r="D59" s="171">
        <v>0.06</v>
      </c>
      <c r="E59" s="19">
        <v>754240</v>
      </c>
      <c r="F59" s="174">
        <v>0.06</v>
      </c>
      <c r="G59" s="26">
        <f t="shared" ref="G59:G60" si="17">B59-E59</f>
        <v>0</v>
      </c>
      <c r="H59" s="136">
        <f>H32*1.1</f>
        <v>9489859.870652169</v>
      </c>
      <c r="I59" s="131">
        <v>623791.30000000005</v>
      </c>
      <c r="J59" s="131">
        <v>623791.30000000005</v>
      </c>
      <c r="K59" s="24">
        <f t="shared" ref="K59:K75" si="18">I59-J59</f>
        <v>0</v>
      </c>
      <c r="L59" s="32">
        <f t="shared" ref="L59:L73" si="19">B59-H59</f>
        <v>-8735619.870652169</v>
      </c>
      <c r="M59" s="138">
        <v>1677826</v>
      </c>
      <c r="N59" s="85">
        <v>0.08</v>
      </c>
      <c r="O59" s="19">
        <f>B32</f>
        <v>7888443.04</v>
      </c>
      <c r="P59" s="85">
        <f>D32</f>
        <v>0.87</v>
      </c>
      <c r="Q59" s="34">
        <f t="shared" ref="Q59:Q73" si="20">B59-M59</f>
        <v>-923586</v>
      </c>
      <c r="R59" s="3">
        <v>-4700637.4000000004</v>
      </c>
      <c r="S59" s="3">
        <v>754240</v>
      </c>
      <c r="T59" s="97">
        <f t="shared" si="16"/>
        <v>1378031.3</v>
      </c>
      <c r="U59" s="39">
        <f t="shared" ref="U59:U75" si="21">T59-H59</f>
        <v>-8111828.5706521692</v>
      </c>
    </row>
    <row r="60" spans="1:32" x14ac:dyDescent="0.2">
      <c r="A60" s="122">
        <v>46508</v>
      </c>
      <c r="B60" s="22">
        <v>1827546.09</v>
      </c>
      <c r="C60" s="128"/>
      <c r="D60" s="171">
        <v>0.13</v>
      </c>
      <c r="E60" s="20">
        <v>1827546.09</v>
      </c>
      <c r="F60" s="174">
        <v>0.13</v>
      </c>
      <c r="G60" s="26">
        <f t="shared" si="17"/>
        <v>0</v>
      </c>
      <c r="H60" s="136">
        <f>H33*1.1</f>
        <v>7533779.9358608574</v>
      </c>
      <c r="I60" s="131">
        <v>2714273.04</v>
      </c>
      <c r="J60" s="131">
        <v>3422473.91</v>
      </c>
      <c r="K60" s="24">
        <f t="shared" si="18"/>
        <v>-708200.87000000011</v>
      </c>
      <c r="L60" s="32">
        <f t="shared" si="19"/>
        <v>-5706233.8458608575</v>
      </c>
      <c r="M60" s="138">
        <v>967696</v>
      </c>
      <c r="N60" s="86">
        <v>0</v>
      </c>
      <c r="O60" s="19">
        <f>B33</f>
        <v>4273526.67</v>
      </c>
      <c r="P60" s="86">
        <f>D33</f>
        <v>0.5</v>
      </c>
      <c r="Q60" s="34">
        <f t="shared" si="20"/>
        <v>859850.09000000008</v>
      </c>
      <c r="R60" s="3">
        <v>2506099.13</v>
      </c>
      <c r="S60" s="3">
        <v>1568937.39434783</v>
      </c>
      <c r="T60" s="97">
        <f t="shared" si="16"/>
        <v>4541819.13</v>
      </c>
      <c r="U60" s="39">
        <f t="shared" si="21"/>
        <v>-2991960.8058608575</v>
      </c>
    </row>
    <row r="61" spans="1:32" x14ac:dyDescent="0.2">
      <c r="A61" s="139" t="s">
        <v>27</v>
      </c>
      <c r="B61" s="140">
        <f>SUM(B58:B60)</f>
        <v>4523139.13</v>
      </c>
      <c r="C61" s="150">
        <f>SUM(C58:C60)</f>
        <v>0</v>
      </c>
      <c r="D61" s="163">
        <f>SUM(D58:D60)/3</f>
        <v>0.15666666666666668</v>
      </c>
      <c r="E61" s="141">
        <f>SUM(E58:E60)</f>
        <v>4523139.13</v>
      </c>
      <c r="F61" s="164">
        <f>SUM(F58:F60)/3</f>
        <v>0.15666666666666668</v>
      </c>
      <c r="G61" s="140">
        <f>B61-E61</f>
        <v>0</v>
      </c>
      <c r="H61" s="156">
        <f>SUM(H58:H60)</f>
        <v>23327691.478252158</v>
      </c>
      <c r="I61" s="157">
        <f>SUM(I58:I60)</f>
        <v>4849375.6400000006</v>
      </c>
      <c r="J61" s="157">
        <f>SUM(J58:J60)</f>
        <v>5736415.6400000006</v>
      </c>
      <c r="K61" s="141">
        <f t="shared" si="18"/>
        <v>-887040</v>
      </c>
      <c r="L61" s="143">
        <f t="shared" si="19"/>
        <v>-18804552.348252159</v>
      </c>
      <c r="M61" s="141">
        <f>SUM(M58:M60)</f>
        <v>3291979</v>
      </c>
      <c r="N61" s="142">
        <f>SUM(N58:N60)/3</f>
        <v>2.6666666666666668E-2</v>
      </c>
      <c r="O61" s="141">
        <f>SUM(O58:O60)</f>
        <v>18116957.149999999</v>
      </c>
      <c r="P61" s="142">
        <f>SUM(P58:P60)/3</f>
        <v>0.66</v>
      </c>
      <c r="Q61" s="77">
        <f>B61-M61</f>
        <v>1231160.1299999999</v>
      </c>
      <c r="R61" s="49">
        <f>SUM(R58:R60)</f>
        <v>-3146683.49</v>
      </c>
      <c r="S61" s="49">
        <f>SUM(S58:S60)</f>
        <v>4264530.4343478298</v>
      </c>
      <c r="T61" s="102">
        <f t="shared" si="16"/>
        <v>9372514.7699999996</v>
      </c>
      <c r="U61" s="50">
        <f t="shared" si="21"/>
        <v>-13955176.708252158</v>
      </c>
    </row>
    <row r="62" spans="1:32" x14ac:dyDescent="0.2">
      <c r="A62" s="122">
        <v>46539</v>
      </c>
      <c r="B62" s="22">
        <v>6702947.8300000001</v>
      </c>
      <c r="C62" s="128">
        <f>1991690+734429</f>
        <v>2726119</v>
      </c>
      <c r="D62" s="171">
        <v>0.26</v>
      </c>
      <c r="E62" s="22">
        <v>6702947.8300000001</v>
      </c>
      <c r="F62" s="174">
        <v>0.26</v>
      </c>
      <c r="G62" s="26">
        <f t="shared" ref="G62:G74" si="22">B62-E62</f>
        <v>0</v>
      </c>
      <c r="H62" s="136">
        <f>H35*1.1</f>
        <v>20083666.086956523</v>
      </c>
      <c r="I62" s="131">
        <v>2544803.48</v>
      </c>
      <c r="J62" s="131">
        <v>2544803.48</v>
      </c>
      <c r="K62" s="24">
        <f t="shared" si="18"/>
        <v>0</v>
      </c>
      <c r="L62" s="32">
        <f t="shared" si="19"/>
        <v>-13380718.256956523</v>
      </c>
      <c r="M62" s="138">
        <v>4523283</v>
      </c>
      <c r="N62" s="67">
        <v>0.03</v>
      </c>
      <c r="O62" s="19">
        <f>B35</f>
        <v>9659902.1699999999</v>
      </c>
      <c r="P62" s="65">
        <f>D35</f>
        <v>0.49</v>
      </c>
      <c r="Q62" s="34">
        <f t="shared" si="20"/>
        <v>2179664.83</v>
      </c>
      <c r="R62" s="3">
        <v>1250985.22</v>
      </c>
      <c r="S62" s="3">
        <v>4102562.61</v>
      </c>
      <c r="T62" s="97">
        <f t="shared" si="16"/>
        <v>9247751.3100000005</v>
      </c>
      <c r="U62" s="39">
        <f t="shared" si="21"/>
        <v>-10835914.776956523</v>
      </c>
    </row>
    <row r="63" spans="1:32" x14ac:dyDescent="0.2">
      <c r="A63" s="122">
        <v>46569</v>
      </c>
      <c r="B63" s="92">
        <v>4596457.3899999997</v>
      </c>
      <c r="C63" s="168">
        <v>2522644</v>
      </c>
      <c r="D63" s="171">
        <v>0.15</v>
      </c>
      <c r="E63" s="81">
        <v>4596457.3899999997</v>
      </c>
      <c r="F63" s="174">
        <v>0.15</v>
      </c>
      <c r="G63" s="26">
        <f t="shared" si="22"/>
        <v>0</v>
      </c>
      <c r="H63" s="136">
        <f>H36*1.1</f>
        <v>18765373.611600004</v>
      </c>
      <c r="I63" s="131">
        <v>10630901.74</v>
      </c>
      <c r="J63" s="131">
        <v>9948931.3000000007</v>
      </c>
      <c r="K63" s="24">
        <f t="shared" si="18"/>
        <v>681970.43999999948</v>
      </c>
      <c r="L63" s="32">
        <f t="shared" si="19"/>
        <v>-14168916.221600004</v>
      </c>
      <c r="M63" s="138">
        <v>1197391</v>
      </c>
      <c r="N63" s="67">
        <v>0.03</v>
      </c>
      <c r="O63" s="19">
        <f>B36</f>
        <v>12835536.539999999</v>
      </c>
      <c r="P63" s="65">
        <f>D36</f>
        <v>0.69</v>
      </c>
      <c r="Q63" s="34">
        <f t="shared" si="20"/>
        <v>3399066.3899999997</v>
      </c>
      <c r="R63" s="3">
        <v>10630901.74</v>
      </c>
      <c r="S63" s="3">
        <v>4596457.3899999997</v>
      </c>
      <c r="T63" s="97">
        <f t="shared" si="16"/>
        <v>15227359.129999999</v>
      </c>
      <c r="U63" s="39">
        <f t="shared" si="21"/>
        <v>-3538014.4816000052</v>
      </c>
    </row>
    <row r="64" spans="1:32" x14ac:dyDescent="0.2">
      <c r="A64" s="122">
        <v>46600</v>
      </c>
      <c r="B64" s="92">
        <v>544021.74</v>
      </c>
      <c r="C64" s="168"/>
      <c r="D64" s="171">
        <v>0.02</v>
      </c>
      <c r="E64" s="81">
        <v>544021.74</v>
      </c>
      <c r="F64" s="174">
        <v>0.02</v>
      </c>
      <c r="G64" s="26">
        <f t="shared" si="22"/>
        <v>0</v>
      </c>
      <c r="H64" s="136">
        <f>H37*1.1</f>
        <v>15799794.724999985</v>
      </c>
      <c r="I64" s="131">
        <v>979238.26</v>
      </c>
      <c r="J64" s="131">
        <v>979238.26</v>
      </c>
      <c r="K64" s="24">
        <f t="shared" si="18"/>
        <v>0</v>
      </c>
      <c r="L64" s="32">
        <f t="shared" si="19"/>
        <v>-15255772.984999985</v>
      </c>
      <c r="M64" s="138">
        <v>1810435</v>
      </c>
      <c r="N64" s="67">
        <v>0.09</v>
      </c>
      <c r="O64" s="19">
        <f>B37</f>
        <v>16417804.35</v>
      </c>
      <c r="P64" s="65">
        <f>D37</f>
        <v>0.68</v>
      </c>
      <c r="Q64" s="34">
        <f t="shared" si="20"/>
        <v>-1266413.26</v>
      </c>
      <c r="R64" s="3">
        <v>271180.87</v>
      </c>
      <c r="S64" s="3">
        <v>544021.74</v>
      </c>
      <c r="T64" s="97">
        <f t="shared" si="16"/>
        <v>1523260</v>
      </c>
      <c r="U64" s="39">
        <f t="shared" si="21"/>
        <v>-14276534.724999985</v>
      </c>
    </row>
    <row r="65" spans="1:21" x14ac:dyDescent="0.2">
      <c r="A65" s="139" t="s">
        <v>28</v>
      </c>
      <c r="B65" s="140">
        <f>SUM(B62:B64)</f>
        <v>11843426.959999999</v>
      </c>
      <c r="C65" s="150">
        <f>SUM(C62:C64)</f>
        <v>5248763</v>
      </c>
      <c r="D65" s="163">
        <f>SUM(D62:D64)/3</f>
        <v>0.14333333333333334</v>
      </c>
      <c r="E65" s="141">
        <f>SUM(E62:E64)</f>
        <v>11843426.959999999</v>
      </c>
      <c r="F65" s="164">
        <f>SUM(F62:F64)/3</f>
        <v>0.14333333333333334</v>
      </c>
      <c r="G65" s="140">
        <f t="shared" si="22"/>
        <v>0</v>
      </c>
      <c r="H65" s="156">
        <f>SUM(H62:H64)</f>
        <v>54648834.423556514</v>
      </c>
      <c r="I65" s="157">
        <f>SUM(I62:I64)</f>
        <v>14154943.48</v>
      </c>
      <c r="J65" s="157">
        <f>SUM(J62:J64)</f>
        <v>13472973.040000001</v>
      </c>
      <c r="K65" s="141">
        <f t="shared" si="18"/>
        <v>681970.43999999948</v>
      </c>
      <c r="L65" s="143">
        <f t="shared" si="19"/>
        <v>-42805407.463556513</v>
      </c>
      <c r="M65" s="141">
        <f>SUM(M62:M64)</f>
        <v>7531109</v>
      </c>
      <c r="N65" s="142">
        <f>SUM(N62:N64)/3</f>
        <v>4.9999999999999996E-2</v>
      </c>
      <c r="O65" s="141">
        <f>SUM(O62:O64)</f>
        <v>38913243.060000002</v>
      </c>
      <c r="P65" s="142">
        <f>SUM(P62:P64)/3</f>
        <v>0.62</v>
      </c>
      <c r="Q65" s="77">
        <f t="shared" si="20"/>
        <v>4312317.959999999</v>
      </c>
      <c r="R65" s="49">
        <f>SUM(R62:R64)</f>
        <v>12153067.83</v>
      </c>
      <c r="S65" s="49">
        <f>SUM(S62:S64)</f>
        <v>9243041.7400000002</v>
      </c>
      <c r="T65" s="102">
        <f t="shared" si="16"/>
        <v>25998370.439999998</v>
      </c>
      <c r="U65" s="50">
        <f t="shared" si="21"/>
        <v>-28650463.983556516</v>
      </c>
    </row>
    <row r="66" spans="1:21" x14ac:dyDescent="0.2">
      <c r="A66" s="122">
        <v>46631</v>
      </c>
      <c r="B66" s="22">
        <v>1731448.7</v>
      </c>
      <c r="C66" s="128"/>
      <c r="D66" s="171">
        <v>0.1</v>
      </c>
      <c r="E66" s="22">
        <v>1731448.7</v>
      </c>
      <c r="F66" s="174">
        <v>0.1</v>
      </c>
      <c r="G66" s="26">
        <f t="shared" si="22"/>
        <v>0</v>
      </c>
      <c r="H66" s="136">
        <f>H39*1.1</f>
        <v>8544967.2872826066</v>
      </c>
      <c r="I66" s="131">
        <v>1157481.74</v>
      </c>
      <c r="J66" s="131">
        <v>1157481.74</v>
      </c>
      <c r="K66" s="24">
        <f t="shared" si="18"/>
        <v>0</v>
      </c>
      <c r="L66" s="32">
        <f t="shared" si="19"/>
        <v>-6813518.5872826064</v>
      </c>
      <c r="M66" s="138">
        <v>611674</v>
      </c>
      <c r="N66" s="67">
        <v>0</v>
      </c>
      <c r="O66" s="19">
        <f>B39</f>
        <v>5653992.2599999998</v>
      </c>
      <c r="P66" s="65">
        <f>D39</f>
        <v>0.64</v>
      </c>
      <c r="Q66" s="34">
        <f t="shared" si="20"/>
        <v>1119774.7</v>
      </c>
      <c r="R66" s="3">
        <v>1157481.74</v>
      </c>
      <c r="S66" s="3">
        <v>755632.18</v>
      </c>
      <c r="T66" s="97">
        <f t="shared" si="16"/>
        <v>2888930.44</v>
      </c>
      <c r="U66" s="39">
        <f t="shared" si="21"/>
        <v>-5656036.8472826071</v>
      </c>
    </row>
    <row r="67" spans="1:21" x14ac:dyDescent="0.2">
      <c r="A67" s="122">
        <v>46661</v>
      </c>
      <c r="B67" s="22">
        <v>0</v>
      </c>
      <c r="C67" s="128"/>
      <c r="D67" s="171">
        <v>0</v>
      </c>
      <c r="E67" s="20">
        <v>0</v>
      </c>
      <c r="F67" s="174">
        <v>0</v>
      </c>
      <c r="G67" s="26">
        <f t="shared" si="22"/>
        <v>0</v>
      </c>
      <c r="H67" s="136">
        <f>H40*1.1</f>
        <v>11983765.71413043</v>
      </c>
      <c r="I67" s="131">
        <v>1142365.22</v>
      </c>
      <c r="J67" s="131">
        <v>1142365.22</v>
      </c>
      <c r="K67" s="24">
        <f t="shared" si="18"/>
        <v>0</v>
      </c>
      <c r="L67" s="32">
        <f t="shared" si="19"/>
        <v>-11983765.71413043</v>
      </c>
      <c r="M67" s="138">
        <v>1334543</v>
      </c>
      <c r="N67" s="67">
        <v>0</v>
      </c>
      <c r="O67" s="19">
        <f>B40</f>
        <v>5030105.87</v>
      </c>
      <c r="P67" s="65">
        <f>D40</f>
        <v>0.46</v>
      </c>
      <c r="Q67" s="34">
        <f t="shared" si="20"/>
        <v>-1334543</v>
      </c>
      <c r="R67" s="3">
        <v>1142365.22</v>
      </c>
      <c r="S67" s="3">
        <v>0</v>
      </c>
      <c r="T67" s="97">
        <f t="shared" si="16"/>
        <v>1142365.22</v>
      </c>
      <c r="U67" s="39">
        <f t="shared" si="21"/>
        <v>-10841400.494130429</v>
      </c>
    </row>
    <row r="68" spans="1:21" x14ac:dyDescent="0.2">
      <c r="A68" s="122">
        <v>46692</v>
      </c>
      <c r="B68" s="22">
        <v>614762.61</v>
      </c>
      <c r="C68" s="128"/>
      <c r="D68" s="171">
        <v>0.04</v>
      </c>
      <c r="E68" s="20">
        <v>614762.61</v>
      </c>
      <c r="F68" s="174">
        <v>0.04</v>
      </c>
      <c r="G68" s="26">
        <f t="shared" si="22"/>
        <v>0</v>
      </c>
      <c r="H68" s="136">
        <f>H41*1.1</f>
        <v>6244089.7018348612</v>
      </c>
      <c r="I68" s="131">
        <v>1012796.52</v>
      </c>
      <c r="J68" s="131">
        <v>1012796.52</v>
      </c>
      <c r="K68" s="24">
        <f t="shared" si="18"/>
        <v>0</v>
      </c>
      <c r="L68" s="32">
        <f t="shared" si="19"/>
        <v>-5629327.0918348609</v>
      </c>
      <c r="M68" s="138">
        <v>0</v>
      </c>
      <c r="N68" s="67">
        <v>0</v>
      </c>
      <c r="O68" s="19">
        <f>B41</f>
        <v>1411152.17</v>
      </c>
      <c r="P68" s="65">
        <f>D41</f>
        <v>0.16</v>
      </c>
      <c r="Q68" s="34">
        <f t="shared" si="20"/>
        <v>614762.61</v>
      </c>
      <c r="R68" s="3">
        <v>1012796.52</v>
      </c>
      <c r="S68" s="3">
        <v>614762.61</v>
      </c>
      <c r="T68" s="97">
        <f t="shared" si="16"/>
        <v>1627559.13</v>
      </c>
      <c r="U68" s="39">
        <f t="shared" si="21"/>
        <v>-4616530.5718348613</v>
      </c>
    </row>
    <row r="69" spans="1:21" x14ac:dyDescent="0.2">
      <c r="A69" s="139" t="s">
        <v>29</v>
      </c>
      <c r="B69" s="140">
        <f>SUM(B66:B68)</f>
        <v>2346211.31</v>
      </c>
      <c r="C69" s="150">
        <f>SUM(C66:C68)</f>
        <v>0</v>
      </c>
      <c r="D69" s="176">
        <f>SUM(D66:D68)/3</f>
        <v>4.6666666666666669E-2</v>
      </c>
      <c r="E69" s="141">
        <f>SUM(E66:E68)</f>
        <v>2346211.31</v>
      </c>
      <c r="F69" s="71">
        <f>SUM(F66:F68)/3</f>
        <v>4.6666666666666669E-2</v>
      </c>
      <c r="G69" s="140">
        <f t="shared" si="22"/>
        <v>0</v>
      </c>
      <c r="H69" s="156">
        <f>SUM(H66:H68)</f>
        <v>26772822.703247897</v>
      </c>
      <c r="I69" s="157">
        <f>SUM(I66:I68)</f>
        <v>3312643.48</v>
      </c>
      <c r="J69" s="157">
        <f>SUM(J66:J68)</f>
        <v>3312643.48</v>
      </c>
      <c r="K69" s="141">
        <f t="shared" si="18"/>
        <v>0</v>
      </c>
      <c r="L69" s="143">
        <f t="shared" si="19"/>
        <v>-24426611.393247899</v>
      </c>
      <c r="M69" s="141">
        <f>SUM(M66:M68)</f>
        <v>1946217</v>
      </c>
      <c r="N69" s="69">
        <f>SUM(N66:N68)/3</f>
        <v>0</v>
      </c>
      <c r="O69" s="141">
        <f>SUM(O66:O68)</f>
        <v>12095250.299999999</v>
      </c>
      <c r="P69" s="142">
        <f>SUM(P66:P68)/3</f>
        <v>0.42</v>
      </c>
      <c r="Q69" s="77">
        <f t="shared" si="20"/>
        <v>399994.31000000006</v>
      </c>
      <c r="R69" s="151">
        <f>SUM(R66:R68)</f>
        <v>3312643.48</v>
      </c>
      <c r="S69" s="152">
        <f>SUM(S66:S68)</f>
        <v>1370394.79</v>
      </c>
      <c r="T69" s="158">
        <f t="shared" si="16"/>
        <v>5658854.79</v>
      </c>
      <c r="U69" s="77">
        <f t="shared" si="21"/>
        <v>-21113967.913247898</v>
      </c>
    </row>
    <row r="70" spans="1:21" x14ac:dyDescent="0.2">
      <c r="A70" s="122">
        <v>46722</v>
      </c>
      <c r="B70" s="22">
        <v>3681390.43</v>
      </c>
      <c r="C70" s="128"/>
      <c r="D70" s="177">
        <v>0.14000000000000001</v>
      </c>
      <c r="E70" s="20">
        <v>3681390.43</v>
      </c>
      <c r="F70" s="179">
        <v>0.14000000000000001</v>
      </c>
      <c r="G70" s="26">
        <f t="shared" si="22"/>
        <v>0</v>
      </c>
      <c r="H70" s="136">
        <f>H43*1.1</f>
        <v>18892646.885869559</v>
      </c>
      <c r="I70" s="132">
        <v>4035780.87</v>
      </c>
      <c r="J70" s="132">
        <v>4035780.87</v>
      </c>
      <c r="K70" s="24">
        <f t="shared" si="18"/>
        <v>0</v>
      </c>
      <c r="L70" s="32">
        <f t="shared" si="19"/>
        <v>-15211256.455869559</v>
      </c>
      <c r="M70" s="138">
        <v>4643478</v>
      </c>
      <c r="N70" s="67">
        <v>0.13</v>
      </c>
      <c r="O70" s="19">
        <f>B43</f>
        <v>11435158.560000001</v>
      </c>
      <c r="P70" s="65">
        <f>D43</f>
        <v>0.53</v>
      </c>
      <c r="Q70" s="34">
        <f t="shared" si="20"/>
        <v>-962087.56999999983</v>
      </c>
      <c r="R70" s="3">
        <v>4035780.87</v>
      </c>
      <c r="S70" s="3">
        <v>3681390.43</v>
      </c>
      <c r="T70" s="97">
        <f>B70+I70</f>
        <v>7717171.3000000007</v>
      </c>
      <c r="U70" s="39">
        <f t="shared" si="21"/>
        <v>-11175475.585869558</v>
      </c>
    </row>
    <row r="71" spans="1:21" x14ac:dyDescent="0.2">
      <c r="A71" s="122">
        <v>46753</v>
      </c>
      <c r="B71" s="22">
        <v>891586.96</v>
      </c>
      <c r="C71" s="128"/>
      <c r="D71" s="178">
        <v>0.03</v>
      </c>
      <c r="E71" s="20">
        <v>891586.96</v>
      </c>
      <c r="F71" s="180">
        <v>0.03</v>
      </c>
      <c r="G71" s="26">
        <f t="shared" si="22"/>
        <v>0</v>
      </c>
      <c r="H71" s="136">
        <f>H44*1.1</f>
        <v>9002300.4547826145</v>
      </c>
      <c r="I71" s="131">
        <v>0</v>
      </c>
      <c r="J71" s="131">
        <v>0</v>
      </c>
      <c r="K71" s="24">
        <f t="shared" si="18"/>
        <v>0</v>
      </c>
      <c r="L71" s="32">
        <f t="shared" si="19"/>
        <v>-8110713.4947826145</v>
      </c>
      <c r="M71" s="138">
        <v>0</v>
      </c>
      <c r="N71" s="67">
        <v>0</v>
      </c>
      <c r="O71" s="83">
        <f>B44</f>
        <v>4691404.3499999996</v>
      </c>
      <c r="P71" s="65">
        <f>D44</f>
        <v>0.28999999999999998</v>
      </c>
      <c r="Q71" s="34">
        <f t="shared" si="20"/>
        <v>891586.96</v>
      </c>
      <c r="R71" s="3">
        <v>-2092352.17</v>
      </c>
      <c r="S71" s="3">
        <v>891586.96</v>
      </c>
      <c r="T71" s="97">
        <f>B71+I71</f>
        <v>891586.96</v>
      </c>
      <c r="U71" s="39">
        <f t="shared" si="21"/>
        <v>-8110713.4947826145</v>
      </c>
    </row>
    <row r="72" spans="1:21" x14ac:dyDescent="0.2">
      <c r="A72" s="123">
        <v>46784</v>
      </c>
      <c r="B72" s="43">
        <v>0</v>
      </c>
      <c r="C72" s="169"/>
      <c r="D72" s="172">
        <v>0</v>
      </c>
      <c r="E72" s="42">
        <v>0</v>
      </c>
      <c r="F72" s="181">
        <v>0</v>
      </c>
      <c r="G72" s="45">
        <f t="shared" si="22"/>
        <v>0</v>
      </c>
      <c r="H72" s="136">
        <f>H45*1.1</f>
        <v>3644935.1304347888</v>
      </c>
      <c r="I72" s="133">
        <v>0</v>
      </c>
      <c r="J72" s="133">
        <v>0</v>
      </c>
      <c r="K72" s="44">
        <f t="shared" si="18"/>
        <v>0</v>
      </c>
      <c r="L72" s="47">
        <f t="shared" si="19"/>
        <v>-3644935.1304347888</v>
      </c>
      <c r="M72" s="138">
        <v>0</v>
      </c>
      <c r="N72" s="67">
        <v>0</v>
      </c>
      <c r="O72" s="42">
        <f>B45</f>
        <v>1457903.48</v>
      </c>
      <c r="P72" s="66">
        <f>D45</f>
        <v>0.08</v>
      </c>
      <c r="Q72" s="78">
        <f t="shared" si="20"/>
        <v>0</v>
      </c>
      <c r="R72" s="3">
        <v>0</v>
      </c>
      <c r="S72" s="3">
        <v>0</v>
      </c>
      <c r="T72" s="97">
        <f>B72+I72</f>
        <v>0</v>
      </c>
      <c r="U72" s="40">
        <f t="shared" si="21"/>
        <v>-3644935.1304347888</v>
      </c>
    </row>
    <row r="73" spans="1:21" x14ac:dyDescent="0.2">
      <c r="A73" s="124" t="s">
        <v>30</v>
      </c>
      <c r="B73" s="140">
        <f>SUM(B70:B72)</f>
        <v>4572977.3900000006</v>
      </c>
      <c r="C73" s="129">
        <f>SUM(C70:C72)</f>
        <v>0</v>
      </c>
      <c r="D73" s="70">
        <f>SUM(D70:D72)/3</f>
        <v>5.6666666666666671E-2</v>
      </c>
      <c r="E73" s="141">
        <f>SUM(E70:E72)</f>
        <v>4572977.3900000006</v>
      </c>
      <c r="F73" s="182">
        <f>SUM(F70:F72)/3</f>
        <v>5.6666666666666671E-2</v>
      </c>
      <c r="G73" s="165">
        <f t="shared" si="22"/>
        <v>0</v>
      </c>
      <c r="H73" s="159">
        <f>SUM(H70:H72)</f>
        <v>31539882.471086964</v>
      </c>
      <c r="I73" s="157">
        <f>SUM(I70:I72)</f>
        <v>4035780.87</v>
      </c>
      <c r="J73" s="157">
        <f>SUM(J70:J72)</f>
        <v>4035780.87</v>
      </c>
      <c r="K73" s="63">
        <f t="shared" si="18"/>
        <v>0</v>
      </c>
      <c r="L73" s="55">
        <f t="shared" si="19"/>
        <v>-26966905.081086963</v>
      </c>
      <c r="M73" s="54">
        <f>SUM(M70:M72)</f>
        <v>4643478</v>
      </c>
      <c r="N73" s="69">
        <f>SUM(N70:N72)/3</f>
        <v>4.3333333333333335E-2</v>
      </c>
      <c r="O73" s="54">
        <f>SUM(O70:O72)</f>
        <v>17584466.390000001</v>
      </c>
      <c r="P73" s="79">
        <f>SUM(P70:P72)/3</f>
        <v>0.3</v>
      </c>
      <c r="Q73" s="57">
        <f t="shared" si="20"/>
        <v>-70500.609999999404</v>
      </c>
      <c r="R73" s="90">
        <f>SUM(R70:R72)</f>
        <v>1943428.7000000002</v>
      </c>
      <c r="S73" s="91">
        <f>SUM(S70:S72)</f>
        <v>4572977.3900000006</v>
      </c>
      <c r="T73" s="74">
        <f t="shared" ref="T73" si="23">B73+I73</f>
        <v>8608758.2600000016</v>
      </c>
      <c r="U73" s="57">
        <f t="shared" si="21"/>
        <v>-22931124.211086962</v>
      </c>
    </row>
    <row r="74" spans="1:21" hidden="1" x14ac:dyDescent="0.2">
      <c r="A74" s="125"/>
      <c r="B74" s="114"/>
      <c r="C74" s="126"/>
      <c r="D74" s="115"/>
      <c r="E74" s="126"/>
      <c r="F74" s="115"/>
      <c r="G74" s="127">
        <f t="shared" si="22"/>
        <v>0</v>
      </c>
      <c r="H74" s="118"/>
      <c r="I74" s="126"/>
      <c r="J74" s="126"/>
      <c r="K74" s="127">
        <f t="shared" si="18"/>
        <v>0</v>
      </c>
      <c r="L74" s="114"/>
      <c r="M74" s="126"/>
      <c r="N74" s="115">
        <v>0.44666666666666666</v>
      </c>
      <c r="O74" s="126"/>
      <c r="P74" s="114"/>
      <c r="Q74" s="126"/>
      <c r="R74" s="160"/>
      <c r="S74" s="160"/>
      <c r="T74" s="103">
        <f>B74+I74</f>
        <v>0</v>
      </c>
      <c r="U74" s="149">
        <f t="shared" si="21"/>
        <v>0</v>
      </c>
    </row>
    <row r="75" spans="1:21" x14ac:dyDescent="0.2">
      <c r="A75" s="146" t="s">
        <v>31</v>
      </c>
      <c r="B75" s="105">
        <f>B61+B65+B69+B73</f>
        <v>23285754.789999999</v>
      </c>
      <c r="C75" s="58">
        <f>SUM(C61+C65+C69+C73)</f>
        <v>5248763</v>
      </c>
      <c r="D75" s="106">
        <f>SUM(D61+D65+D69+D73)/4</f>
        <v>0.10083333333333336</v>
      </c>
      <c r="E75" s="58">
        <v>20812815.649999999</v>
      </c>
      <c r="F75" s="106">
        <f>SUM(F61+F65+F69+F73)/4</f>
        <v>0.10083333333333336</v>
      </c>
      <c r="G75" s="58">
        <f t="shared" ref="G75:J75" si="24">SUM(G61+G65+G69+G73)</f>
        <v>0</v>
      </c>
      <c r="H75" s="109">
        <f>SUM(H61+H65+H69+H73)</f>
        <v>136289231.07614356</v>
      </c>
      <c r="I75" s="58">
        <f t="shared" si="24"/>
        <v>26352743.470000003</v>
      </c>
      <c r="J75" s="58">
        <f t="shared" si="24"/>
        <v>26557813.030000001</v>
      </c>
      <c r="K75" s="59">
        <f t="shared" si="18"/>
        <v>-205069.55999999866</v>
      </c>
      <c r="L75" s="110">
        <f t="shared" ref="L75" si="25">B75-H75</f>
        <v>-113003476.28614357</v>
      </c>
      <c r="M75" s="58">
        <f>SUM(M61+M65+M69+M73)</f>
        <v>17412783</v>
      </c>
      <c r="N75" s="120">
        <f>SUM(N61+N65+N69+N73)/4</f>
        <v>0.03</v>
      </c>
      <c r="O75" s="58">
        <f>SUM(O61+O65+O69+O73)</f>
        <v>86709916.900000006</v>
      </c>
      <c r="P75" s="120">
        <f>SUM(P61+P65+P69+P73)/4</f>
        <v>0.5</v>
      </c>
      <c r="Q75" s="60">
        <f>B75-M75</f>
        <v>5872971.7899999991</v>
      </c>
      <c r="R75" s="161">
        <f>SUM(R61+R65+R69+R73)</f>
        <v>14262456.52</v>
      </c>
      <c r="S75" s="148">
        <f>SUM(S61+S65+S69+S73)</f>
        <v>19450944.354347829</v>
      </c>
      <c r="T75" s="100">
        <f>B75+I75</f>
        <v>49638498.260000005</v>
      </c>
      <c r="U75" s="149">
        <f t="shared" si="21"/>
        <v>-86650732.816143557</v>
      </c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"/>
      <c r="N76" s="8"/>
      <c r="O76" s="4"/>
      <c r="P76" s="4"/>
      <c r="Q76" s="4"/>
      <c r="R76" s="2"/>
      <c r="S76" s="2"/>
      <c r="T76" s="4"/>
      <c r="U76" s="4"/>
    </row>
    <row r="77" spans="1:21" hidden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4"/>
      <c r="U77" s="4"/>
    </row>
    <row r="78" spans="1:21" hidden="1" outlineLevel="1" x14ac:dyDescent="0.2">
      <c r="A78" s="4"/>
      <c r="B78" s="9" t="s">
        <v>8</v>
      </c>
      <c r="C78" s="9"/>
      <c r="D78" s="4"/>
      <c r="E78" s="9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4"/>
      <c r="U78" s="4">
        <f>U75/19</f>
        <v>-4560564.8850601874</v>
      </c>
    </row>
    <row r="79" spans="1:21" hidden="1" outlineLevel="1" x14ac:dyDescent="0.2">
      <c r="A79" s="4"/>
      <c r="B79" s="10" t="s">
        <v>9</v>
      </c>
      <c r="C79" s="10"/>
      <c r="D79" s="4"/>
      <c r="E79" s="10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4"/>
      <c r="U79" s="4"/>
    </row>
    <row r="80" spans="1:21" collapsed="1" x14ac:dyDescent="0.2">
      <c r="A80" s="15" t="s">
        <v>5</v>
      </c>
      <c r="B80" s="4"/>
      <c r="C80" s="4"/>
      <c r="D80" s="4"/>
      <c r="E80" s="4"/>
      <c r="F80" s="4"/>
      <c r="G80" s="4"/>
      <c r="H80" s="4"/>
      <c r="I80" s="7">
        <f>B75+I75</f>
        <v>49638498.260000005</v>
      </c>
      <c r="J80" s="7">
        <f>C75+J75</f>
        <v>31806576.030000001</v>
      </c>
      <c r="K80" s="7"/>
      <c r="L80" s="170"/>
      <c r="M80" s="4"/>
      <c r="N80" s="4"/>
      <c r="O80" s="4"/>
      <c r="P80" s="4"/>
      <c r="Q80" s="4"/>
      <c r="R80" s="2"/>
      <c r="S80" s="2"/>
      <c r="T80" s="4"/>
      <c r="U80" s="4"/>
    </row>
    <row r="81" spans="1:21" x14ac:dyDescent="0.2">
      <c r="A81" s="15" t="s">
        <v>6</v>
      </c>
      <c r="B81" s="4"/>
      <c r="C81" s="4"/>
      <c r="D81" s="4"/>
      <c r="E81" s="4"/>
      <c r="F81" s="4"/>
      <c r="G81" s="4"/>
      <c r="H81" s="4"/>
      <c r="I81" s="7">
        <f>I80-H75</f>
        <v>-86650732.816143557</v>
      </c>
      <c r="J81" s="7">
        <f>J80-I75</f>
        <v>5453832.5599999987</v>
      </c>
      <c r="K81" s="7"/>
      <c r="L81" s="9"/>
      <c r="M81" s="4"/>
      <c r="N81" s="4"/>
      <c r="O81" s="4"/>
      <c r="P81" s="4"/>
      <c r="Q81" s="4"/>
      <c r="R81" s="2"/>
      <c r="S81" s="2"/>
      <c r="T81" s="68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/>
      <c r="M82" s="4"/>
      <c r="O82" s="4"/>
      <c r="Q82" s="4"/>
      <c r="R82" s="2"/>
      <c r="S82" s="2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/>
      <c r="M83" s="4"/>
      <c r="O83" s="4"/>
      <c r="Q83" s="4"/>
      <c r="R83" s="2"/>
      <c r="S83" s="2"/>
      <c r="T83" s="4"/>
      <c r="U83" s="4"/>
    </row>
    <row r="84" spans="1:21" x14ac:dyDescent="0.2">
      <c r="L84" s="1"/>
    </row>
    <row r="85" spans="1:21" x14ac:dyDescent="0.2">
      <c r="L85" s="1"/>
    </row>
    <row r="86" spans="1:21" x14ac:dyDescent="0.2">
      <c r="L86" s="1"/>
    </row>
    <row r="87" spans="1:21" x14ac:dyDescent="0.2">
      <c r="L87" s="1"/>
    </row>
    <row r="88" spans="1:21" x14ac:dyDescent="0.2">
      <c r="L88" s="1"/>
    </row>
    <row r="89" spans="1:21" x14ac:dyDescent="0.2">
      <c r="L89" s="1"/>
    </row>
    <row r="90" spans="1:21" x14ac:dyDescent="0.2">
      <c r="L90" s="1"/>
    </row>
    <row r="91" spans="1:21" x14ac:dyDescent="0.2">
      <c r="L91" s="1"/>
    </row>
    <row r="92" spans="1:21" x14ac:dyDescent="0.2">
      <c r="L92" s="1"/>
    </row>
    <row r="93" spans="1:21" x14ac:dyDescent="0.2">
      <c r="L93" s="1"/>
    </row>
  </sheetData>
  <mergeCells count="4">
    <mergeCell ref="A2:U2"/>
    <mergeCell ref="B28:U28"/>
    <mergeCell ref="A29:U29"/>
    <mergeCell ref="A56:U56"/>
  </mergeCells>
  <conditionalFormatting sqref="G5:G21 K5:L21 Q5:Q21 U5:U21 G31:G48 K31:L48 Q31:Q48 U31:U48">
    <cfRule type="cellIs" dxfId="21" priority="12" operator="equal">
      <formula>0.1</formula>
    </cfRule>
    <cfRule type="cellIs" dxfId="20" priority="13" operator="equal">
      <formula>0.2</formula>
    </cfRule>
    <cfRule type="cellIs" dxfId="19" priority="14" operator="equal">
      <formula>0.3</formula>
    </cfRule>
    <cfRule type="cellIs" dxfId="18" priority="15" operator="equal">
      <formula>0.4</formula>
    </cfRule>
    <cfRule type="cellIs" dxfId="17" priority="16" operator="equal">
      <formula>0.5</formula>
    </cfRule>
    <cfRule type="cellIs" dxfId="16" priority="17" operator="equal">
      <formula>0.6</formula>
    </cfRule>
    <cfRule type="cellIs" dxfId="15" priority="18" operator="equal">
      <formula>0.7</formula>
    </cfRule>
    <cfRule type="cellIs" dxfId="14" priority="19" operator="equal">
      <formula>0.8</formula>
    </cfRule>
    <cfRule type="cellIs" dxfId="13" priority="20" stopIfTrue="1" operator="lessThan">
      <formula>-1</formula>
    </cfRule>
    <cfRule type="cellIs" dxfId="12" priority="21" operator="greaterThan">
      <formula>0.9</formula>
    </cfRule>
    <cfRule type="cellIs" dxfId="11" priority="22" operator="equal">
      <formula>0</formula>
    </cfRule>
  </conditionalFormatting>
  <conditionalFormatting sqref="G58:G75 K58:L75 Q58:Q75 U58:U75">
    <cfRule type="cellIs" dxfId="10" priority="1" operator="equal">
      <formula>0.1</formula>
    </cfRule>
    <cfRule type="cellIs" dxfId="9" priority="2" operator="equal">
      <formula>0.2</formula>
    </cfRule>
    <cfRule type="cellIs" dxfId="8" priority="3" operator="equal">
      <formula>0.3</formula>
    </cfRule>
    <cfRule type="cellIs" dxfId="7" priority="4" operator="equal">
      <formula>0.4</formula>
    </cfRule>
    <cfRule type="cellIs" dxfId="6" priority="5" operator="equal">
      <formula>0.5</formula>
    </cfRule>
    <cfRule type="cellIs" dxfId="5" priority="6" operator="equal">
      <formula>0.6</formula>
    </cfRule>
    <cfRule type="cellIs" dxfId="4" priority="7" operator="equal">
      <formula>0.7</formula>
    </cfRule>
    <cfRule type="cellIs" dxfId="3" priority="8" operator="equal">
      <formula>0.8</formula>
    </cfRule>
    <cfRule type="cellIs" dxfId="2" priority="9" stopIfTrue="1" operator="lessThan">
      <formula>-1</formula>
    </cfRule>
    <cfRule type="cellIs" dxfId="1" priority="10" operator="greaterThan">
      <formula>0.9</formula>
    </cfRule>
    <cfRule type="cellIs" dxfId="0" priority="11" operator="equal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1139-a9fc-47d1-8319-bae223ecb20c">
      <Terms xmlns="http://schemas.microsoft.com/office/infopath/2007/PartnerControls"/>
    </lcf76f155ced4ddcb4097134ff3c332f>
    <TaxCatchAll xmlns="98ecb8f7-4519-46d9-9ae0-8c7f79632c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AD15A5033DC45BD437738B6B62D96" ma:contentTypeVersion="23" ma:contentTypeDescription="Create a new document." ma:contentTypeScope="" ma:versionID="8739b794e0954da58e73b922effc7c52">
  <xsd:schema xmlns:xsd="http://www.w3.org/2001/XMLSchema" xmlns:xs="http://www.w3.org/2001/XMLSchema" xmlns:p="http://schemas.microsoft.com/office/2006/metadata/properties" xmlns:ns2="8acd1139-a9fc-47d1-8319-bae223ecb20c" xmlns:ns3="98ecb8f7-4519-46d9-9ae0-8c7f79632ca6" targetNamespace="http://schemas.microsoft.com/office/2006/metadata/properties" ma:root="true" ma:fieldsID="84e1481e4561ca96287996768171efef" ns2:_="" ns3:_="">
    <xsd:import namespace="8acd1139-a9fc-47d1-8319-bae223ecb20c"/>
    <xsd:import namespace="98ecb8f7-4519-46d9-9ae0-8c7f79632c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1139-a9fc-47d1-8319-bae223ecb2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595bb4-1df8-4bde-a516-d92b872a9b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cb8f7-4519-46d9-9ae0-8c7f79632c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f64d1d3-1db7-4244-92c3-1abbaacc51d5}" ma:internalName="TaxCatchAll" ma:showField="CatchAllData" ma:web="98ecb8f7-4519-46d9-9ae0-8c7f79632c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8656C7-7F4B-48BF-B775-976A4385349F}">
  <ds:schemaRefs>
    <ds:schemaRef ds:uri="http://schemas.microsoft.com/office/2006/metadata/properties"/>
    <ds:schemaRef ds:uri="http://schemas.microsoft.com/office/infopath/2007/PartnerControls"/>
    <ds:schemaRef ds:uri="8acd1139-a9fc-47d1-8319-bae223ecb20c"/>
    <ds:schemaRef ds:uri="98ecb8f7-4519-46d9-9ae0-8c7f79632ca6"/>
  </ds:schemaRefs>
</ds:datastoreItem>
</file>

<file path=customXml/itemProps2.xml><?xml version="1.0" encoding="utf-8"?>
<ds:datastoreItem xmlns:ds="http://schemas.openxmlformats.org/officeDocument/2006/customXml" ds:itemID="{097764CE-5D3C-4661-A853-16108D6299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ABBA1C-CA08-4186-842D-67F7D7D18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1139-a9fc-47d1-8319-bae223ecb20c"/>
    <ds:schemaRef ds:uri="98ecb8f7-4519-46d9-9ae0-8c7f79632c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14Sep2026</vt:lpstr>
      <vt:lpstr>11Sep2026</vt:lpstr>
      <vt:lpstr>10Sep2026</vt:lpstr>
      <vt:lpstr>09Sep2026</vt:lpstr>
      <vt:lpstr>08Sep2026</vt:lpstr>
      <vt:lpstr>07Sep2026</vt:lpstr>
      <vt:lpstr>04Sep2026</vt:lpstr>
      <vt:lpstr>03Sep2026</vt:lpstr>
      <vt:lpstr>02Sep2026</vt:lpstr>
      <vt:lpstr>01Sep2026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Van der Westhuizen I Cheetah Plains</dc:creator>
  <cp:keywords/>
  <dc:description/>
  <cp:lastModifiedBy>Dawie Erasmus</cp:lastModifiedBy>
  <cp:revision/>
  <dcterms:created xsi:type="dcterms:W3CDTF">2025-02-10T07:51:58Z</dcterms:created>
  <dcterms:modified xsi:type="dcterms:W3CDTF">2026-09-14T11:13:32Z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0x010100812AD15A5033DC45BD437738B6B62D96</vt:lpwstr>
  </property>
  <property fmtid="{D5CDD505-2E9C-101B-9397-08002B2CF9AE}" pid="3" name="MediaServiceImageTags">
    <vt:lpwstr/>
  </property>
</Properties>
</file>