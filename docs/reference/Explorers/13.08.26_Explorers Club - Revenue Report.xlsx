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Explorers Club/Revenue Reports | EC/2026/"/>
    </mc:Choice>
  </mc:AlternateContent>
  <xr:revisionPtr revIDLastSave="0" documentId="13_ncr:1_{4C0F2AC6-3388-7D4A-BF29-9F03270C0D68}" xr6:coauthVersionLast="47" xr6:coauthVersionMax="47" xr10:uidLastSave="{00000000-0000-0000-0000-000000000000}"/>
  <bookViews>
    <workbookView xWindow="17580" yWindow="500" windowWidth="16020" windowHeight="20500" activeTab="5" xr2:uid="{529B9ECD-34EE-5444-862A-AF4A04B83C61}"/>
  </bookViews>
  <sheets>
    <sheet name="Overview" sheetId="9" r:id="rId1"/>
    <sheet name="Overall" sheetId="1" state="hidden" r:id="rId2"/>
    <sheet name="2025-6 F" sheetId="10" state="hidden" r:id="rId3"/>
    <sheet name="2026-7 F" sheetId="14" r:id="rId4"/>
    <sheet name="2025-6 WP" sheetId="13" state="hidden" r:id="rId5"/>
    <sheet name="2026-7 WP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5" l="1"/>
  <c r="C41" i="15"/>
  <c r="C33" i="15"/>
  <c r="C32" i="15"/>
  <c r="C15" i="15"/>
  <c r="CK32" i="14"/>
  <c r="CN22" i="14"/>
  <c r="CN21" i="14"/>
  <c r="CN20" i="14"/>
  <c r="CN19" i="14"/>
  <c r="CN18" i="14"/>
  <c r="CM20" i="14"/>
  <c r="CM19" i="14"/>
  <c r="CM18" i="14"/>
  <c r="CM22" i="14"/>
  <c r="CM21" i="14"/>
  <c r="CK19" i="14"/>
  <c r="CK20" i="14"/>
  <c r="CK21" i="14"/>
  <c r="CK22" i="14"/>
  <c r="CK23" i="14"/>
  <c r="CK24" i="14"/>
  <c r="CK25" i="14"/>
  <c r="CK26" i="14"/>
  <c r="CK27" i="14"/>
  <c r="CK28" i="14"/>
  <c r="CK29" i="14"/>
  <c r="CH19" i="14"/>
  <c r="CI19" i="14"/>
  <c r="CH20" i="14"/>
  <c r="CI20" i="14"/>
  <c r="CH21" i="14"/>
  <c r="CI21" i="14"/>
  <c r="CH22" i="14"/>
  <c r="CI22" i="14"/>
  <c r="CH23" i="14"/>
  <c r="CM23" i="14" s="1"/>
  <c r="CI23" i="14"/>
  <c r="CH24" i="14"/>
  <c r="CM24" i="14" s="1"/>
  <c r="CI24" i="14"/>
  <c r="CH25" i="14"/>
  <c r="CM25" i="14" s="1"/>
  <c r="CI25" i="14"/>
  <c r="CH26" i="14"/>
  <c r="CM26" i="14" s="1"/>
  <c r="CI26" i="14"/>
  <c r="CH27" i="14"/>
  <c r="CM27" i="14" s="1"/>
  <c r="CI27" i="14"/>
  <c r="CH28" i="14"/>
  <c r="CM28" i="14" s="1"/>
  <c r="CI28" i="14"/>
  <c r="CH29" i="14"/>
  <c r="CM29" i="14" s="1"/>
  <c r="CI29" i="14"/>
  <c r="CN29" i="14"/>
  <c r="CN28" i="14"/>
  <c r="CN27" i="14"/>
  <c r="CN26" i="14"/>
  <c r="CN25" i="14"/>
  <c r="CN24" i="14"/>
  <c r="CN23" i="14"/>
  <c r="CK18" i="14"/>
  <c r="CI18" i="14"/>
  <c r="CH18" i="14"/>
  <c r="CK4" i="14"/>
  <c r="CK5" i="14"/>
  <c r="CK6" i="14"/>
  <c r="CK7" i="14"/>
  <c r="CK8" i="14"/>
  <c r="CK9" i="14"/>
  <c r="CK10" i="14"/>
  <c r="CK11" i="14"/>
  <c r="CK12" i="14"/>
  <c r="CK13" i="14"/>
  <c r="CK14" i="14"/>
  <c r="CI14" i="14"/>
  <c r="CH14" i="14"/>
  <c r="CI13" i="14"/>
  <c r="CH13" i="14"/>
  <c r="CI12" i="14"/>
  <c r="CH12" i="14"/>
  <c r="CI11" i="14"/>
  <c r="CH11" i="14"/>
  <c r="CI10" i="14"/>
  <c r="CH10" i="14"/>
  <c r="CI9" i="14"/>
  <c r="CH9" i="14"/>
  <c r="CI8" i="14"/>
  <c r="CH8" i="14"/>
  <c r="CI7" i="14"/>
  <c r="CH7" i="14"/>
  <c r="CI6" i="14"/>
  <c r="CH6" i="14"/>
  <c r="CI5" i="14"/>
  <c r="CH5" i="14"/>
  <c r="CI4" i="14"/>
  <c r="CH4" i="14"/>
  <c r="CK3" i="14"/>
  <c r="CI3" i="14"/>
  <c r="CH3" i="14"/>
  <c r="BY43" i="14"/>
  <c r="BW43" i="14"/>
  <c r="BV43" i="14"/>
  <c r="BY42" i="14"/>
  <c r="BW42" i="14"/>
  <c r="BV42" i="14"/>
  <c r="BY41" i="14"/>
  <c r="BW41" i="14"/>
  <c r="BV41" i="14"/>
  <c r="BY40" i="14"/>
  <c r="BW40" i="14"/>
  <c r="BV40" i="14"/>
  <c r="BY39" i="14"/>
  <c r="BW39" i="14"/>
  <c r="BV39" i="14"/>
  <c r="BY38" i="14"/>
  <c r="BW38" i="14"/>
  <c r="BV38" i="14"/>
  <c r="BY37" i="14"/>
  <c r="BW37" i="14"/>
  <c r="BV37" i="14"/>
  <c r="BY36" i="14"/>
  <c r="BW36" i="14"/>
  <c r="BV36" i="14"/>
  <c r="BW35" i="14"/>
  <c r="BV35" i="14"/>
  <c r="BZ35" i="14" s="1"/>
  <c r="BY34" i="14"/>
  <c r="BW34" i="14"/>
  <c r="BV34" i="14"/>
  <c r="BZ34" i="14" s="1"/>
  <c r="BY33" i="14"/>
  <c r="BW33" i="14"/>
  <c r="BV33" i="14"/>
  <c r="BY32" i="14"/>
  <c r="BW32" i="14"/>
  <c r="BV32" i="14"/>
  <c r="CD29" i="14"/>
  <c r="CB29" i="14"/>
  <c r="CA29" i="14"/>
  <c r="BZ29" i="14"/>
  <c r="BX29" i="14"/>
  <c r="CD28" i="14"/>
  <c r="CB28" i="14"/>
  <c r="CA28" i="14"/>
  <c r="BZ28" i="14"/>
  <c r="BX28" i="14"/>
  <c r="CD27" i="14"/>
  <c r="CB27" i="14"/>
  <c r="CA27" i="14"/>
  <c r="BZ27" i="14"/>
  <c r="BX27" i="14"/>
  <c r="CD26" i="14"/>
  <c r="CB26" i="14"/>
  <c r="CA26" i="14"/>
  <c r="BZ26" i="14"/>
  <c r="BX26" i="14"/>
  <c r="CD25" i="14"/>
  <c r="CB25" i="14"/>
  <c r="CA25" i="14"/>
  <c r="BZ25" i="14"/>
  <c r="BX25" i="14"/>
  <c r="CD24" i="14"/>
  <c r="CB24" i="14"/>
  <c r="CA24" i="14"/>
  <c r="BZ24" i="14"/>
  <c r="BX24" i="14"/>
  <c r="CD23" i="14"/>
  <c r="CB23" i="14"/>
  <c r="CA23" i="14"/>
  <c r="BZ23" i="14"/>
  <c r="BX23" i="14"/>
  <c r="CD22" i="14"/>
  <c r="CB22" i="14"/>
  <c r="CA22" i="14"/>
  <c r="BZ22" i="14"/>
  <c r="BX22" i="14"/>
  <c r="CD21" i="14"/>
  <c r="CB21" i="14"/>
  <c r="CA21" i="14"/>
  <c r="CE21" i="14" s="1"/>
  <c r="BZ21" i="14"/>
  <c r="CD20" i="14"/>
  <c r="CB20" i="14"/>
  <c r="CA20" i="14"/>
  <c r="CE20" i="14" s="1"/>
  <c r="BZ20" i="14"/>
  <c r="CD19" i="14"/>
  <c r="CB19" i="14"/>
  <c r="CA19" i="14"/>
  <c r="CE19" i="14" s="1"/>
  <c r="BZ19" i="14"/>
  <c r="CD18" i="14"/>
  <c r="CB18" i="14"/>
  <c r="CA18" i="14"/>
  <c r="CE18" i="14" s="1"/>
  <c r="BZ18" i="14"/>
  <c r="BY15" i="14"/>
  <c r="BW15" i="14"/>
  <c r="BV15" i="14"/>
  <c r="BZ14" i="14"/>
  <c r="BX14" i="14"/>
  <c r="BZ13" i="14"/>
  <c r="BX13" i="14"/>
  <c r="BZ12" i="14"/>
  <c r="BX12" i="14"/>
  <c r="BZ11" i="14"/>
  <c r="BX11" i="14"/>
  <c r="BZ10" i="14"/>
  <c r="BX10" i="14"/>
  <c r="BZ9" i="14"/>
  <c r="BX9" i="14"/>
  <c r="BZ8" i="14"/>
  <c r="BX8" i="14"/>
  <c r="BZ7" i="14"/>
  <c r="BX7" i="14"/>
  <c r="BZ6" i="14"/>
  <c r="BZ5" i="14"/>
  <c r="BZ4" i="14"/>
  <c r="BZ3" i="14"/>
  <c r="Z37" i="14"/>
  <c r="BK43" i="14"/>
  <c r="BK42" i="14"/>
  <c r="BK41" i="14"/>
  <c r="BK40" i="14"/>
  <c r="BK39" i="14"/>
  <c r="BK38" i="14"/>
  <c r="BK37" i="14"/>
  <c r="BK36" i="14"/>
  <c r="BK35" i="14"/>
  <c r="BK34" i="14"/>
  <c r="BK33" i="14"/>
  <c r="BK32" i="14"/>
  <c r="BK15" i="14"/>
  <c r="AY42" i="14"/>
  <c r="AY41" i="14"/>
  <c r="AY40" i="14"/>
  <c r="AY39" i="14"/>
  <c r="AY15" i="14"/>
  <c r="AM43" i="14"/>
  <c r="AM42" i="14"/>
  <c r="AM41" i="14"/>
  <c r="AM40" i="14"/>
  <c r="AM39" i="14"/>
  <c r="AM38" i="14"/>
  <c r="AM37" i="14"/>
  <c r="AM36" i="14"/>
  <c r="AM34" i="14"/>
  <c r="AM33" i="14"/>
  <c r="AM32" i="14"/>
  <c r="AM15" i="14"/>
  <c r="AA43" i="14"/>
  <c r="AA42" i="14"/>
  <c r="AA41" i="14"/>
  <c r="AA40" i="14"/>
  <c r="AA36" i="14"/>
  <c r="AA35" i="14"/>
  <c r="AA34" i="14"/>
  <c r="AA33" i="14"/>
  <c r="AA32" i="14"/>
  <c r="AA15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15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15" i="14"/>
  <c r="Z36" i="14"/>
  <c r="H20" i="9"/>
  <c r="H19" i="9"/>
  <c r="H18" i="9"/>
  <c r="H17" i="9"/>
  <c r="H16" i="9"/>
  <c r="H15" i="9"/>
  <c r="G20" i="9"/>
  <c r="G19" i="9"/>
  <c r="G18" i="9"/>
  <c r="G17" i="9"/>
  <c r="G16" i="9"/>
  <c r="G15" i="9"/>
  <c r="C20" i="9"/>
  <c r="C19" i="9"/>
  <c r="C18" i="9"/>
  <c r="C17" i="9"/>
  <c r="C16" i="9"/>
  <c r="C15" i="9"/>
  <c r="B20" i="9"/>
  <c r="B19" i="9"/>
  <c r="B18" i="9"/>
  <c r="B17" i="9"/>
  <c r="B16" i="9"/>
  <c r="B15" i="9"/>
  <c r="N40" i="14"/>
  <c r="Z40" i="14"/>
  <c r="H9" i="9"/>
  <c r="H8" i="9"/>
  <c r="H7" i="9"/>
  <c r="H6" i="9"/>
  <c r="H5" i="9"/>
  <c r="H4" i="9"/>
  <c r="G9" i="9"/>
  <c r="G8" i="9"/>
  <c r="G7" i="9"/>
  <c r="G6" i="9"/>
  <c r="G5" i="9"/>
  <c r="G4" i="9"/>
  <c r="C9" i="9"/>
  <c r="C8" i="9"/>
  <c r="C7" i="9"/>
  <c r="C6" i="9"/>
  <c r="C5" i="9"/>
  <c r="C4" i="9"/>
  <c r="B9" i="9"/>
  <c r="B8" i="9"/>
  <c r="B7" i="9"/>
  <c r="B6" i="9"/>
  <c r="B5" i="9"/>
  <c r="B4" i="9"/>
  <c r="BJ35" i="14"/>
  <c r="AL37" i="14"/>
  <c r="AL39" i="14"/>
  <c r="C2" i="1"/>
  <c r="C15" i="1" s="1"/>
  <c r="B2" i="1"/>
  <c r="G15" i="1" s="1"/>
  <c r="B32" i="15"/>
  <c r="B33" i="15"/>
  <c r="Z34" i="14"/>
  <c r="BZ33" i="14" l="1"/>
  <c r="BZ32" i="14"/>
  <c r="BZ43" i="14"/>
  <c r="BX43" i="14"/>
  <c r="BZ42" i="14"/>
  <c r="BX42" i="14"/>
  <c r="BZ41" i="14"/>
  <c r="BX41" i="14"/>
  <c r="BZ40" i="14"/>
  <c r="BX40" i="14"/>
  <c r="BZ39" i="14"/>
  <c r="BX39" i="14"/>
  <c r="BZ38" i="14"/>
  <c r="BX38" i="14"/>
  <c r="BZ37" i="14"/>
  <c r="BX37" i="14"/>
  <c r="BX36" i="14"/>
  <c r="BZ36" i="14"/>
  <c r="CC29" i="14"/>
  <c r="CE29" i="14"/>
  <c r="CE28" i="14"/>
  <c r="CC28" i="14"/>
  <c r="CE27" i="14"/>
  <c r="CC27" i="14"/>
  <c r="CC26" i="14"/>
  <c r="CE26" i="14"/>
  <c r="CE25" i="14"/>
  <c r="CC25" i="14"/>
  <c r="CC24" i="14"/>
  <c r="CE24" i="14"/>
  <c r="CC23" i="14"/>
  <c r="CE23" i="14"/>
  <c r="CE22" i="14"/>
  <c r="CC22" i="14"/>
  <c r="BZ15" i="14"/>
  <c r="BX15" i="14"/>
  <c r="C22" i="9"/>
  <c r="D22" i="9" s="1"/>
  <c r="I18" i="9"/>
  <c r="D18" i="9"/>
  <c r="H22" i="9"/>
  <c r="I22" i="9" s="1"/>
  <c r="B22" i="9"/>
  <c r="I17" i="9"/>
  <c r="I16" i="9"/>
  <c r="G22" i="9"/>
  <c r="D20" i="9"/>
  <c r="I19" i="9"/>
  <c r="D17" i="9"/>
  <c r="I20" i="9"/>
  <c r="D19" i="9"/>
  <c r="D16" i="9"/>
  <c r="I15" i="9"/>
  <c r="D15" i="9"/>
  <c r="D9" i="9"/>
  <c r="D4" i="9"/>
  <c r="D8" i="9"/>
  <c r="D7" i="9"/>
  <c r="D6" i="9"/>
  <c r="D5" i="9"/>
  <c r="I9" i="9"/>
  <c r="I8" i="9"/>
  <c r="I7" i="9"/>
  <c r="I4" i="9"/>
  <c r="I5" i="9"/>
  <c r="I6" i="9"/>
  <c r="H11" i="9"/>
  <c r="I11" i="9" s="1"/>
  <c r="G11" i="9"/>
  <c r="C11" i="9"/>
  <c r="D11" i="9" s="1"/>
  <c r="B11" i="9"/>
  <c r="C29" i="1"/>
  <c r="H15" i="1"/>
  <c r="B29" i="1"/>
  <c r="B15" i="1"/>
  <c r="B15" i="15"/>
  <c r="C3" i="1"/>
  <c r="C4" i="1"/>
  <c r="C5" i="1"/>
  <c r="C6" i="1"/>
  <c r="C7" i="1"/>
  <c r="C8" i="1"/>
  <c r="C9" i="1"/>
  <c r="C10" i="1"/>
  <c r="C11" i="1"/>
  <c r="C12" i="1"/>
  <c r="C24" i="1"/>
  <c r="H24" i="1" s="1"/>
  <c r="C25" i="1"/>
  <c r="H25" i="1" s="1"/>
  <c r="C26" i="1"/>
  <c r="C27" i="1"/>
  <c r="H27" i="1" s="1"/>
  <c r="AN39" i="14"/>
  <c r="AL36" i="14"/>
  <c r="Z35" i="14"/>
  <c r="D43" i="15"/>
  <c r="B42" i="15"/>
  <c r="B41" i="15"/>
  <c r="E40" i="15"/>
  <c r="F40" i="15" s="1"/>
  <c r="D40" i="15"/>
  <c r="F39" i="15"/>
  <c r="D39" i="15"/>
  <c r="F38" i="15"/>
  <c r="D38" i="15"/>
  <c r="D37" i="15"/>
  <c r="E36" i="15"/>
  <c r="F36" i="15" s="1"/>
  <c r="D36" i="15"/>
  <c r="F34" i="15"/>
  <c r="F33" i="15"/>
  <c r="J29" i="15"/>
  <c r="H29" i="15"/>
  <c r="G29" i="15"/>
  <c r="K29" i="15" s="1"/>
  <c r="F29" i="15"/>
  <c r="E29" i="15"/>
  <c r="D29" i="15"/>
  <c r="J28" i="15"/>
  <c r="H28" i="15"/>
  <c r="G28" i="15"/>
  <c r="K28" i="15" s="1"/>
  <c r="F28" i="15"/>
  <c r="E28" i="15"/>
  <c r="D28" i="15"/>
  <c r="H27" i="15"/>
  <c r="G27" i="15"/>
  <c r="K27" i="15" s="1"/>
  <c r="F27" i="15"/>
  <c r="E27" i="15"/>
  <c r="J27" i="15" s="1"/>
  <c r="D27" i="15"/>
  <c r="H26" i="15"/>
  <c r="G26" i="15"/>
  <c r="F26" i="15"/>
  <c r="E26" i="15"/>
  <c r="J26" i="15" s="1"/>
  <c r="D26" i="15"/>
  <c r="H25" i="15"/>
  <c r="G25" i="15"/>
  <c r="F25" i="15"/>
  <c r="E25" i="15"/>
  <c r="J25" i="15" s="1"/>
  <c r="D25" i="15"/>
  <c r="H24" i="15"/>
  <c r="G24" i="15"/>
  <c r="K24" i="15" s="1"/>
  <c r="F24" i="15"/>
  <c r="E24" i="15"/>
  <c r="J24" i="15" s="1"/>
  <c r="D24" i="15"/>
  <c r="H23" i="15"/>
  <c r="G23" i="15"/>
  <c r="F23" i="15"/>
  <c r="E23" i="15"/>
  <c r="E37" i="15" s="1"/>
  <c r="F37" i="15" s="1"/>
  <c r="D23" i="15"/>
  <c r="H22" i="15"/>
  <c r="G22" i="15"/>
  <c r="F22" i="15"/>
  <c r="E22" i="15"/>
  <c r="J22" i="15" s="1"/>
  <c r="D22" i="15"/>
  <c r="H21" i="15"/>
  <c r="G21" i="15"/>
  <c r="F21" i="15"/>
  <c r="E21" i="15"/>
  <c r="J21" i="15" s="1"/>
  <c r="H20" i="15"/>
  <c r="G20" i="15"/>
  <c r="F20" i="15"/>
  <c r="E20" i="15"/>
  <c r="J20" i="15" s="1"/>
  <c r="H19" i="15"/>
  <c r="G19" i="15"/>
  <c r="K19" i="15" s="1"/>
  <c r="F19" i="15"/>
  <c r="E19" i="15"/>
  <c r="J19" i="15" s="1"/>
  <c r="H18" i="15"/>
  <c r="G18" i="15"/>
  <c r="F18" i="15"/>
  <c r="E18" i="15"/>
  <c r="J18" i="15" s="1"/>
  <c r="F14" i="15"/>
  <c r="E14" i="15"/>
  <c r="F43" i="15" s="1"/>
  <c r="D14" i="15"/>
  <c r="E13" i="15"/>
  <c r="F13" i="15" s="1"/>
  <c r="D13" i="15"/>
  <c r="E12" i="15"/>
  <c r="E41" i="15" s="1"/>
  <c r="D12" i="15"/>
  <c r="F11" i="15"/>
  <c r="E11" i="15"/>
  <c r="D11" i="15"/>
  <c r="E10" i="15"/>
  <c r="F10" i="15" s="1"/>
  <c r="D10" i="15"/>
  <c r="E9" i="15"/>
  <c r="F9" i="15" s="1"/>
  <c r="D9" i="15"/>
  <c r="F8" i="15"/>
  <c r="E8" i="15"/>
  <c r="D8" i="15"/>
  <c r="E7" i="15"/>
  <c r="F7" i="15" s="1"/>
  <c r="D7" i="15"/>
  <c r="F6" i="15"/>
  <c r="E6" i="15"/>
  <c r="E35" i="15" s="1"/>
  <c r="F35" i="15" s="1"/>
  <c r="E5" i="15"/>
  <c r="F5" i="15" s="1"/>
  <c r="E4" i="15"/>
  <c r="F4" i="15" s="1"/>
  <c r="F3" i="15"/>
  <c r="E3" i="15"/>
  <c r="E32" i="15" s="1"/>
  <c r="F32" i="15" s="1"/>
  <c r="J25" i="14"/>
  <c r="J23" i="14"/>
  <c r="BM43" i="14"/>
  <c r="BJ43" i="14"/>
  <c r="BN43" i="14" s="1"/>
  <c r="BA43" i="14"/>
  <c r="AZ43" i="14"/>
  <c r="AO43" i="14"/>
  <c r="AL43" i="14"/>
  <c r="AP43" i="14" s="1"/>
  <c r="AC43" i="14"/>
  <c r="Z43" i="14"/>
  <c r="AD43" i="14" s="1"/>
  <c r="Q43" i="14"/>
  <c r="N43" i="14"/>
  <c r="R43" i="14" s="1"/>
  <c r="E43" i="14"/>
  <c r="B43" i="14"/>
  <c r="F43" i="14" s="1"/>
  <c r="BM42" i="14"/>
  <c r="BJ42" i="14"/>
  <c r="BL42" i="14" s="1"/>
  <c r="BA42" i="14"/>
  <c r="AX42" i="14"/>
  <c r="AO42" i="14"/>
  <c r="AL42" i="14"/>
  <c r="AC42" i="14"/>
  <c r="Z42" i="14"/>
  <c r="AD42" i="14" s="1"/>
  <c r="Q42" i="14"/>
  <c r="N42" i="14"/>
  <c r="E42" i="14"/>
  <c r="B42" i="14"/>
  <c r="F42" i="14" s="1"/>
  <c r="BM41" i="14"/>
  <c r="BJ41" i="14"/>
  <c r="BL41" i="14" s="1"/>
  <c r="BA41" i="14"/>
  <c r="AX41" i="14"/>
  <c r="AZ41" i="14" s="1"/>
  <c r="AO41" i="14"/>
  <c r="AL41" i="14"/>
  <c r="AP41" i="14" s="1"/>
  <c r="AC41" i="14"/>
  <c r="Z41" i="14"/>
  <c r="Q41" i="14"/>
  <c r="N41" i="14"/>
  <c r="R41" i="14" s="1"/>
  <c r="E41" i="14"/>
  <c r="B41" i="14"/>
  <c r="D41" i="14" s="1"/>
  <c r="BM40" i="14"/>
  <c r="BJ40" i="14"/>
  <c r="BN40" i="14" s="1"/>
  <c r="AX40" i="14"/>
  <c r="BB40" i="14" s="1"/>
  <c r="AO40" i="14"/>
  <c r="AL40" i="14"/>
  <c r="AP40" i="14" s="1"/>
  <c r="AC40" i="14"/>
  <c r="AB40" i="14"/>
  <c r="Q40" i="14"/>
  <c r="E40" i="14"/>
  <c r="B40" i="14"/>
  <c r="BM39" i="14"/>
  <c r="BJ39" i="14"/>
  <c r="BN39" i="14" s="1"/>
  <c r="AX39" i="14"/>
  <c r="BB39" i="14" s="1"/>
  <c r="AO39" i="14"/>
  <c r="AC39" i="14"/>
  <c r="AD39" i="14" s="1"/>
  <c r="AB39" i="14"/>
  <c r="Q39" i="14"/>
  <c r="N39" i="14"/>
  <c r="R39" i="14" s="1"/>
  <c r="E39" i="14"/>
  <c r="B39" i="14"/>
  <c r="BM38" i="14"/>
  <c r="BJ38" i="14"/>
  <c r="BA38" i="14"/>
  <c r="AZ38" i="14"/>
  <c r="AL38" i="14"/>
  <c r="AN38" i="14" s="1"/>
  <c r="AC38" i="14"/>
  <c r="AB38" i="14"/>
  <c r="Q38" i="14"/>
  <c r="N38" i="14"/>
  <c r="P38" i="14" s="1"/>
  <c r="E38" i="14"/>
  <c r="B38" i="14"/>
  <c r="BM37" i="14"/>
  <c r="BJ37" i="14"/>
  <c r="BA37" i="14"/>
  <c r="BB37" i="14" s="1"/>
  <c r="AZ37" i="14"/>
  <c r="AO37" i="14"/>
  <c r="AN37" i="14"/>
  <c r="AC37" i="14"/>
  <c r="AD37" i="14" s="1"/>
  <c r="AB37" i="14"/>
  <c r="Q37" i="14"/>
  <c r="N37" i="14"/>
  <c r="R37" i="14" s="1"/>
  <c r="E37" i="14"/>
  <c r="B37" i="14"/>
  <c r="F37" i="14" s="1"/>
  <c r="BM36" i="14"/>
  <c r="BJ36" i="14"/>
  <c r="BN36" i="14" s="1"/>
  <c r="BA36" i="14"/>
  <c r="BB36" i="14" s="1"/>
  <c r="AZ36" i="14"/>
  <c r="AO36" i="14"/>
  <c r="AC36" i="14"/>
  <c r="AB36" i="14"/>
  <c r="Q36" i="14"/>
  <c r="N36" i="14"/>
  <c r="R36" i="14" s="1"/>
  <c r="E36" i="14"/>
  <c r="B36" i="14"/>
  <c r="BN35" i="14"/>
  <c r="BA35" i="14"/>
  <c r="AO35" i="14"/>
  <c r="AC35" i="14"/>
  <c r="Q35" i="14"/>
  <c r="N35" i="14"/>
  <c r="R35" i="14" s="1"/>
  <c r="E35" i="14"/>
  <c r="B35" i="14"/>
  <c r="F35" i="14" s="1"/>
  <c r="BM34" i="14"/>
  <c r="BJ34" i="14"/>
  <c r="BA34" i="14"/>
  <c r="AO34" i="14"/>
  <c r="AL34" i="14"/>
  <c r="AC34" i="14"/>
  <c r="AD34" i="14"/>
  <c r="Q34" i="14"/>
  <c r="N34" i="14"/>
  <c r="E34" i="14"/>
  <c r="B34" i="14"/>
  <c r="F34" i="14" s="1"/>
  <c r="BM33" i="14"/>
  <c r="BJ33" i="14"/>
  <c r="BN33" i="14" s="1"/>
  <c r="BA33" i="14"/>
  <c r="BB33" i="14" s="1"/>
  <c r="AO33" i="14"/>
  <c r="AL33" i="14"/>
  <c r="AP33" i="14" s="1"/>
  <c r="AC33" i="14"/>
  <c r="Z33" i="14"/>
  <c r="AD33" i="14" s="1"/>
  <c r="Q33" i="14"/>
  <c r="N33" i="14"/>
  <c r="E33" i="14"/>
  <c r="B33" i="14"/>
  <c r="BM32" i="14"/>
  <c r="BJ32" i="14"/>
  <c r="BA32" i="14"/>
  <c r="BB32" i="14" s="1"/>
  <c r="AO32" i="14"/>
  <c r="AL32" i="14"/>
  <c r="AC32" i="14"/>
  <c r="Z32" i="14"/>
  <c r="AD32" i="14" s="1"/>
  <c r="Q32" i="14"/>
  <c r="N32" i="14"/>
  <c r="E32" i="14"/>
  <c r="B32" i="14"/>
  <c r="F32" i="14" s="1"/>
  <c r="BR29" i="14"/>
  <c r="BP29" i="14"/>
  <c r="BO29" i="14"/>
  <c r="BN29" i="14"/>
  <c r="BL29" i="14"/>
  <c r="BF29" i="14"/>
  <c r="BD29" i="14"/>
  <c r="BC29" i="14"/>
  <c r="BG29" i="14" s="1"/>
  <c r="BB29" i="14"/>
  <c r="AZ29" i="14"/>
  <c r="AT29" i="14"/>
  <c r="AR29" i="14"/>
  <c r="AQ29" i="14"/>
  <c r="AU29" i="14" s="1"/>
  <c r="AP29" i="14"/>
  <c r="AN29" i="14"/>
  <c r="AH29" i="14"/>
  <c r="AF29" i="14"/>
  <c r="AE29" i="14"/>
  <c r="AI29" i="14" s="1"/>
  <c r="AD29" i="14"/>
  <c r="AB29" i="14"/>
  <c r="V29" i="14"/>
  <c r="T29" i="14"/>
  <c r="S29" i="14"/>
  <c r="R29" i="14"/>
  <c r="P29" i="14"/>
  <c r="J29" i="14"/>
  <c r="H29" i="14"/>
  <c r="G29" i="14"/>
  <c r="F29" i="14"/>
  <c r="D29" i="14"/>
  <c r="CP28" i="14"/>
  <c r="BR28" i="14"/>
  <c r="BP28" i="14"/>
  <c r="BO28" i="14"/>
  <c r="BN28" i="14"/>
  <c r="BL28" i="14"/>
  <c r="BF28" i="14"/>
  <c r="BD28" i="14"/>
  <c r="BC28" i="14"/>
  <c r="BB28" i="14"/>
  <c r="AZ28" i="14"/>
  <c r="AT28" i="14"/>
  <c r="AR28" i="14"/>
  <c r="AQ28" i="14"/>
  <c r="AP28" i="14"/>
  <c r="AN28" i="14"/>
  <c r="AH28" i="14"/>
  <c r="AF28" i="14"/>
  <c r="AE28" i="14"/>
  <c r="AI28" i="14" s="1"/>
  <c r="AD28" i="14"/>
  <c r="AB28" i="14"/>
  <c r="V28" i="14"/>
  <c r="T28" i="14"/>
  <c r="S28" i="14"/>
  <c r="R28" i="14"/>
  <c r="P28" i="14"/>
  <c r="J28" i="14"/>
  <c r="H28" i="14"/>
  <c r="G28" i="14"/>
  <c r="K28" i="14" s="1"/>
  <c r="F28" i="14"/>
  <c r="D28" i="14"/>
  <c r="E27" i="1"/>
  <c r="BR27" i="14"/>
  <c r="BP27" i="14"/>
  <c r="BO27" i="14"/>
  <c r="BN27" i="14"/>
  <c r="BL27" i="14"/>
  <c r="BF27" i="14"/>
  <c r="BD27" i="14"/>
  <c r="BC27" i="14"/>
  <c r="BG27" i="14" s="1"/>
  <c r="BB27" i="14"/>
  <c r="AZ27" i="14"/>
  <c r="AT27" i="14"/>
  <c r="AR27" i="14"/>
  <c r="AQ27" i="14"/>
  <c r="AU27" i="14" s="1"/>
  <c r="AP27" i="14"/>
  <c r="AN27" i="14"/>
  <c r="AH27" i="14"/>
  <c r="AF27" i="14"/>
  <c r="AE27" i="14"/>
  <c r="AI27" i="14" s="1"/>
  <c r="AD27" i="14"/>
  <c r="AB27" i="14"/>
  <c r="V27" i="14"/>
  <c r="T27" i="14"/>
  <c r="S27" i="14"/>
  <c r="R27" i="14"/>
  <c r="P27" i="14"/>
  <c r="J27" i="14"/>
  <c r="H27" i="14"/>
  <c r="G27" i="14"/>
  <c r="F27" i="14"/>
  <c r="D27" i="14"/>
  <c r="B26" i="1"/>
  <c r="BR26" i="14"/>
  <c r="BP26" i="14"/>
  <c r="BO26" i="14"/>
  <c r="BN26" i="14"/>
  <c r="BL26" i="14"/>
  <c r="BF26" i="14"/>
  <c r="BD26" i="14"/>
  <c r="BC26" i="14"/>
  <c r="BB26" i="14"/>
  <c r="AZ26" i="14"/>
  <c r="AT26" i="14"/>
  <c r="AR26" i="14"/>
  <c r="AQ26" i="14"/>
  <c r="AP26" i="14"/>
  <c r="AN26" i="14"/>
  <c r="AH26" i="14"/>
  <c r="AF26" i="14"/>
  <c r="AE26" i="14"/>
  <c r="AI26" i="14" s="1"/>
  <c r="AD26" i="14"/>
  <c r="AB26" i="14"/>
  <c r="V26" i="14"/>
  <c r="T26" i="14"/>
  <c r="S26" i="14"/>
  <c r="R26" i="14"/>
  <c r="P26" i="14"/>
  <c r="J26" i="14"/>
  <c r="H26" i="14"/>
  <c r="G26" i="14"/>
  <c r="K26" i="14" s="1"/>
  <c r="F26" i="14"/>
  <c r="D26" i="14"/>
  <c r="E25" i="1"/>
  <c r="J25" i="1" s="1"/>
  <c r="B25" i="1"/>
  <c r="BR25" i="14"/>
  <c r="BP25" i="14"/>
  <c r="BO25" i="14"/>
  <c r="BN25" i="14"/>
  <c r="BL25" i="14"/>
  <c r="BF25" i="14"/>
  <c r="BD25" i="14"/>
  <c r="BC25" i="14"/>
  <c r="BG25" i="14" s="1"/>
  <c r="BB25" i="14"/>
  <c r="AZ25" i="14"/>
  <c r="AT25" i="14"/>
  <c r="AR25" i="14"/>
  <c r="AQ25" i="14"/>
  <c r="AP25" i="14"/>
  <c r="AN25" i="14"/>
  <c r="AH25" i="14"/>
  <c r="AF25" i="14"/>
  <c r="AE25" i="14"/>
  <c r="AI25" i="14" s="1"/>
  <c r="AD25" i="14"/>
  <c r="AB25" i="14"/>
  <c r="V25" i="14"/>
  <c r="T25" i="14"/>
  <c r="S25" i="14"/>
  <c r="W25" i="14" s="1"/>
  <c r="R25" i="14"/>
  <c r="P25" i="14"/>
  <c r="H25" i="14"/>
  <c r="G25" i="14"/>
  <c r="F25" i="14"/>
  <c r="D25" i="14"/>
  <c r="BR24" i="14"/>
  <c r="BP24" i="14"/>
  <c r="BO24" i="14"/>
  <c r="BS24" i="14" s="1"/>
  <c r="BN24" i="14"/>
  <c r="BL24" i="14"/>
  <c r="BF24" i="14"/>
  <c r="BD24" i="14"/>
  <c r="BC24" i="14"/>
  <c r="BB24" i="14"/>
  <c r="AZ24" i="14"/>
  <c r="AT24" i="14"/>
  <c r="AR24" i="14"/>
  <c r="AQ24" i="14"/>
  <c r="AP24" i="14"/>
  <c r="AN24" i="14"/>
  <c r="AH24" i="14"/>
  <c r="AF24" i="14"/>
  <c r="AE24" i="14"/>
  <c r="AI24" i="14" s="1"/>
  <c r="AD24" i="14"/>
  <c r="AB24" i="14"/>
  <c r="V24" i="14"/>
  <c r="T24" i="14"/>
  <c r="S24" i="14"/>
  <c r="R24" i="14"/>
  <c r="P24" i="14"/>
  <c r="J24" i="14"/>
  <c r="H24" i="14"/>
  <c r="G24" i="14"/>
  <c r="K24" i="14" s="1"/>
  <c r="F24" i="14"/>
  <c r="D24" i="14"/>
  <c r="E23" i="1"/>
  <c r="J23" i="1" s="1"/>
  <c r="BR23" i="14"/>
  <c r="BP23" i="14"/>
  <c r="BO23" i="14"/>
  <c r="BN23" i="14"/>
  <c r="BL23" i="14"/>
  <c r="BF23" i="14"/>
  <c r="BD23" i="14"/>
  <c r="BC23" i="14"/>
  <c r="BG23" i="14" s="1"/>
  <c r="BB23" i="14"/>
  <c r="AZ23" i="14"/>
  <c r="AT23" i="14"/>
  <c r="AR23" i="14"/>
  <c r="AQ23" i="14"/>
  <c r="AU23" i="14" s="1"/>
  <c r="AP23" i="14"/>
  <c r="AN23" i="14"/>
  <c r="AH23" i="14"/>
  <c r="AF23" i="14"/>
  <c r="AE23" i="14"/>
  <c r="AI23" i="14" s="1"/>
  <c r="AD23" i="14"/>
  <c r="AB23" i="14"/>
  <c r="V23" i="14"/>
  <c r="T23" i="14"/>
  <c r="S23" i="14"/>
  <c r="W23" i="14" s="1"/>
  <c r="R23" i="14"/>
  <c r="P23" i="14"/>
  <c r="H23" i="14"/>
  <c r="G23" i="14"/>
  <c r="F23" i="14"/>
  <c r="D23" i="14"/>
  <c r="BR22" i="14"/>
  <c r="BP22" i="14"/>
  <c r="BO22" i="14"/>
  <c r="BS22" i="14" s="1"/>
  <c r="BN22" i="14"/>
  <c r="BL22" i="14"/>
  <c r="BF22" i="14"/>
  <c r="BD22" i="14"/>
  <c r="BC22" i="14"/>
  <c r="BB22" i="14"/>
  <c r="AZ22" i="14"/>
  <c r="AT22" i="14"/>
  <c r="AR22" i="14"/>
  <c r="AQ22" i="14"/>
  <c r="AP22" i="14"/>
  <c r="AN22" i="14"/>
  <c r="AH22" i="14"/>
  <c r="AF22" i="14"/>
  <c r="AE22" i="14"/>
  <c r="AI22" i="14" s="1"/>
  <c r="AD22" i="14"/>
  <c r="AB22" i="14"/>
  <c r="V22" i="14"/>
  <c r="T22" i="14"/>
  <c r="S22" i="14"/>
  <c r="R22" i="14"/>
  <c r="P22" i="14"/>
  <c r="J22" i="14"/>
  <c r="H22" i="14"/>
  <c r="G22" i="14"/>
  <c r="K22" i="14" s="1"/>
  <c r="F22" i="14"/>
  <c r="D22" i="14"/>
  <c r="E16" i="1"/>
  <c r="BR21" i="14"/>
  <c r="BP21" i="14"/>
  <c r="BO21" i="14"/>
  <c r="BS21" i="14" s="1"/>
  <c r="BN21" i="14"/>
  <c r="BF21" i="14"/>
  <c r="BD21" i="14"/>
  <c r="BC21" i="14"/>
  <c r="BG21" i="14" s="1"/>
  <c r="BB21" i="14"/>
  <c r="AT21" i="14"/>
  <c r="AR21" i="14"/>
  <c r="AQ21" i="14"/>
  <c r="AU21" i="14" s="1"/>
  <c r="AP21" i="14"/>
  <c r="AH21" i="14"/>
  <c r="AF21" i="14"/>
  <c r="AE21" i="14"/>
  <c r="AI21" i="14" s="1"/>
  <c r="AD21" i="14"/>
  <c r="V21" i="14"/>
  <c r="T21" i="14"/>
  <c r="S21" i="14"/>
  <c r="W21" i="14" s="1"/>
  <c r="R21" i="14"/>
  <c r="J21" i="14"/>
  <c r="H21" i="14"/>
  <c r="G21" i="14"/>
  <c r="F21" i="14"/>
  <c r="CP20" i="14"/>
  <c r="BR20" i="14"/>
  <c r="BP20" i="14"/>
  <c r="BO20" i="14"/>
  <c r="BS20" i="14" s="1"/>
  <c r="BN20" i="14"/>
  <c r="BF20" i="14"/>
  <c r="BD20" i="14"/>
  <c r="BC20" i="14"/>
  <c r="BB20" i="14"/>
  <c r="AT20" i="14"/>
  <c r="AR20" i="14"/>
  <c r="AQ20" i="14"/>
  <c r="AP20" i="14"/>
  <c r="AH20" i="14"/>
  <c r="AF20" i="14"/>
  <c r="AE20" i="14"/>
  <c r="AI20" i="14" s="1"/>
  <c r="AD20" i="14"/>
  <c r="V20" i="14"/>
  <c r="T20" i="14"/>
  <c r="S20" i="14"/>
  <c r="R20" i="14"/>
  <c r="J20" i="14"/>
  <c r="H20" i="14"/>
  <c r="G20" i="14"/>
  <c r="K20" i="14" s="1"/>
  <c r="F20" i="14"/>
  <c r="BR19" i="14"/>
  <c r="BP19" i="14"/>
  <c r="BO19" i="14"/>
  <c r="BN19" i="14"/>
  <c r="BF19" i="14"/>
  <c r="BD19" i="14"/>
  <c r="BC19" i="14"/>
  <c r="BG19" i="14" s="1"/>
  <c r="BB19" i="14"/>
  <c r="AT19" i="14"/>
  <c r="AR19" i="14"/>
  <c r="AQ19" i="14"/>
  <c r="AU19" i="14" s="1"/>
  <c r="AP19" i="14"/>
  <c r="AH19" i="14"/>
  <c r="AF19" i="14"/>
  <c r="AE19" i="14"/>
  <c r="AI19" i="14" s="1"/>
  <c r="AD19" i="14"/>
  <c r="V19" i="14"/>
  <c r="T19" i="14"/>
  <c r="S19" i="14"/>
  <c r="W19" i="14" s="1"/>
  <c r="R19" i="14"/>
  <c r="J19" i="14"/>
  <c r="H19" i="14"/>
  <c r="G19" i="14"/>
  <c r="F19" i="14"/>
  <c r="CP18" i="14"/>
  <c r="BR18" i="14"/>
  <c r="BP18" i="14"/>
  <c r="BO18" i="14"/>
  <c r="BS18" i="14" s="1"/>
  <c r="BN18" i="14"/>
  <c r="BF18" i="14"/>
  <c r="BD18" i="14"/>
  <c r="BC18" i="14"/>
  <c r="BB18" i="14"/>
  <c r="AT18" i="14"/>
  <c r="AR18" i="14"/>
  <c r="AQ18" i="14"/>
  <c r="AP18" i="14"/>
  <c r="AH18" i="14"/>
  <c r="AF18" i="14"/>
  <c r="AE18" i="14"/>
  <c r="AI18" i="14" s="1"/>
  <c r="AD18" i="14"/>
  <c r="V18" i="14"/>
  <c r="T18" i="14"/>
  <c r="S18" i="14"/>
  <c r="W18" i="14" s="1"/>
  <c r="R18" i="14"/>
  <c r="J18" i="14"/>
  <c r="H18" i="14"/>
  <c r="G18" i="14"/>
  <c r="K18" i="14" s="1"/>
  <c r="F18" i="14"/>
  <c r="BM15" i="14"/>
  <c r="BJ15" i="14"/>
  <c r="BA15" i="14"/>
  <c r="AX15" i="14"/>
  <c r="AO15" i="14"/>
  <c r="AL15" i="14"/>
  <c r="AP15" i="14" s="1"/>
  <c r="AC15" i="14"/>
  <c r="Z15" i="14"/>
  <c r="Q15" i="14"/>
  <c r="N15" i="14"/>
  <c r="R15" i="14" s="1"/>
  <c r="E15" i="14"/>
  <c r="B15" i="14"/>
  <c r="BN14" i="14"/>
  <c r="BL14" i="14"/>
  <c r="BB14" i="14"/>
  <c r="AZ14" i="14"/>
  <c r="AP14" i="14"/>
  <c r="AN14" i="14"/>
  <c r="AD14" i="14"/>
  <c r="AB14" i="14"/>
  <c r="R14" i="14"/>
  <c r="P14" i="14"/>
  <c r="F14" i="14"/>
  <c r="D14" i="14"/>
  <c r="BN13" i="14"/>
  <c r="BL13" i="14"/>
  <c r="BB13" i="14"/>
  <c r="AZ13" i="14"/>
  <c r="AP13" i="14"/>
  <c r="AN13" i="14"/>
  <c r="AD13" i="14"/>
  <c r="AB13" i="14"/>
  <c r="R13" i="14"/>
  <c r="P13" i="14"/>
  <c r="F13" i="14"/>
  <c r="D13" i="14"/>
  <c r="E12" i="1"/>
  <c r="B12" i="1"/>
  <c r="BN12" i="14"/>
  <c r="BL12" i="14"/>
  <c r="BB12" i="14"/>
  <c r="AZ12" i="14"/>
  <c r="AP12" i="14"/>
  <c r="AN12" i="14"/>
  <c r="AD12" i="14"/>
  <c r="AB12" i="14"/>
  <c r="R12" i="14"/>
  <c r="P12" i="14"/>
  <c r="F12" i="14"/>
  <c r="D12" i="14"/>
  <c r="E11" i="1"/>
  <c r="B11" i="1"/>
  <c r="BN11" i="14"/>
  <c r="BL11" i="14"/>
  <c r="BB11" i="14"/>
  <c r="AZ11" i="14"/>
  <c r="AP11" i="14"/>
  <c r="AN11" i="14"/>
  <c r="AD11" i="14"/>
  <c r="AB11" i="14"/>
  <c r="R11" i="14"/>
  <c r="P11" i="14"/>
  <c r="F11" i="14"/>
  <c r="D11" i="14"/>
  <c r="E10" i="1"/>
  <c r="B10" i="1"/>
  <c r="BN10" i="14"/>
  <c r="BL10" i="14"/>
  <c r="BB10" i="14"/>
  <c r="AZ10" i="14"/>
  <c r="AP10" i="14"/>
  <c r="AN10" i="14"/>
  <c r="AD10" i="14"/>
  <c r="AB10" i="14"/>
  <c r="R10" i="14"/>
  <c r="P10" i="14"/>
  <c r="F10" i="14"/>
  <c r="D10" i="14"/>
  <c r="E9" i="1"/>
  <c r="B9" i="1"/>
  <c r="BN9" i="14"/>
  <c r="BL9" i="14"/>
  <c r="BB9" i="14"/>
  <c r="AZ9" i="14"/>
  <c r="AP9" i="14"/>
  <c r="AN9" i="14"/>
  <c r="AD9" i="14"/>
  <c r="AB9" i="14"/>
  <c r="R9" i="14"/>
  <c r="P9" i="14"/>
  <c r="F9" i="14"/>
  <c r="D9" i="14"/>
  <c r="E8" i="1"/>
  <c r="BN8" i="14"/>
  <c r="BL8" i="14"/>
  <c r="BB8" i="14"/>
  <c r="AZ8" i="14"/>
  <c r="AP8" i="14"/>
  <c r="AN8" i="14"/>
  <c r="AD8" i="14"/>
  <c r="AB8" i="14"/>
  <c r="R8" i="14"/>
  <c r="P8" i="14"/>
  <c r="F8" i="14"/>
  <c r="D8" i="14"/>
  <c r="E7" i="1"/>
  <c r="B7" i="1"/>
  <c r="BN7" i="14"/>
  <c r="BL7" i="14"/>
  <c r="BB7" i="14"/>
  <c r="AZ7" i="14"/>
  <c r="AP7" i="14"/>
  <c r="AN7" i="14"/>
  <c r="AD7" i="14"/>
  <c r="AB7" i="14"/>
  <c r="R7" i="14"/>
  <c r="P7" i="14"/>
  <c r="F7" i="14"/>
  <c r="D7" i="14"/>
  <c r="E6" i="1"/>
  <c r="BN6" i="14"/>
  <c r="BB6" i="14"/>
  <c r="AP6" i="14"/>
  <c r="AD6" i="14"/>
  <c r="R6" i="14"/>
  <c r="F6" i="14"/>
  <c r="E5" i="1"/>
  <c r="B5" i="1"/>
  <c r="BN5" i="14"/>
  <c r="BB5" i="14"/>
  <c r="AP5" i="14"/>
  <c r="AD5" i="14"/>
  <c r="R5" i="14"/>
  <c r="F5" i="14"/>
  <c r="E4" i="1"/>
  <c r="B4" i="1"/>
  <c r="BN4" i="14"/>
  <c r="BB4" i="14"/>
  <c r="AP4" i="14"/>
  <c r="AD4" i="14"/>
  <c r="R4" i="14"/>
  <c r="F4" i="14"/>
  <c r="E3" i="1"/>
  <c r="B3" i="1"/>
  <c r="BN3" i="14"/>
  <c r="BB3" i="14"/>
  <c r="AP3" i="14"/>
  <c r="AD3" i="14"/>
  <c r="R3" i="14"/>
  <c r="F3" i="14"/>
  <c r="BP7" i="10"/>
  <c r="BQ3" i="10"/>
  <c r="BQ4" i="10"/>
  <c r="BQ5" i="10"/>
  <c r="BQ6" i="10"/>
  <c r="BQ7" i="10"/>
  <c r="BQ8" i="10"/>
  <c r="BQ37" i="10" s="1"/>
  <c r="BQ9" i="10"/>
  <c r="BQ38" i="10" s="1"/>
  <c r="BQ10" i="10"/>
  <c r="BQ39" i="10" s="1"/>
  <c r="BQ11" i="10"/>
  <c r="BQ12" i="10"/>
  <c r="BQ13" i="10"/>
  <c r="BQ14" i="10"/>
  <c r="BQ18" i="10"/>
  <c r="BQ19" i="10"/>
  <c r="BQ33" i="10" s="1"/>
  <c r="BQ20" i="10"/>
  <c r="BQ34" i="10" s="1"/>
  <c r="BQ21" i="10"/>
  <c r="BQ35" i="10" s="1"/>
  <c r="BQ22" i="10"/>
  <c r="BQ23" i="10"/>
  <c r="BQ24" i="10"/>
  <c r="BQ25" i="10"/>
  <c r="BQ26" i="10"/>
  <c r="BQ27" i="10"/>
  <c r="BQ41" i="10" s="1"/>
  <c r="BQ28" i="10"/>
  <c r="BQ42" i="10" s="1"/>
  <c r="BQ29" i="10"/>
  <c r="BQ43" i="10" s="1"/>
  <c r="BQ36" i="10"/>
  <c r="BF43" i="10"/>
  <c r="BF42" i="10"/>
  <c r="BF41" i="10"/>
  <c r="BF40" i="10"/>
  <c r="BF39" i="10"/>
  <c r="BF38" i="10"/>
  <c r="BF37" i="10"/>
  <c r="BF36" i="10"/>
  <c r="BF34" i="10"/>
  <c r="BF33" i="10"/>
  <c r="BF32" i="10"/>
  <c r="BF15" i="10"/>
  <c r="AU43" i="10"/>
  <c r="AU42" i="10"/>
  <c r="AU41" i="10"/>
  <c r="AU38" i="10"/>
  <c r="AU37" i="10"/>
  <c r="AU36" i="10"/>
  <c r="AU35" i="10"/>
  <c r="AU34" i="10"/>
  <c r="AU33" i="10"/>
  <c r="AU32" i="10"/>
  <c r="AU15" i="10"/>
  <c r="AJ43" i="10"/>
  <c r="AJ42" i="10"/>
  <c r="AJ41" i="10"/>
  <c r="AJ40" i="10"/>
  <c r="AJ39" i="10"/>
  <c r="AJ37" i="10"/>
  <c r="AJ36" i="10"/>
  <c r="AJ35" i="10"/>
  <c r="AJ34" i="10"/>
  <c r="AJ33" i="10"/>
  <c r="AJ32" i="10"/>
  <c r="AJ15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1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15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15" i="10"/>
  <c r="M43" i="10"/>
  <c r="B43" i="10"/>
  <c r="X43" i="10"/>
  <c r="C42" i="13"/>
  <c r="C41" i="13"/>
  <c r="C40" i="13"/>
  <c r="C37" i="13"/>
  <c r="C36" i="13"/>
  <c r="C35" i="13"/>
  <c r="C32" i="13"/>
  <c r="C15" i="13"/>
  <c r="BB42" i="14" l="1"/>
  <c r="CL6" i="14"/>
  <c r="B6" i="1"/>
  <c r="F5" i="1"/>
  <c r="D5" i="1"/>
  <c r="D4" i="1"/>
  <c r="F4" i="1"/>
  <c r="D3" i="1"/>
  <c r="F3" i="1"/>
  <c r="CL8" i="14"/>
  <c r="B8" i="1"/>
  <c r="D8" i="1" s="1"/>
  <c r="F15" i="14"/>
  <c r="R40" i="14"/>
  <c r="AU25" i="14"/>
  <c r="CK43" i="14"/>
  <c r="AD36" i="14"/>
  <c r="BB35" i="14"/>
  <c r="BB34" i="14"/>
  <c r="CK40" i="14"/>
  <c r="CK39" i="14"/>
  <c r="CK38" i="14"/>
  <c r="CK37" i="14"/>
  <c r="CK36" i="14"/>
  <c r="CK35" i="14"/>
  <c r="E37" i="1"/>
  <c r="AP36" i="14"/>
  <c r="BB43" i="14"/>
  <c r="AD40" i="14"/>
  <c r="BB38" i="14"/>
  <c r="AD38" i="14"/>
  <c r="E41" i="1"/>
  <c r="J27" i="1"/>
  <c r="CP26" i="14"/>
  <c r="E26" i="1"/>
  <c r="J26" i="1" s="1"/>
  <c r="CP24" i="14"/>
  <c r="E24" i="1"/>
  <c r="J24" i="1" s="1"/>
  <c r="CP22" i="14"/>
  <c r="E22" i="1"/>
  <c r="E40" i="1"/>
  <c r="E39" i="1"/>
  <c r="U24" i="14"/>
  <c r="B27" i="1"/>
  <c r="G27" i="1" s="1"/>
  <c r="F26" i="1"/>
  <c r="G26" i="1"/>
  <c r="C39" i="1"/>
  <c r="D26" i="1"/>
  <c r="H26" i="1"/>
  <c r="D25" i="1"/>
  <c r="F25" i="1"/>
  <c r="G25" i="1"/>
  <c r="CL11" i="14"/>
  <c r="AS28" i="14"/>
  <c r="C41" i="1"/>
  <c r="CQ24" i="14"/>
  <c r="B24" i="1"/>
  <c r="B38" i="1" s="1"/>
  <c r="C38" i="1"/>
  <c r="D9" i="1"/>
  <c r="I27" i="14"/>
  <c r="AN42" i="14"/>
  <c r="AB41" i="14"/>
  <c r="D40" i="14"/>
  <c r="AZ15" i="14"/>
  <c r="BL15" i="14"/>
  <c r="AN36" i="14"/>
  <c r="CI38" i="14"/>
  <c r="U27" i="14"/>
  <c r="U28" i="14"/>
  <c r="U29" i="14"/>
  <c r="CI37" i="14"/>
  <c r="CI36" i="14"/>
  <c r="I29" i="14"/>
  <c r="I25" i="14"/>
  <c r="CI43" i="14"/>
  <c r="CI35" i="14"/>
  <c r="W29" i="14"/>
  <c r="B23" i="1"/>
  <c r="G23" i="1" s="1"/>
  <c r="K23" i="1" s="1"/>
  <c r="AP35" i="14"/>
  <c r="AD35" i="14"/>
  <c r="B22" i="1"/>
  <c r="B36" i="1" s="1"/>
  <c r="AP39" i="14"/>
  <c r="CI40" i="14"/>
  <c r="BQ24" i="14"/>
  <c r="BQ29" i="14"/>
  <c r="CI39" i="14"/>
  <c r="CI15" i="14"/>
  <c r="CI41" i="14"/>
  <c r="CI33" i="14"/>
  <c r="CI32" i="14"/>
  <c r="CI42" i="14"/>
  <c r="CI34" i="14"/>
  <c r="BL37" i="14"/>
  <c r="BL38" i="14"/>
  <c r="BE24" i="14"/>
  <c r="AS22" i="14"/>
  <c r="C22" i="1"/>
  <c r="C36" i="1" s="1"/>
  <c r="U22" i="14"/>
  <c r="C23" i="1"/>
  <c r="H23" i="1" s="1"/>
  <c r="I23" i="14"/>
  <c r="D38" i="14"/>
  <c r="F41" i="15"/>
  <c r="CH43" i="14"/>
  <c r="BL40" i="14"/>
  <c r="AS23" i="14"/>
  <c r="BG22" i="14"/>
  <c r="W20" i="14"/>
  <c r="AU18" i="14"/>
  <c r="BN37" i="14"/>
  <c r="AZ39" i="14"/>
  <c r="BN41" i="14"/>
  <c r="BG20" i="14"/>
  <c r="AP37" i="14"/>
  <c r="BG26" i="14"/>
  <c r="AD41" i="14"/>
  <c r="AG24" i="14"/>
  <c r="BN38" i="14"/>
  <c r="P43" i="14"/>
  <c r="CH41" i="14"/>
  <c r="R33" i="14"/>
  <c r="K27" i="14"/>
  <c r="F40" i="14"/>
  <c r="K23" i="14"/>
  <c r="F41" i="14"/>
  <c r="BQ27" i="14"/>
  <c r="BQ23" i="14"/>
  <c r="BQ28" i="14"/>
  <c r="BQ25" i="14"/>
  <c r="BQ26" i="14"/>
  <c r="BE26" i="14"/>
  <c r="BE22" i="14"/>
  <c r="BE28" i="14"/>
  <c r="AS24" i="14"/>
  <c r="AS26" i="14"/>
  <c r="AB15" i="14"/>
  <c r="U25" i="14"/>
  <c r="C16" i="1"/>
  <c r="P42" i="14"/>
  <c r="U26" i="14"/>
  <c r="D36" i="14"/>
  <c r="D39" i="14"/>
  <c r="CJ7" i="14"/>
  <c r="D41" i="15"/>
  <c r="K21" i="15"/>
  <c r="K18" i="15"/>
  <c r="K23" i="15"/>
  <c r="K26" i="15"/>
  <c r="K20" i="15"/>
  <c r="F15" i="15"/>
  <c r="K25" i="15"/>
  <c r="K22" i="15"/>
  <c r="D42" i="15"/>
  <c r="D15" i="15"/>
  <c r="I22" i="15"/>
  <c r="I23" i="15"/>
  <c r="I24" i="15"/>
  <c r="I25" i="15"/>
  <c r="I26" i="15"/>
  <c r="I27" i="15"/>
  <c r="I28" i="15"/>
  <c r="I29" i="15"/>
  <c r="E42" i="15"/>
  <c r="F42" i="15" s="1"/>
  <c r="E15" i="15"/>
  <c r="J23" i="15"/>
  <c r="F12" i="15"/>
  <c r="AS29" i="14"/>
  <c r="CL14" i="14"/>
  <c r="AB43" i="14"/>
  <c r="CL29" i="14"/>
  <c r="K29" i="14"/>
  <c r="CJ14" i="14"/>
  <c r="BS28" i="14"/>
  <c r="BG28" i="14"/>
  <c r="AU28" i="14"/>
  <c r="AP42" i="14"/>
  <c r="AG28" i="14"/>
  <c r="D42" i="14"/>
  <c r="CH42" i="14"/>
  <c r="CJ13" i="14"/>
  <c r="CL13" i="14"/>
  <c r="R42" i="14"/>
  <c r="AS27" i="14"/>
  <c r="W27" i="14"/>
  <c r="CL12" i="14"/>
  <c r="CL27" i="14"/>
  <c r="AG26" i="14"/>
  <c r="AU26" i="14"/>
  <c r="BS26" i="14"/>
  <c r="AZ40" i="14"/>
  <c r="CH39" i="14"/>
  <c r="BL39" i="14"/>
  <c r="CL25" i="14"/>
  <c r="AS25" i="14"/>
  <c r="K25" i="14"/>
  <c r="F39" i="14"/>
  <c r="BS23" i="14"/>
  <c r="BG24" i="14"/>
  <c r="AU24" i="14"/>
  <c r="AP38" i="14"/>
  <c r="CH38" i="14"/>
  <c r="P37" i="14"/>
  <c r="R38" i="14"/>
  <c r="CL23" i="14"/>
  <c r="CJ9" i="14"/>
  <c r="BL36" i="14"/>
  <c r="AU22" i="14"/>
  <c r="AG22" i="14"/>
  <c r="CL7" i="14"/>
  <c r="W22" i="14"/>
  <c r="CL21" i="14"/>
  <c r="F36" i="14"/>
  <c r="K21" i="14"/>
  <c r="CH35" i="14"/>
  <c r="AU20" i="14"/>
  <c r="CH34" i="14"/>
  <c r="CJ6" i="14"/>
  <c r="CL5" i="14"/>
  <c r="BB15" i="14"/>
  <c r="R34" i="14"/>
  <c r="K19" i="14"/>
  <c r="CL19" i="14"/>
  <c r="AD15" i="14"/>
  <c r="BS19" i="14"/>
  <c r="CH15" i="14"/>
  <c r="CL4" i="14"/>
  <c r="AP32" i="14"/>
  <c r="BG18" i="14"/>
  <c r="BN32" i="14"/>
  <c r="BN15" i="14"/>
  <c r="R32" i="14"/>
  <c r="CO23" i="14"/>
  <c r="CQ18" i="14"/>
  <c r="CQ20" i="14"/>
  <c r="CO22" i="14"/>
  <c r="CQ28" i="14"/>
  <c r="CO28" i="14"/>
  <c r="CJ8" i="14"/>
  <c r="P15" i="14"/>
  <c r="I22" i="14"/>
  <c r="CJ22" i="14"/>
  <c r="BE23" i="14"/>
  <c r="I24" i="14"/>
  <c r="CJ24" i="14"/>
  <c r="BE25" i="14"/>
  <c r="I26" i="14"/>
  <c r="CJ26" i="14"/>
  <c r="BE27" i="14"/>
  <c r="I28" i="14"/>
  <c r="CJ28" i="14"/>
  <c r="BE29" i="14"/>
  <c r="CH32" i="14"/>
  <c r="P36" i="14"/>
  <c r="D37" i="14"/>
  <c r="CH37" i="14"/>
  <c r="P40" i="14"/>
  <c r="AN40" i="14"/>
  <c r="P41" i="14"/>
  <c r="AB42" i="14"/>
  <c r="AN43" i="14"/>
  <c r="BL43" i="14"/>
  <c r="W24" i="14"/>
  <c r="BS25" i="14"/>
  <c r="W26" i="14"/>
  <c r="BS27" i="14"/>
  <c r="W28" i="14"/>
  <c r="BS29" i="14"/>
  <c r="F33" i="14"/>
  <c r="CH33" i="14"/>
  <c r="AP34" i="14"/>
  <c r="BN34" i="14"/>
  <c r="CH36" i="14"/>
  <c r="F38" i="14"/>
  <c r="BB41" i="14"/>
  <c r="BN42" i="14"/>
  <c r="D43" i="14"/>
  <c r="CJ10" i="14"/>
  <c r="AN15" i="14"/>
  <c r="CK15" i="14"/>
  <c r="CL18" i="14"/>
  <c r="CP19" i="14"/>
  <c r="CQ19" i="14" s="1"/>
  <c r="CL20" i="14"/>
  <c r="CP21" i="14"/>
  <c r="CQ21" i="14" s="1"/>
  <c r="CL22" i="14"/>
  <c r="AG23" i="14"/>
  <c r="CP23" i="14"/>
  <c r="CQ23" i="14" s="1"/>
  <c r="CL24" i="14"/>
  <c r="AG25" i="14"/>
  <c r="CP25" i="14"/>
  <c r="CL26" i="14"/>
  <c r="AG27" i="14"/>
  <c r="CP27" i="14"/>
  <c r="CL28" i="14"/>
  <c r="AG29" i="14"/>
  <c r="CP29" i="14"/>
  <c r="CQ29" i="14" s="1"/>
  <c r="P39" i="14"/>
  <c r="AN41" i="14"/>
  <c r="CK41" i="14"/>
  <c r="AZ42" i="14"/>
  <c r="CL9" i="14"/>
  <c r="CJ11" i="14"/>
  <c r="D15" i="14"/>
  <c r="BQ22" i="14"/>
  <c r="U23" i="14"/>
  <c r="CL10" i="14"/>
  <c r="CJ12" i="14"/>
  <c r="CJ21" i="14"/>
  <c r="CJ23" i="14"/>
  <c r="CJ25" i="14"/>
  <c r="CJ27" i="14"/>
  <c r="CJ29" i="14"/>
  <c r="CK33" i="14"/>
  <c r="CH40" i="14"/>
  <c r="BQ40" i="10"/>
  <c r="BQ32" i="10"/>
  <c r="CL3" i="14"/>
  <c r="CK34" i="14"/>
  <c r="CK42" i="14"/>
  <c r="BQ15" i="10"/>
  <c r="F11" i="10"/>
  <c r="E30" i="1"/>
  <c r="D43" i="13"/>
  <c r="D39" i="13"/>
  <c r="D38" i="13"/>
  <c r="D34" i="13"/>
  <c r="D33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4" i="13"/>
  <c r="D13" i="13"/>
  <c r="D12" i="13"/>
  <c r="D11" i="13"/>
  <c r="D10" i="13"/>
  <c r="D9" i="13"/>
  <c r="D8" i="13"/>
  <c r="D7" i="13"/>
  <c r="D6" i="13"/>
  <c r="D5" i="13"/>
  <c r="D4" i="13"/>
  <c r="D3" i="13"/>
  <c r="BG35" i="10"/>
  <c r="BG29" i="10"/>
  <c r="BG28" i="10"/>
  <c r="BG27" i="10"/>
  <c r="BG26" i="10"/>
  <c r="BG25" i="10"/>
  <c r="BG24" i="10"/>
  <c r="BG23" i="10"/>
  <c r="BG22" i="10"/>
  <c r="BG21" i="10"/>
  <c r="BG20" i="10"/>
  <c r="BG19" i="10"/>
  <c r="BG18" i="10"/>
  <c r="BG14" i="10"/>
  <c r="BG13" i="10"/>
  <c r="BG12" i="10"/>
  <c r="BG11" i="10"/>
  <c r="BG10" i="10"/>
  <c r="BG9" i="10"/>
  <c r="BG8" i="10"/>
  <c r="BG7" i="10"/>
  <c r="BG6" i="10"/>
  <c r="BG5" i="10"/>
  <c r="BG4" i="10"/>
  <c r="BG3" i="10"/>
  <c r="AV40" i="10"/>
  <c r="AV39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4" i="10"/>
  <c r="AV13" i="10"/>
  <c r="AV12" i="10"/>
  <c r="AV11" i="10"/>
  <c r="AV10" i="10"/>
  <c r="AV9" i="10"/>
  <c r="AV8" i="10"/>
  <c r="AV7" i="10"/>
  <c r="AV6" i="10"/>
  <c r="AV5" i="10"/>
  <c r="AV4" i="10"/>
  <c r="AV3" i="10"/>
  <c r="AK38" i="10"/>
  <c r="AK29" i="10"/>
  <c r="AK28" i="10"/>
  <c r="AK27" i="10"/>
  <c r="AK26" i="10"/>
  <c r="AK25" i="10"/>
  <c r="AK24" i="10"/>
  <c r="AK23" i="10"/>
  <c r="AK22" i="10"/>
  <c r="AK21" i="10"/>
  <c r="AK20" i="10"/>
  <c r="AK19" i="10"/>
  <c r="AK18" i="10"/>
  <c r="AK14" i="10"/>
  <c r="AK13" i="10"/>
  <c r="AK12" i="10"/>
  <c r="AK11" i="10"/>
  <c r="AK10" i="10"/>
  <c r="AK9" i="10"/>
  <c r="AK8" i="10"/>
  <c r="AK7" i="10"/>
  <c r="AK6" i="10"/>
  <c r="AK5" i="10"/>
  <c r="AK4" i="10"/>
  <c r="AK3" i="10"/>
  <c r="Z29" i="10"/>
  <c r="Z28" i="10"/>
  <c r="Z27" i="10"/>
  <c r="Z26" i="10"/>
  <c r="Z25" i="10"/>
  <c r="Z24" i="10"/>
  <c r="Z23" i="10"/>
  <c r="Z22" i="10"/>
  <c r="Z21" i="10"/>
  <c r="Z20" i="10"/>
  <c r="Z19" i="10"/>
  <c r="Z18" i="10"/>
  <c r="Z14" i="10"/>
  <c r="Z13" i="10"/>
  <c r="Z12" i="10"/>
  <c r="Z11" i="10"/>
  <c r="Z10" i="10"/>
  <c r="Z9" i="10"/>
  <c r="Z8" i="10"/>
  <c r="Z7" i="10"/>
  <c r="Z6" i="10"/>
  <c r="Z5" i="10"/>
  <c r="Z4" i="10"/>
  <c r="Z3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4" i="10"/>
  <c r="O13" i="10"/>
  <c r="O12" i="10"/>
  <c r="O11" i="10"/>
  <c r="O10" i="10"/>
  <c r="O9" i="10"/>
  <c r="O8" i="10"/>
  <c r="O7" i="10"/>
  <c r="O6" i="10"/>
  <c r="O5" i="10"/>
  <c r="O4" i="10"/>
  <c r="O3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4" i="10"/>
  <c r="D13" i="10"/>
  <c r="D12" i="10"/>
  <c r="D11" i="10"/>
  <c r="D10" i="10"/>
  <c r="D9" i="10"/>
  <c r="D8" i="10"/>
  <c r="D7" i="10"/>
  <c r="D6" i="10"/>
  <c r="D5" i="10"/>
  <c r="D4" i="10"/>
  <c r="D3" i="10"/>
  <c r="H29" i="13"/>
  <c r="H28" i="13"/>
  <c r="H27" i="13"/>
  <c r="H26" i="13"/>
  <c r="H25" i="13"/>
  <c r="H24" i="13"/>
  <c r="H23" i="13"/>
  <c r="H22" i="13"/>
  <c r="H21" i="13"/>
  <c r="H20" i="13"/>
  <c r="H19" i="13"/>
  <c r="H18" i="13"/>
  <c r="BJ29" i="10"/>
  <c r="BJ28" i="10"/>
  <c r="BJ27" i="10"/>
  <c r="BJ26" i="10"/>
  <c r="BJ25" i="10"/>
  <c r="BJ24" i="10"/>
  <c r="BJ23" i="10"/>
  <c r="BJ22" i="10"/>
  <c r="BJ21" i="10"/>
  <c r="BJ20" i="10"/>
  <c r="BJ19" i="10"/>
  <c r="BJ18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N29" i="10"/>
  <c r="AN28" i="10"/>
  <c r="AN27" i="10"/>
  <c r="AN26" i="10"/>
  <c r="AN25" i="10"/>
  <c r="AN24" i="10"/>
  <c r="AN23" i="10"/>
  <c r="AN22" i="10"/>
  <c r="AN21" i="10"/>
  <c r="AN20" i="10"/>
  <c r="AN19" i="10"/>
  <c r="AN18" i="10"/>
  <c r="AC29" i="10"/>
  <c r="AC28" i="10"/>
  <c r="AC27" i="10"/>
  <c r="AC26" i="10"/>
  <c r="AC25" i="10"/>
  <c r="AC24" i="10"/>
  <c r="AC23" i="10"/>
  <c r="AC22" i="10"/>
  <c r="AC21" i="10"/>
  <c r="AC20" i="10"/>
  <c r="AC19" i="10"/>
  <c r="AC18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BP29" i="10"/>
  <c r="BU29" i="10" s="1"/>
  <c r="BP28" i="10"/>
  <c r="BU28" i="10" s="1"/>
  <c r="BP27" i="10"/>
  <c r="BU27" i="10" s="1"/>
  <c r="BP26" i="10"/>
  <c r="BU26" i="10" s="1"/>
  <c r="BP25" i="10"/>
  <c r="BU25" i="10" s="1"/>
  <c r="BP24" i="10"/>
  <c r="BU24" i="10" s="1"/>
  <c r="BP23" i="10"/>
  <c r="BU23" i="10" s="1"/>
  <c r="BP22" i="10"/>
  <c r="BU22" i="10" s="1"/>
  <c r="BP21" i="10"/>
  <c r="BU21" i="10" s="1"/>
  <c r="BP20" i="10"/>
  <c r="BU20" i="10" s="1"/>
  <c r="BP19" i="10"/>
  <c r="BU19" i="10" s="1"/>
  <c r="BP18" i="10"/>
  <c r="BU18" i="10" s="1"/>
  <c r="BP14" i="10"/>
  <c r="BP13" i="10"/>
  <c r="BP12" i="10"/>
  <c r="BP11" i="10"/>
  <c r="BP10" i="10"/>
  <c r="BP9" i="10"/>
  <c r="BP8" i="10"/>
  <c r="BP6" i="10"/>
  <c r="BP5" i="10"/>
  <c r="BP4" i="10"/>
  <c r="BP3" i="10"/>
  <c r="BE43" i="10"/>
  <c r="BE42" i="10"/>
  <c r="BE41" i="10"/>
  <c r="BE40" i="10"/>
  <c r="BE39" i="10"/>
  <c r="BE38" i="10"/>
  <c r="BE37" i="10"/>
  <c r="BE36" i="10"/>
  <c r="BE34" i="10"/>
  <c r="BE33" i="10"/>
  <c r="BE32" i="10"/>
  <c r="BE15" i="10"/>
  <c r="AT43" i="10"/>
  <c r="AT42" i="10"/>
  <c r="AT41" i="10"/>
  <c r="AT38" i="10"/>
  <c r="AT37" i="10"/>
  <c r="AT36" i="10"/>
  <c r="AT35" i="10"/>
  <c r="AT34" i="10"/>
  <c r="AT33" i="10"/>
  <c r="AT32" i="10"/>
  <c r="AT15" i="10"/>
  <c r="AI43" i="10"/>
  <c r="AI42" i="10"/>
  <c r="AI41" i="10"/>
  <c r="AI40" i="10"/>
  <c r="AI39" i="10"/>
  <c r="AI37" i="10"/>
  <c r="AI36" i="10"/>
  <c r="AI35" i="10"/>
  <c r="AI34" i="10"/>
  <c r="AI33" i="10"/>
  <c r="AI32" i="10"/>
  <c r="AI15" i="10"/>
  <c r="X42" i="10"/>
  <c r="X41" i="10"/>
  <c r="X40" i="10"/>
  <c r="X39" i="10"/>
  <c r="X38" i="10"/>
  <c r="X37" i="10"/>
  <c r="X36" i="10"/>
  <c r="X35" i="10"/>
  <c r="X34" i="10"/>
  <c r="X33" i="10"/>
  <c r="X32" i="10"/>
  <c r="X15" i="10"/>
  <c r="M42" i="10"/>
  <c r="M41" i="10"/>
  <c r="M40" i="10"/>
  <c r="M39" i="10"/>
  <c r="M38" i="10"/>
  <c r="M37" i="10"/>
  <c r="M36" i="10"/>
  <c r="M35" i="10"/>
  <c r="M34" i="10"/>
  <c r="M33" i="10"/>
  <c r="M32" i="10"/>
  <c r="M15" i="10"/>
  <c r="B42" i="10"/>
  <c r="B41" i="10"/>
  <c r="B40" i="10"/>
  <c r="B39" i="10"/>
  <c r="B38" i="10"/>
  <c r="B37" i="10"/>
  <c r="B36" i="10"/>
  <c r="B35" i="10"/>
  <c r="B34" i="10"/>
  <c r="B33" i="10"/>
  <c r="B32" i="10"/>
  <c r="B15" i="10"/>
  <c r="F6" i="1" l="1"/>
  <c r="D6" i="1"/>
  <c r="CL43" i="14"/>
  <c r="CL39" i="14"/>
  <c r="CL38" i="14"/>
  <c r="CL35" i="14"/>
  <c r="CQ22" i="14"/>
  <c r="J22" i="1"/>
  <c r="F9" i="1"/>
  <c r="E38" i="1"/>
  <c r="E36" i="1"/>
  <c r="CL41" i="14"/>
  <c r="CO26" i="14"/>
  <c r="CO27" i="14"/>
  <c r="CQ27" i="14"/>
  <c r="K26" i="1"/>
  <c r="K25" i="1"/>
  <c r="D10" i="1"/>
  <c r="B39" i="1"/>
  <c r="F10" i="1"/>
  <c r="F11" i="1"/>
  <c r="B40" i="1"/>
  <c r="F40" i="1" s="1"/>
  <c r="CO21" i="14"/>
  <c r="I26" i="1"/>
  <c r="D11" i="1"/>
  <c r="C40" i="1"/>
  <c r="F12" i="1"/>
  <c r="CQ26" i="14"/>
  <c r="I25" i="1"/>
  <c r="D12" i="1"/>
  <c r="CO29" i="14"/>
  <c r="CO25" i="14"/>
  <c r="D24" i="1"/>
  <c r="CQ25" i="14"/>
  <c r="D38" i="1"/>
  <c r="F24" i="1"/>
  <c r="G24" i="1"/>
  <c r="CO24" i="14"/>
  <c r="D27" i="1"/>
  <c r="I27" i="1"/>
  <c r="CJ43" i="14"/>
  <c r="F23" i="1"/>
  <c r="I23" i="1"/>
  <c r="CJ41" i="14"/>
  <c r="B37" i="1"/>
  <c r="F8" i="1"/>
  <c r="B41" i="1"/>
  <c r="D41" i="1" s="1"/>
  <c r="D23" i="1"/>
  <c r="C37" i="1"/>
  <c r="CL34" i="14"/>
  <c r="CJ39" i="14"/>
  <c r="CJ38" i="14"/>
  <c r="C30" i="1"/>
  <c r="CJ42" i="14"/>
  <c r="CL42" i="14"/>
  <c r="CJ15" i="14"/>
  <c r="CJ35" i="14"/>
  <c r="CL15" i="14"/>
  <c r="CL32" i="14"/>
  <c r="CL36" i="14"/>
  <c r="CJ36" i="14"/>
  <c r="CL37" i="14"/>
  <c r="CJ37" i="14"/>
  <c r="CJ40" i="14"/>
  <c r="CL40" i="14"/>
  <c r="CL33" i="14"/>
  <c r="B16" i="1"/>
  <c r="G16" i="1" s="1"/>
  <c r="D22" i="1"/>
  <c r="C13" i="1"/>
  <c r="H22" i="1"/>
  <c r="H16" i="1"/>
  <c r="BG34" i="10"/>
  <c r="BG43" i="10"/>
  <c r="AK34" i="10"/>
  <c r="AV38" i="10"/>
  <c r="AK43" i="10"/>
  <c r="BG36" i="10"/>
  <c r="Z36" i="10"/>
  <c r="AK15" i="10"/>
  <c r="AK40" i="10"/>
  <c r="AV35" i="10"/>
  <c r="BG32" i="10"/>
  <c r="BG41" i="10"/>
  <c r="BG33" i="10"/>
  <c r="BG42" i="10"/>
  <c r="BG15" i="10"/>
  <c r="D42" i="10"/>
  <c r="Z32" i="10"/>
  <c r="Z40" i="10"/>
  <c r="AK35" i="10"/>
  <c r="AV15" i="10"/>
  <c r="AV41" i="10"/>
  <c r="BG37" i="10"/>
  <c r="D34" i="10"/>
  <c r="O37" i="10"/>
  <c r="O38" i="10"/>
  <c r="Z33" i="10"/>
  <c r="Z41" i="10"/>
  <c r="AK36" i="10"/>
  <c r="AV32" i="10"/>
  <c r="AV42" i="10"/>
  <c r="BG38" i="10"/>
  <c r="BG39" i="10"/>
  <c r="BG40" i="10"/>
  <c r="AK41" i="10"/>
  <c r="AV36" i="10"/>
  <c r="AK33" i="10"/>
  <c r="AV37" i="10"/>
  <c r="Z42" i="10"/>
  <c r="AK37" i="10"/>
  <c r="AV33" i="10"/>
  <c r="AV43" i="10"/>
  <c r="Z34" i="10"/>
  <c r="Z35" i="10"/>
  <c r="Z43" i="10"/>
  <c r="AK39" i="10"/>
  <c r="AV34" i="10"/>
  <c r="AK32" i="10"/>
  <c r="D15" i="10"/>
  <c r="O34" i="10"/>
  <c r="O42" i="10"/>
  <c r="Z37" i="10"/>
  <c r="D39" i="10"/>
  <c r="AK42" i="10"/>
  <c r="O43" i="10"/>
  <c r="D32" i="10"/>
  <c r="Z38" i="10"/>
  <c r="D41" i="10"/>
  <c r="O36" i="10"/>
  <c r="Z15" i="10"/>
  <c r="Z39" i="10"/>
  <c r="D40" i="10"/>
  <c r="O35" i="10"/>
  <c r="D33" i="10"/>
  <c r="D36" i="10"/>
  <c r="O15" i="10"/>
  <c r="O39" i="10"/>
  <c r="D37" i="10"/>
  <c r="O32" i="10"/>
  <c r="O40" i="10"/>
  <c r="D38" i="10"/>
  <c r="O33" i="10"/>
  <c r="O41" i="10"/>
  <c r="D43" i="10"/>
  <c r="D35" i="10"/>
  <c r="BP41" i="10"/>
  <c r="BP33" i="10"/>
  <c r="BP36" i="10"/>
  <c r="BP38" i="10"/>
  <c r="BP39" i="10"/>
  <c r="BP15" i="10"/>
  <c r="BP40" i="10"/>
  <c r="BP34" i="10"/>
  <c r="BP42" i="10"/>
  <c r="BP35" i="10"/>
  <c r="BP43" i="10"/>
  <c r="BP37" i="10"/>
  <c r="BP32" i="10"/>
  <c r="F38" i="1" l="1"/>
  <c r="D39" i="1"/>
  <c r="F39" i="1"/>
  <c r="D40" i="1"/>
  <c r="F37" i="1"/>
  <c r="K24" i="1"/>
  <c r="I24" i="1"/>
  <c r="D37" i="1"/>
  <c r="B30" i="1"/>
  <c r="F16" i="1"/>
  <c r="G22" i="1"/>
  <c r="K22" i="1" s="1"/>
  <c r="F22" i="1"/>
  <c r="F7" i="1"/>
  <c r="D7" i="1"/>
  <c r="I16" i="1"/>
  <c r="J16" i="1"/>
  <c r="K16" i="1" s="1"/>
  <c r="D16" i="1"/>
  <c r="I22" i="1" l="1"/>
  <c r="F36" i="1"/>
  <c r="D36" i="1"/>
  <c r="F30" i="1"/>
  <c r="D30" i="1"/>
  <c r="E42" i="13"/>
  <c r="B42" i="13"/>
  <c r="D42" i="13" s="1"/>
  <c r="E41" i="13"/>
  <c r="B41" i="13"/>
  <c r="D41" i="13" s="1"/>
  <c r="B40" i="13"/>
  <c r="D40" i="13" s="1"/>
  <c r="E39" i="13"/>
  <c r="E38" i="13"/>
  <c r="B37" i="13"/>
  <c r="D37" i="13" s="1"/>
  <c r="E36" i="13"/>
  <c r="B36" i="13"/>
  <c r="D36" i="13" s="1"/>
  <c r="E35" i="13"/>
  <c r="B35" i="13"/>
  <c r="D35" i="13" s="1"/>
  <c r="E32" i="13"/>
  <c r="B32" i="13"/>
  <c r="D32" i="13" s="1"/>
  <c r="J29" i="13"/>
  <c r="G29" i="13"/>
  <c r="I29" i="13" s="1"/>
  <c r="F29" i="13"/>
  <c r="J28" i="13"/>
  <c r="G28" i="13"/>
  <c r="I28" i="13" s="1"/>
  <c r="F28" i="13"/>
  <c r="J27" i="13"/>
  <c r="G27" i="13"/>
  <c r="I27" i="13" s="1"/>
  <c r="F27" i="13"/>
  <c r="J26" i="13"/>
  <c r="G26" i="13"/>
  <c r="I26" i="13" s="1"/>
  <c r="F26" i="13"/>
  <c r="J25" i="13"/>
  <c r="G25" i="13"/>
  <c r="F25" i="13"/>
  <c r="J24" i="13"/>
  <c r="G24" i="13"/>
  <c r="I24" i="13" s="1"/>
  <c r="F24" i="13"/>
  <c r="J23" i="13"/>
  <c r="G23" i="13"/>
  <c r="I23" i="13" s="1"/>
  <c r="F23" i="13"/>
  <c r="J22" i="13"/>
  <c r="G22" i="13"/>
  <c r="I22" i="13" s="1"/>
  <c r="F22" i="13"/>
  <c r="J21" i="13"/>
  <c r="G21" i="13"/>
  <c r="I21" i="13" s="1"/>
  <c r="F21" i="13"/>
  <c r="J20" i="13"/>
  <c r="G20" i="13"/>
  <c r="I20" i="13" s="1"/>
  <c r="F20" i="13"/>
  <c r="J19" i="13"/>
  <c r="G19" i="13"/>
  <c r="I19" i="13" s="1"/>
  <c r="F19" i="13"/>
  <c r="J18" i="13"/>
  <c r="G18" i="13"/>
  <c r="I18" i="13" s="1"/>
  <c r="F18" i="13"/>
  <c r="E15" i="13"/>
  <c r="B15" i="13"/>
  <c r="D15" i="13" s="1"/>
  <c r="F14" i="13"/>
  <c r="F13" i="13"/>
  <c r="F12" i="13"/>
  <c r="F11" i="13"/>
  <c r="F10" i="13"/>
  <c r="F9" i="13"/>
  <c r="F8" i="13"/>
  <c r="F7" i="13"/>
  <c r="F6" i="13"/>
  <c r="F5" i="13"/>
  <c r="F4" i="13"/>
  <c r="F3" i="13"/>
  <c r="BS29" i="10"/>
  <c r="BS28" i="10"/>
  <c r="BS27" i="10"/>
  <c r="BS26" i="10"/>
  <c r="BX26" i="10" s="1"/>
  <c r="BS25" i="10"/>
  <c r="BX25" i="10" s="1"/>
  <c r="BS24" i="10"/>
  <c r="BX24" i="10" s="1"/>
  <c r="BS23" i="10"/>
  <c r="BX23" i="10" s="1"/>
  <c r="BS22" i="10"/>
  <c r="BX22" i="10" s="1"/>
  <c r="BS21" i="10"/>
  <c r="BX21" i="10" s="1"/>
  <c r="BS20" i="10"/>
  <c r="BX20" i="10" s="1"/>
  <c r="BS19" i="10"/>
  <c r="BX19" i="10" s="1"/>
  <c r="BS18" i="10"/>
  <c r="BX18" i="10" s="1"/>
  <c r="BR4" i="10"/>
  <c r="BS4" i="10"/>
  <c r="BR5" i="10"/>
  <c r="BS5" i="10"/>
  <c r="BR6" i="10"/>
  <c r="BS6" i="10"/>
  <c r="BR7" i="10"/>
  <c r="BS7" i="10"/>
  <c r="BR8" i="10"/>
  <c r="BS8" i="10"/>
  <c r="BR9" i="10"/>
  <c r="BS9" i="10"/>
  <c r="BR10" i="10"/>
  <c r="BS10" i="10"/>
  <c r="BR11" i="10"/>
  <c r="BS11" i="10"/>
  <c r="BS12" i="10"/>
  <c r="BS13" i="10"/>
  <c r="BS14" i="10"/>
  <c r="BS3" i="10"/>
  <c r="BR3" i="10"/>
  <c r="BX29" i="10" l="1"/>
  <c r="BR12" i="10"/>
  <c r="BX27" i="10"/>
  <c r="BR14" i="10"/>
  <c r="BX28" i="10"/>
  <c r="K25" i="13"/>
  <c r="I25" i="13"/>
  <c r="BR13" i="10"/>
  <c r="BV26" i="10"/>
  <c r="BW26" i="10" s="1"/>
  <c r="BR26" i="10"/>
  <c r="BV19" i="10"/>
  <c r="BR19" i="10"/>
  <c r="BV23" i="10"/>
  <c r="BW23" i="10" s="1"/>
  <c r="BR23" i="10"/>
  <c r="BV27" i="10"/>
  <c r="BR27" i="10"/>
  <c r="BV18" i="10"/>
  <c r="BR18" i="10"/>
  <c r="BV20" i="10"/>
  <c r="BR20" i="10"/>
  <c r="BV24" i="10"/>
  <c r="BW24" i="10" s="1"/>
  <c r="BR24" i="10"/>
  <c r="BV28" i="10"/>
  <c r="BW28" i="10" s="1"/>
  <c r="BR28" i="10"/>
  <c r="BV22" i="10"/>
  <c r="BW22" i="10" s="1"/>
  <c r="BR22" i="10"/>
  <c r="BV21" i="10"/>
  <c r="BR21" i="10"/>
  <c r="BV25" i="10"/>
  <c r="BW25" i="10" s="1"/>
  <c r="BR25" i="10"/>
  <c r="BV29" i="10"/>
  <c r="BR29" i="10"/>
  <c r="K22" i="13"/>
  <c r="K20" i="13"/>
  <c r="K18" i="13"/>
  <c r="K28" i="13"/>
  <c r="F41" i="13"/>
  <c r="K26" i="13"/>
  <c r="K24" i="13"/>
  <c r="K29" i="13"/>
  <c r="F35" i="13"/>
  <c r="F39" i="13"/>
  <c r="F38" i="13"/>
  <c r="F43" i="13"/>
  <c r="F32" i="13"/>
  <c r="F15" i="13"/>
  <c r="K19" i="13"/>
  <c r="K27" i="13"/>
  <c r="F40" i="13"/>
  <c r="K23" i="13"/>
  <c r="K21" i="13"/>
  <c r="F33" i="13"/>
  <c r="F37" i="13"/>
  <c r="F42" i="13"/>
  <c r="F36" i="13"/>
  <c r="F34" i="13"/>
  <c r="BM29" i="10"/>
  <c r="BB29" i="10"/>
  <c r="AQ29" i="10"/>
  <c r="AF29" i="10"/>
  <c r="U29" i="10"/>
  <c r="J29" i="10"/>
  <c r="J19" i="10"/>
  <c r="S23" i="10"/>
  <c r="T23" i="10" s="1"/>
  <c r="BR43" i="10"/>
  <c r="BR42" i="10"/>
  <c r="BR41" i="10"/>
  <c r="BR40" i="10"/>
  <c r="BR39" i="10"/>
  <c r="BR38" i="10"/>
  <c r="BR37" i="10"/>
  <c r="BR36" i="10"/>
  <c r="BR35" i="10"/>
  <c r="BR34" i="10"/>
  <c r="BR33" i="10"/>
  <c r="BR32" i="10"/>
  <c r="BR15" i="10"/>
  <c r="AX37" i="10"/>
  <c r="Q35" i="10"/>
  <c r="BS40" i="10"/>
  <c r="BH40" i="10"/>
  <c r="AW40" i="10"/>
  <c r="AX40" i="10" s="1"/>
  <c r="AL40" i="10"/>
  <c r="AA40" i="10"/>
  <c r="P40" i="10"/>
  <c r="E40" i="10"/>
  <c r="BT26" i="10"/>
  <c r="BM26" i="10"/>
  <c r="BK26" i="10"/>
  <c r="BL26" i="10" s="1"/>
  <c r="BI26" i="10"/>
  <c r="BB26" i="10"/>
  <c r="AZ26" i="10"/>
  <c r="BA26" i="10" s="1"/>
  <c r="AX26" i="10"/>
  <c r="AQ26" i="10"/>
  <c r="AO26" i="10"/>
  <c r="AP26" i="10" s="1"/>
  <c r="AM26" i="10"/>
  <c r="AF26" i="10"/>
  <c r="AD26" i="10"/>
  <c r="AE26" i="10" s="1"/>
  <c r="AB26" i="10"/>
  <c r="U26" i="10"/>
  <c r="S26" i="10"/>
  <c r="T26" i="10" s="1"/>
  <c r="Q26" i="10"/>
  <c r="J26" i="10"/>
  <c r="H26" i="10"/>
  <c r="I26" i="10" s="1"/>
  <c r="F26" i="10"/>
  <c r="BS43" i="10"/>
  <c r="BH43" i="10"/>
  <c r="AW43" i="10"/>
  <c r="AX43" i="10" s="1"/>
  <c r="AL43" i="10"/>
  <c r="AA43" i="10"/>
  <c r="P43" i="10"/>
  <c r="E43" i="10"/>
  <c r="BS42" i="10"/>
  <c r="BH42" i="10"/>
  <c r="AW42" i="10"/>
  <c r="AL42" i="10"/>
  <c r="AA42" i="10"/>
  <c r="P42" i="10"/>
  <c r="E42" i="10"/>
  <c r="BS41" i="10"/>
  <c r="BH41" i="10"/>
  <c r="AW41" i="10"/>
  <c r="AL41" i="10"/>
  <c r="AA41" i="10"/>
  <c r="P41" i="10"/>
  <c r="E41" i="10"/>
  <c r="BS39" i="10"/>
  <c r="BH39" i="10"/>
  <c r="AW39" i="10"/>
  <c r="AX39" i="10" s="1"/>
  <c r="AL39" i="10"/>
  <c r="AM39" i="10" s="1"/>
  <c r="AA39" i="10"/>
  <c r="P39" i="10"/>
  <c r="E39" i="10"/>
  <c r="BS38" i="10"/>
  <c r="BH38" i="10"/>
  <c r="AW38" i="10"/>
  <c r="AL38" i="10"/>
  <c r="AA38" i="10"/>
  <c r="P38" i="10"/>
  <c r="E38" i="10"/>
  <c r="BS37" i="10"/>
  <c r="BH37" i="10"/>
  <c r="AL37" i="10"/>
  <c r="AA37" i="10"/>
  <c r="P37" i="10"/>
  <c r="E37" i="10"/>
  <c r="BS36" i="10"/>
  <c r="BH36" i="10"/>
  <c r="AW36" i="10"/>
  <c r="AL36" i="10"/>
  <c r="AA36" i="10"/>
  <c r="P36" i="10"/>
  <c r="E36" i="10"/>
  <c r="BS35" i="10"/>
  <c r="BH35" i="10"/>
  <c r="AL35" i="10"/>
  <c r="AA35" i="10"/>
  <c r="E35" i="10"/>
  <c r="BS34" i="10"/>
  <c r="BH34" i="10"/>
  <c r="AW34" i="10"/>
  <c r="AX34" i="10" s="1"/>
  <c r="AL34" i="10"/>
  <c r="AA34" i="10"/>
  <c r="P34" i="10"/>
  <c r="E34" i="10"/>
  <c r="BS33" i="10"/>
  <c r="BH33" i="10"/>
  <c r="AW33" i="10"/>
  <c r="AL33" i="10"/>
  <c r="P33" i="10"/>
  <c r="E33" i="10"/>
  <c r="BS32" i="10"/>
  <c r="BH32" i="10"/>
  <c r="AW32" i="10"/>
  <c r="AL32" i="10"/>
  <c r="P32" i="10"/>
  <c r="E32" i="10"/>
  <c r="BT29" i="10"/>
  <c r="BK29" i="10"/>
  <c r="BL29" i="10" s="1"/>
  <c r="BI29" i="10"/>
  <c r="AZ29" i="10"/>
  <c r="BA29" i="10" s="1"/>
  <c r="AX29" i="10"/>
  <c r="AO29" i="10"/>
  <c r="AP29" i="10" s="1"/>
  <c r="AM29" i="10"/>
  <c r="AD29" i="10"/>
  <c r="AE29" i="10" s="1"/>
  <c r="AB29" i="10"/>
  <c r="S29" i="10"/>
  <c r="Q29" i="10"/>
  <c r="H29" i="10"/>
  <c r="I29" i="10" s="1"/>
  <c r="F29" i="10"/>
  <c r="BT28" i="10"/>
  <c r="BM28" i="10"/>
  <c r="BK28" i="10"/>
  <c r="BL28" i="10" s="1"/>
  <c r="BI28" i="10"/>
  <c r="BB28" i="10"/>
  <c r="AZ28" i="10"/>
  <c r="BA28" i="10" s="1"/>
  <c r="AX28" i="10"/>
  <c r="AQ28" i="10"/>
  <c r="AO28" i="10"/>
  <c r="AP28" i="10" s="1"/>
  <c r="AM28" i="10"/>
  <c r="AF28" i="10"/>
  <c r="AD28" i="10"/>
  <c r="AE28" i="10" s="1"/>
  <c r="AB28" i="10"/>
  <c r="U28" i="10"/>
  <c r="S28" i="10"/>
  <c r="T28" i="10" s="1"/>
  <c r="Q28" i="10"/>
  <c r="J28" i="10"/>
  <c r="H28" i="10"/>
  <c r="I28" i="10" s="1"/>
  <c r="F28" i="10"/>
  <c r="BT27" i="10"/>
  <c r="BM27" i="10"/>
  <c r="BK27" i="10"/>
  <c r="BL27" i="10" s="1"/>
  <c r="BI27" i="10"/>
  <c r="BB27" i="10"/>
  <c r="AZ27" i="10"/>
  <c r="BA27" i="10" s="1"/>
  <c r="AX27" i="10"/>
  <c r="AQ27" i="10"/>
  <c r="AO27" i="10"/>
  <c r="AP27" i="10" s="1"/>
  <c r="AM27" i="10"/>
  <c r="AF27" i="10"/>
  <c r="AD27" i="10"/>
  <c r="AE27" i="10" s="1"/>
  <c r="AB27" i="10"/>
  <c r="U27" i="10"/>
  <c r="S27" i="10"/>
  <c r="T27" i="10" s="1"/>
  <c r="Q27" i="10"/>
  <c r="J27" i="10"/>
  <c r="H27" i="10"/>
  <c r="I27" i="10" s="1"/>
  <c r="F27" i="10"/>
  <c r="BT25" i="10"/>
  <c r="BM25" i="10"/>
  <c r="BK25" i="10"/>
  <c r="BL25" i="10" s="1"/>
  <c r="BI25" i="10"/>
  <c r="BB25" i="10"/>
  <c r="AZ25" i="10"/>
  <c r="BA25" i="10" s="1"/>
  <c r="AX25" i="10"/>
  <c r="AQ25" i="10"/>
  <c r="AO25" i="10"/>
  <c r="AP25" i="10" s="1"/>
  <c r="AM25" i="10"/>
  <c r="AF25" i="10"/>
  <c r="AD25" i="10"/>
  <c r="AE25" i="10" s="1"/>
  <c r="AB25" i="10"/>
  <c r="U25" i="10"/>
  <c r="S25" i="10"/>
  <c r="T25" i="10" s="1"/>
  <c r="Q25" i="10"/>
  <c r="J25" i="10"/>
  <c r="H25" i="10"/>
  <c r="I25" i="10" s="1"/>
  <c r="F25" i="10"/>
  <c r="BT24" i="10"/>
  <c r="BM24" i="10"/>
  <c r="BK24" i="10"/>
  <c r="BL24" i="10" s="1"/>
  <c r="BI24" i="10"/>
  <c r="BB24" i="10"/>
  <c r="AZ24" i="10"/>
  <c r="BA24" i="10" s="1"/>
  <c r="AX24" i="10"/>
  <c r="AQ24" i="10"/>
  <c r="AO24" i="10"/>
  <c r="AP24" i="10" s="1"/>
  <c r="AM24" i="10"/>
  <c r="AF24" i="10"/>
  <c r="AD24" i="10"/>
  <c r="AE24" i="10" s="1"/>
  <c r="AB24" i="10"/>
  <c r="U24" i="10"/>
  <c r="S24" i="10"/>
  <c r="T24" i="10" s="1"/>
  <c r="Q24" i="10"/>
  <c r="J24" i="10"/>
  <c r="H24" i="10"/>
  <c r="I24" i="10" s="1"/>
  <c r="F24" i="10"/>
  <c r="BT23" i="10"/>
  <c r="BM23" i="10"/>
  <c r="BK23" i="10"/>
  <c r="BL23" i="10" s="1"/>
  <c r="BI23" i="10"/>
  <c r="BB23" i="10"/>
  <c r="AZ23" i="10"/>
  <c r="BA23" i="10" s="1"/>
  <c r="AX23" i="10"/>
  <c r="AQ23" i="10"/>
  <c r="AO23" i="10"/>
  <c r="AP23" i="10" s="1"/>
  <c r="AM23" i="10"/>
  <c r="AF23" i="10"/>
  <c r="AD23" i="10"/>
  <c r="AE23" i="10" s="1"/>
  <c r="AB23" i="10"/>
  <c r="U23" i="10"/>
  <c r="Q23" i="10"/>
  <c r="J23" i="10"/>
  <c r="H23" i="10"/>
  <c r="I23" i="10" s="1"/>
  <c r="F23" i="10"/>
  <c r="BT22" i="10"/>
  <c r="BM22" i="10"/>
  <c r="BK22" i="10"/>
  <c r="BL22" i="10" s="1"/>
  <c r="BI22" i="10"/>
  <c r="BB22" i="10"/>
  <c r="AZ22" i="10"/>
  <c r="BA22" i="10" s="1"/>
  <c r="AX22" i="10"/>
  <c r="AQ22" i="10"/>
  <c r="AO22" i="10"/>
  <c r="AP22" i="10" s="1"/>
  <c r="AM22" i="10"/>
  <c r="AF22" i="10"/>
  <c r="AD22" i="10"/>
  <c r="AE22" i="10" s="1"/>
  <c r="AB22" i="10"/>
  <c r="U22" i="10"/>
  <c r="S22" i="10"/>
  <c r="T22" i="10" s="1"/>
  <c r="Q22" i="10"/>
  <c r="J22" i="10"/>
  <c r="H22" i="10"/>
  <c r="I22" i="10" s="1"/>
  <c r="F22" i="10"/>
  <c r="BT21" i="10"/>
  <c r="BM21" i="10"/>
  <c r="BK21" i="10"/>
  <c r="BL21" i="10" s="1"/>
  <c r="BI21" i="10"/>
  <c r="BB21" i="10"/>
  <c r="AZ21" i="10"/>
  <c r="BA21" i="10" s="1"/>
  <c r="AX21" i="10"/>
  <c r="AQ21" i="10"/>
  <c r="AO21" i="10"/>
  <c r="AP21" i="10" s="1"/>
  <c r="AM21" i="10"/>
  <c r="AF21" i="10"/>
  <c r="AD21" i="10"/>
  <c r="AE21" i="10" s="1"/>
  <c r="AB21" i="10"/>
  <c r="U21" i="10"/>
  <c r="S21" i="10"/>
  <c r="T21" i="10" s="1"/>
  <c r="Q21" i="10"/>
  <c r="J21" i="10"/>
  <c r="H21" i="10"/>
  <c r="I21" i="10" s="1"/>
  <c r="F21" i="10"/>
  <c r="BT20" i="10"/>
  <c r="BM20" i="10"/>
  <c r="BK20" i="10"/>
  <c r="BL20" i="10" s="1"/>
  <c r="BI20" i="10"/>
  <c r="BB20" i="10"/>
  <c r="AZ20" i="10"/>
  <c r="BA20" i="10" s="1"/>
  <c r="AX20" i="10"/>
  <c r="AQ20" i="10"/>
  <c r="AO20" i="10"/>
  <c r="AP20" i="10" s="1"/>
  <c r="AM20" i="10"/>
  <c r="AF20" i="10"/>
  <c r="AD20" i="10"/>
  <c r="AE20" i="10" s="1"/>
  <c r="AB20" i="10"/>
  <c r="U20" i="10"/>
  <c r="S20" i="10"/>
  <c r="T20" i="10" s="1"/>
  <c r="Q20" i="10"/>
  <c r="J20" i="10"/>
  <c r="H20" i="10"/>
  <c r="I20" i="10" s="1"/>
  <c r="F20" i="10"/>
  <c r="BT19" i="10"/>
  <c r="BM19" i="10"/>
  <c r="BK19" i="10"/>
  <c r="BL19" i="10" s="1"/>
  <c r="BI19" i="10"/>
  <c r="BB19" i="10"/>
  <c r="AZ19" i="10"/>
  <c r="BA19" i="10" s="1"/>
  <c r="AX19" i="10"/>
  <c r="AQ19" i="10"/>
  <c r="AO19" i="10"/>
  <c r="AP19" i="10" s="1"/>
  <c r="AM19" i="10"/>
  <c r="AF19" i="10"/>
  <c r="AD19" i="10"/>
  <c r="AE19" i="10" s="1"/>
  <c r="AB19" i="10"/>
  <c r="U19" i="10"/>
  <c r="S19" i="10"/>
  <c r="T19" i="10" s="1"/>
  <c r="Q19" i="10"/>
  <c r="H19" i="10"/>
  <c r="I19" i="10" s="1"/>
  <c r="F19" i="10"/>
  <c r="BT18" i="10"/>
  <c r="BM18" i="10"/>
  <c r="BK18" i="10"/>
  <c r="BL18" i="10" s="1"/>
  <c r="BI18" i="10"/>
  <c r="BB18" i="10"/>
  <c r="AZ18" i="10"/>
  <c r="BA18" i="10" s="1"/>
  <c r="AX18" i="10"/>
  <c r="AQ18" i="10"/>
  <c r="AO18" i="10"/>
  <c r="AP18" i="10" s="1"/>
  <c r="AM18" i="10"/>
  <c r="AF18" i="10"/>
  <c r="AD18" i="10"/>
  <c r="AE18" i="10" s="1"/>
  <c r="AB18" i="10"/>
  <c r="U18" i="10"/>
  <c r="S18" i="10"/>
  <c r="T18" i="10" s="1"/>
  <c r="Q18" i="10"/>
  <c r="J18" i="10"/>
  <c r="H18" i="10"/>
  <c r="I18" i="10" s="1"/>
  <c r="F18" i="10"/>
  <c r="BS15" i="10"/>
  <c r="BH15" i="10"/>
  <c r="AW15" i="10"/>
  <c r="AL15" i="10"/>
  <c r="AA15" i="10"/>
  <c r="P15" i="10"/>
  <c r="E15" i="10"/>
  <c r="BT14" i="10"/>
  <c r="BI14" i="10"/>
  <c r="AX14" i="10"/>
  <c r="AM14" i="10"/>
  <c r="AB14" i="10"/>
  <c r="Q14" i="10"/>
  <c r="F14" i="10"/>
  <c r="BT13" i="10"/>
  <c r="BI13" i="10"/>
  <c r="AX13" i="10"/>
  <c r="AM13" i="10"/>
  <c r="AB13" i="10"/>
  <c r="Q13" i="10"/>
  <c r="F13" i="10"/>
  <c r="BT12" i="10"/>
  <c r="BI12" i="10"/>
  <c r="AX12" i="10"/>
  <c r="AM12" i="10"/>
  <c r="AB12" i="10"/>
  <c r="Q12" i="10"/>
  <c r="F12" i="10"/>
  <c r="BT11" i="10"/>
  <c r="BI11" i="10"/>
  <c r="AX11" i="10"/>
  <c r="AM11" i="10"/>
  <c r="AB11" i="10"/>
  <c r="Q11" i="10"/>
  <c r="BT10" i="10"/>
  <c r="BI10" i="10"/>
  <c r="AX10" i="10"/>
  <c r="AM10" i="10"/>
  <c r="AB10" i="10"/>
  <c r="Q10" i="10"/>
  <c r="F10" i="10"/>
  <c r="BT9" i="10"/>
  <c r="BI9" i="10"/>
  <c r="AX9" i="10"/>
  <c r="AM9" i="10"/>
  <c r="AB9" i="10"/>
  <c r="Q9" i="10"/>
  <c r="F9" i="10"/>
  <c r="BT8" i="10"/>
  <c r="BI8" i="10"/>
  <c r="AX8" i="10"/>
  <c r="AM8" i="10"/>
  <c r="AB8" i="10"/>
  <c r="Q8" i="10"/>
  <c r="F8" i="10"/>
  <c r="BT7" i="10"/>
  <c r="BI7" i="10"/>
  <c r="AX7" i="10"/>
  <c r="AM7" i="10"/>
  <c r="AB7" i="10"/>
  <c r="Q7" i="10"/>
  <c r="F7" i="10"/>
  <c r="BT6" i="10"/>
  <c r="BI6" i="10"/>
  <c r="AX6" i="10"/>
  <c r="AM6" i="10"/>
  <c r="AB6" i="10"/>
  <c r="Q6" i="10"/>
  <c r="F6" i="10"/>
  <c r="BT5" i="10"/>
  <c r="BI5" i="10"/>
  <c r="AX5" i="10"/>
  <c r="AM5" i="10"/>
  <c r="AB5" i="10"/>
  <c r="Q5" i="10"/>
  <c r="F5" i="10"/>
  <c r="BT4" i="10"/>
  <c r="BI4" i="10"/>
  <c r="AX4" i="10"/>
  <c r="AM4" i="10"/>
  <c r="AB4" i="10"/>
  <c r="Q4" i="10"/>
  <c r="F4" i="10"/>
  <c r="BT3" i="10"/>
  <c r="BI3" i="10"/>
  <c r="AX3" i="10"/>
  <c r="AM3" i="10"/>
  <c r="AB3" i="10"/>
  <c r="Q3" i="10"/>
  <c r="F3" i="10"/>
  <c r="BY22" i="10" l="1"/>
  <c r="BY25" i="10"/>
  <c r="BY23" i="10"/>
  <c r="BY28" i="10"/>
  <c r="BW18" i="10"/>
  <c r="BY18" i="10"/>
  <c r="V29" i="10"/>
  <c r="T29" i="10"/>
  <c r="AG27" i="10"/>
  <c r="BY29" i="10"/>
  <c r="BW29" i="10"/>
  <c r="BY27" i="10"/>
  <c r="BW27" i="10"/>
  <c r="BY21" i="10"/>
  <c r="BW21" i="10"/>
  <c r="BY20" i="10"/>
  <c r="BW20" i="10"/>
  <c r="BY19" i="10"/>
  <c r="BW19" i="10"/>
  <c r="BY24" i="10"/>
  <c r="BT34" i="10"/>
  <c r="BC29" i="10"/>
  <c r="BT43" i="10"/>
  <c r="BT35" i="10"/>
  <c r="V23" i="10"/>
  <c r="BN29" i="10"/>
  <c r="AG29" i="10"/>
  <c r="AM40" i="10"/>
  <c r="K18" i="10"/>
  <c r="AG21" i="10"/>
  <c r="BN23" i="10"/>
  <c r="V24" i="10"/>
  <c r="BI32" i="10"/>
  <c r="V19" i="10"/>
  <c r="BN22" i="10"/>
  <c r="K24" i="10"/>
  <c r="K27" i="10"/>
  <c r="BC28" i="10"/>
  <c r="AX36" i="10"/>
  <c r="BI34" i="10"/>
  <c r="AM35" i="10"/>
  <c r="AX42" i="10"/>
  <c r="BI38" i="10"/>
  <c r="Q37" i="10"/>
  <c r="BC22" i="10"/>
  <c r="K23" i="10"/>
  <c r="AR23" i="10"/>
  <c r="AR25" i="10"/>
  <c r="AR28" i="10"/>
  <c r="F33" i="10"/>
  <c r="F38" i="10"/>
  <c r="BI42" i="10"/>
  <c r="Q34" i="10"/>
  <c r="V27" i="10"/>
  <c r="BN28" i="10"/>
  <c r="BI33" i="10"/>
  <c r="AM37" i="10"/>
  <c r="AX33" i="10"/>
  <c r="F40" i="10"/>
  <c r="AM41" i="10"/>
  <c r="AG18" i="10"/>
  <c r="BC19" i="10"/>
  <c r="K20" i="10"/>
  <c r="BC21" i="10"/>
  <c r="AR24" i="10"/>
  <c r="F41" i="10"/>
  <c r="F42" i="10"/>
  <c r="F43" i="10"/>
  <c r="AR20" i="10"/>
  <c r="AR22" i="10"/>
  <c r="AM43" i="10"/>
  <c r="AX15" i="10"/>
  <c r="AR18" i="10"/>
  <c r="V20" i="10"/>
  <c r="BN21" i="10"/>
  <c r="BC24" i="10"/>
  <c r="BC27" i="10"/>
  <c r="AX32" i="10"/>
  <c r="AX41" i="10"/>
  <c r="BT41" i="10"/>
  <c r="V18" i="10"/>
  <c r="AR19" i="10"/>
  <c r="Q15" i="10"/>
  <c r="BT42" i="10"/>
  <c r="BC18" i="10"/>
  <c r="BN27" i="10"/>
  <c r="V28" i="10"/>
  <c r="F35" i="10"/>
  <c r="Q41" i="10"/>
  <c r="AM15" i="10"/>
  <c r="BI40" i="10"/>
  <c r="BI15" i="10"/>
  <c r="AB43" i="10"/>
  <c r="BI43" i="10"/>
  <c r="Q43" i="10"/>
  <c r="AM42" i="10"/>
  <c r="AB42" i="10"/>
  <c r="Q42" i="10"/>
  <c r="BN26" i="10"/>
  <c r="AB40" i="10"/>
  <c r="AG26" i="10"/>
  <c r="Q40" i="10"/>
  <c r="K26" i="10"/>
  <c r="BT37" i="10"/>
  <c r="BT40" i="10"/>
  <c r="BT38" i="10"/>
  <c r="BT39" i="10"/>
  <c r="BT33" i="10"/>
  <c r="BY26" i="10"/>
  <c r="BT36" i="10"/>
  <c r="BT15" i="10"/>
  <c r="BT32" i="10"/>
  <c r="BI39" i="10"/>
  <c r="BI35" i="10"/>
  <c r="BN20" i="10"/>
  <c r="BN25" i="10"/>
  <c r="BN19" i="10"/>
  <c r="BN24" i="10"/>
  <c r="BN18" i="10"/>
  <c r="BI37" i="10"/>
  <c r="BI41" i="10"/>
  <c r="AX35" i="10"/>
  <c r="AX38" i="10"/>
  <c r="BC23" i="10"/>
  <c r="BC20" i="10"/>
  <c r="BC25" i="10"/>
  <c r="AR29" i="10"/>
  <c r="AR21" i="10"/>
  <c r="AR27" i="10"/>
  <c r="AM34" i="10"/>
  <c r="AM38" i="10"/>
  <c r="AM32" i="10"/>
  <c r="AM33" i="10"/>
  <c r="AM36" i="10"/>
  <c r="AB35" i="10"/>
  <c r="AG23" i="10"/>
  <c r="AG20" i="10"/>
  <c r="AG25" i="10"/>
  <c r="AB38" i="10"/>
  <c r="AG22" i="10"/>
  <c r="AG28" i="10"/>
  <c r="AG19" i="10"/>
  <c r="AG24" i="10"/>
  <c r="AB34" i="10"/>
  <c r="AB36" i="10"/>
  <c r="AB37" i="10"/>
  <c r="AB15" i="10"/>
  <c r="AB39" i="10"/>
  <c r="Q33" i="10"/>
  <c r="Q39" i="10"/>
  <c r="V25" i="10"/>
  <c r="V22" i="10"/>
  <c r="V21" i="10"/>
  <c r="Q36" i="10"/>
  <c r="Q38" i="10"/>
  <c r="F15" i="10"/>
  <c r="F39" i="10"/>
  <c r="F34" i="10"/>
  <c r="K29" i="10"/>
  <c r="K25" i="10"/>
  <c r="K22" i="10"/>
  <c r="K28" i="10"/>
  <c r="K19" i="10"/>
  <c r="K21" i="10"/>
  <c r="F32" i="10"/>
  <c r="F36" i="10"/>
  <c r="F37" i="10"/>
  <c r="BI36" i="10"/>
  <c r="BC26" i="10"/>
  <c r="AR26" i="10"/>
  <c r="AB41" i="10"/>
  <c r="Q32" i="10"/>
  <c r="V26" i="10"/>
  <c r="F27" i="1" l="1"/>
  <c r="E13" i="1"/>
  <c r="D13" i="1" l="1"/>
  <c r="K27" i="1"/>
  <c r="F41" i="1"/>
  <c r="F13" i="1"/>
</calcChain>
</file>

<file path=xl/sharedStrings.xml><?xml version="1.0" encoding="utf-8"?>
<sst xmlns="http://schemas.openxmlformats.org/spreadsheetml/2006/main" count="1268" uniqueCount="83">
  <si>
    <t>Variance</t>
  </si>
  <si>
    <t>Last Year Actual</t>
  </si>
  <si>
    <t>Room Nights</t>
  </si>
  <si>
    <t>ADR</t>
  </si>
  <si>
    <t>Occupancy</t>
  </si>
  <si>
    <t>OTB vs LY</t>
  </si>
  <si>
    <t>TOTAL</t>
  </si>
  <si>
    <t>Revenue</t>
  </si>
  <si>
    <t>Nights</t>
  </si>
  <si>
    <t>Tugela</t>
  </si>
  <si>
    <t>Explorers Club</t>
  </si>
  <si>
    <t>The Library</t>
  </si>
  <si>
    <t>Tockie's Cottage</t>
  </si>
  <si>
    <t>Kumbuk House</t>
  </si>
  <si>
    <t>Cook's Cottage</t>
  </si>
  <si>
    <t>Total</t>
  </si>
  <si>
    <t>Franschhoek properties only, excludes Willow Point</t>
  </si>
  <si>
    <t>Jan-26</t>
  </si>
  <si>
    <t>Feb-26</t>
  </si>
  <si>
    <t>Mar-26</t>
  </si>
  <si>
    <t>Apr-26</t>
  </si>
  <si>
    <t>May-26</t>
  </si>
  <si>
    <t>Jul-26</t>
  </si>
  <si>
    <t>Jun-26</t>
  </si>
  <si>
    <t>Aug-26</t>
  </si>
  <si>
    <t>Sep-26</t>
  </si>
  <si>
    <t>Oct-26</t>
  </si>
  <si>
    <t>Nov-26</t>
  </si>
  <si>
    <t>Dec-26</t>
  </si>
  <si>
    <t>Jan-27</t>
  </si>
  <si>
    <t>Feb-27</t>
  </si>
  <si>
    <t>Tugela | Finacial Year | 2025/26</t>
  </si>
  <si>
    <t>Explorer's Club | Finacial Year | 2025/26</t>
  </si>
  <si>
    <t>The Library | Finacial Year | 2025/26</t>
  </si>
  <si>
    <t>Tockie's Cottage | Finacial Year | 2025/26</t>
  </si>
  <si>
    <t>Kumbuk House | Finacial Year | 2025/26</t>
  </si>
  <si>
    <t>Cook's Cottage | Finacial Year | 2025/26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</si>
  <si>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</si>
  <si>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</si>
  <si>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</si>
  <si>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</si>
  <si>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</si>
  <si>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</si>
  <si>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</si>
  <si>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</si>
  <si>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</si>
  <si>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</si>
  <si>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OTB vs PY</t>
  </si>
  <si>
    <t>Previous FY</t>
  </si>
  <si>
    <t>Average Occupancy</t>
  </si>
  <si>
    <t>-</t>
  </si>
  <si>
    <t>Jun</t>
  </si>
  <si>
    <t>Jul</t>
  </si>
  <si>
    <t>OTB @ 13 Feb 2026</t>
  </si>
  <si>
    <t>Willow Point | Financial Year | 2025/26</t>
  </si>
  <si>
    <t>Willow Point | Financial Year | 2026/27</t>
  </si>
  <si>
    <t>Franschhoek | Financial Year | 2025/26</t>
  </si>
  <si>
    <t>Franschhoek | Financial Year | 2026/27</t>
  </si>
  <si>
    <t>OTB @ 2 Mar 2026</t>
  </si>
  <si>
    <t>Aug</t>
  </si>
  <si>
    <t>OTB @ 17 Mar 2026</t>
  </si>
  <si>
    <t>Sept</t>
  </si>
  <si>
    <t>Tugela | Financial Year | 2026/27</t>
  </si>
  <si>
    <t>Explorer's Club | Financial Year | 2026/27</t>
  </si>
  <si>
    <t>The Library | Financial Year | 2026/27</t>
  </si>
  <si>
    <t>Tockie's Cottage | Financial Year | 2026/27</t>
  </si>
  <si>
    <t>Kumbuk House | Financial Year | 2026/27</t>
  </si>
  <si>
    <t>Cook's Cottage | Financial Year | 2026/27</t>
  </si>
  <si>
    <t>Oct</t>
  </si>
  <si>
    <t>Nov</t>
  </si>
  <si>
    <t>July 2025</t>
  </si>
  <si>
    <t>Dec</t>
  </si>
  <si>
    <t>Franschhoek | 14 July 2026</t>
  </si>
  <si>
    <t>OTB @ 30 Jul 2026</t>
  </si>
  <si>
    <t>May</t>
  </si>
  <si>
    <t>Apr</t>
  </si>
  <si>
    <t>Mar</t>
  </si>
  <si>
    <t>August 2025</t>
  </si>
  <si>
    <t>July 2026</t>
  </si>
  <si>
    <t>13 August 2026</t>
  </si>
  <si>
    <t>OTB @ 13 Aug 2026</t>
  </si>
  <si>
    <t>6 villas from aug 2026</t>
  </si>
  <si>
    <t>The Cockpit | Financial Year | 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</si>
</sst>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ptos Narrow"/>
      <family val="2"/>
      <scheme val="minor"/>
    </font>
    <font>
      <b/>
      <sz val="13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D7F4"/>
        <bgColor indexed="64"/>
      </patternFill>
    </fill>
    <fill>
      <patternFill patternType="solid">
        <fgColor rgb="FFFFDFFF"/>
        <bgColor indexed="64"/>
      </patternFill>
    </fill>
    <fill>
      <patternFill patternType="solid">
        <fgColor rgb="FFFAE7FF"/>
        <bgColor indexed="64"/>
      </patternFill>
    </fill>
    <fill>
      <patternFill patternType="solid">
        <fgColor rgb="FFC4BEB0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1" fontId="5" fillId="6" borderId="0" xfId="1" applyNumberFormat="1" applyFont="1" applyFill="1" applyBorder="1" applyAlignment="1">
      <alignment horizontal="center" vertical="center"/>
    </xf>
    <xf numFmtId="9" fontId="5" fillId="7" borderId="10" xfId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4" fontId="6" fillId="3" borderId="0" xfId="0" applyNumberFormat="1" applyFont="1" applyFill="1" applyAlignment="1">
      <alignment vertical="center"/>
    </xf>
    <xf numFmtId="9" fontId="5" fillId="3" borderId="0" xfId="1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49" fontId="15" fillId="0" borderId="1" xfId="0" applyNumberFormat="1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3" fontId="13" fillId="0" borderId="14" xfId="0" applyNumberFormat="1" applyFont="1" applyBorder="1" applyAlignment="1">
      <alignment horizontal="center" vertical="center"/>
    </xf>
    <xf numFmtId="3" fontId="13" fillId="2" borderId="1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3" fontId="15" fillId="0" borderId="10" xfId="0" applyNumberFormat="1" applyFont="1" applyBorder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0" fontId="16" fillId="0" borderId="0" xfId="0" applyFont="1"/>
    <xf numFmtId="3" fontId="13" fillId="0" borderId="4" xfId="0" applyNumberFormat="1" applyFont="1" applyBorder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9" fontId="15" fillId="2" borderId="0" xfId="0" applyNumberFormat="1" applyFont="1" applyFill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9" fontId="15" fillId="2" borderId="1" xfId="0" applyNumberFormat="1" applyFont="1" applyFill="1" applyBorder="1" applyAlignment="1">
      <alignment horizontal="center" vertical="center"/>
    </xf>
    <xf numFmtId="9" fontId="15" fillId="0" borderId="2" xfId="0" applyNumberFormat="1" applyFont="1" applyBorder="1" applyAlignment="1">
      <alignment horizontal="center" vertical="center"/>
    </xf>
    <xf numFmtId="9" fontId="15" fillId="2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vertical="center"/>
    </xf>
    <xf numFmtId="3" fontId="15" fillId="0" borderId="2" xfId="0" applyNumberFormat="1" applyFont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1" fontId="15" fillId="3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15" fillId="3" borderId="0" xfId="0" applyNumberFormat="1" applyFont="1" applyFill="1" applyAlignment="1">
      <alignment horizontal="center" vertical="center"/>
    </xf>
    <xf numFmtId="1" fontId="15" fillId="2" borderId="10" xfId="0" applyNumberFormat="1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2" borderId="19" xfId="0" applyFont="1" applyFill="1" applyBorder="1" applyAlignment="1">
      <alignment horizontal="center" vertical="center" wrapText="1"/>
    </xf>
    <xf numFmtId="9" fontId="15" fillId="2" borderId="20" xfId="0" applyNumberFormat="1" applyFont="1" applyFill="1" applyBorder="1" applyAlignment="1">
      <alignment horizontal="center" vertical="center"/>
    </xf>
    <xf numFmtId="9" fontId="15" fillId="2" borderId="19" xfId="0" applyNumberFormat="1" applyFont="1" applyFill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21" xfId="0" applyFont="1" applyBorder="1" applyAlignment="1">
      <alignment vertical="center"/>
    </xf>
    <xf numFmtId="49" fontId="15" fillId="0" borderId="4" xfId="0" applyNumberFormat="1" applyFont="1" applyBorder="1" applyAlignment="1">
      <alignment vertical="center"/>
    </xf>
    <xf numFmtId="16" fontId="17" fillId="0" borderId="2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center" vertical="center"/>
    </xf>
    <xf numFmtId="9" fontId="15" fillId="0" borderId="10" xfId="1" applyFont="1" applyBorder="1" applyAlignment="1">
      <alignment horizontal="center" vertical="center"/>
    </xf>
    <xf numFmtId="9" fontId="15" fillId="0" borderId="15" xfId="1" applyFont="1" applyBorder="1" applyAlignment="1">
      <alignment horizontal="center" vertical="center"/>
    </xf>
    <xf numFmtId="3" fontId="15" fillId="8" borderId="1" xfId="0" applyNumberFormat="1" applyFont="1" applyFill="1" applyBorder="1" applyAlignment="1">
      <alignment horizontal="center" vertical="center"/>
    </xf>
    <xf numFmtId="1" fontId="15" fillId="8" borderId="1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0" fillId="0" borderId="5" xfId="0" applyBorder="1"/>
    <xf numFmtId="0" fontId="1" fillId="0" borderId="5" xfId="0" applyFont="1" applyBorder="1"/>
    <xf numFmtId="0" fontId="1" fillId="0" borderId="5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9" fontId="15" fillId="0" borderId="1" xfId="1" applyFont="1" applyBorder="1" applyAlignment="1">
      <alignment horizontal="center" vertical="center"/>
    </xf>
    <xf numFmtId="9" fontId="15" fillId="0" borderId="2" xfId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0" fillId="9" borderId="0" xfId="0" applyFill="1"/>
    <xf numFmtId="9" fontId="13" fillId="0" borderId="22" xfId="1" applyFont="1" applyBorder="1" applyAlignment="1">
      <alignment horizontal="center" vertical="center" wrapText="1"/>
    </xf>
    <xf numFmtId="9" fontId="13" fillId="0" borderId="9" xfId="1" applyFont="1" applyBorder="1" applyAlignment="1">
      <alignment horizontal="center" vertical="center" wrapText="1"/>
    </xf>
    <xf numFmtId="16" fontId="13" fillId="0" borderId="2" xfId="0" applyNumberFormat="1" applyFont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9" fontId="15" fillId="2" borderId="10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9" fontId="15" fillId="2" borderId="15" xfId="0" applyNumberFormat="1" applyFont="1" applyFill="1" applyBorder="1" applyAlignment="1">
      <alignment horizontal="center" vertical="center"/>
    </xf>
    <xf numFmtId="49" fontId="15" fillId="0" borderId="25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3" fontId="15" fillId="0" borderId="25" xfId="0" applyNumberFormat="1" applyFont="1" applyBorder="1" applyAlignment="1">
      <alignment horizontal="center" vertical="center"/>
    </xf>
    <xf numFmtId="3" fontId="13" fillId="0" borderId="26" xfId="0" applyNumberFormat="1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3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DFFF"/>
      <color rgb="FFC4BEB0"/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B8FB-635F-3740-A1E3-182C192DD153}">
  <sheetPr>
    <pageSetUpPr fitToPage="1"/>
  </sheetPr>
  <dimension ref="A2:I22"/>
  <sheetViews>
    <sheetView workbookViewId="0"/>
  </sheetViews>
  <sheetFormatPr baseColWidth="10" defaultRowHeight="16" x14ac:dyDescent="0.2"/>
  <cols>
    <col min="1" max="1" width="14.6640625" style="4" customWidth="1"/>
    <col min="2" max="2" width="11.1640625" style="5" customWidth="1"/>
    <col min="3" max="4" width="10.83203125" style="5"/>
    <col min="5" max="5" width="10.83203125" style="4"/>
    <col min="6" max="6" width="14.83203125" style="4" customWidth="1"/>
    <col min="7" max="7" width="11.5" style="5" customWidth="1"/>
    <col min="8" max="9" width="10.83203125" style="5"/>
  </cols>
  <sheetData>
    <row r="2" spans="1:9" ht="18" thickBot="1" x14ac:dyDescent="0.25">
      <c r="A2" s="114" t="s">
        <v>70</v>
      </c>
      <c r="B2" s="114"/>
      <c r="C2" s="114"/>
      <c r="D2" s="114"/>
      <c r="F2" s="114" t="s">
        <v>78</v>
      </c>
      <c r="G2" s="114"/>
      <c r="H2" s="114"/>
      <c r="I2" s="114"/>
    </row>
    <row r="3" spans="1:9" x14ac:dyDescent="0.2">
      <c r="A3" s="6"/>
      <c r="B3" s="6" t="s">
        <v>7</v>
      </c>
      <c r="C3" s="6" t="s">
        <v>8</v>
      </c>
      <c r="D3" s="6" t="s">
        <v>4</v>
      </c>
      <c r="E3" s="7"/>
      <c r="F3" s="6"/>
      <c r="G3" s="6" t="s">
        <v>7</v>
      </c>
      <c r="H3" s="6" t="s">
        <v>8</v>
      </c>
      <c r="I3" s="6" t="s">
        <v>4</v>
      </c>
    </row>
    <row r="4" spans="1:9" x14ac:dyDescent="0.2">
      <c r="A4" s="9" t="s">
        <v>9</v>
      </c>
      <c r="B4" s="12">
        <f>'2026-7 F'!E7</f>
        <v>84001.48</v>
      </c>
      <c r="C4" s="10">
        <f>'2026-7 F'!E22</f>
        <v>14</v>
      </c>
      <c r="D4" s="11">
        <f t="shared" ref="D4:D9" si="0">C4/31</f>
        <v>0.45161290322580644</v>
      </c>
      <c r="E4" s="7"/>
      <c r="F4" s="9" t="s">
        <v>9</v>
      </c>
      <c r="G4" s="12">
        <f>'2026-7 F'!B7</f>
        <v>58684</v>
      </c>
      <c r="H4" s="92">
        <f>'2026-7 F'!B22</f>
        <v>9</v>
      </c>
      <c r="I4" s="11">
        <f t="shared" ref="I4:I9" si="1">H4/31</f>
        <v>0.29032258064516131</v>
      </c>
    </row>
    <row r="5" spans="1:9" x14ac:dyDescent="0.2">
      <c r="A5" s="9" t="s">
        <v>10</v>
      </c>
      <c r="B5" s="12">
        <f>'2026-7 F'!Q7</f>
        <v>83212.5</v>
      </c>
      <c r="C5" s="10">
        <f>'2026-7 F'!Q22</f>
        <v>11</v>
      </c>
      <c r="D5" s="11">
        <f t="shared" si="0"/>
        <v>0.35483870967741937</v>
      </c>
      <c r="E5" s="7"/>
      <c r="F5" s="9" t="s">
        <v>10</v>
      </c>
      <c r="G5" s="12">
        <f>'2026-7 F'!N7</f>
        <v>30979.739999999998</v>
      </c>
      <c r="H5" s="92">
        <f>'2026-7 F'!N22</f>
        <v>5</v>
      </c>
      <c r="I5" s="11">
        <f t="shared" si="1"/>
        <v>0.16129032258064516</v>
      </c>
    </row>
    <row r="6" spans="1:9" x14ac:dyDescent="0.2">
      <c r="A6" s="9" t="s">
        <v>11</v>
      </c>
      <c r="B6" s="12">
        <f>'2026-7 F'!AC7</f>
        <v>65340</v>
      </c>
      <c r="C6" s="10">
        <f>'2026-7 F'!AC22</f>
        <v>7</v>
      </c>
      <c r="D6" s="11">
        <f t="shared" si="0"/>
        <v>0.22580645161290322</v>
      </c>
      <c r="E6" s="7"/>
      <c r="F6" s="9" t="s">
        <v>11</v>
      </c>
      <c r="G6" s="12">
        <f>'2026-7 F'!Z7</f>
        <v>25619.279999999999</v>
      </c>
      <c r="H6" s="92">
        <f>'2026-7 F'!Z22</f>
        <v>4</v>
      </c>
      <c r="I6" s="11">
        <f t="shared" si="1"/>
        <v>0.12903225806451613</v>
      </c>
    </row>
    <row r="7" spans="1:9" x14ac:dyDescent="0.2">
      <c r="A7" s="9" t="s">
        <v>12</v>
      </c>
      <c r="B7" s="12">
        <f>'2026-7 F'!AO7</f>
        <v>44990</v>
      </c>
      <c r="C7" s="10">
        <f>'2026-7 F'!AO22</f>
        <v>13</v>
      </c>
      <c r="D7" s="11">
        <f t="shared" si="0"/>
        <v>0.41935483870967744</v>
      </c>
      <c r="E7" s="7"/>
      <c r="F7" s="9" t="s">
        <v>12</v>
      </c>
      <c r="G7" s="12">
        <f>'2026-7 F'!AL7</f>
        <v>29145.22</v>
      </c>
      <c r="H7" s="92">
        <f>'2026-7 F'!AL22</f>
        <v>7</v>
      </c>
      <c r="I7" s="11">
        <f t="shared" si="1"/>
        <v>0.22580645161290322</v>
      </c>
    </row>
    <row r="8" spans="1:9" x14ac:dyDescent="0.2">
      <c r="A8" s="9" t="s">
        <v>13</v>
      </c>
      <c r="B8" s="12">
        <f>'2026-7 F'!BA7</f>
        <v>34133.08</v>
      </c>
      <c r="C8" s="10">
        <f>'2026-7 F'!BA22</f>
        <v>8</v>
      </c>
      <c r="D8" s="11">
        <f t="shared" si="0"/>
        <v>0.25806451612903225</v>
      </c>
      <c r="E8" s="7"/>
      <c r="F8" s="9" t="s">
        <v>13</v>
      </c>
      <c r="G8" s="12">
        <f>'2026-7 F'!AX7</f>
        <v>0</v>
      </c>
      <c r="H8" s="92">
        <f>'2026-7 F'!AX22</f>
        <v>0</v>
      </c>
      <c r="I8" s="11">
        <f t="shared" si="1"/>
        <v>0</v>
      </c>
    </row>
    <row r="9" spans="1:9" x14ac:dyDescent="0.2">
      <c r="A9" s="9" t="s">
        <v>14</v>
      </c>
      <c r="B9" s="12">
        <f>'2026-7 F'!BM7</f>
        <v>36463.81</v>
      </c>
      <c r="C9" s="10">
        <f>'2026-7 F'!BM22</f>
        <v>10</v>
      </c>
      <c r="D9" s="11">
        <f t="shared" si="0"/>
        <v>0.32258064516129031</v>
      </c>
      <c r="E9" s="7"/>
      <c r="F9" s="9" t="s">
        <v>14</v>
      </c>
      <c r="G9" s="12">
        <f>'2026-7 F'!BJ7</f>
        <v>69148.924999999988</v>
      </c>
      <c r="H9" s="92">
        <f>'2026-7 F'!BJ22</f>
        <v>17</v>
      </c>
      <c r="I9" s="11">
        <f t="shared" si="1"/>
        <v>0.54838709677419351</v>
      </c>
    </row>
    <row r="10" spans="1:9" x14ac:dyDescent="0.2">
      <c r="A10" s="7"/>
      <c r="B10" s="56"/>
      <c r="C10" s="7"/>
      <c r="D10" s="7"/>
      <c r="E10" s="7"/>
      <c r="F10" s="7"/>
      <c r="G10" s="56"/>
      <c r="H10" s="7"/>
      <c r="I10" s="7"/>
    </row>
    <row r="11" spans="1:9" x14ac:dyDescent="0.2">
      <c r="A11" s="13" t="s">
        <v>15</v>
      </c>
      <c r="B11" s="57">
        <f>SUM(B4:B9)</f>
        <v>348140.87</v>
      </c>
      <c r="C11" s="55">
        <f>SUM(C4:C9)</f>
        <v>63</v>
      </c>
      <c r="D11" s="14">
        <f>C11/186</f>
        <v>0.33870967741935482</v>
      </c>
      <c r="E11" s="26"/>
      <c r="F11" s="13" t="s">
        <v>15</v>
      </c>
      <c r="G11" s="57">
        <f>SUM(G4:G9)</f>
        <v>213577.16499999998</v>
      </c>
      <c r="H11" s="55">
        <f>SUM(H4:H9)</f>
        <v>42</v>
      </c>
      <c r="I11" s="14">
        <f>H11/186</f>
        <v>0.22580645161290322</v>
      </c>
    </row>
    <row r="13" spans="1:9" ht="18" thickBot="1" x14ac:dyDescent="0.25">
      <c r="A13" s="114" t="s">
        <v>77</v>
      </c>
      <c r="B13" s="114"/>
      <c r="C13" s="114"/>
      <c r="D13" s="114"/>
      <c r="F13" s="114" t="s">
        <v>79</v>
      </c>
      <c r="G13" s="114"/>
      <c r="H13" s="114"/>
      <c r="I13" s="114"/>
    </row>
    <row r="14" spans="1:9" x14ac:dyDescent="0.2">
      <c r="A14" s="6"/>
      <c r="B14" s="6" t="s">
        <v>7</v>
      </c>
      <c r="C14" s="6" t="s">
        <v>8</v>
      </c>
      <c r="D14" s="6" t="s">
        <v>4</v>
      </c>
      <c r="E14" s="7"/>
      <c r="F14" s="6"/>
      <c r="G14" s="6" t="s">
        <v>7</v>
      </c>
      <c r="H14" s="6" t="s">
        <v>8</v>
      </c>
      <c r="I14" s="6" t="s">
        <v>4</v>
      </c>
    </row>
    <row r="15" spans="1:9" x14ac:dyDescent="0.2">
      <c r="A15" s="9" t="s">
        <v>9</v>
      </c>
      <c r="B15" s="12">
        <f>'2026-7 F'!E8</f>
        <v>126106.36</v>
      </c>
      <c r="C15" s="10">
        <f>'2026-7 F'!E23</f>
        <v>21</v>
      </c>
      <c r="D15" s="11">
        <f t="shared" ref="D15:D20" si="2">C15/31</f>
        <v>0.67741935483870963</v>
      </c>
      <c r="E15" s="7"/>
      <c r="F15" s="9" t="s">
        <v>9</v>
      </c>
      <c r="G15" s="12">
        <f>'2026-7 F'!B8</f>
        <v>95953.56</v>
      </c>
      <c r="H15" s="92">
        <f>'2026-7 F'!B23</f>
        <v>13</v>
      </c>
      <c r="I15" s="11">
        <f t="shared" ref="I15:I20" si="3">H15/31</f>
        <v>0.41935483870967744</v>
      </c>
    </row>
    <row r="16" spans="1:9" x14ac:dyDescent="0.2">
      <c r="A16" s="9" t="s">
        <v>10</v>
      </c>
      <c r="B16" s="12">
        <f>'2026-7 F'!Q8</f>
        <v>65215.59</v>
      </c>
      <c r="C16" s="10">
        <f>'2026-7 F'!Q23</f>
        <v>11</v>
      </c>
      <c r="D16" s="11">
        <f t="shared" si="2"/>
        <v>0.35483870967741937</v>
      </c>
      <c r="E16" s="7"/>
      <c r="F16" s="9" t="s">
        <v>10</v>
      </c>
      <c r="G16" s="12">
        <f>'2026-7 F'!N8</f>
        <v>62679.740000000005</v>
      </c>
      <c r="H16" s="92">
        <f>'2026-7 F'!N23</f>
        <v>11</v>
      </c>
      <c r="I16" s="11">
        <f t="shared" si="3"/>
        <v>0.35483870967741937</v>
      </c>
    </row>
    <row r="17" spans="1:9" x14ac:dyDescent="0.2">
      <c r="A17" s="9" t="s">
        <v>11</v>
      </c>
      <c r="B17" s="12">
        <f>'2026-7 F'!AC8</f>
        <v>3000</v>
      </c>
      <c r="C17" s="10">
        <f>'2026-7 F'!AC23</f>
        <v>6</v>
      </c>
      <c r="D17" s="11">
        <f t="shared" si="2"/>
        <v>0.19354838709677419</v>
      </c>
      <c r="E17" s="7"/>
      <c r="F17" s="9" t="s">
        <v>11</v>
      </c>
      <c r="G17" s="12">
        <f>'2026-7 F'!Z8</f>
        <v>10082.98</v>
      </c>
      <c r="H17" s="92">
        <f>'2026-7 F'!Z23</f>
        <v>2</v>
      </c>
      <c r="I17" s="11">
        <f t="shared" si="3"/>
        <v>6.4516129032258063E-2</v>
      </c>
    </row>
    <row r="18" spans="1:9" x14ac:dyDescent="0.2">
      <c r="A18" s="9" t="s">
        <v>12</v>
      </c>
      <c r="B18" s="12">
        <f>'2026-7 F'!AO8</f>
        <v>37150</v>
      </c>
      <c r="C18" s="10">
        <f>'2026-7 F'!AO23</f>
        <v>7</v>
      </c>
      <c r="D18" s="11">
        <f t="shared" si="2"/>
        <v>0.22580645161290322</v>
      </c>
      <c r="E18" s="7"/>
      <c r="F18" s="9" t="s">
        <v>12</v>
      </c>
      <c r="G18" s="12">
        <f>'2026-7 F'!AL8</f>
        <v>9074.68</v>
      </c>
      <c r="H18" s="92">
        <f>'2026-7 F'!AL23</f>
        <v>2</v>
      </c>
      <c r="I18" s="11">
        <f t="shared" si="3"/>
        <v>6.4516129032258063E-2</v>
      </c>
    </row>
    <row r="19" spans="1:9" x14ac:dyDescent="0.2">
      <c r="A19" s="9" t="s">
        <v>13</v>
      </c>
      <c r="B19" s="12">
        <f>'2026-7 F'!BA8</f>
        <v>32080.32</v>
      </c>
      <c r="C19" s="10">
        <f>'2026-7 F'!BA23</f>
        <v>7</v>
      </c>
      <c r="D19" s="11">
        <f t="shared" si="2"/>
        <v>0.22580645161290322</v>
      </c>
      <c r="E19" s="7"/>
      <c r="F19" s="9" t="s">
        <v>13</v>
      </c>
      <c r="G19" s="12">
        <f>'2026-7 F'!AX8</f>
        <v>0</v>
      </c>
      <c r="H19" s="92">
        <f>'2026-7 F'!AX23</f>
        <v>0</v>
      </c>
      <c r="I19" s="11">
        <f t="shared" si="3"/>
        <v>0</v>
      </c>
    </row>
    <row r="20" spans="1:9" x14ac:dyDescent="0.2">
      <c r="A20" s="9" t="s">
        <v>14</v>
      </c>
      <c r="B20" s="12">
        <f>'2026-7 F'!BM8</f>
        <v>49279.76</v>
      </c>
      <c r="C20" s="10">
        <f>'2026-7 F'!BM23</f>
        <v>15</v>
      </c>
      <c r="D20" s="11">
        <f t="shared" si="2"/>
        <v>0.4838709677419355</v>
      </c>
      <c r="E20" s="7"/>
      <c r="F20" s="9" t="s">
        <v>14</v>
      </c>
      <c r="G20" s="12">
        <f>'2026-7 F'!BJ8</f>
        <v>28264.799999999999</v>
      </c>
      <c r="H20" s="92">
        <f>'2026-7 F'!BJ23</f>
        <v>8</v>
      </c>
      <c r="I20" s="11">
        <f t="shared" si="3"/>
        <v>0.25806451612903225</v>
      </c>
    </row>
    <row r="21" spans="1:9" x14ac:dyDescent="0.2">
      <c r="A21" s="7"/>
      <c r="B21" s="56"/>
      <c r="C21" s="7"/>
      <c r="D21" s="7"/>
      <c r="E21" s="7"/>
      <c r="F21" s="7"/>
      <c r="G21" s="56"/>
      <c r="H21" s="7"/>
      <c r="I21" s="7"/>
    </row>
    <row r="22" spans="1:9" x14ac:dyDescent="0.2">
      <c r="A22" s="13" t="s">
        <v>15</v>
      </c>
      <c r="B22" s="57">
        <f>SUM(B15:B20)</f>
        <v>312832.03000000003</v>
      </c>
      <c r="C22" s="55">
        <f>SUM(C15:C20)</f>
        <v>67</v>
      </c>
      <c r="D22" s="14">
        <f>C22/186</f>
        <v>0.36021505376344087</v>
      </c>
      <c r="E22" s="26"/>
      <c r="F22" s="13" t="s">
        <v>15</v>
      </c>
      <c r="G22" s="57">
        <f>SUM(G15:G20)</f>
        <v>206055.75999999998</v>
      </c>
      <c r="H22" s="55">
        <f>SUM(H15:H20)</f>
        <v>36</v>
      </c>
      <c r="I22" s="14">
        <f>H22/186</f>
        <v>0.19354838709677419</v>
      </c>
    </row>
  </sheetData>
  <mergeCells count="4">
    <mergeCell ref="A2:D2"/>
    <mergeCell ref="F2:I2"/>
    <mergeCell ref="A13:D13"/>
    <mergeCell ref="F13:I13"/>
  </mergeCells>
  <pageMargins left="0.7" right="0.7" top="0.75" bottom="0.75" header="0.3" footer="0.3"/>
  <pageSetup paperSize="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sheetPr codeName="Sheet2"/>
  <dimension ref="A1:N42"/>
  <sheetViews>
    <sheetView zoomScaleNormal="100" workbookViewId="0">
      <selection activeCell="A14" sqref="A14:F14"/>
    </sheetView>
  </sheetViews>
  <sheetFormatPr baseColWidth="10" defaultRowHeight="16" x14ac:dyDescent="0.2"/>
  <cols>
    <col min="1" max="1" width="8.83203125" style="2" customWidth="1"/>
    <col min="2" max="4" width="11" style="3" bestFit="1" customWidth="1"/>
    <col min="5" max="5" width="12" style="3" bestFit="1" customWidth="1"/>
    <col min="6" max="8" width="11" style="3" bestFit="1" customWidth="1"/>
    <col min="9" max="11" width="10.83203125" style="3"/>
    <col min="12" max="14" width="10.83203125" style="1"/>
  </cols>
  <sheetData>
    <row r="1" spans="1:14" ht="28" customHeight="1" thickBot="1" x14ac:dyDescent="0.25">
      <c r="A1" s="111" t="s">
        <v>72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</row>
    <row r="2" spans="1:14" s="23" customFormat="1" ht="32" customHeight="1" x14ac:dyDescent="0.2">
      <c r="A2" s="19"/>
      <c r="B2" s="91" t="str">
        <f>'2026-7 F'!CH2</f>
        <v>OTB @ 13 Aug 2026</v>
      </c>
      <c r="C2" s="91" t="str">
        <f>'2026-7 F'!CI2</f>
        <v>OTB @ 30 Jul 2026</v>
      </c>
      <c r="D2" s="19" t="s">
        <v>0</v>
      </c>
      <c r="E2" s="20" t="s">
        <v>1</v>
      </c>
      <c r="F2" s="21" t="s">
        <v>5</v>
      </c>
      <c r="G2" s="22"/>
      <c r="H2" s="22"/>
      <c r="I2" s="22"/>
      <c r="J2" s="22"/>
      <c r="K2" s="22"/>
      <c r="L2" s="22"/>
      <c r="M2" s="22"/>
      <c r="N2" s="22"/>
    </row>
    <row r="3" spans="1:14" s="8" customFormat="1" ht="16" customHeight="1" x14ac:dyDescent="0.2">
      <c r="A3" s="28" t="s">
        <v>76</v>
      </c>
      <c r="B3" s="35">
        <f>'2026-7 F'!CH3</f>
        <v>898332</v>
      </c>
      <c r="C3" s="35">
        <f>'2026-7 F'!CI3</f>
        <v>898332</v>
      </c>
      <c r="D3" s="24">
        <f t="shared" ref="D3:D6" si="0">B3-C3</f>
        <v>0</v>
      </c>
      <c r="E3" s="36">
        <f>'2026-7 F'!CK3</f>
        <v>980055.52</v>
      </c>
      <c r="F3" s="50">
        <f t="shared" ref="F3:F6" si="1">B3-E3</f>
        <v>-81723.520000000019</v>
      </c>
      <c r="G3" s="26"/>
      <c r="H3" s="26"/>
      <c r="I3" s="26"/>
      <c r="J3" s="26"/>
      <c r="K3" s="26"/>
      <c r="L3" s="27"/>
      <c r="M3" s="27"/>
      <c r="N3" s="27"/>
    </row>
    <row r="4" spans="1:14" s="8" customFormat="1" ht="16" customHeight="1" x14ac:dyDescent="0.2">
      <c r="A4" s="28" t="s">
        <v>75</v>
      </c>
      <c r="B4" s="35">
        <f>'2026-7 F'!CH4</f>
        <v>570496.93000000005</v>
      </c>
      <c r="C4" s="35">
        <f>'2026-7 F'!CI4</f>
        <v>570496.93000000005</v>
      </c>
      <c r="D4" s="24">
        <f t="shared" si="0"/>
        <v>0</v>
      </c>
      <c r="E4" s="36">
        <f>'2026-7 F'!CK4</f>
        <v>843064.17</v>
      </c>
      <c r="F4" s="50">
        <f t="shared" si="1"/>
        <v>-272567.24</v>
      </c>
      <c r="G4" s="26"/>
      <c r="H4" s="26"/>
      <c r="I4" s="26"/>
      <c r="J4" s="26"/>
      <c r="K4" s="26"/>
      <c r="L4" s="27"/>
      <c r="M4" s="27"/>
      <c r="N4" s="27"/>
    </row>
    <row r="5" spans="1:14" s="8" customFormat="1" ht="16" customHeight="1" x14ac:dyDescent="0.2">
      <c r="A5" s="28" t="s">
        <v>74</v>
      </c>
      <c r="B5" s="35">
        <f>'2026-7 F'!CH5</f>
        <v>258567.57</v>
      </c>
      <c r="C5" s="35">
        <f>'2026-7 F'!CI5</f>
        <v>258567.57</v>
      </c>
      <c r="D5" s="24">
        <f t="shared" si="0"/>
        <v>0</v>
      </c>
      <c r="E5" s="36">
        <f>'2026-7 F'!CK5</f>
        <v>361133.02999999997</v>
      </c>
      <c r="F5" s="50">
        <f t="shared" si="1"/>
        <v>-102565.45999999996</v>
      </c>
      <c r="G5" s="26"/>
      <c r="H5" s="26"/>
      <c r="I5" s="26"/>
      <c r="J5" s="26"/>
      <c r="K5" s="26"/>
      <c r="L5" s="27"/>
      <c r="M5" s="27"/>
      <c r="N5" s="27"/>
    </row>
    <row r="6" spans="1:14" s="8" customFormat="1" ht="16" customHeight="1" x14ac:dyDescent="0.2">
      <c r="A6" s="28" t="s">
        <v>51</v>
      </c>
      <c r="B6" s="35">
        <f>'2026-7 F'!CH6</f>
        <v>111926.77</v>
      </c>
      <c r="C6" s="35">
        <f>'2026-7 F'!CI6</f>
        <v>111926.77</v>
      </c>
      <c r="D6" s="24">
        <f t="shared" si="0"/>
        <v>0</v>
      </c>
      <c r="E6" s="36">
        <f>'2026-7 F'!CK6</f>
        <v>236124.58000000002</v>
      </c>
      <c r="F6" s="50">
        <f t="shared" si="1"/>
        <v>-124197.81000000001</v>
      </c>
      <c r="G6" s="26"/>
      <c r="H6" s="26"/>
      <c r="I6" s="26"/>
      <c r="J6" s="26"/>
      <c r="K6" s="26"/>
      <c r="L6" s="27"/>
      <c r="M6" s="27"/>
      <c r="N6" s="27"/>
    </row>
    <row r="7" spans="1:14" s="8" customFormat="1" ht="16" customHeight="1" x14ac:dyDescent="0.2">
      <c r="A7" s="28" t="s">
        <v>52</v>
      </c>
      <c r="B7" s="35">
        <f>'2026-7 F'!CH7</f>
        <v>213577.16499999998</v>
      </c>
      <c r="C7" s="35">
        <f>'2026-7 F'!CI7</f>
        <v>212744.11</v>
      </c>
      <c r="D7" s="24">
        <f t="shared" ref="D7:D12" si="2">B7-C7</f>
        <v>833.05499999999302</v>
      </c>
      <c r="E7" s="36">
        <f>'2026-7 F'!CK7</f>
        <v>348140.87</v>
      </c>
      <c r="F7" s="50">
        <f t="shared" ref="F7:F11" si="3">B7-E7</f>
        <v>-134563.70500000002</v>
      </c>
      <c r="G7" s="26"/>
      <c r="H7" s="26"/>
      <c r="I7" s="26"/>
      <c r="J7" s="26"/>
      <c r="K7" s="26"/>
      <c r="L7" s="27"/>
      <c r="M7" s="27"/>
      <c r="N7" s="27"/>
    </row>
    <row r="8" spans="1:14" s="8" customFormat="1" ht="16" customHeight="1" x14ac:dyDescent="0.2">
      <c r="A8" s="28" t="s">
        <v>59</v>
      </c>
      <c r="B8" s="35">
        <f>'2026-7 F'!CH8</f>
        <v>206055.75999999998</v>
      </c>
      <c r="C8" s="35">
        <f>'2026-7 F'!CI8</f>
        <v>184336.96</v>
      </c>
      <c r="D8" s="24">
        <f t="shared" si="2"/>
        <v>21718.799999999988</v>
      </c>
      <c r="E8" s="36">
        <f>'2026-7 F'!CK8</f>
        <v>312832.03000000003</v>
      </c>
      <c r="F8" s="50">
        <f t="shared" si="3"/>
        <v>-106776.27000000005</v>
      </c>
      <c r="G8" s="26"/>
      <c r="H8" s="26"/>
      <c r="I8" s="26"/>
      <c r="J8" s="26"/>
      <c r="K8" s="26"/>
      <c r="L8" s="27"/>
      <c r="M8" s="27"/>
      <c r="N8" s="27"/>
    </row>
    <row r="9" spans="1:14" s="8" customFormat="1" ht="16" customHeight="1" x14ac:dyDescent="0.2">
      <c r="A9" s="28" t="s">
        <v>61</v>
      </c>
      <c r="B9" s="35">
        <f>'2026-7 F'!CH9</f>
        <v>251828.98000000004</v>
      </c>
      <c r="C9" s="35">
        <f>'2026-7 F'!CI9</f>
        <v>262164.58</v>
      </c>
      <c r="D9" s="24">
        <f t="shared" si="2"/>
        <v>-10335.599999999977</v>
      </c>
      <c r="E9" s="36">
        <f>'2026-7 F'!CK9</f>
        <v>278006.63</v>
      </c>
      <c r="F9" s="50">
        <f t="shared" si="3"/>
        <v>-26177.649999999965</v>
      </c>
      <c r="G9" s="26"/>
      <c r="H9" s="26"/>
      <c r="I9" s="26"/>
      <c r="J9" s="26"/>
      <c r="K9" s="26"/>
      <c r="L9" s="27"/>
      <c r="M9" s="27"/>
      <c r="N9" s="27"/>
    </row>
    <row r="10" spans="1:14" s="8" customFormat="1" ht="16" customHeight="1" x14ac:dyDescent="0.2">
      <c r="A10" s="28" t="s">
        <v>68</v>
      </c>
      <c r="B10" s="35">
        <f>'2026-7 F'!CH10</f>
        <v>160578.46000000002</v>
      </c>
      <c r="C10" s="35">
        <f>'2026-7 F'!CI10</f>
        <v>181249.66000000003</v>
      </c>
      <c r="D10" s="24">
        <f t="shared" si="2"/>
        <v>-20671.200000000012</v>
      </c>
      <c r="E10" s="36">
        <f>'2026-7 F'!CK10</f>
        <v>610307.48</v>
      </c>
      <c r="F10" s="50">
        <f t="shared" si="3"/>
        <v>-449729.01999999996</v>
      </c>
      <c r="G10" s="26"/>
      <c r="H10" s="26"/>
      <c r="I10" s="26"/>
      <c r="J10" s="26"/>
      <c r="K10" s="26"/>
      <c r="L10" s="27"/>
      <c r="M10" s="27"/>
      <c r="N10" s="27"/>
    </row>
    <row r="11" spans="1:14" s="8" customFormat="1" ht="16" customHeight="1" x14ac:dyDescent="0.2">
      <c r="A11" s="28" t="s">
        <v>69</v>
      </c>
      <c r="B11" s="35">
        <f>'2026-7 F'!CH11</f>
        <v>606454.37</v>
      </c>
      <c r="C11" s="35">
        <f>'2026-7 F'!CI11</f>
        <v>582170.18000000005</v>
      </c>
      <c r="D11" s="24">
        <f t="shared" si="2"/>
        <v>24284.189999999944</v>
      </c>
      <c r="E11" s="36">
        <f>'2026-7 F'!CK11</f>
        <v>912396.97</v>
      </c>
      <c r="F11" s="50">
        <f t="shared" si="3"/>
        <v>-305942.59999999998</v>
      </c>
      <c r="G11" s="26"/>
      <c r="H11" s="26"/>
      <c r="I11" s="26"/>
      <c r="J11" s="26"/>
      <c r="K11" s="26"/>
      <c r="L11" s="27"/>
      <c r="M11" s="27"/>
      <c r="N11" s="27"/>
    </row>
    <row r="12" spans="1:14" s="8" customFormat="1" ht="16" customHeight="1" x14ac:dyDescent="0.2">
      <c r="A12" s="28" t="s">
        <v>71</v>
      </c>
      <c r="B12" s="35">
        <f>'2026-7 F'!CH12</f>
        <v>1182308.27</v>
      </c>
      <c r="C12" s="35">
        <f>'2026-7 F'!CI12</f>
        <v>1182308.27</v>
      </c>
      <c r="D12" s="24">
        <f t="shared" si="2"/>
        <v>0</v>
      </c>
      <c r="E12" s="36">
        <f>'2026-7 F'!CK12</f>
        <v>1216440.3600000001</v>
      </c>
      <c r="F12" s="50">
        <f t="shared" ref="F12" si="4">B12-E12</f>
        <v>-34132.090000000084</v>
      </c>
      <c r="G12" s="26"/>
      <c r="H12" s="26"/>
      <c r="I12" s="26"/>
      <c r="J12" s="26"/>
      <c r="K12" s="26"/>
      <c r="L12" s="27"/>
      <c r="M12" s="27"/>
      <c r="N12" s="27"/>
    </row>
    <row r="13" spans="1:14" s="34" customFormat="1" ht="18" customHeight="1" thickBot="1" x14ac:dyDescent="0.25">
      <c r="A13" s="29" t="s">
        <v>6</v>
      </c>
      <c r="B13" s="30"/>
      <c r="C13" s="30" t="e">
        <f>SUM(#REF!)</f>
        <v>#REF!</v>
      </c>
      <c r="D13" s="52">
        <f>SUM(D3:D7)</f>
        <v>833.05499999999302</v>
      </c>
      <c r="E13" s="31" t="e">
        <f>SUM(#REF!)</f>
        <v>#REF!</v>
      </c>
      <c r="F13" s="53" t="e">
        <f>B13-E13</f>
        <v>#REF!</v>
      </c>
      <c r="G13" s="32"/>
      <c r="H13" s="32"/>
      <c r="I13" s="32"/>
      <c r="J13" s="32"/>
      <c r="K13" s="32"/>
      <c r="L13" s="33"/>
      <c r="M13" s="33"/>
      <c r="N13" s="33"/>
    </row>
    <row r="14" spans="1:14" s="16" customFormat="1" ht="25" customHeight="1" thickBot="1" x14ac:dyDescent="0.3">
      <c r="A14" s="108" t="s">
        <v>2</v>
      </c>
      <c r="B14" s="109"/>
      <c r="C14" s="109"/>
      <c r="D14" s="109"/>
      <c r="E14" s="109"/>
      <c r="F14" s="110"/>
      <c r="G14" s="108" t="s">
        <v>4</v>
      </c>
      <c r="H14" s="109"/>
      <c r="I14" s="109"/>
      <c r="J14" s="109"/>
      <c r="K14" s="110"/>
      <c r="L14" s="15"/>
      <c r="M14" s="15"/>
      <c r="N14" s="15"/>
    </row>
    <row r="15" spans="1:14" s="8" customFormat="1" ht="32" customHeight="1" x14ac:dyDescent="0.2">
      <c r="A15" s="18"/>
      <c r="B15" s="91" t="str">
        <f>B2</f>
        <v>OTB @ 13 Aug 2026</v>
      </c>
      <c r="C15" s="91" t="str">
        <f>C2</f>
        <v>OTB @ 30 Jul 2026</v>
      </c>
      <c r="D15" s="19" t="s">
        <v>0</v>
      </c>
      <c r="E15" s="20" t="s">
        <v>1</v>
      </c>
      <c r="F15" s="21" t="s">
        <v>5</v>
      </c>
      <c r="G15" s="91" t="str">
        <f>B2</f>
        <v>OTB @ 13 Aug 2026</v>
      </c>
      <c r="H15" s="91" t="str">
        <f>C2</f>
        <v>OTB @ 30 Jul 2026</v>
      </c>
      <c r="I15" s="19" t="s">
        <v>0</v>
      </c>
      <c r="J15" s="20" t="s">
        <v>1</v>
      </c>
      <c r="K15" s="21" t="s">
        <v>5</v>
      </c>
      <c r="L15" s="27"/>
      <c r="M15" s="27"/>
      <c r="N15" s="27"/>
    </row>
    <row r="16" spans="1:14" s="8" customFormat="1" ht="16" customHeight="1" x14ac:dyDescent="0.2">
      <c r="A16" s="28" t="s">
        <v>51</v>
      </c>
      <c r="B16" s="40">
        <f>'2026-7 F'!CH21</f>
        <v>16</v>
      </c>
      <c r="C16" s="40">
        <f>'2026-7 F'!CI21</f>
        <v>16</v>
      </c>
      <c r="D16" s="40">
        <f t="shared" ref="D16:D22" si="5">B16-C16</f>
        <v>0</v>
      </c>
      <c r="E16" s="41">
        <f>'2026-7 F'!CK21</f>
        <v>44</v>
      </c>
      <c r="F16" s="58">
        <f t="shared" ref="F16:F26" si="6">B16-E16</f>
        <v>-28</v>
      </c>
      <c r="G16" s="42">
        <f>B16/180</f>
        <v>8.8888888888888892E-2</v>
      </c>
      <c r="H16" s="42">
        <f>C16/180</f>
        <v>8.8888888888888892E-2</v>
      </c>
      <c r="I16" s="42">
        <f t="shared" ref="I16:I22" si="7">G16-H16</f>
        <v>0</v>
      </c>
      <c r="J16" s="43">
        <f>E16/180</f>
        <v>0.24444444444444444</v>
      </c>
      <c r="K16" s="45">
        <f t="shared" ref="K16:K26" si="8">G16-J16</f>
        <v>-0.15555555555555556</v>
      </c>
      <c r="L16" s="27"/>
      <c r="M16" s="27"/>
      <c r="N16" s="27"/>
    </row>
    <row r="17" spans="1:14" s="8" customFormat="1" ht="16" customHeight="1" x14ac:dyDescent="0.2">
      <c r="A17" s="28"/>
      <c r="B17" s="40"/>
      <c r="C17" s="40"/>
      <c r="D17" s="40"/>
      <c r="E17" s="41"/>
      <c r="F17" s="58"/>
      <c r="G17" s="42"/>
      <c r="H17" s="42"/>
      <c r="I17" s="42"/>
      <c r="J17" s="43"/>
      <c r="K17" s="45"/>
      <c r="L17" s="27"/>
      <c r="M17" s="27"/>
      <c r="N17" s="27"/>
    </row>
    <row r="18" spans="1:14" s="8" customFormat="1" ht="16" customHeight="1" x14ac:dyDescent="0.2">
      <c r="A18" s="28"/>
      <c r="B18" s="40"/>
      <c r="C18" s="40"/>
      <c r="D18" s="40"/>
      <c r="E18" s="41"/>
      <c r="F18" s="58"/>
      <c r="G18" s="42"/>
      <c r="H18" s="42"/>
      <c r="I18" s="42"/>
      <c r="J18" s="43"/>
      <c r="K18" s="45"/>
      <c r="L18" s="27"/>
      <c r="M18" s="27"/>
      <c r="N18" s="27"/>
    </row>
    <row r="19" spans="1:14" s="8" customFormat="1" ht="16" customHeight="1" x14ac:dyDescent="0.2">
      <c r="A19" s="28"/>
      <c r="B19" s="40"/>
      <c r="C19" s="40"/>
      <c r="D19" s="40"/>
      <c r="E19" s="41"/>
      <c r="F19" s="58"/>
      <c r="G19" s="42"/>
      <c r="H19" s="42"/>
      <c r="I19" s="42"/>
      <c r="J19" s="43"/>
      <c r="K19" s="45"/>
      <c r="L19" s="27"/>
      <c r="M19" s="27"/>
      <c r="N19" s="27"/>
    </row>
    <row r="20" spans="1:14" s="8" customFormat="1" ht="16" customHeight="1" x14ac:dyDescent="0.2">
      <c r="A20" s="28"/>
      <c r="B20" s="40"/>
      <c r="C20" s="40"/>
      <c r="D20" s="40"/>
      <c r="E20" s="41"/>
      <c r="F20" s="58"/>
      <c r="G20" s="42"/>
      <c r="H20" s="42"/>
      <c r="I20" s="42"/>
      <c r="J20" s="43"/>
      <c r="K20" s="45"/>
      <c r="L20" s="27"/>
      <c r="M20" s="27"/>
      <c r="N20" s="27"/>
    </row>
    <row r="21" spans="1:14" s="8" customFormat="1" ht="16" customHeight="1" x14ac:dyDescent="0.2">
      <c r="A21" s="28"/>
      <c r="B21" s="40"/>
      <c r="C21" s="40"/>
      <c r="D21" s="40"/>
      <c r="E21" s="41"/>
      <c r="F21" s="58"/>
      <c r="G21" s="42"/>
      <c r="H21" s="42"/>
      <c r="I21" s="42"/>
      <c r="J21" s="43"/>
      <c r="K21" s="45"/>
      <c r="L21" s="27"/>
      <c r="M21" s="27"/>
      <c r="N21" s="27"/>
    </row>
    <row r="22" spans="1:14" s="8" customFormat="1" ht="16" customHeight="1" x14ac:dyDescent="0.2">
      <c r="A22" s="28" t="s">
        <v>52</v>
      </c>
      <c r="B22" s="40">
        <f>'2026-7 F'!CH22</f>
        <v>42</v>
      </c>
      <c r="C22" s="40">
        <f>'2026-7 F'!CI22</f>
        <v>42</v>
      </c>
      <c r="D22" s="40">
        <f t="shared" si="5"/>
        <v>0</v>
      </c>
      <c r="E22" s="41">
        <f>'2026-7 F'!CK22</f>
        <v>63</v>
      </c>
      <c r="F22" s="58">
        <f t="shared" si="6"/>
        <v>-21</v>
      </c>
      <c r="G22" s="42">
        <f>B22/186</f>
        <v>0.22580645161290322</v>
      </c>
      <c r="H22" s="42">
        <f>C22/186</f>
        <v>0.22580645161290322</v>
      </c>
      <c r="I22" s="42">
        <f t="shared" si="7"/>
        <v>0</v>
      </c>
      <c r="J22" s="43">
        <f>E22/186</f>
        <v>0.33870967741935482</v>
      </c>
      <c r="K22" s="45">
        <f t="shared" si="8"/>
        <v>-0.1129032258064516</v>
      </c>
      <c r="L22" s="27"/>
      <c r="M22" s="27"/>
      <c r="N22" s="27"/>
    </row>
    <row r="23" spans="1:14" s="8" customFormat="1" ht="16" customHeight="1" x14ac:dyDescent="0.2">
      <c r="A23" s="28" t="s">
        <v>59</v>
      </c>
      <c r="B23" s="40">
        <f>'2026-7 F'!CH23</f>
        <v>36</v>
      </c>
      <c r="C23" s="40">
        <f>'2026-7 F'!CI23</f>
        <v>33</v>
      </c>
      <c r="D23" s="40">
        <f t="shared" ref="D23:D24" si="9">B23-C23</f>
        <v>3</v>
      </c>
      <c r="E23" s="41">
        <f>'2026-7 F'!CK23</f>
        <v>67</v>
      </c>
      <c r="F23" s="58">
        <f t="shared" si="6"/>
        <v>-31</v>
      </c>
      <c r="G23" s="42">
        <f>B23/186</f>
        <v>0.19354838709677419</v>
      </c>
      <c r="H23" s="42">
        <f>C23/186</f>
        <v>0.17741935483870969</v>
      </c>
      <c r="I23" s="42">
        <f t="shared" ref="I23:I24" si="10">G23-H23</f>
        <v>1.6129032258064502E-2</v>
      </c>
      <c r="J23" s="43">
        <f>E23/186</f>
        <v>0.36021505376344087</v>
      </c>
      <c r="K23" s="45">
        <f t="shared" si="8"/>
        <v>-0.16666666666666669</v>
      </c>
      <c r="L23" s="27"/>
      <c r="M23" s="27"/>
      <c r="N23" s="27"/>
    </row>
    <row r="24" spans="1:14" s="8" customFormat="1" ht="16" customHeight="1" x14ac:dyDescent="0.2">
      <c r="A24" s="28" t="s">
        <v>61</v>
      </c>
      <c r="B24" s="40">
        <f>'2026-7 F'!CH24</f>
        <v>45</v>
      </c>
      <c r="C24" s="40">
        <f>'2026-7 F'!CI24</f>
        <v>46</v>
      </c>
      <c r="D24" s="40">
        <f t="shared" si="9"/>
        <v>-1</v>
      </c>
      <c r="E24" s="41">
        <f>'2026-7 F'!CK24</f>
        <v>60</v>
      </c>
      <c r="F24" s="58">
        <f t="shared" si="6"/>
        <v>-15</v>
      </c>
      <c r="G24" s="42">
        <f>B24/180</f>
        <v>0.25</v>
      </c>
      <c r="H24" s="42">
        <f>C24/180</f>
        <v>0.25555555555555554</v>
      </c>
      <c r="I24" s="42">
        <f t="shared" si="10"/>
        <v>-5.5555555555555358E-3</v>
      </c>
      <c r="J24" s="43">
        <f>E24/180</f>
        <v>0.33333333333333331</v>
      </c>
      <c r="K24" s="45">
        <f t="shared" si="8"/>
        <v>-8.3333333333333315E-2</v>
      </c>
      <c r="L24" s="27"/>
      <c r="M24" s="27"/>
      <c r="N24" s="27"/>
    </row>
    <row r="25" spans="1:14" s="8" customFormat="1" ht="16" customHeight="1" x14ac:dyDescent="0.2">
      <c r="A25" s="28" t="s">
        <v>68</v>
      </c>
      <c r="B25" s="40">
        <f>'2026-7 F'!CH25</f>
        <v>20</v>
      </c>
      <c r="C25" s="40">
        <f>'2026-7 F'!CI25</f>
        <v>22</v>
      </c>
      <c r="D25" s="40">
        <f>B25-C25</f>
        <v>-2</v>
      </c>
      <c r="E25" s="41">
        <f>'2026-7 F'!CK25</f>
        <v>72</v>
      </c>
      <c r="F25" s="58">
        <f t="shared" si="6"/>
        <v>-52</v>
      </c>
      <c r="G25" s="42">
        <f>B25/186</f>
        <v>0.10752688172043011</v>
      </c>
      <c r="H25" s="42">
        <f>C25/186</f>
        <v>0.11827956989247312</v>
      </c>
      <c r="I25" s="42">
        <f>G25-H25</f>
        <v>-1.0752688172043015E-2</v>
      </c>
      <c r="J25" s="43">
        <f>E25/186</f>
        <v>0.38709677419354838</v>
      </c>
      <c r="K25" s="45">
        <f t="shared" si="8"/>
        <v>-0.27956989247311825</v>
      </c>
      <c r="L25" s="27"/>
      <c r="M25" s="27"/>
      <c r="N25" s="27"/>
    </row>
    <row r="26" spans="1:14" s="8" customFormat="1" ht="16" customHeight="1" x14ac:dyDescent="0.2">
      <c r="A26" s="28" t="s">
        <v>69</v>
      </c>
      <c r="B26" s="40">
        <f>'2026-7 F'!CH26</f>
        <v>80</v>
      </c>
      <c r="C26" s="40">
        <f>'2026-7 F'!CI26</f>
        <v>77</v>
      </c>
      <c r="D26" s="40">
        <f>B26-C26</f>
        <v>3</v>
      </c>
      <c r="E26" s="41">
        <f>'2026-7 F'!CK26</f>
        <v>115</v>
      </c>
      <c r="F26" s="58">
        <f t="shared" si="6"/>
        <v>-35</v>
      </c>
      <c r="G26" s="42">
        <f>B26/180</f>
        <v>0.44444444444444442</v>
      </c>
      <c r="H26" s="42">
        <f>C26/180</f>
        <v>0.42777777777777776</v>
      </c>
      <c r="I26" s="42">
        <f>G26-H26</f>
        <v>1.6666666666666663E-2</v>
      </c>
      <c r="J26" s="43">
        <f>E26/180</f>
        <v>0.63888888888888884</v>
      </c>
      <c r="K26" s="45">
        <f t="shared" si="8"/>
        <v>-0.19444444444444442</v>
      </c>
      <c r="L26" s="27"/>
      <c r="M26" s="27"/>
      <c r="N26" s="27"/>
    </row>
    <row r="27" spans="1:14" s="8" customFormat="1" ht="16" customHeight="1" thickBot="1" x14ac:dyDescent="0.25">
      <c r="A27" s="28" t="s">
        <v>69</v>
      </c>
      <c r="B27" s="40">
        <f>'2026-7 F'!CH27</f>
        <v>129</v>
      </c>
      <c r="C27" s="40">
        <f>'2026-7 F'!CI27</f>
        <v>124</v>
      </c>
      <c r="D27" s="40">
        <f>B27-C27</f>
        <v>5</v>
      </c>
      <c r="E27" s="41">
        <f>'2026-7 F'!CK27</f>
        <v>137</v>
      </c>
      <c r="F27" s="44">
        <f t="shared" ref="F27" si="11">B27-E27</f>
        <v>-8</v>
      </c>
      <c r="G27" s="46">
        <f>B27/186</f>
        <v>0.69354838709677424</v>
      </c>
      <c r="H27" s="46">
        <f>C27/186</f>
        <v>0.66666666666666663</v>
      </c>
      <c r="I27" s="46">
        <f>G27-H27</f>
        <v>2.6881720430107614E-2</v>
      </c>
      <c r="J27" s="47">
        <f>E27/186</f>
        <v>0.73655913978494625</v>
      </c>
      <c r="K27" s="47">
        <f t="shared" ref="K27" si="12">G27-J27</f>
        <v>-4.3010752688172005E-2</v>
      </c>
      <c r="L27" s="27"/>
      <c r="M27" s="27"/>
      <c r="N27" s="27"/>
    </row>
    <row r="28" spans="1:14" s="16" customFormat="1" ht="25" customHeight="1" thickBot="1" x14ac:dyDescent="0.3">
      <c r="A28" s="108" t="s">
        <v>3</v>
      </c>
      <c r="B28" s="109"/>
      <c r="C28" s="109"/>
      <c r="D28" s="109"/>
      <c r="E28" s="109"/>
      <c r="F28" s="110"/>
      <c r="G28" s="17"/>
      <c r="H28" s="17"/>
      <c r="I28" s="17"/>
      <c r="J28" s="17"/>
      <c r="K28" s="17"/>
      <c r="L28" s="15"/>
      <c r="M28" s="15"/>
      <c r="N28" s="15"/>
    </row>
    <row r="29" spans="1:14" s="8" customFormat="1" ht="32" customHeight="1" x14ac:dyDescent="0.2">
      <c r="A29" s="18"/>
      <c r="B29" s="91" t="str">
        <f>B2</f>
        <v>OTB @ 13 Aug 2026</v>
      </c>
      <c r="C29" s="91" t="str">
        <f>C2</f>
        <v>OTB @ 30 Jul 2026</v>
      </c>
      <c r="D29" s="19" t="s">
        <v>0</v>
      </c>
      <c r="E29" s="20" t="s">
        <v>1</v>
      </c>
      <c r="F29" s="21" t="s">
        <v>5</v>
      </c>
      <c r="G29" s="26"/>
      <c r="H29" s="26"/>
      <c r="I29" s="26"/>
      <c r="J29" s="26"/>
      <c r="K29" s="26"/>
      <c r="L29" s="27"/>
      <c r="M29" s="27"/>
      <c r="N29" s="27"/>
    </row>
    <row r="30" spans="1:14" ht="16" customHeight="1" x14ac:dyDescent="0.2">
      <c r="A30" s="28" t="s">
        <v>51</v>
      </c>
      <c r="B30" s="24" t="e">
        <f>#REF!/B16</f>
        <v>#REF!</v>
      </c>
      <c r="C30" s="24" t="e">
        <f>#REF!/C16</f>
        <v>#REF!</v>
      </c>
      <c r="D30" s="24" t="e">
        <f t="shared" ref="D30:D36" si="13">B30-C30</f>
        <v>#REF!</v>
      </c>
      <c r="E30" s="36" t="e">
        <f>#REF!/E16</f>
        <v>#REF!</v>
      </c>
      <c r="F30" s="50" t="e">
        <f t="shared" ref="F30:F40" si="14">B30-E30</f>
        <v>#REF!</v>
      </c>
      <c r="H30" s="27" t="s">
        <v>16</v>
      </c>
    </row>
    <row r="31" spans="1:14" ht="16" customHeight="1" x14ac:dyDescent="0.2">
      <c r="A31" s="28"/>
      <c r="B31" s="24"/>
      <c r="C31" s="24"/>
      <c r="D31" s="24"/>
      <c r="E31" s="36"/>
      <c r="F31" s="50"/>
      <c r="H31" s="27"/>
    </row>
    <row r="32" spans="1:14" ht="16" customHeight="1" x14ac:dyDescent="0.2">
      <c r="A32" s="28"/>
      <c r="B32" s="24"/>
      <c r="C32" s="24"/>
      <c r="D32" s="24"/>
      <c r="E32" s="36"/>
      <c r="F32" s="50"/>
      <c r="H32" s="27"/>
    </row>
    <row r="33" spans="1:8" ht="16" customHeight="1" x14ac:dyDescent="0.2">
      <c r="A33" s="28"/>
      <c r="B33" s="24"/>
      <c r="C33" s="24"/>
      <c r="D33" s="24"/>
      <c r="E33" s="36"/>
      <c r="F33" s="50"/>
      <c r="H33" s="27"/>
    </row>
    <row r="34" spans="1:8" ht="16" customHeight="1" x14ac:dyDescent="0.2">
      <c r="A34" s="28"/>
      <c r="B34" s="24"/>
      <c r="C34" s="24"/>
      <c r="D34" s="24"/>
      <c r="E34" s="36"/>
      <c r="F34" s="50"/>
      <c r="H34" s="27"/>
    </row>
    <row r="35" spans="1:8" ht="16" customHeight="1" x14ac:dyDescent="0.2">
      <c r="A35" s="28"/>
      <c r="B35" s="24"/>
      <c r="C35" s="24"/>
      <c r="D35" s="24"/>
      <c r="E35" s="36"/>
      <c r="F35" s="50"/>
      <c r="H35" s="27"/>
    </row>
    <row r="36" spans="1:8" ht="16" customHeight="1" x14ac:dyDescent="0.2">
      <c r="A36" s="28" t="s">
        <v>52</v>
      </c>
      <c r="B36" s="24">
        <f t="shared" ref="B36:C41" si="15">B7/B22</f>
        <v>5085.1705952380944</v>
      </c>
      <c r="C36" s="24">
        <f t="shared" si="15"/>
        <v>5065.3359523809522</v>
      </c>
      <c r="D36" s="24">
        <f t="shared" si="13"/>
        <v>19.834642857142171</v>
      </c>
      <c r="E36" s="36">
        <f t="shared" ref="E36:E41" si="16">E7/E22</f>
        <v>5526.0455555555554</v>
      </c>
      <c r="F36" s="50">
        <f t="shared" si="14"/>
        <v>-440.87496031746105</v>
      </c>
    </row>
    <row r="37" spans="1:8" ht="16" customHeight="1" x14ac:dyDescent="0.2">
      <c r="A37" s="28" t="s">
        <v>59</v>
      </c>
      <c r="B37" s="24">
        <f t="shared" si="15"/>
        <v>5723.7711111111103</v>
      </c>
      <c r="C37" s="24">
        <f t="shared" si="15"/>
        <v>5585.9684848484849</v>
      </c>
      <c r="D37" s="24">
        <f t="shared" ref="D37:D41" si="17">B37-C37</f>
        <v>137.80262626262538</v>
      </c>
      <c r="E37" s="36">
        <f t="shared" si="16"/>
        <v>4669.1347761194038</v>
      </c>
      <c r="F37" s="50">
        <f t="shared" si="14"/>
        <v>1054.6363349917065</v>
      </c>
    </row>
    <row r="38" spans="1:8" ht="16" customHeight="1" x14ac:dyDescent="0.2">
      <c r="A38" s="28" t="s">
        <v>61</v>
      </c>
      <c r="B38" s="24">
        <f t="shared" si="15"/>
        <v>5596.1995555555568</v>
      </c>
      <c r="C38" s="24">
        <f t="shared" si="15"/>
        <v>5699.2300000000005</v>
      </c>
      <c r="D38" s="24">
        <f t="shared" si="17"/>
        <v>-103.03044444444367</v>
      </c>
      <c r="E38" s="36">
        <f t="shared" si="16"/>
        <v>4633.4438333333337</v>
      </c>
      <c r="F38" s="50">
        <f t="shared" si="14"/>
        <v>962.75572222222308</v>
      </c>
    </row>
    <row r="39" spans="1:8" ht="16" customHeight="1" x14ac:dyDescent="0.2">
      <c r="A39" s="28" t="s">
        <v>68</v>
      </c>
      <c r="B39" s="24">
        <f t="shared" si="15"/>
        <v>8028.9230000000007</v>
      </c>
      <c r="C39" s="24">
        <f t="shared" si="15"/>
        <v>8238.6209090909106</v>
      </c>
      <c r="D39" s="24">
        <f t="shared" ref="D39:D40" si="18">B39-C39</f>
        <v>-209.69790909090989</v>
      </c>
      <c r="E39" s="36">
        <f t="shared" si="16"/>
        <v>8476.4927777777775</v>
      </c>
      <c r="F39" s="50">
        <f t="shared" si="14"/>
        <v>-447.56977777777684</v>
      </c>
    </row>
    <row r="40" spans="1:8" ht="16" customHeight="1" x14ac:dyDescent="0.2">
      <c r="A40" s="28" t="s">
        <v>69</v>
      </c>
      <c r="B40" s="24">
        <f t="shared" si="15"/>
        <v>7580.6796249999998</v>
      </c>
      <c r="C40" s="24">
        <f t="shared" si="15"/>
        <v>7560.6516883116892</v>
      </c>
      <c r="D40" s="24">
        <f t="shared" si="18"/>
        <v>20.027936688310547</v>
      </c>
      <c r="E40" s="36">
        <f t="shared" si="16"/>
        <v>7933.8866956521733</v>
      </c>
      <c r="F40" s="50">
        <f t="shared" si="14"/>
        <v>-353.20707065217357</v>
      </c>
    </row>
    <row r="41" spans="1:8" ht="16" customHeight="1" x14ac:dyDescent="0.2">
      <c r="A41" s="48" t="s">
        <v>71</v>
      </c>
      <c r="B41" s="49">
        <f t="shared" si="15"/>
        <v>9165.1803875968999</v>
      </c>
      <c r="C41" s="49">
        <f t="shared" si="15"/>
        <v>9534.7441129032268</v>
      </c>
      <c r="D41" s="49">
        <f t="shared" si="17"/>
        <v>-369.56372530632689</v>
      </c>
      <c r="E41" s="51">
        <f t="shared" si="16"/>
        <v>8879.126715328468</v>
      </c>
      <c r="F41" s="51">
        <f t="shared" ref="F41" si="19">B41-E41</f>
        <v>286.05367226843191</v>
      </c>
    </row>
    <row r="42" spans="1:8" x14ac:dyDescent="0.2">
      <c r="B42" s="86"/>
      <c r="C42" s="86"/>
      <c r="D42" s="86"/>
      <c r="E42" s="86"/>
    </row>
  </sheetData>
  <mergeCells count="4">
    <mergeCell ref="A14:F14"/>
    <mergeCell ref="G14:K14"/>
    <mergeCell ref="A28:F28"/>
    <mergeCell ref="A1:K1"/>
  </mergeCells>
  <phoneticPr fontId="3" type="noConversion"/>
  <conditionalFormatting sqref="D1 F1 I1 K1 D3:D14 F3:F14 I3:I14 K3:K14 D16:D28 F16:F28 I16:I28 K16:K28 D30:D1048576 F30:F1048576 I30:I1048576 K30:K1048576">
    <cfRule type="cellIs" dxfId="32" priority="1" operator="lessThan">
      <formula>-0.0009</formula>
    </cfRule>
    <cfRule type="cellIs" dxfId="31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H28 F13 A14:B14 A13 G13:K13 D14:K14 D13:E13 F27 A15 D15:F15 I15:K15 D22 A16:B16 A22 K27 K22 I22:J22 I23:J23 D16 F16:H16 F22:H22 I16:J16 K16" formula="1"/>
    <ignoredError sqref="F4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86B7-15B1-B44F-B3D7-1B82AAE162F3}">
  <dimension ref="A1:BY44"/>
  <sheetViews>
    <sheetView zoomScaleNormal="100" workbookViewId="0">
      <pane xSplit="1" topLeftCell="B1" activePane="topRight" state="frozen"/>
      <selection pane="topRight" activeCell="G38" sqref="G38"/>
    </sheetView>
  </sheetViews>
  <sheetFormatPr baseColWidth="10" defaultRowHeight="16" x14ac:dyDescent="0.2"/>
  <cols>
    <col min="1" max="1" width="8.83203125" customWidth="1"/>
    <col min="12" max="12" width="8.83203125" customWidth="1"/>
    <col min="23" max="23" width="8.83203125" customWidth="1"/>
    <col min="34" max="34" width="8.83203125" customWidth="1"/>
    <col min="45" max="45" width="8.83203125" customWidth="1"/>
    <col min="56" max="56" width="8.83203125" customWidth="1"/>
    <col min="67" max="67" width="8.83203125" customWidth="1"/>
  </cols>
  <sheetData>
    <row r="1" spans="1:77" s="37" customFormat="1" ht="28" customHeight="1" thickBot="1" x14ac:dyDescent="0.3">
      <c r="A1" s="111" t="s">
        <v>31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12" t="s">
        <v>32</v>
      </c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112" t="s">
        <v>33</v>
      </c>
      <c r="X1" s="112"/>
      <c r="Y1" s="112"/>
      <c r="Z1" s="112"/>
      <c r="AA1" s="112"/>
      <c r="AB1" s="112"/>
      <c r="AC1" s="112"/>
      <c r="AD1" s="112"/>
      <c r="AE1" s="112"/>
      <c r="AF1" s="112"/>
      <c r="AG1" s="113"/>
      <c r="AH1" s="112" t="s">
        <v>34</v>
      </c>
      <c r="AI1" s="112"/>
      <c r="AJ1" s="112"/>
      <c r="AK1" s="112"/>
      <c r="AL1" s="112"/>
      <c r="AM1" s="112"/>
      <c r="AN1" s="112"/>
      <c r="AO1" s="112"/>
      <c r="AP1" s="112"/>
      <c r="AQ1" s="112"/>
      <c r="AR1" s="113"/>
      <c r="AS1" s="112" t="s">
        <v>35</v>
      </c>
      <c r="AT1" s="112"/>
      <c r="AU1" s="112"/>
      <c r="AV1" s="112"/>
      <c r="AW1" s="112"/>
      <c r="AX1" s="112"/>
      <c r="AY1" s="112"/>
      <c r="AZ1" s="112"/>
      <c r="BA1" s="112"/>
      <c r="BB1" s="112"/>
      <c r="BC1" s="113"/>
      <c r="BD1" s="112" t="s">
        <v>36</v>
      </c>
      <c r="BE1" s="112"/>
      <c r="BF1" s="112"/>
      <c r="BG1" s="112"/>
      <c r="BH1" s="112"/>
      <c r="BI1" s="112"/>
      <c r="BJ1" s="112"/>
      <c r="BK1" s="112"/>
      <c r="BL1" s="112"/>
      <c r="BM1" s="112"/>
      <c r="BN1" s="113"/>
      <c r="BO1" s="112" t="s">
        <v>56</v>
      </c>
      <c r="BP1" s="112"/>
      <c r="BQ1" s="112"/>
      <c r="BR1" s="112"/>
      <c r="BS1" s="112"/>
      <c r="BT1" s="112"/>
      <c r="BU1" s="112"/>
      <c r="BV1" s="112"/>
      <c r="BW1" s="112"/>
      <c r="BX1" s="112"/>
      <c r="BY1" s="113"/>
    </row>
    <row r="2" spans="1:77" s="23" customFormat="1" ht="32" customHeight="1" x14ac:dyDescent="0.2">
      <c r="A2" s="68"/>
      <c r="B2" s="71" t="s">
        <v>60</v>
      </c>
      <c r="C2" s="71" t="s">
        <v>58</v>
      </c>
      <c r="D2" s="87" t="s">
        <v>0</v>
      </c>
      <c r="E2" s="59" t="s">
        <v>48</v>
      </c>
      <c r="F2" s="21" t="s">
        <v>47</v>
      </c>
      <c r="G2" s="22"/>
      <c r="H2" s="22"/>
      <c r="I2" s="22"/>
      <c r="J2" s="22"/>
      <c r="K2" s="61"/>
      <c r="L2" s="68"/>
      <c r="M2" s="71" t="s">
        <v>60</v>
      </c>
      <c r="N2" s="71" t="s">
        <v>58</v>
      </c>
      <c r="O2" s="87" t="s">
        <v>0</v>
      </c>
      <c r="P2" s="59" t="s">
        <v>48</v>
      </c>
      <c r="Q2" s="21" t="s">
        <v>47</v>
      </c>
      <c r="R2" s="22"/>
      <c r="S2" s="22"/>
      <c r="T2" s="22"/>
      <c r="U2" s="22"/>
      <c r="V2" s="61"/>
      <c r="W2" s="68"/>
      <c r="X2" s="71" t="s">
        <v>60</v>
      </c>
      <c r="Y2" s="71" t="s">
        <v>58</v>
      </c>
      <c r="Z2" s="87" t="s">
        <v>0</v>
      </c>
      <c r="AA2" s="59" t="s">
        <v>48</v>
      </c>
      <c r="AB2" s="21" t="s">
        <v>47</v>
      </c>
      <c r="AC2" s="22"/>
      <c r="AD2" s="22"/>
      <c r="AE2" s="22"/>
      <c r="AF2" s="22"/>
      <c r="AG2" s="61"/>
      <c r="AH2" s="68"/>
      <c r="AI2" s="71" t="s">
        <v>60</v>
      </c>
      <c r="AJ2" s="71" t="s">
        <v>58</v>
      </c>
      <c r="AK2" s="87" t="s">
        <v>0</v>
      </c>
      <c r="AL2" s="59" t="s">
        <v>48</v>
      </c>
      <c r="AM2" s="21" t="s">
        <v>47</v>
      </c>
      <c r="AN2" s="22"/>
      <c r="AO2" s="22"/>
      <c r="AP2" s="22"/>
      <c r="AQ2" s="22"/>
      <c r="AR2" s="61"/>
      <c r="AS2" s="68"/>
      <c r="AT2" s="71" t="s">
        <v>60</v>
      </c>
      <c r="AU2" s="71" t="s">
        <v>58</v>
      </c>
      <c r="AV2" s="87" t="s">
        <v>0</v>
      </c>
      <c r="AW2" s="59" t="s">
        <v>48</v>
      </c>
      <c r="AX2" s="21" t="s">
        <v>47</v>
      </c>
      <c r="AY2" s="22"/>
      <c r="AZ2" s="22"/>
      <c r="BA2" s="22"/>
      <c r="BB2" s="22"/>
      <c r="BC2" s="61"/>
      <c r="BD2" s="68"/>
      <c r="BE2" s="71" t="s">
        <v>60</v>
      </c>
      <c r="BF2" s="71" t="s">
        <v>58</v>
      </c>
      <c r="BG2" s="87" t="s">
        <v>0</v>
      </c>
      <c r="BH2" s="59" t="s">
        <v>48</v>
      </c>
      <c r="BI2" s="21" t="s">
        <v>47</v>
      </c>
      <c r="BJ2" s="22"/>
      <c r="BK2" s="22"/>
      <c r="BL2" s="22"/>
      <c r="BM2" s="22"/>
      <c r="BN2" s="61"/>
      <c r="BO2" s="68"/>
      <c r="BP2" s="71" t="s">
        <v>60</v>
      </c>
      <c r="BQ2" s="71" t="s">
        <v>58</v>
      </c>
      <c r="BR2" s="87" t="s">
        <v>0</v>
      </c>
      <c r="BS2" s="59" t="s">
        <v>48</v>
      </c>
      <c r="BT2" s="21" t="s">
        <v>47</v>
      </c>
      <c r="BU2" s="22"/>
      <c r="BV2" s="22"/>
      <c r="BW2" s="22"/>
      <c r="BX2" s="22"/>
      <c r="BY2" s="22"/>
    </row>
    <row r="3" spans="1:77" s="8" customFormat="1" ht="18" customHeight="1" x14ac:dyDescent="0.2">
      <c r="A3" s="28" t="s">
        <v>37</v>
      </c>
      <c r="B3" s="24">
        <v>275157.56</v>
      </c>
      <c r="C3" s="24">
        <v>275157.56</v>
      </c>
      <c r="D3" s="25">
        <f t="shared" ref="D3:D15" si="0">B3-C3</f>
        <v>0</v>
      </c>
      <c r="E3" s="50">
        <v>219376.63</v>
      </c>
      <c r="F3" s="50">
        <f t="shared" ref="F3:F15" si="1">C3-E3</f>
        <v>55780.929999999993</v>
      </c>
      <c r="G3" s="26"/>
      <c r="H3" s="26"/>
      <c r="I3" s="26"/>
      <c r="J3" s="26"/>
      <c r="K3" s="62"/>
      <c r="L3" s="28" t="s">
        <v>37</v>
      </c>
      <c r="M3" s="24">
        <v>214300</v>
      </c>
      <c r="N3" s="24">
        <v>214300</v>
      </c>
      <c r="O3" s="25">
        <f t="shared" ref="O3:O15" si="2">M3-N3</f>
        <v>0</v>
      </c>
      <c r="P3" s="50">
        <v>135505</v>
      </c>
      <c r="Q3" s="50">
        <f t="shared" ref="Q3:Q15" si="3">N3-P3</f>
        <v>78795</v>
      </c>
      <c r="R3" s="26"/>
      <c r="S3" s="26"/>
      <c r="T3" s="26"/>
      <c r="U3" s="26"/>
      <c r="V3" s="62"/>
      <c r="W3" s="28" t="s">
        <v>37</v>
      </c>
      <c r="X3" s="24">
        <v>169354</v>
      </c>
      <c r="Y3" s="24">
        <v>169354</v>
      </c>
      <c r="Z3" s="25">
        <f t="shared" ref="Z3:Z15" si="4">X3-Y3</f>
        <v>0</v>
      </c>
      <c r="AA3" s="75">
        <v>75000</v>
      </c>
      <c r="AB3" s="50">
        <f t="shared" ref="AB3:AB15" si="5">Y3-AA3</f>
        <v>94354</v>
      </c>
      <c r="AC3" s="26"/>
      <c r="AD3" s="26"/>
      <c r="AE3" s="26"/>
      <c r="AF3" s="26"/>
      <c r="AG3" s="62"/>
      <c r="AH3" s="28" t="s">
        <v>37</v>
      </c>
      <c r="AI3" s="24">
        <v>136700</v>
      </c>
      <c r="AJ3" s="24">
        <v>136700</v>
      </c>
      <c r="AK3" s="25">
        <f t="shared" ref="AK3:AK15" si="6">AI3-AJ3</f>
        <v>0</v>
      </c>
      <c r="AL3" s="50">
        <v>144524.97</v>
      </c>
      <c r="AM3" s="50">
        <f t="shared" ref="AM3:AM15" si="7">AJ3-AL3</f>
        <v>-7824.9700000000012</v>
      </c>
      <c r="AN3" s="26"/>
      <c r="AO3" s="26"/>
      <c r="AP3" s="26"/>
      <c r="AQ3" s="26"/>
      <c r="AR3" s="62"/>
      <c r="AS3" s="28" t="s">
        <v>37</v>
      </c>
      <c r="AT3" s="24">
        <v>42900</v>
      </c>
      <c r="AU3" s="24">
        <v>42900</v>
      </c>
      <c r="AV3" s="25">
        <f t="shared" ref="AV3:AV15" si="8">AT3-AU3</f>
        <v>0</v>
      </c>
      <c r="AW3" s="50">
        <v>104906.37</v>
      </c>
      <c r="AX3" s="50">
        <f t="shared" ref="AX3:AX15" si="9">AU3-AW3</f>
        <v>-62006.369999999995</v>
      </c>
      <c r="AY3" s="26"/>
      <c r="AZ3" s="26"/>
      <c r="BA3" s="26"/>
      <c r="BB3" s="26"/>
      <c r="BC3" s="62"/>
      <c r="BD3" s="28" t="s">
        <v>37</v>
      </c>
      <c r="BE3" s="24">
        <v>130393.96</v>
      </c>
      <c r="BF3" s="24">
        <v>130393.96</v>
      </c>
      <c r="BG3" s="25">
        <f t="shared" ref="BG3:BG15" si="10">BE3-BF3</f>
        <v>0</v>
      </c>
      <c r="BH3" s="50">
        <v>102303.12</v>
      </c>
      <c r="BI3" s="50">
        <f t="shared" ref="BI3:BI15" si="11">BF3-BH3</f>
        <v>28090.840000000011</v>
      </c>
      <c r="BJ3" s="26"/>
      <c r="BK3" s="26"/>
      <c r="BL3" s="26"/>
      <c r="BM3" s="26"/>
      <c r="BN3" s="62"/>
      <c r="BO3" s="28" t="s">
        <v>37</v>
      </c>
      <c r="BP3" s="24">
        <f t="shared" ref="BP3:BP14" si="12">B3+M3+X3+AI3+AT3+BE3</f>
        <v>968805.52</v>
      </c>
      <c r="BQ3" s="24">
        <f t="shared" ref="BQ3:BQ14" si="13">C3+N3+Y3+AJ3+AU3+BF3</f>
        <v>968805.52</v>
      </c>
      <c r="BR3" s="25">
        <f t="shared" ref="BR3:BR15" si="14">BP3-BQ3</f>
        <v>0</v>
      </c>
      <c r="BS3" s="50">
        <f t="shared" ref="BS3:BS14" si="15">E3+P3+AA3+AL3+AW3+BH3</f>
        <v>781616.09</v>
      </c>
      <c r="BT3" s="50">
        <f t="shared" ref="BT3:BT15" si="16">BQ3-BS3</f>
        <v>187189.43000000005</v>
      </c>
      <c r="BU3" s="26"/>
      <c r="BV3" s="26"/>
      <c r="BW3" s="26"/>
      <c r="BX3" s="26"/>
      <c r="BY3" s="26"/>
    </row>
    <row r="4" spans="1:77" s="8" customFormat="1" ht="18" customHeight="1" x14ac:dyDescent="0.2">
      <c r="A4" s="28" t="s">
        <v>38</v>
      </c>
      <c r="B4" s="24">
        <v>228600</v>
      </c>
      <c r="C4" s="24">
        <v>228600</v>
      </c>
      <c r="D4" s="25">
        <f t="shared" si="0"/>
        <v>0</v>
      </c>
      <c r="E4" s="50">
        <v>154046.09</v>
      </c>
      <c r="F4" s="50">
        <f t="shared" si="1"/>
        <v>74553.91</v>
      </c>
      <c r="G4" s="26"/>
      <c r="H4" s="26"/>
      <c r="I4" s="26"/>
      <c r="J4" s="26"/>
      <c r="K4" s="62"/>
      <c r="L4" s="28" t="s">
        <v>38</v>
      </c>
      <c r="M4" s="24">
        <v>226776.92</v>
      </c>
      <c r="N4" s="24">
        <v>226776.92</v>
      </c>
      <c r="O4" s="25">
        <f t="shared" si="2"/>
        <v>0</v>
      </c>
      <c r="P4" s="50">
        <v>118397.85</v>
      </c>
      <c r="Q4" s="50">
        <f t="shared" si="3"/>
        <v>108379.07</v>
      </c>
      <c r="R4" s="26"/>
      <c r="S4" s="26"/>
      <c r="T4" s="26"/>
      <c r="U4" s="26"/>
      <c r="V4" s="62"/>
      <c r="W4" s="28" t="s">
        <v>38</v>
      </c>
      <c r="X4" s="24">
        <v>25946.25</v>
      </c>
      <c r="Y4" s="24">
        <v>25946.25</v>
      </c>
      <c r="Z4" s="25">
        <f t="shared" si="4"/>
        <v>0</v>
      </c>
      <c r="AA4" s="75">
        <v>75000</v>
      </c>
      <c r="AB4" s="50">
        <f t="shared" si="5"/>
        <v>-49053.75</v>
      </c>
      <c r="AC4" s="26"/>
      <c r="AD4" s="26"/>
      <c r="AE4" s="26"/>
      <c r="AF4" s="26"/>
      <c r="AG4" s="62"/>
      <c r="AH4" s="28" t="s">
        <v>38</v>
      </c>
      <c r="AI4" s="24">
        <v>146841.43</v>
      </c>
      <c r="AJ4" s="24">
        <v>146841.43</v>
      </c>
      <c r="AK4" s="25">
        <f t="shared" si="6"/>
        <v>0</v>
      </c>
      <c r="AL4" s="50">
        <v>77489.279999999999</v>
      </c>
      <c r="AM4" s="50">
        <f t="shared" si="7"/>
        <v>69352.149999999994</v>
      </c>
      <c r="AN4" s="26"/>
      <c r="AO4" s="26"/>
      <c r="AP4" s="26"/>
      <c r="AQ4" s="26"/>
      <c r="AR4" s="62"/>
      <c r="AS4" s="28" t="s">
        <v>38</v>
      </c>
      <c r="AT4" s="24">
        <v>92760.24</v>
      </c>
      <c r="AU4" s="24">
        <v>92760.24</v>
      </c>
      <c r="AV4" s="25">
        <f t="shared" si="8"/>
        <v>0</v>
      </c>
      <c r="AW4" s="50">
        <v>56836.47</v>
      </c>
      <c r="AX4" s="50">
        <f t="shared" si="9"/>
        <v>35923.770000000004</v>
      </c>
      <c r="AY4" s="26"/>
      <c r="AZ4" s="26"/>
      <c r="BA4" s="26"/>
      <c r="BB4" s="26"/>
      <c r="BC4" s="62"/>
      <c r="BD4" s="28" t="s">
        <v>38</v>
      </c>
      <c r="BE4" s="24">
        <v>111633.39</v>
      </c>
      <c r="BF4" s="24">
        <v>111633.39</v>
      </c>
      <c r="BG4" s="25">
        <f t="shared" si="10"/>
        <v>0</v>
      </c>
      <c r="BH4" s="50">
        <v>46277.29</v>
      </c>
      <c r="BI4" s="50">
        <f t="shared" si="11"/>
        <v>65356.1</v>
      </c>
      <c r="BJ4" s="26"/>
      <c r="BK4" s="26"/>
      <c r="BL4" s="26"/>
      <c r="BM4" s="26"/>
      <c r="BN4" s="62"/>
      <c r="BO4" s="28" t="s">
        <v>38</v>
      </c>
      <c r="BP4" s="24">
        <f t="shared" si="12"/>
        <v>832558.2300000001</v>
      </c>
      <c r="BQ4" s="24">
        <f t="shared" si="13"/>
        <v>832558.2300000001</v>
      </c>
      <c r="BR4" s="25">
        <f t="shared" si="14"/>
        <v>0</v>
      </c>
      <c r="BS4" s="50">
        <f t="shared" si="15"/>
        <v>528046.98</v>
      </c>
      <c r="BT4" s="50">
        <f t="shared" si="16"/>
        <v>304511.25000000012</v>
      </c>
      <c r="BU4" s="26"/>
      <c r="BV4" s="26"/>
      <c r="BW4" s="26"/>
      <c r="BX4" s="26"/>
      <c r="BY4" s="26"/>
    </row>
    <row r="5" spans="1:77" s="8" customFormat="1" ht="18" customHeight="1" x14ac:dyDescent="0.2">
      <c r="A5" s="28" t="s">
        <v>39</v>
      </c>
      <c r="B5" s="24">
        <v>122925</v>
      </c>
      <c r="C5" s="24">
        <v>122925</v>
      </c>
      <c r="D5" s="25">
        <f t="shared" si="0"/>
        <v>0</v>
      </c>
      <c r="E5" s="50">
        <v>87739.56</v>
      </c>
      <c r="F5" s="50">
        <f t="shared" si="1"/>
        <v>35185.440000000002</v>
      </c>
      <c r="G5" s="26"/>
      <c r="H5" s="26"/>
      <c r="I5" s="26"/>
      <c r="J5" s="26"/>
      <c r="K5" s="62"/>
      <c r="L5" s="28" t="s">
        <v>39</v>
      </c>
      <c r="M5" s="24">
        <v>68358.34</v>
      </c>
      <c r="N5" s="24">
        <v>68358.34</v>
      </c>
      <c r="O5" s="25">
        <f t="shared" si="2"/>
        <v>0</v>
      </c>
      <c r="P5" s="50">
        <v>66476.009999999995</v>
      </c>
      <c r="Q5" s="50">
        <f t="shared" si="3"/>
        <v>1882.3300000000017</v>
      </c>
      <c r="R5" s="26"/>
      <c r="S5" s="26"/>
      <c r="T5" s="26"/>
      <c r="U5" s="26"/>
      <c r="V5" s="62"/>
      <c r="W5" s="28" t="s">
        <v>39</v>
      </c>
      <c r="X5" s="24">
        <v>43065</v>
      </c>
      <c r="Y5" s="24">
        <v>43065</v>
      </c>
      <c r="Z5" s="25">
        <f t="shared" si="4"/>
        <v>0</v>
      </c>
      <c r="AA5" s="50">
        <v>39000</v>
      </c>
      <c r="AB5" s="50">
        <f t="shared" si="5"/>
        <v>4065</v>
      </c>
      <c r="AC5" s="26"/>
      <c r="AD5" s="26"/>
      <c r="AE5" s="26"/>
      <c r="AF5" s="26"/>
      <c r="AG5" s="62"/>
      <c r="AH5" s="28" t="s">
        <v>39</v>
      </c>
      <c r="AI5" s="24">
        <v>46125.75</v>
      </c>
      <c r="AJ5" s="24">
        <v>46125.75</v>
      </c>
      <c r="AK5" s="25">
        <f t="shared" si="6"/>
        <v>0</v>
      </c>
      <c r="AL5" s="50">
        <v>26100</v>
      </c>
      <c r="AM5" s="50">
        <f t="shared" si="7"/>
        <v>20025.75</v>
      </c>
      <c r="AN5" s="26"/>
      <c r="AO5" s="26"/>
      <c r="AP5" s="26"/>
      <c r="AQ5" s="26"/>
      <c r="AR5" s="62"/>
      <c r="AS5" s="28" t="s">
        <v>39</v>
      </c>
      <c r="AT5" s="24">
        <v>19710.900000000001</v>
      </c>
      <c r="AU5" s="24">
        <v>19710.900000000001</v>
      </c>
      <c r="AV5" s="25">
        <f t="shared" si="8"/>
        <v>0</v>
      </c>
      <c r="AW5" s="50">
        <v>35065.26</v>
      </c>
      <c r="AX5" s="50">
        <f t="shared" si="9"/>
        <v>-15354.36</v>
      </c>
      <c r="AY5" s="26"/>
      <c r="AZ5" s="26"/>
      <c r="BA5" s="26"/>
      <c r="BB5" s="26"/>
      <c r="BC5" s="62"/>
      <c r="BD5" s="28" t="s">
        <v>39</v>
      </c>
      <c r="BE5" s="24">
        <v>60948.04</v>
      </c>
      <c r="BF5" s="24">
        <v>60948.04</v>
      </c>
      <c r="BG5" s="25">
        <f t="shared" si="10"/>
        <v>0</v>
      </c>
      <c r="BH5" s="50">
        <v>7367.09</v>
      </c>
      <c r="BI5" s="50">
        <f t="shared" si="11"/>
        <v>53580.95</v>
      </c>
      <c r="BJ5" s="26"/>
      <c r="BK5" s="26"/>
      <c r="BL5" s="26"/>
      <c r="BM5" s="26"/>
      <c r="BN5" s="62"/>
      <c r="BO5" s="28" t="s">
        <v>39</v>
      </c>
      <c r="BP5" s="24">
        <f t="shared" si="12"/>
        <v>361133.02999999997</v>
      </c>
      <c r="BQ5" s="24">
        <f t="shared" si="13"/>
        <v>361133.02999999997</v>
      </c>
      <c r="BR5" s="25">
        <f t="shared" si="14"/>
        <v>0</v>
      </c>
      <c r="BS5" s="50">
        <f t="shared" si="15"/>
        <v>261747.92</v>
      </c>
      <c r="BT5" s="50">
        <f t="shared" si="16"/>
        <v>99385.109999999957</v>
      </c>
      <c r="BU5" s="26"/>
      <c r="BV5" s="26"/>
      <c r="BW5" s="26"/>
      <c r="BX5" s="26"/>
      <c r="BY5" s="26"/>
    </row>
    <row r="6" spans="1:77" s="8" customFormat="1" ht="18" customHeight="1" x14ac:dyDescent="0.2">
      <c r="A6" s="28" t="s">
        <v>40</v>
      </c>
      <c r="B6" s="24">
        <v>53982.5</v>
      </c>
      <c r="C6" s="24">
        <v>53982.5</v>
      </c>
      <c r="D6" s="25">
        <f t="shared" si="0"/>
        <v>0</v>
      </c>
      <c r="E6" s="50">
        <v>16425.84</v>
      </c>
      <c r="F6" s="50">
        <f t="shared" si="1"/>
        <v>37556.660000000003</v>
      </c>
      <c r="G6" s="26"/>
      <c r="H6" s="26"/>
      <c r="I6" s="26"/>
      <c r="J6" s="26"/>
      <c r="K6" s="62"/>
      <c r="L6" s="28" t="s">
        <v>40</v>
      </c>
      <c r="M6" s="24">
        <v>105182.25</v>
      </c>
      <c r="N6" s="24">
        <v>105182.25</v>
      </c>
      <c r="O6" s="25">
        <f t="shared" si="2"/>
        <v>0</v>
      </c>
      <c r="P6" s="50">
        <v>0</v>
      </c>
      <c r="Q6" s="50">
        <f t="shared" si="3"/>
        <v>105182.25</v>
      </c>
      <c r="R6" s="26"/>
      <c r="S6" s="26"/>
      <c r="T6" s="26"/>
      <c r="U6" s="26"/>
      <c r="V6" s="62"/>
      <c r="W6" s="28" t="s">
        <v>40</v>
      </c>
      <c r="X6" s="24">
        <v>23363.19</v>
      </c>
      <c r="Y6" s="24">
        <v>23363.19</v>
      </c>
      <c r="Z6" s="25">
        <f t="shared" si="4"/>
        <v>0</v>
      </c>
      <c r="AA6" s="50">
        <v>29903.96</v>
      </c>
      <c r="AB6" s="50">
        <f t="shared" si="5"/>
        <v>-6540.77</v>
      </c>
      <c r="AC6" s="26"/>
      <c r="AD6" s="26"/>
      <c r="AE6" s="26"/>
      <c r="AF6" s="26"/>
      <c r="AG6" s="62"/>
      <c r="AH6" s="28" t="s">
        <v>40</v>
      </c>
      <c r="AI6" s="24">
        <v>42350</v>
      </c>
      <c r="AJ6" s="24">
        <v>42350</v>
      </c>
      <c r="AK6" s="25">
        <f t="shared" si="6"/>
        <v>0</v>
      </c>
      <c r="AL6" s="50">
        <v>22575.56</v>
      </c>
      <c r="AM6" s="50">
        <f t="shared" si="7"/>
        <v>19774.439999999999</v>
      </c>
      <c r="AN6" s="26"/>
      <c r="AO6" s="26"/>
      <c r="AP6" s="26"/>
      <c r="AQ6" s="26"/>
      <c r="AR6" s="62"/>
      <c r="AS6" s="28" t="s">
        <v>40</v>
      </c>
      <c r="AT6" s="24">
        <v>11246.64</v>
      </c>
      <c r="AU6" s="24">
        <v>11246.64</v>
      </c>
      <c r="AV6" s="25">
        <f t="shared" si="8"/>
        <v>0</v>
      </c>
      <c r="AW6" s="50">
        <v>0</v>
      </c>
      <c r="AX6" s="50">
        <f t="shared" si="9"/>
        <v>11246.64</v>
      </c>
      <c r="AY6" s="26"/>
      <c r="AZ6" s="26"/>
      <c r="BA6" s="26"/>
      <c r="BB6" s="26"/>
      <c r="BC6" s="62"/>
      <c r="BD6" s="28" t="s">
        <v>40</v>
      </c>
      <c r="BE6" s="24">
        <v>0</v>
      </c>
      <c r="BF6" s="24">
        <v>0</v>
      </c>
      <c r="BG6" s="25">
        <f t="shared" si="10"/>
        <v>0</v>
      </c>
      <c r="BH6" s="50">
        <v>29465.88</v>
      </c>
      <c r="BI6" s="50">
        <f t="shared" si="11"/>
        <v>-29465.88</v>
      </c>
      <c r="BJ6" s="26"/>
      <c r="BK6" s="26"/>
      <c r="BL6" s="26"/>
      <c r="BM6" s="26"/>
      <c r="BN6" s="62"/>
      <c r="BO6" s="28" t="s">
        <v>40</v>
      </c>
      <c r="BP6" s="24">
        <f t="shared" si="12"/>
        <v>236124.58000000002</v>
      </c>
      <c r="BQ6" s="24">
        <f t="shared" si="13"/>
        <v>236124.58000000002</v>
      </c>
      <c r="BR6" s="25">
        <f t="shared" si="14"/>
        <v>0</v>
      </c>
      <c r="BS6" s="50">
        <f t="shared" si="15"/>
        <v>98371.24</v>
      </c>
      <c r="BT6" s="50">
        <f t="shared" si="16"/>
        <v>137753.34000000003</v>
      </c>
      <c r="BU6" s="26"/>
      <c r="BV6" s="26"/>
      <c r="BW6" s="26"/>
      <c r="BX6" s="26"/>
      <c r="BY6" s="26"/>
    </row>
    <row r="7" spans="1:77" s="8" customFormat="1" ht="18" customHeight="1" x14ac:dyDescent="0.2">
      <c r="A7" s="28" t="s">
        <v>41</v>
      </c>
      <c r="B7" s="24">
        <v>84001.48</v>
      </c>
      <c r="C7" s="24">
        <v>84001.48</v>
      </c>
      <c r="D7" s="25">
        <f t="shared" si="0"/>
        <v>0</v>
      </c>
      <c r="E7" s="50">
        <v>76478.649999999994</v>
      </c>
      <c r="F7" s="50">
        <f t="shared" si="1"/>
        <v>7522.8300000000017</v>
      </c>
      <c r="G7" s="26"/>
      <c r="H7" s="26"/>
      <c r="I7" s="26"/>
      <c r="J7" s="26"/>
      <c r="K7" s="62"/>
      <c r="L7" s="28" t="s">
        <v>41</v>
      </c>
      <c r="M7" s="24">
        <v>83212.5</v>
      </c>
      <c r="N7" s="24">
        <v>83212.5</v>
      </c>
      <c r="O7" s="25">
        <f t="shared" si="2"/>
        <v>0</v>
      </c>
      <c r="P7" s="50">
        <v>59932.06</v>
      </c>
      <c r="Q7" s="50">
        <f t="shared" si="3"/>
        <v>23280.440000000002</v>
      </c>
      <c r="R7" s="26"/>
      <c r="S7" s="26"/>
      <c r="T7" s="26"/>
      <c r="U7" s="26"/>
      <c r="V7" s="62"/>
      <c r="W7" s="28" t="s">
        <v>41</v>
      </c>
      <c r="X7" s="24">
        <v>65340</v>
      </c>
      <c r="Y7" s="24">
        <v>65340</v>
      </c>
      <c r="Z7" s="25">
        <f t="shared" si="4"/>
        <v>0</v>
      </c>
      <c r="AA7" s="50">
        <v>35600</v>
      </c>
      <c r="AB7" s="50">
        <f t="shared" si="5"/>
        <v>29740</v>
      </c>
      <c r="AC7" s="26"/>
      <c r="AD7" s="26"/>
      <c r="AE7" s="26"/>
      <c r="AF7" s="26"/>
      <c r="AG7" s="62"/>
      <c r="AH7" s="28" t="s">
        <v>41</v>
      </c>
      <c r="AI7" s="24">
        <v>44990</v>
      </c>
      <c r="AJ7" s="24">
        <v>44990</v>
      </c>
      <c r="AK7" s="25">
        <f t="shared" si="6"/>
        <v>0</v>
      </c>
      <c r="AL7" s="50">
        <v>33499.839999999997</v>
      </c>
      <c r="AM7" s="50">
        <f t="shared" si="7"/>
        <v>11490.160000000003</v>
      </c>
      <c r="AN7" s="26"/>
      <c r="AO7" s="26"/>
      <c r="AP7" s="26"/>
      <c r="AQ7" s="26"/>
      <c r="AR7" s="62"/>
      <c r="AS7" s="28" t="s">
        <v>41</v>
      </c>
      <c r="AT7" s="24">
        <v>34133.08</v>
      </c>
      <c r="AU7" s="24">
        <v>34133.08</v>
      </c>
      <c r="AV7" s="25">
        <f t="shared" si="8"/>
        <v>0</v>
      </c>
      <c r="AW7" s="50">
        <v>9900</v>
      </c>
      <c r="AX7" s="50">
        <f t="shared" si="9"/>
        <v>24233.08</v>
      </c>
      <c r="AY7" s="26"/>
      <c r="AZ7" s="26"/>
      <c r="BA7" s="26"/>
      <c r="BB7" s="26"/>
      <c r="BC7" s="62"/>
      <c r="BD7" s="28" t="s">
        <v>41</v>
      </c>
      <c r="BE7" s="24">
        <v>36463.81</v>
      </c>
      <c r="BF7" s="24">
        <v>36463.81</v>
      </c>
      <c r="BG7" s="25">
        <f t="shared" si="10"/>
        <v>0</v>
      </c>
      <c r="BH7" s="50">
        <v>38448.58</v>
      </c>
      <c r="BI7" s="50">
        <f t="shared" si="11"/>
        <v>-1984.7700000000041</v>
      </c>
      <c r="BJ7" s="26"/>
      <c r="BK7" s="26"/>
      <c r="BL7" s="26"/>
      <c r="BM7" s="26"/>
      <c r="BN7" s="62"/>
      <c r="BO7" s="28" t="s">
        <v>41</v>
      </c>
      <c r="BP7" s="24">
        <f t="shared" si="12"/>
        <v>348140.87</v>
      </c>
      <c r="BQ7" s="24">
        <f t="shared" si="13"/>
        <v>348140.87</v>
      </c>
      <c r="BR7" s="25">
        <f t="shared" si="14"/>
        <v>0</v>
      </c>
      <c r="BS7" s="50">
        <f t="shared" si="15"/>
        <v>253859.13</v>
      </c>
      <c r="BT7" s="50">
        <f t="shared" si="16"/>
        <v>94281.739999999991</v>
      </c>
      <c r="BU7" s="26"/>
      <c r="BV7" s="26"/>
      <c r="BW7" s="26"/>
      <c r="BX7" s="26"/>
      <c r="BY7" s="26"/>
    </row>
    <row r="8" spans="1:77" s="8" customFormat="1" ht="18" customHeight="1" x14ac:dyDescent="0.2">
      <c r="A8" s="28" t="s">
        <v>42</v>
      </c>
      <c r="B8" s="24">
        <v>126106.36</v>
      </c>
      <c r="C8" s="24">
        <v>126106.36</v>
      </c>
      <c r="D8" s="25">
        <f t="shared" si="0"/>
        <v>0</v>
      </c>
      <c r="E8" s="50">
        <v>70973.600000000006</v>
      </c>
      <c r="F8" s="50">
        <f t="shared" si="1"/>
        <v>55132.759999999995</v>
      </c>
      <c r="G8" s="26"/>
      <c r="H8" s="26"/>
      <c r="I8" s="26"/>
      <c r="J8" s="26"/>
      <c r="K8" s="62"/>
      <c r="L8" s="28" t="s">
        <v>42</v>
      </c>
      <c r="M8" s="24">
        <v>65215.59</v>
      </c>
      <c r="N8" s="24">
        <v>65215.59</v>
      </c>
      <c r="O8" s="25">
        <f t="shared" si="2"/>
        <v>0</v>
      </c>
      <c r="P8" s="50">
        <v>11700</v>
      </c>
      <c r="Q8" s="50">
        <f t="shared" si="3"/>
        <v>53515.59</v>
      </c>
      <c r="R8" s="26"/>
      <c r="S8" s="26"/>
      <c r="T8" s="26"/>
      <c r="U8" s="26"/>
      <c r="V8" s="62"/>
      <c r="W8" s="28" t="s">
        <v>42</v>
      </c>
      <c r="X8" s="24">
        <v>3000</v>
      </c>
      <c r="Y8" s="24">
        <v>3000</v>
      </c>
      <c r="Z8" s="25">
        <f t="shared" si="4"/>
        <v>0</v>
      </c>
      <c r="AA8" s="50">
        <v>16110</v>
      </c>
      <c r="AB8" s="50">
        <f t="shared" si="5"/>
        <v>-13110</v>
      </c>
      <c r="AC8" s="26"/>
      <c r="AD8" s="26"/>
      <c r="AE8" s="26"/>
      <c r="AF8" s="26"/>
      <c r="AG8" s="62"/>
      <c r="AH8" s="28" t="s">
        <v>42</v>
      </c>
      <c r="AI8" s="24">
        <v>37150</v>
      </c>
      <c r="AJ8" s="24">
        <v>37150</v>
      </c>
      <c r="AK8" s="25">
        <f t="shared" si="6"/>
        <v>0</v>
      </c>
      <c r="AL8" s="50">
        <v>17956.72</v>
      </c>
      <c r="AM8" s="50">
        <f t="shared" si="7"/>
        <v>19193.28</v>
      </c>
      <c r="AN8" s="26"/>
      <c r="AO8" s="26"/>
      <c r="AP8" s="26"/>
      <c r="AQ8" s="26"/>
      <c r="AR8" s="62"/>
      <c r="AS8" s="28" t="s">
        <v>42</v>
      </c>
      <c r="AT8" s="24">
        <v>32080.32</v>
      </c>
      <c r="AU8" s="24">
        <v>32080.32</v>
      </c>
      <c r="AV8" s="25">
        <f t="shared" si="8"/>
        <v>0</v>
      </c>
      <c r="AW8" s="50">
        <v>0</v>
      </c>
      <c r="AX8" s="50">
        <f t="shared" si="9"/>
        <v>32080.32</v>
      </c>
      <c r="AY8" s="26"/>
      <c r="AZ8" s="26"/>
      <c r="BA8" s="26"/>
      <c r="BB8" s="26"/>
      <c r="BC8" s="62"/>
      <c r="BD8" s="28" t="s">
        <v>42</v>
      </c>
      <c r="BE8" s="24">
        <v>49279.76</v>
      </c>
      <c r="BF8" s="24">
        <v>49279.76</v>
      </c>
      <c r="BG8" s="25">
        <f t="shared" si="10"/>
        <v>0</v>
      </c>
      <c r="BH8" s="50">
        <v>75908.33</v>
      </c>
      <c r="BI8" s="50">
        <f t="shared" si="11"/>
        <v>-26628.57</v>
      </c>
      <c r="BJ8" s="26"/>
      <c r="BK8" s="26"/>
      <c r="BL8" s="26"/>
      <c r="BM8" s="26"/>
      <c r="BN8" s="62"/>
      <c r="BO8" s="28" t="s">
        <v>42</v>
      </c>
      <c r="BP8" s="24">
        <f t="shared" si="12"/>
        <v>312832.03000000003</v>
      </c>
      <c r="BQ8" s="24">
        <f t="shared" si="13"/>
        <v>312832.03000000003</v>
      </c>
      <c r="BR8" s="25">
        <f t="shared" si="14"/>
        <v>0</v>
      </c>
      <c r="BS8" s="50">
        <f t="shared" si="15"/>
        <v>192648.65000000002</v>
      </c>
      <c r="BT8" s="50">
        <f t="shared" si="16"/>
        <v>120183.38</v>
      </c>
      <c r="BU8" s="26"/>
      <c r="BV8" s="26"/>
      <c r="BW8" s="26"/>
      <c r="BX8" s="26"/>
      <c r="BY8" s="26"/>
    </row>
    <row r="9" spans="1:77" s="8" customFormat="1" ht="18" customHeight="1" x14ac:dyDescent="0.2">
      <c r="A9" s="28" t="s">
        <v>43</v>
      </c>
      <c r="B9" s="24">
        <v>88857.68</v>
      </c>
      <c r="C9" s="24">
        <v>88857.68</v>
      </c>
      <c r="D9" s="25">
        <f t="shared" si="0"/>
        <v>0</v>
      </c>
      <c r="E9" s="50">
        <v>114423.23</v>
      </c>
      <c r="F9" s="50">
        <f t="shared" si="1"/>
        <v>-25565.550000000003</v>
      </c>
      <c r="G9" s="26"/>
      <c r="H9" s="26"/>
      <c r="I9" s="26"/>
      <c r="J9" s="26"/>
      <c r="K9" s="62"/>
      <c r="L9" s="28" t="s">
        <v>43</v>
      </c>
      <c r="M9" s="24">
        <v>72719.16</v>
      </c>
      <c r="N9" s="24">
        <v>72719.16</v>
      </c>
      <c r="O9" s="25">
        <f t="shared" si="2"/>
        <v>0</v>
      </c>
      <c r="P9" s="50">
        <v>37291.26</v>
      </c>
      <c r="Q9" s="50">
        <f t="shared" si="3"/>
        <v>35427.9</v>
      </c>
      <c r="R9" s="26"/>
      <c r="S9" s="26"/>
      <c r="T9" s="26"/>
      <c r="U9" s="26"/>
      <c r="V9" s="62"/>
      <c r="W9" s="28" t="s">
        <v>43</v>
      </c>
      <c r="X9" s="24">
        <v>16494.150000000001</v>
      </c>
      <c r="Y9" s="24">
        <v>16494.150000000001</v>
      </c>
      <c r="Z9" s="25">
        <f t="shared" si="4"/>
        <v>0</v>
      </c>
      <c r="AA9" s="50">
        <v>38190</v>
      </c>
      <c r="AB9" s="50">
        <f t="shared" si="5"/>
        <v>-21695.85</v>
      </c>
      <c r="AC9" s="26"/>
      <c r="AD9" s="26"/>
      <c r="AE9" s="26"/>
      <c r="AF9" s="26"/>
      <c r="AG9" s="62"/>
      <c r="AH9" s="28" t="s">
        <v>43</v>
      </c>
      <c r="AI9" s="24">
        <v>0</v>
      </c>
      <c r="AJ9" s="24">
        <v>0</v>
      </c>
      <c r="AK9" s="25">
        <f t="shared" si="6"/>
        <v>0</v>
      </c>
      <c r="AL9" s="50">
        <v>42353.440000000002</v>
      </c>
      <c r="AM9" s="50">
        <f t="shared" si="7"/>
        <v>-42353.440000000002</v>
      </c>
      <c r="AN9" s="26"/>
      <c r="AO9" s="26"/>
      <c r="AP9" s="26"/>
      <c r="AQ9" s="26"/>
      <c r="AR9" s="62"/>
      <c r="AS9" s="28" t="s">
        <v>43</v>
      </c>
      <c r="AT9" s="24">
        <v>60683.76</v>
      </c>
      <c r="AU9" s="24">
        <v>60683.76</v>
      </c>
      <c r="AV9" s="25">
        <f t="shared" si="8"/>
        <v>0</v>
      </c>
      <c r="AW9" s="50">
        <v>41550</v>
      </c>
      <c r="AX9" s="50">
        <f t="shared" si="9"/>
        <v>19133.760000000002</v>
      </c>
      <c r="AY9" s="26"/>
      <c r="AZ9" s="26"/>
      <c r="BA9" s="26"/>
      <c r="BB9" s="26"/>
      <c r="BC9" s="62"/>
      <c r="BD9" s="28" t="s">
        <v>43</v>
      </c>
      <c r="BE9" s="24">
        <v>39251.879999999997</v>
      </c>
      <c r="BF9" s="24">
        <v>39251.879999999997</v>
      </c>
      <c r="BG9" s="25">
        <f t="shared" si="10"/>
        <v>0</v>
      </c>
      <c r="BH9" s="50">
        <v>42278.5</v>
      </c>
      <c r="BI9" s="50">
        <f t="shared" si="11"/>
        <v>-3026.6200000000026</v>
      </c>
      <c r="BJ9" s="26"/>
      <c r="BK9" s="26"/>
      <c r="BL9" s="26"/>
      <c r="BM9" s="26"/>
      <c r="BN9" s="62"/>
      <c r="BO9" s="28" t="s">
        <v>43</v>
      </c>
      <c r="BP9" s="24">
        <f t="shared" si="12"/>
        <v>278006.63</v>
      </c>
      <c r="BQ9" s="24">
        <f t="shared" si="13"/>
        <v>278006.63</v>
      </c>
      <c r="BR9" s="25">
        <f t="shared" si="14"/>
        <v>0</v>
      </c>
      <c r="BS9" s="50">
        <f t="shared" si="15"/>
        <v>316086.43</v>
      </c>
      <c r="BT9" s="50">
        <f t="shared" si="16"/>
        <v>-38079.799999999988</v>
      </c>
      <c r="BU9" s="26"/>
      <c r="BV9" s="26"/>
      <c r="BW9" s="26"/>
      <c r="BX9" s="26"/>
      <c r="BY9" s="26"/>
    </row>
    <row r="10" spans="1:77" s="8" customFormat="1" ht="18" customHeight="1" x14ac:dyDescent="0.2">
      <c r="A10" s="28" t="s">
        <v>44</v>
      </c>
      <c r="B10" s="24">
        <v>243705</v>
      </c>
      <c r="C10" s="24">
        <v>243705</v>
      </c>
      <c r="D10" s="25">
        <f t="shared" si="0"/>
        <v>0</v>
      </c>
      <c r="E10" s="50">
        <v>135900</v>
      </c>
      <c r="F10" s="50">
        <f t="shared" si="1"/>
        <v>107805</v>
      </c>
      <c r="G10" s="26"/>
      <c r="H10" s="26"/>
      <c r="I10" s="26"/>
      <c r="J10" s="26"/>
      <c r="K10" s="62"/>
      <c r="L10" s="28" t="s">
        <v>44</v>
      </c>
      <c r="M10" s="24">
        <v>170235.49</v>
      </c>
      <c r="N10" s="24">
        <v>170235.49</v>
      </c>
      <c r="O10" s="25">
        <f t="shared" si="2"/>
        <v>0</v>
      </c>
      <c r="P10" s="50">
        <v>85670</v>
      </c>
      <c r="Q10" s="50">
        <f t="shared" si="3"/>
        <v>84565.489999999991</v>
      </c>
      <c r="R10" s="26"/>
      <c r="S10" s="26"/>
      <c r="T10" s="26"/>
      <c r="U10" s="26"/>
      <c r="V10" s="62"/>
      <c r="W10" s="28" t="s">
        <v>44</v>
      </c>
      <c r="X10" s="24">
        <v>55220</v>
      </c>
      <c r="Y10" s="24">
        <v>55220</v>
      </c>
      <c r="Z10" s="25">
        <f t="shared" si="4"/>
        <v>0</v>
      </c>
      <c r="AA10" s="50">
        <v>62880</v>
      </c>
      <c r="AB10" s="50">
        <f t="shared" si="5"/>
        <v>-7660</v>
      </c>
      <c r="AC10" s="26"/>
      <c r="AD10" s="26"/>
      <c r="AE10" s="26"/>
      <c r="AF10" s="26"/>
      <c r="AG10" s="62"/>
      <c r="AH10" s="28" t="s">
        <v>44</v>
      </c>
      <c r="AI10" s="24">
        <v>49280</v>
      </c>
      <c r="AJ10" s="24">
        <v>49280</v>
      </c>
      <c r="AK10" s="25">
        <f t="shared" si="6"/>
        <v>0</v>
      </c>
      <c r="AL10" s="50">
        <v>74750</v>
      </c>
      <c r="AM10" s="50">
        <f t="shared" si="7"/>
        <v>-25470</v>
      </c>
      <c r="AN10" s="26"/>
      <c r="AO10" s="26"/>
      <c r="AP10" s="26"/>
      <c r="AQ10" s="26"/>
      <c r="AR10" s="62"/>
      <c r="AS10" s="28" t="s">
        <v>44</v>
      </c>
      <c r="AT10" s="24">
        <v>0</v>
      </c>
      <c r="AU10" s="24">
        <v>0</v>
      </c>
      <c r="AV10" s="25">
        <f t="shared" si="8"/>
        <v>0</v>
      </c>
      <c r="AW10" s="50">
        <v>28600</v>
      </c>
      <c r="AX10" s="50">
        <f t="shared" si="9"/>
        <v>-28600</v>
      </c>
      <c r="AY10" s="26"/>
      <c r="AZ10" s="26"/>
      <c r="BA10" s="26"/>
      <c r="BB10" s="26"/>
      <c r="BC10" s="62"/>
      <c r="BD10" s="28" t="s">
        <v>44</v>
      </c>
      <c r="BE10" s="24">
        <v>92166.99</v>
      </c>
      <c r="BF10" s="24">
        <v>92166.99</v>
      </c>
      <c r="BG10" s="25">
        <f t="shared" si="10"/>
        <v>0</v>
      </c>
      <c r="BH10" s="50">
        <v>60525</v>
      </c>
      <c r="BI10" s="50">
        <f t="shared" si="11"/>
        <v>31641.990000000005</v>
      </c>
      <c r="BJ10" s="26"/>
      <c r="BK10" s="26"/>
      <c r="BL10" s="26"/>
      <c r="BM10" s="26"/>
      <c r="BN10" s="62"/>
      <c r="BO10" s="28" t="s">
        <v>44</v>
      </c>
      <c r="BP10" s="24">
        <f t="shared" si="12"/>
        <v>610607.48</v>
      </c>
      <c r="BQ10" s="24">
        <f t="shared" si="13"/>
        <v>610607.48</v>
      </c>
      <c r="BR10" s="25">
        <f t="shared" si="14"/>
        <v>0</v>
      </c>
      <c r="BS10" s="50">
        <f t="shared" si="15"/>
        <v>448325</v>
      </c>
      <c r="BT10" s="50">
        <f t="shared" si="16"/>
        <v>162282.47999999998</v>
      </c>
      <c r="BU10" s="26"/>
      <c r="BV10" s="26"/>
      <c r="BW10" s="26"/>
      <c r="BX10" s="26"/>
      <c r="BY10" s="26"/>
    </row>
    <row r="11" spans="1:77" s="8" customFormat="1" ht="18" customHeight="1" x14ac:dyDescent="0.2">
      <c r="A11" s="28" t="s">
        <v>45</v>
      </c>
      <c r="B11" s="24">
        <v>273702.73</v>
      </c>
      <c r="C11" s="24">
        <v>273702.73</v>
      </c>
      <c r="D11" s="25">
        <f t="shared" si="0"/>
        <v>0</v>
      </c>
      <c r="E11" s="50">
        <v>304087.5</v>
      </c>
      <c r="F11" s="50">
        <f t="shared" si="1"/>
        <v>-30384.770000000019</v>
      </c>
      <c r="G11" s="26"/>
      <c r="H11" s="26"/>
      <c r="I11" s="26"/>
      <c r="J11" s="26"/>
      <c r="K11" s="62"/>
      <c r="L11" s="28" t="s">
        <v>45</v>
      </c>
      <c r="M11" s="24">
        <v>210442.34</v>
      </c>
      <c r="N11" s="24">
        <v>210442.34</v>
      </c>
      <c r="O11" s="25">
        <f t="shared" si="2"/>
        <v>0</v>
      </c>
      <c r="P11" s="50">
        <v>202913</v>
      </c>
      <c r="Q11" s="50">
        <f t="shared" si="3"/>
        <v>7529.3399999999965</v>
      </c>
      <c r="R11" s="26"/>
      <c r="S11" s="26"/>
      <c r="T11" s="26"/>
      <c r="U11" s="26"/>
      <c r="V11" s="62"/>
      <c r="W11" s="28" t="s">
        <v>45</v>
      </c>
      <c r="X11" s="24">
        <v>129515.4</v>
      </c>
      <c r="Y11" s="24">
        <v>129515.4</v>
      </c>
      <c r="Z11" s="25">
        <f t="shared" si="4"/>
        <v>0</v>
      </c>
      <c r="AA11" s="50">
        <v>65250</v>
      </c>
      <c r="AB11" s="50">
        <f t="shared" si="5"/>
        <v>64265.399999999994</v>
      </c>
      <c r="AC11" s="26"/>
      <c r="AD11" s="26"/>
      <c r="AE11" s="26"/>
      <c r="AF11" s="26"/>
      <c r="AG11" s="62"/>
      <c r="AH11" s="28" t="s">
        <v>45</v>
      </c>
      <c r="AI11" s="24">
        <v>170104</v>
      </c>
      <c r="AJ11" s="24">
        <v>170104</v>
      </c>
      <c r="AK11" s="25">
        <f t="shared" si="6"/>
        <v>0</v>
      </c>
      <c r="AL11" s="50">
        <v>156045</v>
      </c>
      <c r="AM11" s="50">
        <f t="shared" si="7"/>
        <v>14059</v>
      </c>
      <c r="AN11" s="26"/>
      <c r="AO11" s="26"/>
      <c r="AP11" s="26"/>
      <c r="AQ11" s="26"/>
      <c r="AR11" s="62"/>
      <c r="AS11" s="28" t="s">
        <v>45</v>
      </c>
      <c r="AT11" s="24">
        <v>0</v>
      </c>
      <c r="AU11" s="24">
        <v>0</v>
      </c>
      <c r="AV11" s="25">
        <f t="shared" si="8"/>
        <v>0</v>
      </c>
      <c r="AW11" s="50">
        <v>120624.08</v>
      </c>
      <c r="AX11" s="50">
        <f t="shared" si="9"/>
        <v>-120624.08</v>
      </c>
      <c r="AY11" s="26"/>
      <c r="AZ11" s="26"/>
      <c r="BA11" s="26"/>
      <c r="BB11" s="26"/>
      <c r="BC11" s="62"/>
      <c r="BD11" s="28" t="s">
        <v>45</v>
      </c>
      <c r="BE11" s="24">
        <v>128632.5</v>
      </c>
      <c r="BF11" s="24">
        <v>128632.5</v>
      </c>
      <c r="BG11" s="25">
        <f t="shared" si="10"/>
        <v>0</v>
      </c>
      <c r="BH11" s="50">
        <v>39420</v>
      </c>
      <c r="BI11" s="50">
        <f t="shared" si="11"/>
        <v>89212.5</v>
      </c>
      <c r="BJ11" s="26"/>
      <c r="BK11" s="26"/>
      <c r="BL11" s="26"/>
      <c r="BM11" s="26"/>
      <c r="BN11" s="62"/>
      <c r="BO11" s="28" t="s">
        <v>45</v>
      </c>
      <c r="BP11" s="24">
        <f t="shared" si="12"/>
        <v>912396.97</v>
      </c>
      <c r="BQ11" s="24">
        <f t="shared" si="13"/>
        <v>912396.97</v>
      </c>
      <c r="BR11" s="25">
        <f t="shared" si="14"/>
        <v>0</v>
      </c>
      <c r="BS11" s="50">
        <f t="shared" si="15"/>
        <v>888339.58</v>
      </c>
      <c r="BT11" s="50">
        <f t="shared" si="16"/>
        <v>24057.390000000014</v>
      </c>
      <c r="BU11" s="26"/>
      <c r="BV11" s="26"/>
      <c r="BW11" s="26"/>
      <c r="BX11" s="26"/>
      <c r="BY11" s="26"/>
    </row>
    <row r="12" spans="1:77" s="8" customFormat="1" ht="18" customHeight="1" x14ac:dyDescent="0.2">
      <c r="A12" s="28" t="s">
        <v>46</v>
      </c>
      <c r="B12" s="24">
        <v>297198.24</v>
      </c>
      <c r="C12" s="24">
        <v>297198.24</v>
      </c>
      <c r="D12" s="25">
        <f t="shared" si="0"/>
        <v>0</v>
      </c>
      <c r="E12" s="50">
        <v>279330</v>
      </c>
      <c r="F12" s="50">
        <f t="shared" si="1"/>
        <v>17868.239999999991</v>
      </c>
      <c r="G12" s="26"/>
      <c r="H12" s="26"/>
      <c r="I12" s="26"/>
      <c r="J12" s="26"/>
      <c r="K12" s="62"/>
      <c r="L12" s="28" t="s">
        <v>46</v>
      </c>
      <c r="M12" s="24">
        <v>282295.3</v>
      </c>
      <c r="N12" s="24">
        <v>282295.3</v>
      </c>
      <c r="O12" s="25">
        <f t="shared" si="2"/>
        <v>0</v>
      </c>
      <c r="P12" s="50">
        <v>219450</v>
      </c>
      <c r="Q12" s="50">
        <f t="shared" si="3"/>
        <v>62845.299999999988</v>
      </c>
      <c r="R12" s="26"/>
      <c r="S12" s="26"/>
      <c r="T12" s="26"/>
      <c r="U12" s="26"/>
      <c r="V12" s="62"/>
      <c r="W12" s="28" t="s">
        <v>46</v>
      </c>
      <c r="X12" s="24">
        <v>188548.3</v>
      </c>
      <c r="Y12" s="24">
        <v>188548.3</v>
      </c>
      <c r="Z12" s="25">
        <f t="shared" si="4"/>
        <v>0</v>
      </c>
      <c r="AA12" s="50">
        <v>240224</v>
      </c>
      <c r="AB12" s="50">
        <f t="shared" si="5"/>
        <v>-51675.700000000012</v>
      </c>
      <c r="AC12" s="26"/>
      <c r="AD12" s="26"/>
      <c r="AE12" s="26"/>
      <c r="AF12" s="26"/>
      <c r="AG12" s="62"/>
      <c r="AH12" s="28" t="s">
        <v>46</v>
      </c>
      <c r="AI12" s="24">
        <v>237490</v>
      </c>
      <c r="AJ12" s="24">
        <v>237490</v>
      </c>
      <c r="AK12" s="25">
        <f t="shared" si="6"/>
        <v>0</v>
      </c>
      <c r="AL12" s="50">
        <v>199600</v>
      </c>
      <c r="AM12" s="50">
        <f t="shared" si="7"/>
        <v>37890</v>
      </c>
      <c r="AN12" s="26"/>
      <c r="AO12" s="26"/>
      <c r="AP12" s="26"/>
      <c r="AQ12" s="26"/>
      <c r="AR12" s="62"/>
      <c r="AS12" s="28" t="s">
        <v>46</v>
      </c>
      <c r="AT12" s="24">
        <v>122111.6</v>
      </c>
      <c r="AU12" s="24">
        <v>122111.6</v>
      </c>
      <c r="AV12" s="25">
        <f t="shared" si="8"/>
        <v>0</v>
      </c>
      <c r="AW12" s="50">
        <v>182827.17</v>
      </c>
      <c r="AX12" s="50">
        <f t="shared" si="9"/>
        <v>-60715.570000000007</v>
      </c>
      <c r="AY12" s="26"/>
      <c r="AZ12" s="26"/>
      <c r="BA12" s="26"/>
      <c r="BB12" s="26"/>
      <c r="BC12" s="62"/>
      <c r="BD12" s="28" t="s">
        <v>46</v>
      </c>
      <c r="BE12" s="24">
        <v>149955.71</v>
      </c>
      <c r="BF12" s="24">
        <v>149955.71</v>
      </c>
      <c r="BG12" s="25">
        <f t="shared" si="10"/>
        <v>0</v>
      </c>
      <c r="BH12" s="50">
        <v>150855</v>
      </c>
      <c r="BI12" s="50">
        <f t="shared" si="11"/>
        <v>-899.29000000000815</v>
      </c>
      <c r="BJ12" s="26"/>
      <c r="BK12" s="26"/>
      <c r="BL12" s="26"/>
      <c r="BM12" s="26"/>
      <c r="BN12" s="62"/>
      <c r="BO12" s="28" t="s">
        <v>46</v>
      </c>
      <c r="BP12" s="24">
        <f t="shared" si="12"/>
        <v>1277599.1500000001</v>
      </c>
      <c r="BQ12" s="24">
        <f t="shared" si="13"/>
        <v>1277599.1500000001</v>
      </c>
      <c r="BR12" s="25">
        <f t="shared" si="14"/>
        <v>0</v>
      </c>
      <c r="BS12" s="50">
        <f t="shared" si="15"/>
        <v>1272286.17</v>
      </c>
      <c r="BT12" s="50">
        <f t="shared" si="16"/>
        <v>5312.9800000002142</v>
      </c>
      <c r="BU12" s="26"/>
      <c r="BV12" s="26"/>
      <c r="BW12" s="26"/>
      <c r="BX12" s="26"/>
      <c r="BY12" s="26"/>
    </row>
    <row r="13" spans="1:77" s="8" customFormat="1" ht="18" customHeight="1" x14ac:dyDescent="0.2">
      <c r="A13" s="28" t="s">
        <v>17</v>
      </c>
      <c r="B13" s="24">
        <v>331249.32</v>
      </c>
      <c r="C13" s="24">
        <v>331249.32</v>
      </c>
      <c r="D13" s="25">
        <f t="shared" si="0"/>
        <v>0</v>
      </c>
      <c r="E13" s="50">
        <v>294488.62</v>
      </c>
      <c r="F13" s="50">
        <f t="shared" si="1"/>
        <v>36760.700000000012</v>
      </c>
      <c r="G13" s="26"/>
      <c r="H13" s="26"/>
      <c r="I13" s="26"/>
      <c r="J13" s="26"/>
      <c r="K13" s="62"/>
      <c r="L13" s="28" t="s">
        <v>17</v>
      </c>
      <c r="M13" s="24">
        <v>272540</v>
      </c>
      <c r="N13" s="24">
        <v>272540</v>
      </c>
      <c r="O13" s="25">
        <f t="shared" si="2"/>
        <v>0</v>
      </c>
      <c r="P13" s="50">
        <v>281378</v>
      </c>
      <c r="Q13" s="50">
        <f t="shared" si="3"/>
        <v>-8838</v>
      </c>
      <c r="R13" s="26"/>
      <c r="S13" s="26"/>
      <c r="T13" s="26"/>
      <c r="U13" s="26"/>
      <c r="V13" s="62"/>
      <c r="W13" s="28" t="s">
        <v>17</v>
      </c>
      <c r="X13" s="24">
        <v>323097.67</v>
      </c>
      <c r="Y13" s="24">
        <v>323097.67</v>
      </c>
      <c r="Z13" s="25">
        <f t="shared" si="4"/>
        <v>0</v>
      </c>
      <c r="AA13" s="50">
        <v>308400</v>
      </c>
      <c r="AB13" s="50">
        <f t="shared" si="5"/>
        <v>14697.669999999984</v>
      </c>
      <c r="AC13" s="26"/>
      <c r="AD13" s="26"/>
      <c r="AE13" s="26"/>
      <c r="AF13" s="26"/>
      <c r="AG13" s="62"/>
      <c r="AH13" s="28" t="s">
        <v>17</v>
      </c>
      <c r="AI13" s="24">
        <v>201907.01</v>
      </c>
      <c r="AJ13" s="24">
        <v>201907.01</v>
      </c>
      <c r="AK13" s="25">
        <f t="shared" si="6"/>
        <v>0</v>
      </c>
      <c r="AL13" s="50">
        <v>192000</v>
      </c>
      <c r="AM13" s="50">
        <f t="shared" si="7"/>
        <v>9907.0100000000093</v>
      </c>
      <c r="AN13" s="26"/>
      <c r="AO13" s="26"/>
      <c r="AP13" s="26"/>
      <c r="AQ13" s="26"/>
      <c r="AR13" s="62"/>
      <c r="AS13" s="28" t="s">
        <v>17</v>
      </c>
      <c r="AT13" s="24">
        <v>236635.77</v>
      </c>
      <c r="AU13" s="24">
        <v>236635.77</v>
      </c>
      <c r="AV13" s="25">
        <f t="shared" si="8"/>
        <v>0</v>
      </c>
      <c r="AW13" s="50">
        <v>213097.84</v>
      </c>
      <c r="AX13" s="50">
        <f t="shared" si="9"/>
        <v>23537.929999999993</v>
      </c>
      <c r="AY13" s="26"/>
      <c r="AZ13" s="26"/>
      <c r="BA13" s="26"/>
      <c r="BB13" s="26"/>
      <c r="BC13" s="62"/>
      <c r="BD13" s="28" t="s">
        <v>17</v>
      </c>
      <c r="BE13" s="24">
        <v>134804.20000000001</v>
      </c>
      <c r="BF13" s="24">
        <v>134804.20000000001</v>
      </c>
      <c r="BG13" s="25">
        <f t="shared" si="10"/>
        <v>0</v>
      </c>
      <c r="BH13" s="50">
        <v>145295.73000000001</v>
      </c>
      <c r="BI13" s="50">
        <f t="shared" si="11"/>
        <v>-10491.529999999999</v>
      </c>
      <c r="BJ13" s="26"/>
      <c r="BK13" s="26"/>
      <c r="BL13" s="26"/>
      <c r="BM13" s="26"/>
      <c r="BN13" s="62"/>
      <c r="BO13" s="28" t="s">
        <v>17</v>
      </c>
      <c r="BP13" s="24">
        <f t="shared" si="12"/>
        <v>1500233.97</v>
      </c>
      <c r="BQ13" s="24">
        <f t="shared" si="13"/>
        <v>1500233.97</v>
      </c>
      <c r="BR13" s="25">
        <f t="shared" si="14"/>
        <v>0</v>
      </c>
      <c r="BS13" s="50">
        <f t="shared" si="15"/>
        <v>1434660.1900000002</v>
      </c>
      <c r="BT13" s="50">
        <f t="shared" si="16"/>
        <v>65573.779999999795</v>
      </c>
      <c r="BU13" s="26"/>
      <c r="BV13" s="26"/>
      <c r="BW13" s="26"/>
      <c r="BX13" s="26"/>
      <c r="BY13" s="26"/>
    </row>
    <row r="14" spans="1:77" s="8" customFormat="1" ht="18" customHeight="1" x14ac:dyDescent="0.2">
      <c r="A14" s="28" t="s">
        <v>18</v>
      </c>
      <c r="B14" s="24">
        <v>305112.5</v>
      </c>
      <c r="C14" s="24">
        <v>305112.5</v>
      </c>
      <c r="D14" s="25">
        <f t="shared" si="0"/>
        <v>0</v>
      </c>
      <c r="E14" s="50">
        <v>202500</v>
      </c>
      <c r="F14" s="50">
        <f t="shared" si="1"/>
        <v>102612.5</v>
      </c>
      <c r="G14" s="26"/>
      <c r="H14" s="26"/>
      <c r="I14" s="26"/>
      <c r="J14" s="26"/>
      <c r="K14" s="62"/>
      <c r="L14" s="28" t="s">
        <v>18</v>
      </c>
      <c r="M14" s="24">
        <v>204584.9</v>
      </c>
      <c r="N14" s="24">
        <v>204584.9</v>
      </c>
      <c r="O14" s="25">
        <f t="shared" si="2"/>
        <v>0</v>
      </c>
      <c r="P14" s="50">
        <v>250100</v>
      </c>
      <c r="Q14" s="50">
        <f t="shared" si="3"/>
        <v>-45515.100000000006</v>
      </c>
      <c r="R14" s="26"/>
      <c r="S14" s="26"/>
      <c r="T14" s="26"/>
      <c r="U14" s="26"/>
      <c r="V14" s="62"/>
      <c r="W14" s="28" t="s">
        <v>18</v>
      </c>
      <c r="X14" s="24">
        <v>241860.09</v>
      </c>
      <c r="Y14" s="24">
        <v>241860.09</v>
      </c>
      <c r="Z14" s="25">
        <f t="shared" si="4"/>
        <v>0</v>
      </c>
      <c r="AA14" s="50">
        <v>237875</v>
      </c>
      <c r="AB14" s="50">
        <f t="shared" si="5"/>
        <v>3985.0899999999965</v>
      </c>
      <c r="AC14" s="26"/>
      <c r="AD14" s="26"/>
      <c r="AE14" s="26"/>
      <c r="AF14" s="26"/>
      <c r="AG14" s="62"/>
      <c r="AH14" s="28" t="s">
        <v>18</v>
      </c>
      <c r="AI14" s="24">
        <v>150116.45000000001</v>
      </c>
      <c r="AJ14" s="24">
        <v>150116.45000000001</v>
      </c>
      <c r="AK14" s="25">
        <f t="shared" si="6"/>
        <v>0</v>
      </c>
      <c r="AL14" s="50">
        <v>134950</v>
      </c>
      <c r="AM14" s="50">
        <f t="shared" si="7"/>
        <v>15166.450000000012</v>
      </c>
      <c r="AN14" s="26"/>
      <c r="AO14" s="26"/>
      <c r="AP14" s="26"/>
      <c r="AQ14" s="26"/>
      <c r="AR14" s="62"/>
      <c r="AS14" s="28" t="s">
        <v>18</v>
      </c>
      <c r="AT14" s="24">
        <v>22440</v>
      </c>
      <c r="AU14" s="24">
        <v>22440</v>
      </c>
      <c r="AV14" s="25">
        <f t="shared" si="8"/>
        <v>0</v>
      </c>
      <c r="AW14" s="50">
        <v>122825.9</v>
      </c>
      <c r="AX14" s="50">
        <f t="shared" si="9"/>
        <v>-100385.9</v>
      </c>
      <c r="AY14" s="26"/>
      <c r="AZ14" s="26"/>
      <c r="BA14" s="26"/>
      <c r="BB14" s="26"/>
      <c r="BC14" s="62"/>
      <c r="BD14" s="28" t="s">
        <v>18</v>
      </c>
      <c r="BE14" s="24">
        <v>119440.38</v>
      </c>
      <c r="BF14" s="24">
        <v>117013.53</v>
      </c>
      <c r="BG14" s="25">
        <f t="shared" si="10"/>
        <v>2426.8500000000058</v>
      </c>
      <c r="BH14" s="50">
        <v>135510.24</v>
      </c>
      <c r="BI14" s="50">
        <f t="shared" si="11"/>
        <v>-18496.709999999992</v>
      </c>
      <c r="BJ14" s="26"/>
      <c r="BK14" s="26"/>
      <c r="BL14" s="26"/>
      <c r="BM14" s="26"/>
      <c r="BN14" s="62"/>
      <c r="BO14" s="28" t="s">
        <v>18</v>
      </c>
      <c r="BP14" s="24">
        <f t="shared" si="12"/>
        <v>1043554.32</v>
      </c>
      <c r="BQ14" s="24">
        <f t="shared" si="13"/>
        <v>1041127.47</v>
      </c>
      <c r="BR14" s="25">
        <f t="shared" si="14"/>
        <v>2426.8499999999767</v>
      </c>
      <c r="BS14" s="50">
        <f t="shared" si="15"/>
        <v>1083761.1400000001</v>
      </c>
      <c r="BT14" s="50">
        <f t="shared" si="16"/>
        <v>-42633.670000000158</v>
      </c>
      <c r="BU14" s="26"/>
      <c r="BV14" s="26"/>
      <c r="BW14" s="26"/>
      <c r="BX14" s="26"/>
      <c r="BY14" s="26"/>
    </row>
    <row r="15" spans="1:77" s="34" customFormat="1" ht="18" customHeight="1" thickBot="1" x14ac:dyDescent="0.25">
      <c r="A15" s="69" t="s">
        <v>6</v>
      </c>
      <c r="B15" s="38">
        <f>SUM(B3:B14)</f>
        <v>2430598.37</v>
      </c>
      <c r="C15" s="38">
        <f>SUM(C3:C14)</f>
        <v>2430598.37</v>
      </c>
      <c r="D15" s="72">
        <f t="shared" si="0"/>
        <v>0</v>
      </c>
      <c r="E15" s="54">
        <f>SUM(E3:E14)</f>
        <v>1955769.7200000002</v>
      </c>
      <c r="F15" s="54">
        <f t="shared" si="1"/>
        <v>474828.64999999991</v>
      </c>
      <c r="G15" s="32"/>
      <c r="H15" s="32"/>
      <c r="I15" s="32"/>
      <c r="J15" s="32"/>
      <c r="K15" s="63"/>
      <c r="L15" s="69" t="s">
        <v>6</v>
      </c>
      <c r="M15" s="38">
        <f>SUM(M3:M14)</f>
        <v>1975862.79</v>
      </c>
      <c r="N15" s="38">
        <f>SUM(N3:N14)</f>
        <v>1975862.79</v>
      </c>
      <c r="O15" s="72">
        <f t="shared" si="2"/>
        <v>0</v>
      </c>
      <c r="P15" s="54">
        <f>SUM(P3:P14)</f>
        <v>1468813.18</v>
      </c>
      <c r="Q15" s="54">
        <f t="shared" si="3"/>
        <v>507049.6100000001</v>
      </c>
      <c r="R15" s="32"/>
      <c r="S15" s="32"/>
      <c r="T15" s="32"/>
      <c r="U15" s="32"/>
      <c r="V15" s="63"/>
      <c r="W15" s="69" t="s">
        <v>6</v>
      </c>
      <c r="X15" s="38">
        <f>SUM(X3:X14)</f>
        <v>1284804.05</v>
      </c>
      <c r="Y15" s="38">
        <f>SUM(Y3:Y14)</f>
        <v>1284804.05</v>
      </c>
      <c r="Z15" s="72">
        <f t="shared" si="4"/>
        <v>0</v>
      </c>
      <c r="AA15" s="54">
        <f>SUM(AA3:AA14)</f>
        <v>1223432.96</v>
      </c>
      <c r="AB15" s="54">
        <f t="shared" si="5"/>
        <v>61371.090000000084</v>
      </c>
      <c r="AC15" s="32"/>
      <c r="AD15" s="32"/>
      <c r="AE15" s="32"/>
      <c r="AF15" s="32"/>
      <c r="AG15" s="63"/>
      <c r="AH15" s="69" t="s">
        <v>6</v>
      </c>
      <c r="AI15" s="38">
        <f>SUM(AI3:AI14)</f>
        <v>1263054.6399999999</v>
      </c>
      <c r="AJ15" s="38">
        <f>SUM(AJ3:AJ14)</f>
        <v>1263054.6399999999</v>
      </c>
      <c r="AK15" s="72">
        <f t="shared" si="6"/>
        <v>0</v>
      </c>
      <c r="AL15" s="54">
        <f>SUM(AL3:AL14)</f>
        <v>1121844.81</v>
      </c>
      <c r="AM15" s="54">
        <f t="shared" si="7"/>
        <v>141209.82999999984</v>
      </c>
      <c r="AN15" s="32"/>
      <c r="AO15" s="32"/>
      <c r="AP15" s="32"/>
      <c r="AQ15" s="32"/>
      <c r="AR15" s="63"/>
      <c r="AS15" s="69" t="s">
        <v>6</v>
      </c>
      <c r="AT15" s="38">
        <f>SUM(AT3:AT14)</f>
        <v>674702.31</v>
      </c>
      <c r="AU15" s="38">
        <f>SUM(AU3:AU14)</f>
        <v>674702.31</v>
      </c>
      <c r="AV15" s="72">
        <f t="shared" si="8"/>
        <v>0</v>
      </c>
      <c r="AW15" s="54">
        <f>SUM(AW3:AW14)</f>
        <v>916233.09</v>
      </c>
      <c r="AX15" s="54">
        <f t="shared" si="9"/>
        <v>-241530.77999999991</v>
      </c>
      <c r="AY15" s="32"/>
      <c r="AZ15" s="32"/>
      <c r="BA15" s="32"/>
      <c r="BB15" s="32"/>
      <c r="BC15" s="63"/>
      <c r="BD15" s="69" t="s">
        <v>6</v>
      </c>
      <c r="BE15" s="38">
        <f>SUM(BE3:BE14)</f>
        <v>1052970.6200000001</v>
      </c>
      <c r="BF15" s="38">
        <f>SUM(BF3:BF14)</f>
        <v>1050543.77</v>
      </c>
      <c r="BG15" s="72">
        <f t="shared" si="10"/>
        <v>2426.8500000000931</v>
      </c>
      <c r="BH15" s="54">
        <f>SUM(BH3:BH14)</f>
        <v>873654.76</v>
      </c>
      <c r="BI15" s="54">
        <f t="shared" si="11"/>
        <v>176889.01</v>
      </c>
      <c r="BJ15" s="32"/>
      <c r="BK15" s="32"/>
      <c r="BL15" s="32"/>
      <c r="BM15" s="32"/>
      <c r="BN15" s="63"/>
      <c r="BO15" s="69" t="s">
        <v>6</v>
      </c>
      <c r="BP15" s="38">
        <f>SUM(BP3:BP14)</f>
        <v>8681992.7799999993</v>
      </c>
      <c r="BQ15" s="38">
        <f>SUM(BQ3:BQ14)</f>
        <v>8679565.9299999997</v>
      </c>
      <c r="BR15" s="72">
        <f t="shared" si="14"/>
        <v>2426.8499999996275</v>
      </c>
      <c r="BS15" s="54">
        <f>SUM(BS3:BS14)</f>
        <v>7559748.5199999996</v>
      </c>
      <c r="BT15" s="53">
        <f t="shared" si="16"/>
        <v>1119817.4100000001</v>
      </c>
      <c r="BU15" s="32"/>
      <c r="BV15" s="32"/>
      <c r="BW15" s="32"/>
      <c r="BX15" s="32"/>
      <c r="BY15" s="32"/>
    </row>
    <row r="16" spans="1:77" s="16" customFormat="1" ht="25" customHeight="1" thickBot="1" x14ac:dyDescent="0.3">
      <c r="A16" s="108" t="s">
        <v>2</v>
      </c>
      <c r="B16" s="109"/>
      <c r="C16" s="109"/>
      <c r="D16" s="109"/>
      <c r="E16" s="109"/>
      <c r="F16" s="110"/>
      <c r="G16" s="108" t="s">
        <v>4</v>
      </c>
      <c r="H16" s="109"/>
      <c r="I16" s="109"/>
      <c r="J16" s="109"/>
      <c r="K16" s="110"/>
      <c r="L16" s="109" t="s">
        <v>2</v>
      </c>
      <c r="M16" s="109"/>
      <c r="N16" s="109"/>
      <c r="O16" s="109"/>
      <c r="P16" s="109"/>
      <c r="Q16" s="110"/>
      <c r="R16" s="108" t="s">
        <v>4</v>
      </c>
      <c r="S16" s="109"/>
      <c r="T16" s="109"/>
      <c r="U16" s="109"/>
      <c r="V16" s="110"/>
      <c r="W16" s="109" t="s">
        <v>2</v>
      </c>
      <c r="X16" s="109"/>
      <c r="Y16" s="109"/>
      <c r="Z16" s="109"/>
      <c r="AA16" s="109"/>
      <c r="AB16" s="110"/>
      <c r="AC16" s="108" t="s">
        <v>4</v>
      </c>
      <c r="AD16" s="109"/>
      <c r="AE16" s="109"/>
      <c r="AF16" s="109"/>
      <c r="AG16" s="110"/>
      <c r="AH16" s="109" t="s">
        <v>2</v>
      </c>
      <c r="AI16" s="109"/>
      <c r="AJ16" s="109"/>
      <c r="AK16" s="109"/>
      <c r="AL16" s="109"/>
      <c r="AM16" s="110"/>
      <c r="AN16" s="108" t="s">
        <v>4</v>
      </c>
      <c r="AO16" s="109"/>
      <c r="AP16" s="109"/>
      <c r="AQ16" s="109"/>
      <c r="AR16" s="110"/>
      <c r="AS16" s="109" t="s">
        <v>2</v>
      </c>
      <c r="AT16" s="109"/>
      <c r="AU16" s="109"/>
      <c r="AV16" s="109"/>
      <c r="AW16" s="109"/>
      <c r="AX16" s="110"/>
      <c r="AY16" s="108" t="s">
        <v>4</v>
      </c>
      <c r="AZ16" s="109"/>
      <c r="BA16" s="109"/>
      <c r="BB16" s="109"/>
      <c r="BC16" s="110"/>
      <c r="BD16" s="109" t="s">
        <v>2</v>
      </c>
      <c r="BE16" s="109"/>
      <c r="BF16" s="109"/>
      <c r="BG16" s="109"/>
      <c r="BH16" s="109"/>
      <c r="BI16" s="110"/>
      <c r="BJ16" s="108" t="s">
        <v>4</v>
      </c>
      <c r="BK16" s="109"/>
      <c r="BL16" s="109"/>
      <c r="BM16" s="109"/>
      <c r="BN16" s="110"/>
      <c r="BO16" s="109" t="s">
        <v>2</v>
      </c>
      <c r="BP16" s="109"/>
      <c r="BQ16" s="109"/>
      <c r="BR16" s="109"/>
      <c r="BS16" s="109"/>
      <c r="BT16" s="110"/>
      <c r="BU16" s="108" t="s">
        <v>49</v>
      </c>
      <c r="BV16" s="109"/>
      <c r="BW16" s="109"/>
      <c r="BX16" s="109"/>
      <c r="BY16" s="110"/>
    </row>
    <row r="17" spans="1:77" s="8" customFormat="1" ht="32" customHeight="1" x14ac:dyDescent="0.2">
      <c r="A17" s="60"/>
      <c r="B17" s="71" t="s">
        <v>60</v>
      </c>
      <c r="C17" s="71" t="s">
        <v>58</v>
      </c>
      <c r="D17" s="87" t="s">
        <v>0</v>
      </c>
      <c r="E17" s="59" t="s">
        <v>48</v>
      </c>
      <c r="F17" s="21" t="s">
        <v>47</v>
      </c>
      <c r="G17" s="71" t="s">
        <v>60</v>
      </c>
      <c r="H17" s="71" t="s">
        <v>58</v>
      </c>
      <c r="I17" s="89" t="s">
        <v>0</v>
      </c>
      <c r="J17" s="59" t="s">
        <v>48</v>
      </c>
      <c r="K17" s="64" t="s">
        <v>47</v>
      </c>
      <c r="L17" s="60"/>
      <c r="M17" s="71" t="s">
        <v>60</v>
      </c>
      <c r="N17" s="71" t="s">
        <v>58</v>
      </c>
      <c r="O17" s="87" t="s">
        <v>0</v>
      </c>
      <c r="P17" s="59" t="s">
        <v>48</v>
      </c>
      <c r="Q17" s="21" t="s">
        <v>47</v>
      </c>
      <c r="R17" s="71" t="s">
        <v>60</v>
      </c>
      <c r="S17" s="71" t="s">
        <v>58</v>
      </c>
      <c r="T17" s="89" t="s">
        <v>0</v>
      </c>
      <c r="U17" s="59" t="s">
        <v>48</v>
      </c>
      <c r="V17" s="64" t="s">
        <v>47</v>
      </c>
      <c r="W17" s="60"/>
      <c r="X17" s="71" t="s">
        <v>60</v>
      </c>
      <c r="Y17" s="71" t="s">
        <v>58</v>
      </c>
      <c r="Z17" s="87" t="s">
        <v>0</v>
      </c>
      <c r="AA17" s="59" t="s">
        <v>48</v>
      </c>
      <c r="AB17" s="21" t="s">
        <v>47</v>
      </c>
      <c r="AC17" s="71" t="s">
        <v>60</v>
      </c>
      <c r="AD17" s="71" t="s">
        <v>58</v>
      </c>
      <c r="AE17" s="89" t="s">
        <v>0</v>
      </c>
      <c r="AF17" s="59" t="s">
        <v>48</v>
      </c>
      <c r="AG17" s="64" t="s">
        <v>47</v>
      </c>
      <c r="AH17" s="60"/>
      <c r="AI17" s="71" t="s">
        <v>60</v>
      </c>
      <c r="AJ17" s="71" t="s">
        <v>58</v>
      </c>
      <c r="AK17" s="87" t="s">
        <v>0</v>
      </c>
      <c r="AL17" s="59" t="s">
        <v>48</v>
      </c>
      <c r="AM17" s="21" t="s">
        <v>47</v>
      </c>
      <c r="AN17" s="71" t="s">
        <v>60</v>
      </c>
      <c r="AO17" s="71" t="s">
        <v>58</v>
      </c>
      <c r="AP17" s="89" t="s">
        <v>0</v>
      </c>
      <c r="AQ17" s="59" t="s">
        <v>48</v>
      </c>
      <c r="AR17" s="64" t="s">
        <v>47</v>
      </c>
      <c r="AS17" s="60"/>
      <c r="AT17" s="71" t="s">
        <v>60</v>
      </c>
      <c r="AU17" s="71" t="s">
        <v>58</v>
      </c>
      <c r="AV17" s="87" t="s">
        <v>0</v>
      </c>
      <c r="AW17" s="59" t="s">
        <v>48</v>
      </c>
      <c r="AX17" s="21" t="s">
        <v>47</v>
      </c>
      <c r="AY17" s="71" t="s">
        <v>60</v>
      </c>
      <c r="AZ17" s="71" t="s">
        <v>58</v>
      </c>
      <c r="BA17" s="89" t="s">
        <v>0</v>
      </c>
      <c r="BB17" s="59" t="s">
        <v>48</v>
      </c>
      <c r="BC17" s="64" t="s">
        <v>47</v>
      </c>
      <c r="BD17" s="60"/>
      <c r="BE17" s="71" t="s">
        <v>60</v>
      </c>
      <c r="BF17" s="71" t="s">
        <v>58</v>
      </c>
      <c r="BG17" s="87" t="s">
        <v>0</v>
      </c>
      <c r="BH17" s="59" t="s">
        <v>48</v>
      </c>
      <c r="BI17" s="21" t="s">
        <v>47</v>
      </c>
      <c r="BJ17" s="71" t="s">
        <v>60</v>
      </c>
      <c r="BK17" s="71" t="s">
        <v>58</v>
      </c>
      <c r="BL17" s="89" t="s">
        <v>0</v>
      </c>
      <c r="BM17" s="59" t="s">
        <v>48</v>
      </c>
      <c r="BN17" s="64" t="s">
        <v>47</v>
      </c>
      <c r="BO17" s="60"/>
      <c r="BP17" s="71" t="s">
        <v>60</v>
      </c>
      <c r="BQ17" s="71" t="s">
        <v>58</v>
      </c>
      <c r="BR17" s="87" t="s">
        <v>0</v>
      </c>
      <c r="BS17" s="59" t="s">
        <v>48</v>
      </c>
      <c r="BT17" s="21" t="s">
        <v>47</v>
      </c>
      <c r="BU17" s="71" t="s">
        <v>60</v>
      </c>
      <c r="BV17" s="71" t="s">
        <v>58</v>
      </c>
      <c r="BW17" s="89" t="s">
        <v>0</v>
      </c>
      <c r="BX17" s="59" t="s">
        <v>48</v>
      </c>
      <c r="BY17" s="21" t="s">
        <v>47</v>
      </c>
    </row>
    <row r="18" spans="1:77" s="8" customFormat="1" ht="18" customHeight="1" x14ac:dyDescent="0.2">
      <c r="A18" s="28" t="s">
        <v>37</v>
      </c>
      <c r="B18" s="40">
        <v>26</v>
      </c>
      <c r="C18" s="40">
        <v>26</v>
      </c>
      <c r="D18" s="25">
        <f t="shared" ref="D18:D29" si="17">B18-C18</f>
        <v>0</v>
      </c>
      <c r="E18" s="44">
        <v>25</v>
      </c>
      <c r="F18" s="44">
        <f t="shared" ref="F18:F29" si="18">C18-E18</f>
        <v>1</v>
      </c>
      <c r="G18" s="42">
        <f>B18/31</f>
        <v>0.83870967741935487</v>
      </c>
      <c r="H18" s="42">
        <f>C18/31</f>
        <v>0.83870967741935487</v>
      </c>
      <c r="I18" s="73">
        <f t="shared" ref="I18:I29" si="19">G18-H18</f>
        <v>0</v>
      </c>
      <c r="J18" s="45">
        <f>E18/31</f>
        <v>0.80645161290322576</v>
      </c>
      <c r="K18" s="65">
        <f t="shared" ref="K18:K29" si="20">H18-J18</f>
        <v>3.2258064516129115E-2</v>
      </c>
      <c r="L18" s="28" t="s">
        <v>37</v>
      </c>
      <c r="M18" s="40">
        <v>23</v>
      </c>
      <c r="N18" s="40">
        <v>23</v>
      </c>
      <c r="O18" s="25">
        <f t="shared" ref="O18:O29" si="21">M18-N18</f>
        <v>0</v>
      </c>
      <c r="P18" s="44">
        <v>19</v>
      </c>
      <c r="Q18" s="44">
        <f t="shared" ref="Q18:Q29" si="22">N18-P18</f>
        <v>4</v>
      </c>
      <c r="R18" s="42">
        <f>M18/31</f>
        <v>0.74193548387096775</v>
      </c>
      <c r="S18" s="42">
        <f>N18/31</f>
        <v>0.74193548387096775</v>
      </c>
      <c r="T18" s="73">
        <f t="shared" ref="T18:T29" si="23">R18-S18</f>
        <v>0</v>
      </c>
      <c r="U18" s="45">
        <f>P18/31</f>
        <v>0.61290322580645162</v>
      </c>
      <c r="V18" s="65">
        <f t="shared" ref="V18:V29" si="24">S18-U18</f>
        <v>0.12903225806451613</v>
      </c>
      <c r="W18" s="28" t="s">
        <v>37</v>
      </c>
      <c r="X18" s="40">
        <v>16</v>
      </c>
      <c r="Y18" s="40">
        <v>16</v>
      </c>
      <c r="Z18" s="25">
        <f t="shared" ref="Z18:Z29" si="25">X18-Y18</f>
        <v>0</v>
      </c>
      <c r="AA18" s="76">
        <v>0</v>
      </c>
      <c r="AB18" s="44">
        <f t="shared" ref="AB18:AB29" si="26">Y18-AA18</f>
        <v>16</v>
      </c>
      <c r="AC18" s="42">
        <f>X18/31</f>
        <v>0.5161290322580645</v>
      </c>
      <c r="AD18" s="42">
        <f>Y18/31</f>
        <v>0.5161290322580645</v>
      </c>
      <c r="AE18" s="73">
        <f t="shared" ref="AE18:AE29" si="27">AC18-AD18</f>
        <v>0</v>
      </c>
      <c r="AF18" s="45">
        <f>AA18/31</f>
        <v>0</v>
      </c>
      <c r="AG18" s="65">
        <f t="shared" ref="AG18:AG29" si="28">AD18-AF18</f>
        <v>0.5161290322580645</v>
      </c>
      <c r="AH18" s="28" t="s">
        <v>37</v>
      </c>
      <c r="AI18" s="40">
        <v>24</v>
      </c>
      <c r="AJ18" s="40">
        <v>24</v>
      </c>
      <c r="AK18" s="25">
        <f t="shared" ref="AK18:AK29" si="29">AI18-AJ18</f>
        <v>0</v>
      </c>
      <c r="AL18" s="44">
        <v>30</v>
      </c>
      <c r="AM18" s="44">
        <f t="shared" ref="AM18:AM29" si="30">AJ18-AL18</f>
        <v>-6</v>
      </c>
      <c r="AN18" s="42">
        <f>AI18/31</f>
        <v>0.77419354838709675</v>
      </c>
      <c r="AO18" s="42">
        <f>AJ18/31</f>
        <v>0.77419354838709675</v>
      </c>
      <c r="AP18" s="73">
        <f t="shared" ref="AP18:AP29" si="31">AN18-AO18</f>
        <v>0</v>
      </c>
      <c r="AQ18" s="45">
        <f>AL18/31</f>
        <v>0.967741935483871</v>
      </c>
      <c r="AR18" s="65">
        <f t="shared" ref="AR18:AR29" si="32">AO18-AQ18</f>
        <v>-0.19354838709677424</v>
      </c>
      <c r="AS18" s="28" t="s">
        <v>37</v>
      </c>
      <c r="AT18" s="40">
        <v>6</v>
      </c>
      <c r="AU18" s="40">
        <v>6</v>
      </c>
      <c r="AV18" s="25">
        <f t="shared" ref="AV18:AV29" si="33">AT18-AU18</f>
        <v>0</v>
      </c>
      <c r="AW18" s="44">
        <v>22</v>
      </c>
      <c r="AX18" s="44">
        <f t="shared" ref="AX18:AX29" si="34">AU18-AW18</f>
        <v>-16</v>
      </c>
      <c r="AY18" s="42">
        <f>AT18/31</f>
        <v>0.19354838709677419</v>
      </c>
      <c r="AZ18" s="42">
        <f>AU18/31</f>
        <v>0.19354838709677419</v>
      </c>
      <c r="BA18" s="73">
        <f t="shared" ref="BA18:BA29" si="35">AY18-AZ18</f>
        <v>0</v>
      </c>
      <c r="BB18" s="45">
        <f>AW18/31</f>
        <v>0.70967741935483875</v>
      </c>
      <c r="BC18" s="65">
        <f t="shared" ref="BC18:BC29" si="36">AZ18-BB18</f>
        <v>-0.5161290322580645</v>
      </c>
      <c r="BD18" s="28" t="s">
        <v>37</v>
      </c>
      <c r="BE18" s="40">
        <v>27</v>
      </c>
      <c r="BF18" s="40">
        <v>27</v>
      </c>
      <c r="BG18" s="25">
        <f t="shared" ref="BG18:BG29" si="37">BE18-BF18</f>
        <v>0</v>
      </c>
      <c r="BH18" s="44">
        <v>25</v>
      </c>
      <c r="BI18" s="44">
        <f t="shared" ref="BI18:BI29" si="38">BF18-BH18</f>
        <v>2</v>
      </c>
      <c r="BJ18" s="42">
        <f>BE18/31</f>
        <v>0.87096774193548387</v>
      </c>
      <c r="BK18" s="42">
        <f>BF18/31</f>
        <v>0.87096774193548387</v>
      </c>
      <c r="BL18" s="73">
        <f t="shared" ref="BL18:BL29" si="39">BJ18-BK18</f>
        <v>0</v>
      </c>
      <c r="BM18" s="45">
        <f>BH18/31</f>
        <v>0.80645161290322576</v>
      </c>
      <c r="BN18" s="65">
        <f t="shared" ref="BN18:BN29" si="40">BK18-BM18</f>
        <v>6.4516129032258118E-2</v>
      </c>
      <c r="BO18" s="28" t="s">
        <v>37</v>
      </c>
      <c r="BP18" s="24">
        <f t="shared" ref="BP18:BP29" si="41">B18+M18+X18+AI18+AT18+BE18</f>
        <v>122</v>
      </c>
      <c r="BQ18" s="24">
        <f t="shared" ref="BQ18:BQ29" si="42">C18+N18+Y18+AJ18+AU18+BF18</f>
        <v>122</v>
      </c>
      <c r="BR18" s="25">
        <f t="shared" ref="BR18:BR29" si="43">BP18-BQ18</f>
        <v>0</v>
      </c>
      <c r="BS18" s="50">
        <f t="shared" ref="BS18:BS29" si="44">E18+P18+AA18+AL18+AW18+BH18</f>
        <v>121</v>
      </c>
      <c r="BT18" s="58">
        <f t="shared" ref="BT18:BT29" si="45">BQ18-BS18</f>
        <v>1</v>
      </c>
      <c r="BU18" s="42">
        <f>(BP18/31)/6</f>
        <v>0.65591397849462363</v>
      </c>
      <c r="BV18" s="42">
        <f>(BQ18/31)/6</f>
        <v>0.65591397849462363</v>
      </c>
      <c r="BW18" s="73">
        <f t="shared" ref="BW18:BW29" si="46">BU18-BV18</f>
        <v>0</v>
      </c>
      <c r="BX18" s="45">
        <f>BS18/186</f>
        <v>0.65053763440860213</v>
      </c>
      <c r="BY18" s="45">
        <f t="shared" ref="BY18:BY29" si="47">BV18-BX18</f>
        <v>5.3763440860215006E-3</v>
      </c>
    </row>
    <row r="19" spans="1:77" s="8" customFormat="1" ht="18" customHeight="1" x14ac:dyDescent="0.2">
      <c r="A19" s="28" t="s">
        <v>38</v>
      </c>
      <c r="B19" s="40">
        <v>20</v>
      </c>
      <c r="C19" s="40">
        <v>20</v>
      </c>
      <c r="D19" s="25">
        <f t="shared" si="17"/>
        <v>0</v>
      </c>
      <c r="E19" s="44">
        <v>20</v>
      </c>
      <c r="F19" s="44">
        <f t="shared" si="18"/>
        <v>0</v>
      </c>
      <c r="G19" s="42">
        <f>B19/30</f>
        <v>0.66666666666666663</v>
      </c>
      <c r="H19" s="42">
        <f>C19/30</f>
        <v>0.66666666666666663</v>
      </c>
      <c r="I19" s="73">
        <f t="shared" si="19"/>
        <v>0</v>
      </c>
      <c r="J19" s="45">
        <f>E19/30</f>
        <v>0.66666666666666663</v>
      </c>
      <c r="K19" s="65">
        <f t="shared" si="20"/>
        <v>0</v>
      </c>
      <c r="L19" s="28" t="s">
        <v>38</v>
      </c>
      <c r="M19" s="40">
        <v>24</v>
      </c>
      <c r="N19" s="40">
        <v>24</v>
      </c>
      <c r="O19" s="25">
        <f t="shared" si="21"/>
        <v>0</v>
      </c>
      <c r="P19" s="44">
        <v>14</v>
      </c>
      <c r="Q19" s="44">
        <f t="shared" si="22"/>
        <v>10</v>
      </c>
      <c r="R19" s="42">
        <f>M19/30</f>
        <v>0.8</v>
      </c>
      <c r="S19" s="42">
        <f>N19/30</f>
        <v>0.8</v>
      </c>
      <c r="T19" s="73">
        <f t="shared" si="23"/>
        <v>0</v>
      </c>
      <c r="U19" s="45">
        <f>P19/30</f>
        <v>0.46666666666666667</v>
      </c>
      <c r="V19" s="65">
        <f t="shared" si="24"/>
        <v>0.33333333333333337</v>
      </c>
      <c r="W19" s="28" t="s">
        <v>38</v>
      </c>
      <c r="X19" s="40">
        <v>3</v>
      </c>
      <c r="Y19" s="40">
        <v>3</v>
      </c>
      <c r="Z19" s="25">
        <f t="shared" si="25"/>
        <v>0</v>
      </c>
      <c r="AA19" s="76">
        <v>0</v>
      </c>
      <c r="AB19" s="44">
        <f t="shared" si="26"/>
        <v>3</v>
      </c>
      <c r="AC19" s="42">
        <f>X19/30</f>
        <v>0.1</v>
      </c>
      <c r="AD19" s="42">
        <f>Y19/30</f>
        <v>0.1</v>
      </c>
      <c r="AE19" s="73">
        <f t="shared" si="27"/>
        <v>0</v>
      </c>
      <c r="AF19" s="45">
        <f>AA19/30</f>
        <v>0</v>
      </c>
      <c r="AG19" s="65">
        <f t="shared" si="28"/>
        <v>0.1</v>
      </c>
      <c r="AH19" s="28" t="s">
        <v>38</v>
      </c>
      <c r="AI19" s="40">
        <v>24</v>
      </c>
      <c r="AJ19" s="40">
        <v>24</v>
      </c>
      <c r="AK19" s="25">
        <f t="shared" si="29"/>
        <v>0</v>
      </c>
      <c r="AL19" s="44">
        <v>20</v>
      </c>
      <c r="AM19" s="44">
        <f t="shared" si="30"/>
        <v>4</v>
      </c>
      <c r="AN19" s="42">
        <f>AI19/30</f>
        <v>0.8</v>
      </c>
      <c r="AO19" s="42">
        <f>AJ19/30</f>
        <v>0.8</v>
      </c>
      <c r="AP19" s="73">
        <f t="shared" si="31"/>
        <v>0</v>
      </c>
      <c r="AQ19" s="45">
        <f>AL19/30</f>
        <v>0.66666666666666663</v>
      </c>
      <c r="AR19" s="65">
        <f t="shared" si="32"/>
        <v>0.13333333333333341</v>
      </c>
      <c r="AS19" s="28" t="s">
        <v>38</v>
      </c>
      <c r="AT19" s="40">
        <v>15</v>
      </c>
      <c r="AU19" s="40">
        <v>15</v>
      </c>
      <c r="AV19" s="25">
        <f t="shared" si="33"/>
        <v>0</v>
      </c>
      <c r="AW19" s="44">
        <v>14</v>
      </c>
      <c r="AX19" s="44">
        <f t="shared" si="34"/>
        <v>1</v>
      </c>
      <c r="AY19" s="42">
        <f>AT19/30</f>
        <v>0.5</v>
      </c>
      <c r="AZ19" s="42">
        <f>AU19/30</f>
        <v>0.5</v>
      </c>
      <c r="BA19" s="73">
        <f t="shared" si="35"/>
        <v>0</v>
      </c>
      <c r="BB19" s="45">
        <f>AW19/30</f>
        <v>0.46666666666666667</v>
      </c>
      <c r="BC19" s="65">
        <f t="shared" si="36"/>
        <v>3.3333333333333326E-2</v>
      </c>
      <c r="BD19" s="28" t="s">
        <v>38</v>
      </c>
      <c r="BE19" s="40">
        <v>21</v>
      </c>
      <c r="BF19" s="40">
        <v>21</v>
      </c>
      <c r="BG19" s="25">
        <f t="shared" si="37"/>
        <v>0</v>
      </c>
      <c r="BH19" s="44">
        <v>14</v>
      </c>
      <c r="BI19" s="44">
        <f t="shared" si="38"/>
        <v>7</v>
      </c>
      <c r="BJ19" s="42">
        <f>BE19/30</f>
        <v>0.7</v>
      </c>
      <c r="BK19" s="42">
        <f>BF19/30</f>
        <v>0.7</v>
      </c>
      <c r="BL19" s="73">
        <f t="shared" si="39"/>
        <v>0</v>
      </c>
      <c r="BM19" s="45">
        <f>BH19/30</f>
        <v>0.46666666666666667</v>
      </c>
      <c r="BN19" s="65">
        <f t="shared" si="40"/>
        <v>0.23333333333333328</v>
      </c>
      <c r="BO19" s="28" t="s">
        <v>38</v>
      </c>
      <c r="BP19" s="24">
        <f t="shared" si="41"/>
        <v>107</v>
      </c>
      <c r="BQ19" s="24">
        <f t="shared" si="42"/>
        <v>107</v>
      </c>
      <c r="BR19" s="25">
        <f t="shared" si="43"/>
        <v>0</v>
      </c>
      <c r="BS19" s="50">
        <f t="shared" si="44"/>
        <v>82</v>
      </c>
      <c r="BT19" s="58">
        <f t="shared" si="45"/>
        <v>25</v>
      </c>
      <c r="BU19" s="42">
        <f>(BP19/30)/6</f>
        <v>0.59444444444444444</v>
      </c>
      <c r="BV19" s="42">
        <f>(BQ19/30)/6</f>
        <v>0.59444444444444444</v>
      </c>
      <c r="BW19" s="73">
        <f t="shared" si="46"/>
        <v>0</v>
      </c>
      <c r="BX19" s="45">
        <f>BS19/180</f>
        <v>0.45555555555555555</v>
      </c>
      <c r="BY19" s="45">
        <f t="shared" si="47"/>
        <v>0.1388888888888889</v>
      </c>
    </row>
    <row r="20" spans="1:77" s="8" customFormat="1" ht="18" customHeight="1" x14ac:dyDescent="0.2">
      <c r="A20" s="28" t="s">
        <v>39</v>
      </c>
      <c r="B20" s="40">
        <v>16</v>
      </c>
      <c r="C20" s="40">
        <v>16</v>
      </c>
      <c r="D20" s="25">
        <f t="shared" si="17"/>
        <v>0</v>
      </c>
      <c r="E20" s="44">
        <v>12</v>
      </c>
      <c r="F20" s="44">
        <f t="shared" si="18"/>
        <v>4</v>
      </c>
      <c r="G20" s="42">
        <f>B20/31</f>
        <v>0.5161290322580645</v>
      </c>
      <c r="H20" s="42">
        <f>C20/31</f>
        <v>0.5161290322580645</v>
      </c>
      <c r="I20" s="73">
        <f t="shared" si="19"/>
        <v>0</v>
      </c>
      <c r="J20" s="45">
        <f>E20/31</f>
        <v>0.38709677419354838</v>
      </c>
      <c r="K20" s="65">
        <f t="shared" si="20"/>
        <v>0.12903225806451613</v>
      </c>
      <c r="L20" s="28" t="s">
        <v>39</v>
      </c>
      <c r="M20" s="40">
        <v>14</v>
      </c>
      <c r="N20" s="40">
        <v>14</v>
      </c>
      <c r="O20" s="25">
        <f t="shared" si="21"/>
        <v>0</v>
      </c>
      <c r="P20" s="44">
        <v>11</v>
      </c>
      <c r="Q20" s="44">
        <f t="shared" si="22"/>
        <v>3</v>
      </c>
      <c r="R20" s="42">
        <f>M20/31</f>
        <v>0.45161290322580644</v>
      </c>
      <c r="S20" s="42">
        <f>N20/31</f>
        <v>0.45161290322580644</v>
      </c>
      <c r="T20" s="73">
        <f t="shared" si="23"/>
        <v>0</v>
      </c>
      <c r="U20" s="45">
        <f>P20/31</f>
        <v>0.35483870967741937</v>
      </c>
      <c r="V20" s="65">
        <f t="shared" si="24"/>
        <v>9.6774193548387066E-2</v>
      </c>
      <c r="W20" s="28" t="s">
        <v>39</v>
      </c>
      <c r="X20" s="40">
        <v>6</v>
      </c>
      <c r="Y20" s="40">
        <v>6</v>
      </c>
      <c r="Z20" s="25">
        <f t="shared" si="25"/>
        <v>0</v>
      </c>
      <c r="AA20" s="44">
        <v>3</v>
      </c>
      <c r="AB20" s="44">
        <f t="shared" si="26"/>
        <v>3</v>
      </c>
      <c r="AC20" s="42">
        <f>X20/31</f>
        <v>0.19354838709677419</v>
      </c>
      <c r="AD20" s="42">
        <f>Y20/31</f>
        <v>0.19354838709677419</v>
      </c>
      <c r="AE20" s="73">
        <f t="shared" si="27"/>
        <v>0</v>
      </c>
      <c r="AF20" s="45">
        <f>AA20/31</f>
        <v>9.6774193548387094E-2</v>
      </c>
      <c r="AG20" s="65">
        <f t="shared" si="28"/>
        <v>9.6774193548387094E-2</v>
      </c>
      <c r="AH20" s="28" t="s">
        <v>39</v>
      </c>
      <c r="AI20" s="40">
        <v>12</v>
      </c>
      <c r="AJ20" s="40">
        <v>12</v>
      </c>
      <c r="AK20" s="25">
        <f t="shared" si="29"/>
        <v>0</v>
      </c>
      <c r="AL20" s="44">
        <v>6</v>
      </c>
      <c r="AM20" s="44">
        <f t="shared" si="30"/>
        <v>6</v>
      </c>
      <c r="AN20" s="42">
        <f>AI20/31</f>
        <v>0.38709677419354838</v>
      </c>
      <c r="AO20" s="42">
        <f>AJ20/31</f>
        <v>0.38709677419354838</v>
      </c>
      <c r="AP20" s="73">
        <f t="shared" si="31"/>
        <v>0</v>
      </c>
      <c r="AQ20" s="45">
        <f>AL20/31</f>
        <v>0.19354838709677419</v>
      </c>
      <c r="AR20" s="65">
        <f t="shared" si="32"/>
        <v>0.19354838709677419</v>
      </c>
      <c r="AS20" s="28" t="s">
        <v>39</v>
      </c>
      <c r="AT20" s="40">
        <v>4</v>
      </c>
      <c r="AU20" s="40">
        <v>4</v>
      </c>
      <c r="AV20" s="25">
        <f t="shared" si="33"/>
        <v>0</v>
      </c>
      <c r="AW20" s="44">
        <v>7</v>
      </c>
      <c r="AX20" s="44">
        <f t="shared" si="34"/>
        <v>-3</v>
      </c>
      <c r="AY20" s="42">
        <f>AT20/31</f>
        <v>0.12903225806451613</v>
      </c>
      <c r="AZ20" s="42">
        <f>AU20/31</f>
        <v>0.12903225806451613</v>
      </c>
      <c r="BA20" s="73">
        <f t="shared" si="35"/>
        <v>0</v>
      </c>
      <c r="BB20" s="45">
        <f>AW20/31</f>
        <v>0.22580645161290322</v>
      </c>
      <c r="BC20" s="65">
        <f t="shared" si="36"/>
        <v>-9.6774193548387094E-2</v>
      </c>
      <c r="BD20" s="28" t="s">
        <v>39</v>
      </c>
      <c r="BE20" s="40">
        <v>20</v>
      </c>
      <c r="BF20" s="40">
        <v>20</v>
      </c>
      <c r="BG20" s="25">
        <f t="shared" si="37"/>
        <v>0</v>
      </c>
      <c r="BH20" s="44">
        <v>5</v>
      </c>
      <c r="BI20" s="44">
        <f t="shared" si="38"/>
        <v>15</v>
      </c>
      <c r="BJ20" s="42">
        <f>BE20/31</f>
        <v>0.64516129032258063</v>
      </c>
      <c r="BK20" s="42">
        <f>BF20/31</f>
        <v>0.64516129032258063</v>
      </c>
      <c r="BL20" s="73">
        <f t="shared" si="39"/>
        <v>0</v>
      </c>
      <c r="BM20" s="45">
        <f>BH20/31</f>
        <v>0.16129032258064516</v>
      </c>
      <c r="BN20" s="65">
        <f t="shared" si="40"/>
        <v>0.4838709677419355</v>
      </c>
      <c r="BO20" s="28" t="s">
        <v>39</v>
      </c>
      <c r="BP20" s="24">
        <f t="shared" si="41"/>
        <v>72</v>
      </c>
      <c r="BQ20" s="24">
        <f t="shared" si="42"/>
        <v>72</v>
      </c>
      <c r="BR20" s="25">
        <f t="shared" si="43"/>
        <v>0</v>
      </c>
      <c r="BS20" s="50">
        <f t="shared" si="44"/>
        <v>44</v>
      </c>
      <c r="BT20" s="58">
        <f t="shared" si="45"/>
        <v>28</v>
      </c>
      <c r="BU20" s="42">
        <f>(BP20/31)/6</f>
        <v>0.38709677419354843</v>
      </c>
      <c r="BV20" s="42">
        <f>(BQ20/31)/6</f>
        <v>0.38709677419354843</v>
      </c>
      <c r="BW20" s="73">
        <f t="shared" si="46"/>
        <v>0</v>
      </c>
      <c r="BX20" s="45">
        <f>BS20/186</f>
        <v>0.23655913978494625</v>
      </c>
      <c r="BY20" s="45">
        <f t="shared" si="47"/>
        <v>0.15053763440860218</v>
      </c>
    </row>
    <row r="21" spans="1:77" s="8" customFormat="1" ht="18" customHeight="1" x14ac:dyDescent="0.2">
      <c r="A21" s="28" t="s">
        <v>40</v>
      </c>
      <c r="B21" s="40">
        <v>10</v>
      </c>
      <c r="C21" s="40">
        <v>10</v>
      </c>
      <c r="D21" s="25">
        <f t="shared" si="17"/>
        <v>0</v>
      </c>
      <c r="E21" s="44">
        <v>3</v>
      </c>
      <c r="F21" s="44">
        <f t="shared" si="18"/>
        <v>7</v>
      </c>
      <c r="G21" s="42">
        <f>B21/30</f>
        <v>0.33333333333333331</v>
      </c>
      <c r="H21" s="42">
        <f>C21/30</f>
        <v>0.33333333333333331</v>
      </c>
      <c r="I21" s="73">
        <f t="shared" si="19"/>
        <v>0</v>
      </c>
      <c r="J21" s="45">
        <f>E21/30</f>
        <v>0.1</v>
      </c>
      <c r="K21" s="65">
        <f t="shared" si="20"/>
        <v>0.23333333333333331</v>
      </c>
      <c r="L21" s="28" t="s">
        <v>40</v>
      </c>
      <c r="M21" s="40">
        <v>16</v>
      </c>
      <c r="N21" s="40">
        <v>16</v>
      </c>
      <c r="O21" s="25">
        <f t="shared" si="21"/>
        <v>0</v>
      </c>
      <c r="P21" s="44">
        <v>0</v>
      </c>
      <c r="Q21" s="44">
        <f t="shared" si="22"/>
        <v>16</v>
      </c>
      <c r="R21" s="42">
        <f>M21/30</f>
        <v>0.53333333333333333</v>
      </c>
      <c r="S21" s="42">
        <f>N21/30</f>
        <v>0.53333333333333333</v>
      </c>
      <c r="T21" s="73">
        <f t="shared" si="23"/>
        <v>0</v>
      </c>
      <c r="U21" s="45">
        <f>P21/30</f>
        <v>0</v>
      </c>
      <c r="V21" s="65">
        <f t="shared" si="24"/>
        <v>0.53333333333333333</v>
      </c>
      <c r="W21" s="28" t="s">
        <v>40</v>
      </c>
      <c r="X21" s="40">
        <v>3</v>
      </c>
      <c r="Y21" s="40">
        <v>3</v>
      </c>
      <c r="Z21" s="25">
        <f t="shared" si="25"/>
        <v>0</v>
      </c>
      <c r="AA21" s="44">
        <v>4</v>
      </c>
      <c r="AB21" s="44">
        <f t="shared" si="26"/>
        <v>-1</v>
      </c>
      <c r="AC21" s="42">
        <f>X21/30</f>
        <v>0.1</v>
      </c>
      <c r="AD21" s="42">
        <f>Y21/30</f>
        <v>0.1</v>
      </c>
      <c r="AE21" s="73">
        <f t="shared" si="27"/>
        <v>0</v>
      </c>
      <c r="AF21" s="45">
        <f>AA21/30</f>
        <v>0.13333333333333333</v>
      </c>
      <c r="AG21" s="65">
        <f t="shared" si="28"/>
        <v>-3.3333333333333326E-2</v>
      </c>
      <c r="AH21" s="28" t="s">
        <v>40</v>
      </c>
      <c r="AI21" s="40">
        <v>12</v>
      </c>
      <c r="AJ21" s="40">
        <v>12</v>
      </c>
      <c r="AK21" s="25">
        <f t="shared" si="29"/>
        <v>0</v>
      </c>
      <c r="AL21" s="44">
        <v>7</v>
      </c>
      <c r="AM21" s="44">
        <f t="shared" si="30"/>
        <v>5</v>
      </c>
      <c r="AN21" s="42">
        <f>AI21/30</f>
        <v>0.4</v>
      </c>
      <c r="AO21" s="42">
        <f>AJ21/30</f>
        <v>0.4</v>
      </c>
      <c r="AP21" s="73">
        <f t="shared" si="31"/>
        <v>0</v>
      </c>
      <c r="AQ21" s="45">
        <f>AL21/30</f>
        <v>0.23333333333333334</v>
      </c>
      <c r="AR21" s="65">
        <f t="shared" si="32"/>
        <v>0.16666666666666669</v>
      </c>
      <c r="AS21" s="28" t="s">
        <v>40</v>
      </c>
      <c r="AT21" s="40">
        <v>3</v>
      </c>
      <c r="AU21" s="40">
        <v>3</v>
      </c>
      <c r="AV21" s="25">
        <f t="shared" si="33"/>
        <v>0</v>
      </c>
      <c r="AW21" s="44">
        <v>0</v>
      </c>
      <c r="AX21" s="44">
        <f t="shared" si="34"/>
        <v>3</v>
      </c>
      <c r="AY21" s="42">
        <f>AT21/30</f>
        <v>0.1</v>
      </c>
      <c r="AZ21" s="42">
        <f>AU21/30</f>
        <v>0.1</v>
      </c>
      <c r="BA21" s="73">
        <f t="shared" si="35"/>
        <v>0</v>
      </c>
      <c r="BB21" s="45">
        <f>AW21/30</f>
        <v>0</v>
      </c>
      <c r="BC21" s="65">
        <f t="shared" si="36"/>
        <v>0.1</v>
      </c>
      <c r="BD21" s="28" t="s">
        <v>40</v>
      </c>
      <c r="BE21" s="40">
        <v>0</v>
      </c>
      <c r="BF21" s="40">
        <v>0</v>
      </c>
      <c r="BG21" s="25">
        <f t="shared" si="37"/>
        <v>0</v>
      </c>
      <c r="BH21" s="44">
        <v>13</v>
      </c>
      <c r="BI21" s="44">
        <f t="shared" si="38"/>
        <v>-13</v>
      </c>
      <c r="BJ21" s="42">
        <f>BE21/30</f>
        <v>0</v>
      </c>
      <c r="BK21" s="42">
        <f>BF21/30</f>
        <v>0</v>
      </c>
      <c r="BL21" s="73">
        <f t="shared" si="39"/>
        <v>0</v>
      </c>
      <c r="BM21" s="45">
        <f>BH21/30</f>
        <v>0.43333333333333335</v>
      </c>
      <c r="BN21" s="65">
        <f t="shared" si="40"/>
        <v>-0.43333333333333335</v>
      </c>
      <c r="BO21" s="28" t="s">
        <v>40</v>
      </c>
      <c r="BP21" s="24">
        <f t="shared" si="41"/>
        <v>44</v>
      </c>
      <c r="BQ21" s="24">
        <f t="shared" si="42"/>
        <v>44</v>
      </c>
      <c r="BR21" s="25">
        <f t="shared" si="43"/>
        <v>0</v>
      </c>
      <c r="BS21" s="50">
        <f t="shared" si="44"/>
        <v>27</v>
      </c>
      <c r="BT21" s="58">
        <f t="shared" si="45"/>
        <v>17</v>
      </c>
      <c r="BU21" s="42">
        <f>(BP21/30)/6</f>
        <v>0.24444444444444444</v>
      </c>
      <c r="BV21" s="42">
        <f>(BQ21/30)/6</f>
        <v>0.24444444444444444</v>
      </c>
      <c r="BW21" s="73">
        <f t="shared" si="46"/>
        <v>0</v>
      </c>
      <c r="BX21" s="45">
        <f>BS21/180</f>
        <v>0.15</v>
      </c>
      <c r="BY21" s="45">
        <f t="shared" si="47"/>
        <v>9.4444444444444442E-2</v>
      </c>
    </row>
    <row r="22" spans="1:77" s="8" customFormat="1" ht="18" customHeight="1" x14ac:dyDescent="0.2">
      <c r="A22" s="28" t="s">
        <v>41</v>
      </c>
      <c r="B22" s="40">
        <v>14</v>
      </c>
      <c r="C22" s="40">
        <v>14</v>
      </c>
      <c r="D22" s="25">
        <f t="shared" si="17"/>
        <v>0</v>
      </c>
      <c r="E22" s="44">
        <v>14</v>
      </c>
      <c r="F22" s="44">
        <f t="shared" si="18"/>
        <v>0</v>
      </c>
      <c r="G22" s="42">
        <f>B22/31</f>
        <v>0.45161290322580644</v>
      </c>
      <c r="H22" s="42">
        <f>C22/31</f>
        <v>0.45161290322580644</v>
      </c>
      <c r="I22" s="73">
        <f t="shared" si="19"/>
        <v>0</v>
      </c>
      <c r="J22" s="45">
        <f>E22/31</f>
        <v>0.45161290322580644</v>
      </c>
      <c r="K22" s="65">
        <f t="shared" si="20"/>
        <v>0</v>
      </c>
      <c r="L22" s="28" t="s">
        <v>41</v>
      </c>
      <c r="M22" s="40">
        <v>11</v>
      </c>
      <c r="N22" s="40">
        <v>11</v>
      </c>
      <c r="O22" s="25">
        <f t="shared" si="21"/>
        <v>0</v>
      </c>
      <c r="P22" s="44">
        <v>10</v>
      </c>
      <c r="Q22" s="44">
        <f t="shared" si="22"/>
        <v>1</v>
      </c>
      <c r="R22" s="42">
        <f>M22/31</f>
        <v>0.35483870967741937</v>
      </c>
      <c r="S22" s="42">
        <f>N22/31</f>
        <v>0.35483870967741937</v>
      </c>
      <c r="T22" s="73">
        <f t="shared" si="23"/>
        <v>0</v>
      </c>
      <c r="U22" s="45">
        <f>P22/31</f>
        <v>0.32258064516129031</v>
      </c>
      <c r="V22" s="65">
        <f t="shared" si="24"/>
        <v>3.2258064516129059E-2</v>
      </c>
      <c r="W22" s="28" t="s">
        <v>41</v>
      </c>
      <c r="X22" s="40">
        <v>7</v>
      </c>
      <c r="Y22" s="40">
        <v>7</v>
      </c>
      <c r="Z22" s="25">
        <f t="shared" si="25"/>
        <v>0</v>
      </c>
      <c r="AA22" s="44">
        <v>6</v>
      </c>
      <c r="AB22" s="44">
        <f t="shared" si="26"/>
        <v>1</v>
      </c>
      <c r="AC22" s="42">
        <f>X22/31</f>
        <v>0.22580645161290322</v>
      </c>
      <c r="AD22" s="42">
        <f>Y22/31</f>
        <v>0.22580645161290322</v>
      </c>
      <c r="AE22" s="73">
        <f t="shared" si="27"/>
        <v>0</v>
      </c>
      <c r="AF22" s="45">
        <f>AA22/31</f>
        <v>0.19354838709677419</v>
      </c>
      <c r="AG22" s="65">
        <f t="shared" si="28"/>
        <v>3.2258064516129031E-2</v>
      </c>
      <c r="AH22" s="28" t="s">
        <v>41</v>
      </c>
      <c r="AI22" s="40">
        <v>11</v>
      </c>
      <c r="AJ22" s="40">
        <v>11</v>
      </c>
      <c r="AK22" s="25">
        <f t="shared" si="29"/>
        <v>0</v>
      </c>
      <c r="AL22" s="44">
        <v>9</v>
      </c>
      <c r="AM22" s="44">
        <f t="shared" si="30"/>
        <v>2</v>
      </c>
      <c r="AN22" s="42">
        <f>AI22/31</f>
        <v>0.35483870967741937</v>
      </c>
      <c r="AO22" s="42">
        <f>AJ22/31</f>
        <v>0.35483870967741937</v>
      </c>
      <c r="AP22" s="73">
        <f t="shared" si="31"/>
        <v>0</v>
      </c>
      <c r="AQ22" s="45">
        <f>AL22/31</f>
        <v>0.29032258064516131</v>
      </c>
      <c r="AR22" s="65">
        <f t="shared" si="32"/>
        <v>6.4516129032258063E-2</v>
      </c>
      <c r="AS22" s="28" t="s">
        <v>41</v>
      </c>
      <c r="AT22" s="40">
        <v>8</v>
      </c>
      <c r="AU22" s="40">
        <v>8</v>
      </c>
      <c r="AV22" s="25">
        <f t="shared" si="33"/>
        <v>0</v>
      </c>
      <c r="AW22" s="44">
        <v>2</v>
      </c>
      <c r="AX22" s="44">
        <f t="shared" si="34"/>
        <v>6</v>
      </c>
      <c r="AY22" s="42">
        <f>AT22/31</f>
        <v>0.25806451612903225</v>
      </c>
      <c r="AZ22" s="42">
        <f>AU22/31</f>
        <v>0.25806451612903225</v>
      </c>
      <c r="BA22" s="73">
        <f t="shared" si="35"/>
        <v>0</v>
      </c>
      <c r="BB22" s="45">
        <f>AW22/31</f>
        <v>6.4516129032258063E-2</v>
      </c>
      <c r="BC22" s="65">
        <f t="shared" si="36"/>
        <v>0.19354838709677419</v>
      </c>
      <c r="BD22" s="28" t="s">
        <v>41</v>
      </c>
      <c r="BE22" s="40">
        <v>10</v>
      </c>
      <c r="BF22" s="40">
        <v>10</v>
      </c>
      <c r="BG22" s="25">
        <f t="shared" si="37"/>
        <v>0</v>
      </c>
      <c r="BH22" s="44">
        <v>14</v>
      </c>
      <c r="BI22" s="44">
        <f t="shared" si="38"/>
        <v>-4</v>
      </c>
      <c r="BJ22" s="42">
        <f>BE22/31</f>
        <v>0.32258064516129031</v>
      </c>
      <c r="BK22" s="42">
        <f>BF22/31</f>
        <v>0.32258064516129031</v>
      </c>
      <c r="BL22" s="73">
        <f t="shared" si="39"/>
        <v>0</v>
      </c>
      <c r="BM22" s="45">
        <f>BH22/31</f>
        <v>0.45161290322580644</v>
      </c>
      <c r="BN22" s="65">
        <f t="shared" si="40"/>
        <v>-0.12903225806451613</v>
      </c>
      <c r="BO22" s="28" t="s">
        <v>41</v>
      </c>
      <c r="BP22" s="24">
        <f t="shared" si="41"/>
        <v>61</v>
      </c>
      <c r="BQ22" s="24">
        <f t="shared" si="42"/>
        <v>61</v>
      </c>
      <c r="BR22" s="25">
        <f t="shared" si="43"/>
        <v>0</v>
      </c>
      <c r="BS22" s="50">
        <f t="shared" si="44"/>
        <v>55</v>
      </c>
      <c r="BT22" s="58">
        <f t="shared" si="45"/>
        <v>6</v>
      </c>
      <c r="BU22" s="42">
        <f>(BP22/31)/6</f>
        <v>0.32795698924731181</v>
      </c>
      <c r="BV22" s="42">
        <f>(BQ22/31)/6</f>
        <v>0.32795698924731181</v>
      </c>
      <c r="BW22" s="73">
        <f t="shared" si="46"/>
        <v>0</v>
      </c>
      <c r="BX22" s="45">
        <f>BS22/186</f>
        <v>0.29569892473118281</v>
      </c>
      <c r="BY22" s="45">
        <f t="shared" si="47"/>
        <v>3.2258064516129004E-2</v>
      </c>
    </row>
    <row r="23" spans="1:77" s="8" customFormat="1" ht="18" customHeight="1" x14ac:dyDescent="0.2">
      <c r="A23" s="28" t="s">
        <v>42</v>
      </c>
      <c r="B23" s="40">
        <v>21</v>
      </c>
      <c r="C23" s="40">
        <v>21</v>
      </c>
      <c r="D23" s="25">
        <f t="shared" si="17"/>
        <v>0</v>
      </c>
      <c r="E23" s="44">
        <v>13</v>
      </c>
      <c r="F23" s="44">
        <f t="shared" si="18"/>
        <v>8</v>
      </c>
      <c r="G23" s="42">
        <f>B23/31</f>
        <v>0.67741935483870963</v>
      </c>
      <c r="H23" s="42">
        <f>C23/31</f>
        <v>0.67741935483870963</v>
      </c>
      <c r="I23" s="73">
        <f t="shared" si="19"/>
        <v>0</v>
      </c>
      <c r="J23" s="45">
        <f>E23/31</f>
        <v>0.41935483870967744</v>
      </c>
      <c r="K23" s="65">
        <f t="shared" si="20"/>
        <v>0.2580645161290322</v>
      </c>
      <c r="L23" s="28" t="s">
        <v>42</v>
      </c>
      <c r="M23" s="40">
        <v>11</v>
      </c>
      <c r="N23" s="40">
        <v>11</v>
      </c>
      <c r="O23" s="25">
        <f t="shared" si="21"/>
        <v>0</v>
      </c>
      <c r="P23" s="44">
        <v>2</v>
      </c>
      <c r="Q23" s="44">
        <f t="shared" si="22"/>
        <v>9</v>
      </c>
      <c r="R23" s="42">
        <f>M23/31</f>
        <v>0.35483870967741937</v>
      </c>
      <c r="S23" s="42">
        <f>N23/31</f>
        <v>0.35483870967741937</v>
      </c>
      <c r="T23" s="73">
        <f t="shared" si="23"/>
        <v>0</v>
      </c>
      <c r="U23" s="45">
        <f>P23/31</f>
        <v>6.4516129032258063E-2</v>
      </c>
      <c r="V23" s="65">
        <f t="shared" si="24"/>
        <v>0.29032258064516131</v>
      </c>
      <c r="W23" s="28" t="s">
        <v>42</v>
      </c>
      <c r="X23" s="40">
        <v>5</v>
      </c>
      <c r="Y23" s="40">
        <v>5</v>
      </c>
      <c r="Z23" s="25">
        <f t="shared" si="25"/>
        <v>0</v>
      </c>
      <c r="AA23" s="44">
        <v>3</v>
      </c>
      <c r="AB23" s="44">
        <f t="shared" si="26"/>
        <v>2</v>
      </c>
      <c r="AC23" s="42">
        <f>X23/31</f>
        <v>0.16129032258064516</v>
      </c>
      <c r="AD23" s="42">
        <f>Y23/31</f>
        <v>0.16129032258064516</v>
      </c>
      <c r="AE23" s="73">
        <f t="shared" si="27"/>
        <v>0</v>
      </c>
      <c r="AF23" s="45">
        <f>AA23/31</f>
        <v>9.6774193548387094E-2</v>
      </c>
      <c r="AG23" s="65">
        <f t="shared" si="28"/>
        <v>6.4516129032258063E-2</v>
      </c>
      <c r="AH23" s="28" t="s">
        <v>42</v>
      </c>
      <c r="AI23" s="40">
        <v>7</v>
      </c>
      <c r="AJ23" s="40">
        <v>7</v>
      </c>
      <c r="AK23" s="25">
        <f t="shared" si="29"/>
        <v>0</v>
      </c>
      <c r="AL23" s="44">
        <v>6</v>
      </c>
      <c r="AM23" s="44">
        <f t="shared" si="30"/>
        <v>1</v>
      </c>
      <c r="AN23" s="42">
        <f>AI23/31</f>
        <v>0.22580645161290322</v>
      </c>
      <c r="AO23" s="42">
        <f>AJ23/31</f>
        <v>0.22580645161290322</v>
      </c>
      <c r="AP23" s="73">
        <f t="shared" si="31"/>
        <v>0</v>
      </c>
      <c r="AQ23" s="45">
        <f>AL23/31</f>
        <v>0.19354838709677419</v>
      </c>
      <c r="AR23" s="65">
        <f t="shared" si="32"/>
        <v>3.2258064516129031E-2</v>
      </c>
      <c r="AS23" s="28" t="s">
        <v>42</v>
      </c>
      <c r="AT23" s="40">
        <v>7</v>
      </c>
      <c r="AU23" s="40">
        <v>7</v>
      </c>
      <c r="AV23" s="25">
        <f t="shared" si="33"/>
        <v>0</v>
      </c>
      <c r="AW23" s="44">
        <v>0</v>
      </c>
      <c r="AX23" s="44">
        <f t="shared" si="34"/>
        <v>7</v>
      </c>
      <c r="AY23" s="42">
        <f>AT23/31</f>
        <v>0.22580645161290322</v>
      </c>
      <c r="AZ23" s="42">
        <f>AU23/31</f>
        <v>0.22580645161290322</v>
      </c>
      <c r="BA23" s="73">
        <f t="shared" si="35"/>
        <v>0</v>
      </c>
      <c r="BB23" s="45">
        <f>AW23/31</f>
        <v>0</v>
      </c>
      <c r="BC23" s="65">
        <f t="shared" si="36"/>
        <v>0.22580645161290322</v>
      </c>
      <c r="BD23" s="28" t="s">
        <v>42</v>
      </c>
      <c r="BE23" s="40">
        <v>15</v>
      </c>
      <c r="BF23" s="40">
        <v>15</v>
      </c>
      <c r="BG23" s="25">
        <f t="shared" si="37"/>
        <v>0</v>
      </c>
      <c r="BH23" s="44">
        <v>24</v>
      </c>
      <c r="BI23" s="44">
        <f t="shared" si="38"/>
        <v>-9</v>
      </c>
      <c r="BJ23" s="42">
        <f>BE23/31</f>
        <v>0.4838709677419355</v>
      </c>
      <c r="BK23" s="42">
        <f>BF23/31</f>
        <v>0.4838709677419355</v>
      </c>
      <c r="BL23" s="73">
        <f t="shared" si="39"/>
        <v>0</v>
      </c>
      <c r="BM23" s="45">
        <f>BH23/31</f>
        <v>0.77419354838709675</v>
      </c>
      <c r="BN23" s="65">
        <f t="shared" si="40"/>
        <v>-0.29032258064516125</v>
      </c>
      <c r="BO23" s="28" t="s">
        <v>42</v>
      </c>
      <c r="BP23" s="24">
        <f t="shared" si="41"/>
        <v>66</v>
      </c>
      <c r="BQ23" s="24">
        <f t="shared" si="42"/>
        <v>66</v>
      </c>
      <c r="BR23" s="25">
        <f t="shared" si="43"/>
        <v>0</v>
      </c>
      <c r="BS23" s="50">
        <f t="shared" si="44"/>
        <v>48</v>
      </c>
      <c r="BT23" s="58">
        <f t="shared" si="45"/>
        <v>18</v>
      </c>
      <c r="BU23" s="42">
        <f>(BP23/31)/6</f>
        <v>0.35483870967741932</v>
      </c>
      <c r="BV23" s="42">
        <f>(BQ23/31)/6</f>
        <v>0.35483870967741932</v>
      </c>
      <c r="BW23" s="73">
        <f t="shared" si="46"/>
        <v>0</v>
      </c>
      <c r="BX23" s="45">
        <f>BS23/186</f>
        <v>0.25806451612903225</v>
      </c>
      <c r="BY23" s="45">
        <f t="shared" si="47"/>
        <v>9.6774193548387066E-2</v>
      </c>
    </row>
    <row r="24" spans="1:77" s="8" customFormat="1" ht="18" customHeight="1" x14ac:dyDescent="0.2">
      <c r="A24" s="28" t="s">
        <v>43</v>
      </c>
      <c r="B24" s="40">
        <v>15</v>
      </c>
      <c r="C24" s="40">
        <v>15</v>
      </c>
      <c r="D24" s="25">
        <f t="shared" si="17"/>
        <v>0</v>
      </c>
      <c r="E24" s="44">
        <v>19</v>
      </c>
      <c r="F24" s="44">
        <f t="shared" si="18"/>
        <v>-4</v>
      </c>
      <c r="G24" s="42">
        <f>B24/30</f>
        <v>0.5</v>
      </c>
      <c r="H24" s="42">
        <f>C24/30</f>
        <v>0.5</v>
      </c>
      <c r="I24" s="73">
        <f t="shared" si="19"/>
        <v>0</v>
      </c>
      <c r="J24" s="45">
        <f>E24/30</f>
        <v>0.6333333333333333</v>
      </c>
      <c r="K24" s="65">
        <f t="shared" si="20"/>
        <v>-0.1333333333333333</v>
      </c>
      <c r="L24" s="28" t="s">
        <v>43</v>
      </c>
      <c r="M24" s="40">
        <v>15</v>
      </c>
      <c r="N24" s="40">
        <v>15</v>
      </c>
      <c r="O24" s="25">
        <f t="shared" si="21"/>
        <v>0</v>
      </c>
      <c r="P24" s="44">
        <v>5</v>
      </c>
      <c r="Q24" s="44">
        <f t="shared" si="22"/>
        <v>10</v>
      </c>
      <c r="R24" s="42">
        <f>M24/30</f>
        <v>0.5</v>
      </c>
      <c r="S24" s="42">
        <f>N24/30</f>
        <v>0.5</v>
      </c>
      <c r="T24" s="73">
        <f t="shared" si="23"/>
        <v>0</v>
      </c>
      <c r="U24" s="45">
        <f>P24/30</f>
        <v>0.16666666666666666</v>
      </c>
      <c r="V24" s="65">
        <f t="shared" si="24"/>
        <v>0.33333333333333337</v>
      </c>
      <c r="W24" s="28" t="s">
        <v>43</v>
      </c>
      <c r="X24" s="40">
        <v>4</v>
      </c>
      <c r="Y24" s="40">
        <v>4</v>
      </c>
      <c r="Z24" s="25">
        <f t="shared" si="25"/>
        <v>0</v>
      </c>
      <c r="AA24" s="44">
        <v>9</v>
      </c>
      <c r="AB24" s="44">
        <f t="shared" si="26"/>
        <v>-5</v>
      </c>
      <c r="AC24" s="42">
        <f>X24/30</f>
        <v>0.13333333333333333</v>
      </c>
      <c r="AD24" s="42">
        <f>Y24/30</f>
        <v>0.13333333333333333</v>
      </c>
      <c r="AE24" s="73">
        <f t="shared" si="27"/>
        <v>0</v>
      </c>
      <c r="AF24" s="45">
        <f>AA24/30</f>
        <v>0.3</v>
      </c>
      <c r="AG24" s="65">
        <f t="shared" si="28"/>
        <v>-0.16666666666666666</v>
      </c>
      <c r="AH24" s="28" t="s">
        <v>43</v>
      </c>
      <c r="AI24" s="40">
        <v>0</v>
      </c>
      <c r="AJ24" s="40">
        <v>0</v>
      </c>
      <c r="AK24" s="25">
        <f t="shared" si="29"/>
        <v>0</v>
      </c>
      <c r="AL24" s="44">
        <v>12</v>
      </c>
      <c r="AM24" s="44">
        <f t="shared" si="30"/>
        <v>-12</v>
      </c>
      <c r="AN24" s="42">
        <f>AI24/30</f>
        <v>0</v>
      </c>
      <c r="AO24" s="42">
        <f>AJ24/30</f>
        <v>0</v>
      </c>
      <c r="AP24" s="73">
        <f t="shared" si="31"/>
        <v>0</v>
      </c>
      <c r="AQ24" s="45">
        <f>AL24/30</f>
        <v>0.4</v>
      </c>
      <c r="AR24" s="65">
        <f t="shared" si="32"/>
        <v>-0.4</v>
      </c>
      <c r="AS24" s="28" t="s">
        <v>43</v>
      </c>
      <c r="AT24" s="40">
        <v>14</v>
      </c>
      <c r="AU24" s="40">
        <v>14</v>
      </c>
      <c r="AV24" s="25">
        <f t="shared" si="33"/>
        <v>0</v>
      </c>
      <c r="AW24" s="44">
        <v>9</v>
      </c>
      <c r="AX24" s="44">
        <f t="shared" si="34"/>
        <v>5</v>
      </c>
      <c r="AY24" s="42">
        <f>AT24/30</f>
        <v>0.46666666666666667</v>
      </c>
      <c r="AZ24" s="42">
        <f>AU24/30</f>
        <v>0.46666666666666667</v>
      </c>
      <c r="BA24" s="73">
        <f t="shared" si="35"/>
        <v>0</v>
      </c>
      <c r="BB24" s="45">
        <f>AW24/30</f>
        <v>0.3</v>
      </c>
      <c r="BC24" s="65">
        <f t="shared" si="36"/>
        <v>0.16666666666666669</v>
      </c>
      <c r="BD24" s="28" t="s">
        <v>43</v>
      </c>
      <c r="BE24" s="40">
        <v>12</v>
      </c>
      <c r="BF24" s="40">
        <v>12</v>
      </c>
      <c r="BG24" s="25">
        <f t="shared" si="37"/>
        <v>0</v>
      </c>
      <c r="BH24" s="44">
        <v>12</v>
      </c>
      <c r="BI24" s="44">
        <f t="shared" si="38"/>
        <v>0</v>
      </c>
      <c r="BJ24" s="42">
        <f>BE24/30</f>
        <v>0.4</v>
      </c>
      <c r="BK24" s="42">
        <f>BF24/30</f>
        <v>0.4</v>
      </c>
      <c r="BL24" s="73">
        <f t="shared" si="39"/>
        <v>0</v>
      </c>
      <c r="BM24" s="45">
        <f>BH24/30</f>
        <v>0.4</v>
      </c>
      <c r="BN24" s="65">
        <f t="shared" si="40"/>
        <v>0</v>
      </c>
      <c r="BO24" s="28" t="s">
        <v>43</v>
      </c>
      <c r="BP24" s="24">
        <f t="shared" si="41"/>
        <v>60</v>
      </c>
      <c r="BQ24" s="24">
        <f t="shared" si="42"/>
        <v>60</v>
      </c>
      <c r="BR24" s="25">
        <f t="shared" si="43"/>
        <v>0</v>
      </c>
      <c r="BS24" s="50">
        <f t="shared" si="44"/>
        <v>66</v>
      </c>
      <c r="BT24" s="58">
        <f t="shared" si="45"/>
        <v>-6</v>
      </c>
      <c r="BU24" s="42">
        <f>(BP24/30)/6</f>
        <v>0.33333333333333331</v>
      </c>
      <c r="BV24" s="42">
        <f>(BQ24/30)/6</f>
        <v>0.33333333333333331</v>
      </c>
      <c r="BW24" s="73">
        <f t="shared" si="46"/>
        <v>0</v>
      </c>
      <c r="BX24" s="45">
        <f>BS24/180</f>
        <v>0.36666666666666664</v>
      </c>
      <c r="BY24" s="45">
        <f t="shared" si="47"/>
        <v>-3.3333333333333326E-2</v>
      </c>
    </row>
    <row r="25" spans="1:77" s="8" customFormat="1" ht="18" customHeight="1" x14ac:dyDescent="0.2">
      <c r="A25" s="28" t="s">
        <v>44</v>
      </c>
      <c r="B25" s="40">
        <v>22</v>
      </c>
      <c r="C25" s="40">
        <v>22</v>
      </c>
      <c r="D25" s="25">
        <f t="shared" si="17"/>
        <v>0</v>
      </c>
      <c r="E25" s="44">
        <v>12</v>
      </c>
      <c r="F25" s="44">
        <f t="shared" si="18"/>
        <v>10</v>
      </c>
      <c r="G25" s="42">
        <f>B25/31</f>
        <v>0.70967741935483875</v>
      </c>
      <c r="H25" s="42">
        <f>C25/31</f>
        <v>0.70967741935483875</v>
      </c>
      <c r="I25" s="73">
        <f t="shared" si="19"/>
        <v>0</v>
      </c>
      <c r="J25" s="45">
        <f>E25/31</f>
        <v>0.38709677419354838</v>
      </c>
      <c r="K25" s="65">
        <f t="shared" si="20"/>
        <v>0.32258064516129037</v>
      </c>
      <c r="L25" s="28" t="s">
        <v>44</v>
      </c>
      <c r="M25" s="40">
        <v>20</v>
      </c>
      <c r="N25" s="40">
        <v>20</v>
      </c>
      <c r="O25" s="25">
        <f t="shared" si="21"/>
        <v>0</v>
      </c>
      <c r="P25" s="44">
        <v>9</v>
      </c>
      <c r="Q25" s="44">
        <f t="shared" si="22"/>
        <v>11</v>
      </c>
      <c r="R25" s="42">
        <f>M25/31</f>
        <v>0.64516129032258063</v>
      </c>
      <c r="S25" s="42">
        <f>N25/31</f>
        <v>0.64516129032258063</v>
      </c>
      <c r="T25" s="73">
        <f t="shared" si="23"/>
        <v>0</v>
      </c>
      <c r="U25" s="45">
        <f>P25/31</f>
        <v>0.29032258064516131</v>
      </c>
      <c r="V25" s="65">
        <f t="shared" si="24"/>
        <v>0.35483870967741932</v>
      </c>
      <c r="W25" s="28" t="s">
        <v>44</v>
      </c>
      <c r="X25" s="40">
        <v>4</v>
      </c>
      <c r="Y25" s="40">
        <v>4</v>
      </c>
      <c r="Z25" s="25">
        <f t="shared" si="25"/>
        <v>0</v>
      </c>
      <c r="AA25" s="44">
        <v>12</v>
      </c>
      <c r="AB25" s="44">
        <f t="shared" si="26"/>
        <v>-8</v>
      </c>
      <c r="AC25" s="42">
        <f>X25/31</f>
        <v>0.12903225806451613</v>
      </c>
      <c r="AD25" s="42">
        <f>Y25/31</f>
        <v>0.12903225806451613</v>
      </c>
      <c r="AE25" s="73">
        <f t="shared" si="27"/>
        <v>0</v>
      </c>
      <c r="AF25" s="45">
        <f>AA25/31</f>
        <v>0.38709677419354838</v>
      </c>
      <c r="AG25" s="65">
        <f t="shared" si="28"/>
        <v>-0.25806451612903225</v>
      </c>
      <c r="AH25" s="28" t="s">
        <v>44</v>
      </c>
      <c r="AI25" s="40">
        <v>8</v>
      </c>
      <c r="AJ25" s="40">
        <v>8</v>
      </c>
      <c r="AK25" s="25">
        <f t="shared" si="29"/>
        <v>0</v>
      </c>
      <c r="AL25" s="44">
        <v>13</v>
      </c>
      <c r="AM25" s="44">
        <f t="shared" si="30"/>
        <v>-5</v>
      </c>
      <c r="AN25" s="42">
        <f>AI25/31</f>
        <v>0.25806451612903225</v>
      </c>
      <c r="AO25" s="42">
        <f>AJ25/31</f>
        <v>0.25806451612903225</v>
      </c>
      <c r="AP25" s="73">
        <f t="shared" si="31"/>
        <v>0</v>
      </c>
      <c r="AQ25" s="45">
        <f>AL25/31</f>
        <v>0.41935483870967744</v>
      </c>
      <c r="AR25" s="65">
        <f t="shared" si="32"/>
        <v>-0.16129032258064518</v>
      </c>
      <c r="AS25" s="28" t="s">
        <v>44</v>
      </c>
      <c r="AT25" s="40">
        <v>0</v>
      </c>
      <c r="AU25" s="40">
        <v>0</v>
      </c>
      <c r="AV25" s="25">
        <f t="shared" si="33"/>
        <v>0</v>
      </c>
      <c r="AW25" s="44">
        <v>4</v>
      </c>
      <c r="AX25" s="44">
        <f t="shared" si="34"/>
        <v>-4</v>
      </c>
      <c r="AY25" s="42">
        <f>AT25/31</f>
        <v>0</v>
      </c>
      <c r="AZ25" s="42">
        <f>AU25/31</f>
        <v>0</v>
      </c>
      <c r="BA25" s="73">
        <f t="shared" si="35"/>
        <v>0</v>
      </c>
      <c r="BB25" s="45">
        <f>AW25/31</f>
        <v>0.12903225806451613</v>
      </c>
      <c r="BC25" s="65">
        <f t="shared" si="36"/>
        <v>-0.12903225806451613</v>
      </c>
      <c r="BD25" s="28" t="s">
        <v>44</v>
      </c>
      <c r="BE25" s="40">
        <v>18</v>
      </c>
      <c r="BF25" s="40">
        <v>18</v>
      </c>
      <c r="BG25" s="25">
        <f t="shared" si="37"/>
        <v>0</v>
      </c>
      <c r="BH25" s="44">
        <v>12</v>
      </c>
      <c r="BI25" s="44">
        <f t="shared" si="38"/>
        <v>6</v>
      </c>
      <c r="BJ25" s="42">
        <f>BE25/31</f>
        <v>0.58064516129032262</v>
      </c>
      <c r="BK25" s="42">
        <f>BF25/31</f>
        <v>0.58064516129032262</v>
      </c>
      <c r="BL25" s="73">
        <f t="shared" si="39"/>
        <v>0</v>
      </c>
      <c r="BM25" s="45">
        <f>BH25/31</f>
        <v>0.38709677419354838</v>
      </c>
      <c r="BN25" s="65">
        <f t="shared" si="40"/>
        <v>0.19354838709677424</v>
      </c>
      <c r="BO25" s="28" t="s">
        <v>44</v>
      </c>
      <c r="BP25" s="24">
        <f t="shared" si="41"/>
        <v>72</v>
      </c>
      <c r="BQ25" s="24">
        <f t="shared" si="42"/>
        <v>72</v>
      </c>
      <c r="BR25" s="25">
        <f t="shared" si="43"/>
        <v>0</v>
      </c>
      <c r="BS25" s="50">
        <f t="shared" si="44"/>
        <v>62</v>
      </c>
      <c r="BT25" s="58">
        <f t="shared" si="45"/>
        <v>10</v>
      </c>
      <c r="BU25" s="42">
        <f>(BP25/31)/6</f>
        <v>0.38709677419354843</v>
      </c>
      <c r="BV25" s="42">
        <f>(BQ25/31)/6</f>
        <v>0.38709677419354843</v>
      </c>
      <c r="BW25" s="73">
        <f t="shared" si="46"/>
        <v>0</v>
      </c>
      <c r="BX25" s="45">
        <f>BS25/186</f>
        <v>0.33333333333333331</v>
      </c>
      <c r="BY25" s="45">
        <f t="shared" si="47"/>
        <v>5.3763440860215117E-2</v>
      </c>
    </row>
    <row r="26" spans="1:77" s="8" customFormat="1" ht="18" customHeight="1" x14ac:dyDescent="0.2">
      <c r="A26" s="28" t="s">
        <v>45</v>
      </c>
      <c r="B26" s="40">
        <v>25</v>
      </c>
      <c r="C26" s="40">
        <v>25</v>
      </c>
      <c r="D26" s="25">
        <f t="shared" si="17"/>
        <v>0</v>
      </c>
      <c r="E26" s="44">
        <v>27</v>
      </c>
      <c r="F26" s="44">
        <f t="shared" si="18"/>
        <v>-2</v>
      </c>
      <c r="G26" s="42">
        <f>B26/30</f>
        <v>0.83333333333333337</v>
      </c>
      <c r="H26" s="42">
        <f>C26/30</f>
        <v>0.83333333333333337</v>
      </c>
      <c r="I26" s="73">
        <f t="shared" si="19"/>
        <v>0</v>
      </c>
      <c r="J26" s="45">
        <f>E26/30</f>
        <v>0.9</v>
      </c>
      <c r="K26" s="65">
        <f t="shared" si="20"/>
        <v>-6.6666666666666652E-2</v>
      </c>
      <c r="L26" s="28" t="s">
        <v>45</v>
      </c>
      <c r="M26" s="40">
        <v>25</v>
      </c>
      <c r="N26" s="40">
        <v>25</v>
      </c>
      <c r="O26" s="25">
        <f t="shared" si="21"/>
        <v>0</v>
      </c>
      <c r="P26" s="44">
        <v>22</v>
      </c>
      <c r="Q26" s="44">
        <f t="shared" si="22"/>
        <v>3</v>
      </c>
      <c r="R26" s="42">
        <f>M26/30</f>
        <v>0.83333333333333337</v>
      </c>
      <c r="S26" s="42">
        <f>N26/30</f>
        <v>0.83333333333333337</v>
      </c>
      <c r="T26" s="73">
        <f t="shared" si="23"/>
        <v>0</v>
      </c>
      <c r="U26" s="45">
        <f>P26/30</f>
        <v>0.73333333333333328</v>
      </c>
      <c r="V26" s="65">
        <f t="shared" si="24"/>
        <v>0.10000000000000009</v>
      </c>
      <c r="W26" s="28" t="s">
        <v>45</v>
      </c>
      <c r="X26" s="40">
        <v>14</v>
      </c>
      <c r="Y26" s="40">
        <v>14</v>
      </c>
      <c r="Z26" s="25">
        <f t="shared" si="25"/>
        <v>0</v>
      </c>
      <c r="AA26" s="44">
        <v>8</v>
      </c>
      <c r="AB26" s="44">
        <f t="shared" si="26"/>
        <v>6</v>
      </c>
      <c r="AC26" s="42">
        <f>X26/30</f>
        <v>0.46666666666666667</v>
      </c>
      <c r="AD26" s="42">
        <f>Y26/30</f>
        <v>0.46666666666666667</v>
      </c>
      <c r="AE26" s="73">
        <f t="shared" si="27"/>
        <v>0</v>
      </c>
      <c r="AF26" s="45">
        <f>AA26/30</f>
        <v>0.26666666666666666</v>
      </c>
      <c r="AG26" s="65">
        <f t="shared" si="28"/>
        <v>0.2</v>
      </c>
      <c r="AH26" s="28" t="s">
        <v>45</v>
      </c>
      <c r="AI26" s="40">
        <v>26</v>
      </c>
      <c r="AJ26" s="40">
        <v>26</v>
      </c>
      <c r="AK26" s="25">
        <f t="shared" si="29"/>
        <v>0</v>
      </c>
      <c r="AL26" s="44">
        <v>27</v>
      </c>
      <c r="AM26" s="44">
        <f t="shared" si="30"/>
        <v>-1</v>
      </c>
      <c r="AN26" s="42">
        <f>AI26/30</f>
        <v>0.8666666666666667</v>
      </c>
      <c r="AO26" s="42">
        <f>AJ26/30</f>
        <v>0.8666666666666667</v>
      </c>
      <c r="AP26" s="73">
        <f t="shared" si="31"/>
        <v>0</v>
      </c>
      <c r="AQ26" s="45">
        <f>AL26/30</f>
        <v>0.9</v>
      </c>
      <c r="AR26" s="65">
        <f t="shared" si="32"/>
        <v>-3.3333333333333326E-2</v>
      </c>
      <c r="AS26" s="28" t="s">
        <v>45</v>
      </c>
      <c r="AT26" s="40">
        <v>0</v>
      </c>
      <c r="AU26" s="40">
        <v>0</v>
      </c>
      <c r="AV26" s="25">
        <f t="shared" si="33"/>
        <v>0</v>
      </c>
      <c r="AW26" s="44">
        <v>18</v>
      </c>
      <c r="AX26" s="44">
        <f t="shared" si="34"/>
        <v>-18</v>
      </c>
      <c r="AY26" s="42">
        <f>AT26/30</f>
        <v>0</v>
      </c>
      <c r="AZ26" s="42">
        <f>AU26/30</f>
        <v>0</v>
      </c>
      <c r="BA26" s="73">
        <f t="shared" si="35"/>
        <v>0</v>
      </c>
      <c r="BB26" s="45">
        <f>AW26/30</f>
        <v>0.6</v>
      </c>
      <c r="BC26" s="65">
        <f t="shared" si="36"/>
        <v>-0.6</v>
      </c>
      <c r="BD26" s="28" t="s">
        <v>45</v>
      </c>
      <c r="BE26" s="40">
        <v>25</v>
      </c>
      <c r="BF26" s="40">
        <v>25</v>
      </c>
      <c r="BG26" s="25">
        <f t="shared" si="37"/>
        <v>0</v>
      </c>
      <c r="BH26" s="44">
        <v>8</v>
      </c>
      <c r="BI26" s="44">
        <f t="shared" si="38"/>
        <v>17</v>
      </c>
      <c r="BJ26" s="42">
        <f>BE26/30</f>
        <v>0.83333333333333337</v>
      </c>
      <c r="BK26" s="42">
        <f>BF26/30</f>
        <v>0.83333333333333337</v>
      </c>
      <c r="BL26" s="73">
        <f t="shared" si="39"/>
        <v>0</v>
      </c>
      <c r="BM26" s="45">
        <f>BH26/30</f>
        <v>0.26666666666666666</v>
      </c>
      <c r="BN26" s="65">
        <f t="shared" si="40"/>
        <v>0.56666666666666665</v>
      </c>
      <c r="BO26" s="28" t="s">
        <v>45</v>
      </c>
      <c r="BP26" s="24">
        <f t="shared" si="41"/>
        <v>115</v>
      </c>
      <c r="BQ26" s="24">
        <f t="shared" si="42"/>
        <v>115</v>
      </c>
      <c r="BR26" s="25">
        <f t="shared" si="43"/>
        <v>0</v>
      </c>
      <c r="BS26" s="50">
        <f t="shared" si="44"/>
        <v>110</v>
      </c>
      <c r="BT26" s="58">
        <f t="shared" si="45"/>
        <v>5</v>
      </c>
      <c r="BU26" s="42">
        <f>(BP26/30)/6</f>
        <v>0.63888888888888895</v>
      </c>
      <c r="BV26" s="42">
        <f>(BQ26/30)/6</f>
        <v>0.63888888888888895</v>
      </c>
      <c r="BW26" s="73">
        <f t="shared" si="46"/>
        <v>0</v>
      </c>
      <c r="BX26" s="45">
        <f>BS26/180</f>
        <v>0.61111111111111116</v>
      </c>
      <c r="BY26" s="45">
        <f t="shared" si="47"/>
        <v>2.777777777777779E-2</v>
      </c>
    </row>
    <row r="27" spans="1:77" s="8" customFormat="1" ht="18" customHeight="1" x14ac:dyDescent="0.2">
      <c r="A27" s="28" t="s">
        <v>46</v>
      </c>
      <c r="B27" s="40">
        <v>26</v>
      </c>
      <c r="C27" s="40">
        <v>26</v>
      </c>
      <c r="D27" s="25">
        <f t="shared" si="17"/>
        <v>0</v>
      </c>
      <c r="E27" s="44">
        <v>24</v>
      </c>
      <c r="F27" s="44">
        <f t="shared" si="18"/>
        <v>2</v>
      </c>
      <c r="G27" s="42">
        <f>B27/31</f>
        <v>0.83870967741935487</v>
      </c>
      <c r="H27" s="42">
        <f>C27/31</f>
        <v>0.83870967741935487</v>
      </c>
      <c r="I27" s="73">
        <f t="shared" si="19"/>
        <v>0</v>
      </c>
      <c r="J27" s="45">
        <f>E27/31</f>
        <v>0.77419354838709675</v>
      </c>
      <c r="K27" s="65">
        <f t="shared" si="20"/>
        <v>6.4516129032258118E-2</v>
      </c>
      <c r="L27" s="28" t="s">
        <v>46</v>
      </c>
      <c r="M27" s="40">
        <v>29</v>
      </c>
      <c r="N27" s="40">
        <v>29</v>
      </c>
      <c r="O27" s="25">
        <f t="shared" si="21"/>
        <v>0</v>
      </c>
      <c r="P27" s="44">
        <v>20</v>
      </c>
      <c r="Q27" s="44">
        <f t="shared" si="22"/>
        <v>9</v>
      </c>
      <c r="R27" s="42">
        <f>M27/31</f>
        <v>0.93548387096774188</v>
      </c>
      <c r="S27" s="42">
        <f>N27/31</f>
        <v>0.93548387096774188</v>
      </c>
      <c r="T27" s="73">
        <f t="shared" si="23"/>
        <v>0</v>
      </c>
      <c r="U27" s="45">
        <f>P27/31</f>
        <v>0.64516129032258063</v>
      </c>
      <c r="V27" s="65">
        <f t="shared" si="24"/>
        <v>0.29032258064516125</v>
      </c>
      <c r="W27" s="28" t="s">
        <v>46</v>
      </c>
      <c r="X27" s="40">
        <v>16</v>
      </c>
      <c r="Y27" s="40">
        <v>16</v>
      </c>
      <c r="Z27" s="25">
        <f t="shared" si="25"/>
        <v>0</v>
      </c>
      <c r="AA27" s="44">
        <v>19</v>
      </c>
      <c r="AB27" s="44">
        <f t="shared" si="26"/>
        <v>-3</v>
      </c>
      <c r="AC27" s="42">
        <f>X27/31</f>
        <v>0.5161290322580645</v>
      </c>
      <c r="AD27" s="42">
        <f>Y27/31</f>
        <v>0.5161290322580645</v>
      </c>
      <c r="AE27" s="73">
        <f t="shared" si="27"/>
        <v>0</v>
      </c>
      <c r="AF27" s="45">
        <f>AA27/31</f>
        <v>0.61290322580645162</v>
      </c>
      <c r="AG27" s="65">
        <f t="shared" si="28"/>
        <v>-9.6774193548387122E-2</v>
      </c>
      <c r="AH27" s="28" t="s">
        <v>46</v>
      </c>
      <c r="AI27" s="40">
        <v>30</v>
      </c>
      <c r="AJ27" s="40">
        <v>30</v>
      </c>
      <c r="AK27" s="25">
        <f t="shared" si="29"/>
        <v>0</v>
      </c>
      <c r="AL27" s="44">
        <v>30</v>
      </c>
      <c r="AM27" s="44">
        <f t="shared" si="30"/>
        <v>0</v>
      </c>
      <c r="AN27" s="42">
        <f>AI27/31</f>
        <v>0.967741935483871</v>
      </c>
      <c r="AO27" s="42">
        <f>AJ27/31</f>
        <v>0.967741935483871</v>
      </c>
      <c r="AP27" s="73">
        <f t="shared" si="31"/>
        <v>0</v>
      </c>
      <c r="AQ27" s="45">
        <f>AL27/31</f>
        <v>0.967741935483871</v>
      </c>
      <c r="AR27" s="65">
        <f t="shared" si="32"/>
        <v>0</v>
      </c>
      <c r="AS27" s="28" t="s">
        <v>46</v>
      </c>
      <c r="AT27" s="40">
        <v>16</v>
      </c>
      <c r="AU27" s="40">
        <v>16</v>
      </c>
      <c r="AV27" s="25">
        <f t="shared" si="33"/>
        <v>0</v>
      </c>
      <c r="AW27" s="44">
        <v>26</v>
      </c>
      <c r="AX27" s="44">
        <f t="shared" si="34"/>
        <v>-10</v>
      </c>
      <c r="AY27" s="42">
        <f>AT27/31</f>
        <v>0.5161290322580645</v>
      </c>
      <c r="AZ27" s="42">
        <f>AU27/31</f>
        <v>0.5161290322580645</v>
      </c>
      <c r="BA27" s="73">
        <f t="shared" si="35"/>
        <v>0</v>
      </c>
      <c r="BB27" s="45">
        <f>AW27/31</f>
        <v>0.83870967741935487</v>
      </c>
      <c r="BC27" s="65">
        <f t="shared" si="36"/>
        <v>-0.32258064516129037</v>
      </c>
      <c r="BD27" s="28" t="s">
        <v>46</v>
      </c>
      <c r="BE27" s="40">
        <v>27</v>
      </c>
      <c r="BF27" s="40">
        <v>27</v>
      </c>
      <c r="BG27" s="25">
        <f t="shared" si="37"/>
        <v>0</v>
      </c>
      <c r="BH27" s="44">
        <v>26</v>
      </c>
      <c r="BI27" s="44">
        <f t="shared" si="38"/>
        <v>1</v>
      </c>
      <c r="BJ27" s="42">
        <f>BE27/31</f>
        <v>0.87096774193548387</v>
      </c>
      <c r="BK27" s="42">
        <f>BF27/31</f>
        <v>0.87096774193548387</v>
      </c>
      <c r="BL27" s="73">
        <f t="shared" si="39"/>
        <v>0</v>
      </c>
      <c r="BM27" s="45">
        <f>BH27/31</f>
        <v>0.83870967741935487</v>
      </c>
      <c r="BN27" s="65">
        <f t="shared" si="40"/>
        <v>3.2258064516129004E-2</v>
      </c>
      <c r="BO27" s="28" t="s">
        <v>46</v>
      </c>
      <c r="BP27" s="24">
        <f t="shared" si="41"/>
        <v>144</v>
      </c>
      <c r="BQ27" s="24">
        <f t="shared" si="42"/>
        <v>144</v>
      </c>
      <c r="BR27" s="25">
        <f t="shared" si="43"/>
        <v>0</v>
      </c>
      <c r="BS27" s="50">
        <f t="shared" si="44"/>
        <v>145</v>
      </c>
      <c r="BT27" s="58">
        <f t="shared" si="45"/>
        <v>-1</v>
      </c>
      <c r="BU27" s="42">
        <f>(BP27/31)/6</f>
        <v>0.77419354838709686</v>
      </c>
      <c r="BV27" s="42">
        <f>(BQ27/31)/6</f>
        <v>0.77419354838709686</v>
      </c>
      <c r="BW27" s="73">
        <f t="shared" si="46"/>
        <v>0</v>
      </c>
      <c r="BX27" s="45">
        <f>BS27/186</f>
        <v>0.77956989247311825</v>
      </c>
      <c r="BY27" s="45">
        <f t="shared" si="47"/>
        <v>-5.3763440860213896E-3</v>
      </c>
    </row>
    <row r="28" spans="1:77" s="8" customFormat="1" ht="18" customHeight="1" x14ac:dyDescent="0.2">
      <c r="A28" s="28" t="s">
        <v>17</v>
      </c>
      <c r="B28" s="40">
        <v>30</v>
      </c>
      <c r="C28" s="40">
        <v>30</v>
      </c>
      <c r="D28" s="25">
        <f t="shared" si="17"/>
        <v>0</v>
      </c>
      <c r="E28" s="44">
        <v>27</v>
      </c>
      <c r="F28" s="44">
        <f t="shared" si="18"/>
        <v>3</v>
      </c>
      <c r="G28" s="42">
        <f>B28/31</f>
        <v>0.967741935483871</v>
      </c>
      <c r="H28" s="42">
        <f>C28/31</f>
        <v>0.967741935483871</v>
      </c>
      <c r="I28" s="73">
        <f t="shared" si="19"/>
        <v>0</v>
      </c>
      <c r="J28" s="45">
        <f>E28/31</f>
        <v>0.87096774193548387</v>
      </c>
      <c r="K28" s="65">
        <f t="shared" si="20"/>
        <v>9.6774193548387122E-2</v>
      </c>
      <c r="L28" s="28" t="s">
        <v>17</v>
      </c>
      <c r="M28" s="40">
        <v>31</v>
      </c>
      <c r="N28" s="40">
        <v>31</v>
      </c>
      <c r="O28" s="25">
        <f t="shared" si="21"/>
        <v>0</v>
      </c>
      <c r="P28" s="44">
        <v>28</v>
      </c>
      <c r="Q28" s="44">
        <f t="shared" si="22"/>
        <v>3</v>
      </c>
      <c r="R28" s="42">
        <f>M28/31</f>
        <v>1</v>
      </c>
      <c r="S28" s="42">
        <f>N28/31</f>
        <v>1</v>
      </c>
      <c r="T28" s="73">
        <f t="shared" si="23"/>
        <v>0</v>
      </c>
      <c r="U28" s="45">
        <f>P28/31</f>
        <v>0.90322580645161288</v>
      </c>
      <c r="V28" s="65">
        <f t="shared" si="24"/>
        <v>9.6774193548387122E-2</v>
      </c>
      <c r="W28" s="28" t="s">
        <v>17</v>
      </c>
      <c r="X28" s="40">
        <v>30</v>
      </c>
      <c r="Y28" s="40">
        <v>30</v>
      </c>
      <c r="Z28" s="25">
        <f t="shared" si="25"/>
        <v>0</v>
      </c>
      <c r="AA28" s="44">
        <v>29</v>
      </c>
      <c r="AB28" s="44">
        <f t="shared" si="26"/>
        <v>1</v>
      </c>
      <c r="AC28" s="42">
        <f>X28/31</f>
        <v>0.967741935483871</v>
      </c>
      <c r="AD28" s="42">
        <f>Y28/31</f>
        <v>0.967741935483871</v>
      </c>
      <c r="AE28" s="73">
        <f t="shared" si="27"/>
        <v>0</v>
      </c>
      <c r="AF28" s="45">
        <f>AA28/31</f>
        <v>0.93548387096774188</v>
      </c>
      <c r="AG28" s="65">
        <f t="shared" si="28"/>
        <v>3.2258064516129115E-2</v>
      </c>
      <c r="AH28" s="28" t="s">
        <v>17</v>
      </c>
      <c r="AI28" s="40">
        <v>31</v>
      </c>
      <c r="AJ28" s="40">
        <v>31</v>
      </c>
      <c r="AK28" s="25">
        <f t="shared" si="29"/>
        <v>0</v>
      </c>
      <c r="AL28" s="44">
        <v>30</v>
      </c>
      <c r="AM28" s="44">
        <f t="shared" si="30"/>
        <v>1</v>
      </c>
      <c r="AN28" s="42">
        <f>AI28/31</f>
        <v>1</v>
      </c>
      <c r="AO28" s="42">
        <f>AJ28/31</f>
        <v>1</v>
      </c>
      <c r="AP28" s="73">
        <f t="shared" si="31"/>
        <v>0</v>
      </c>
      <c r="AQ28" s="45">
        <f>AL28/31</f>
        <v>0.967741935483871</v>
      </c>
      <c r="AR28" s="65">
        <f t="shared" si="32"/>
        <v>3.2258064516129004E-2</v>
      </c>
      <c r="AS28" s="28" t="s">
        <v>17</v>
      </c>
      <c r="AT28" s="40">
        <v>31</v>
      </c>
      <c r="AU28" s="40">
        <v>31</v>
      </c>
      <c r="AV28" s="25">
        <f t="shared" si="33"/>
        <v>0</v>
      </c>
      <c r="AW28" s="44">
        <v>30</v>
      </c>
      <c r="AX28" s="44">
        <f t="shared" si="34"/>
        <v>1</v>
      </c>
      <c r="AY28" s="42">
        <f>AT28/31</f>
        <v>1</v>
      </c>
      <c r="AZ28" s="42">
        <f>AU28/31</f>
        <v>1</v>
      </c>
      <c r="BA28" s="73">
        <f t="shared" si="35"/>
        <v>0</v>
      </c>
      <c r="BB28" s="45">
        <f>AW28/31</f>
        <v>0.967741935483871</v>
      </c>
      <c r="BC28" s="65">
        <f t="shared" si="36"/>
        <v>3.2258064516129004E-2</v>
      </c>
      <c r="BD28" s="28" t="s">
        <v>17</v>
      </c>
      <c r="BE28" s="40">
        <v>25</v>
      </c>
      <c r="BF28" s="40">
        <v>25</v>
      </c>
      <c r="BG28" s="25">
        <f t="shared" si="37"/>
        <v>0</v>
      </c>
      <c r="BH28" s="44">
        <v>29</v>
      </c>
      <c r="BI28" s="44">
        <f t="shared" si="38"/>
        <v>-4</v>
      </c>
      <c r="BJ28" s="42">
        <f>BE28/31</f>
        <v>0.80645161290322576</v>
      </c>
      <c r="BK28" s="42">
        <f>BF28/31</f>
        <v>0.80645161290322576</v>
      </c>
      <c r="BL28" s="73">
        <f t="shared" si="39"/>
        <v>0</v>
      </c>
      <c r="BM28" s="45">
        <f>BH28/31</f>
        <v>0.93548387096774188</v>
      </c>
      <c r="BN28" s="65">
        <f t="shared" si="40"/>
        <v>-0.12903225806451613</v>
      </c>
      <c r="BO28" s="28" t="s">
        <v>17</v>
      </c>
      <c r="BP28" s="24">
        <f t="shared" si="41"/>
        <v>178</v>
      </c>
      <c r="BQ28" s="24">
        <f t="shared" si="42"/>
        <v>178</v>
      </c>
      <c r="BR28" s="25">
        <f t="shared" si="43"/>
        <v>0</v>
      </c>
      <c r="BS28" s="50">
        <f t="shared" si="44"/>
        <v>173</v>
      </c>
      <c r="BT28" s="58">
        <f t="shared" si="45"/>
        <v>5</v>
      </c>
      <c r="BU28" s="42">
        <f>(BP28/31)/6</f>
        <v>0.956989247311828</v>
      </c>
      <c r="BV28" s="42">
        <f>(BQ28/31)/6</f>
        <v>0.956989247311828</v>
      </c>
      <c r="BW28" s="73">
        <f t="shared" si="46"/>
        <v>0</v>
      </c>
      <c r="BX28" s="45">
        <f>BS28/186</f>
        <v>0.93010752688172038</v>
      </c>
      <c r="BY28" s="45">
        <f t="shared" si="47"/>
        <v>2.6881720430107614E-2</v>
      </c>
    </row>
    <row r="29" spans="1:77" s="8" customFormat="1" ht="18" customHeight="1" thickBot="1" x14ac:dyDescent="0.25">
      <c r="A29" s="28" t="s">
        <v>18</v>
      </c>
      <c r="B29" s="40">
        <v>27</v>
      </c>
      <c r="C29" s="40">
        <v>27</v>
      </c>
      <c r="D29" s="25">
        <f t="shared" si="17"/>
        <v>0</v>
      </c>
      <c r="E29" s="44">
        <v>18</v>
      </c>
      <c r="F29" s="44">
        <f t="shared" si="18"/>
        <v>9</v>
      </c>
      <c r="G29" s="46">
        <f>B29/28</f>
        <v>0.9642857142857143</v>
      </c>
      <c r="H29" s="46">
        <f>C29/28</f>
        <v>0.9642857142857143</v>
      </c>
      <c r="I29" s="74">
        <f t="shared" si="19"/>
        <v>0</v>
      </c>
      <c r="J29" s="47">
        <f>E29/28</f>
        <v>0.6428571428571429</v>
      </c>
      <c r="K29" s="66">
        <f t="shared" si="20"/>
        <v>0.3214285714285714</v>
      </c>
      <c r="L29" s="28" t="s">
        <v>18</v>
      </c>
      <c r="M29" s="40">
        <v>25</v>
      </c>
      <c r="N29" s="40">
        <v>25</v>
      </c>
      <c r="O29" s="25">
        <f t="shared" si="21"/>
        <v>0</v>
      </c>
      <c r="P29" s="44">
        <v>26</v>
      </c>
      <c r="Q29" s="44">
        <f t="shared" si="22"/>
        <v>-1</v>
      </c>
      <c r="R29" s="46">
        <f>M29/28</f>
        <v>0.8928571428571429</v>
      </c>
      <c r="S29" s="46">
        <f>N29/28</f>
        <v>0.8928571428571429</v>
      </c>
      <c r="T29" s="74">
        <f t="shared" si="23"/>
        <v>0</v>
      </c>
      <c r="U29" s="47">
        <f>P29/28</f>
        <v>0.9285714285714286</v>
      </c>
      <c r="V29" s="66">
        <f t="shared" si="24"/>
        <v>-3.5714285714285698E-2</v>
      </c>
      <c r="W29" s="28" t="s">
        <v>18</v>
      </c>
      <c r="X29" s="40">
        <v>23</v>
      </c>
      <c r="Y29" s="40">
        <v>23</v>
      </c>
      <c r="Z29" s="25">
        <f t="shared" si="25"/>
        <v>0</v>
      </c>
      <c r="AA29" s="44">
        <v>23</v>
      </c>
      <c r="AB29" s="44">
        <f t="shared" si="26"/>
        <v>0</v>
      </c>
      <c r="AC29" s="46">
        <f>X29/28</f>
        <v>0.8214285714285714</v>
      </c>
      <c r="AD29" s="46">
        <f>Y29/28</f>
        <v>0.8214285714285714</v>
      </c>
      <c r="AE29" s="74">
        <f t="shared" si="27"/>
        <v>0</v>
      </c>
      <c r="AF29" s="47">
        <f>AA29/28</f>
        <v>0.8214285714285714</v>
      </c>
      <c r="AG29" s="66">
        <f t="shared" si="28"/>
        <v>0</v>
      </c>
      <c r="AH29" s="28" t="s">
        <v>18</v>
      </c>
      <c r="AI29" s="40">
        <v>27</v>
      </c>
      <c r="AJ29" s="40">
        <v>27</v>
      </c>
      <c r="AK29" s="25">
        <f t="shared" si="29"/>
        <v>0</v>
      </c>
      <c r="AL29" s="44">
        <v>23</v>
      </c>
      <c r="AM29" s="44">
        <f t="shared" si="30"/>
        <v>4</v>
      </c>
      <c r="AN29" s="46">
        <f>AI29/28</f>
        <v>0.9642857142857143</v>
      </c>
      <c r="AO29" s="46">
        <f>AJ29/28</f>
        <v>0.9642857142857143</v>
      </c>
      <c r="AP29" s="74">
        <f t="shared" si="31"/>
        <v>0</v>
      </c>
      <c r="AQ29" s="47">
        <f>AL29/28</f>
        <v>0.8214285714285714</v>
      </c>
      <c r="AR29" s="66">
        <f t="shared" si="32"/>
        <v>0.1428571428571429</v>
      </c>
      <c r="AS29" s="28" t="s">
        <v>18</v>
      </c>
      <c r="AT29" s="40">
        <v>3</v>
      </c>
      <c r="AU29" s="40">
        <v>3</v>
      </c>
      <c r="AV29" s="25">
        <f t="shared" si="33"/>
        <v>0</v>
      </c>
      <c r="AW29" s="44">
        <v>24</v>
      </c>
      <c r="AX29" s="44">
        <f t="shared" si="34"/>
        <v>-21</v>
      </c>
      <c r="AY29" s="46">
        <f>AT29/28</f>
        <v>0.10714285714285714</v>
      </c>
      <c r="AZ29" s="46">
        <f>AU29/28</f>
        <v>0.10714285714285714</v>
      </c>
      <c r="BA29" s="74">
        <f t="shared" si="35"/>
        <v>0</v>
      </c>
      <c r="BB29" s="47">
        <f>AW29/28</f>
        <v>0.8571428571428571</v>
      </c>
      <c r="BC29" s="66">
        <f t="shared" si="36"/>
        <v>-0.75</v>
      </c>
      <c r="BD29" s="28" t="s">
        <v>18</v>
      </c>
      <c r="BE29" s="40">
        <v>24</v>
      </c>
      <c r="BF29" s="40">
        <v>24</v>
      </c>
      <c r="BG29" s="25">
        <f t="shared" si="37"/>
        <v>0</v>
      </c>
      <c r="BH29" s="44">
        <v>26</v>
      </c>
      <c r="BI29" s="44">
        <f t="shared" si="38"/>
        <v>-2</v>
      </c>
      <c r="BJ29" s="46">
        <f>BE29/28</f>
        <v>0.8571428571428571</v>
      </c>
      <c r="BK29" s="46">
        <f>BF29/28</f>
        <v>0.8571428571428571</v>
      </c>
      <c r="BL29" s="74">
        <f t="shared" si="39"/>
        <v>0</v>
      </c>
      <c r="BM29" s="47">
        <f>BH29/28</f>
        <v>0.9285714285714286</v>
      </c>
      <c r="BN29" s="66">
        <f t="shared" si="40"/>
        <v>-7.1428571428571508E-2</v>
      </c>
      <c r="BO29" s="28" t="s">
        <v>18</v>
      </c>
      <c r="BP29" s="24">
        <f t="shared" si="41"/>
        <v>129</v>
      </c>
      <c r="BQ29" s="24">
        <f t="shared" si="42"/>
        <v>129</v>
      </c>
      <c r="BR29" s="25">
        <f t="shared" si="43"/>
        <v>0</v>
      </c>
      <c r="BS29" s="50">
        <f t="shared" si="44"/>
        <v>140</v>
      </c>
      <c r="BT29" s="44">
        <f t="shared" si="45"/>
        <v>-11</v>
      </c>
      <c r="BU29" s="46">
        <f>(BP29/28)/6</f>
        <v>0.76785714285714279</v>
      </c>
      <c r="BV29" s="46">
        <f>(BQ29/28)/6</f>
        <v>0.76785714285714279</v>
      </c>
      <c r="BW29" s="74">
        <f t="shared" si="46"/>
        <v>0</v>
      </c>
      <c r="BX29" s="47">
        <f>BS29/168</f>
        <v>0.83333333333333337</v>
      </c>
      <c r="BY29" s="47">
        <f t="shared" si="47"/>
        <v>-6.5476190476190577E-2</v>
      </c>
    </row>
    <row r="30" spans="1:77" s="16" customFormat="1" ht="25" customHeight="1" thickBot="1" x14ac:dyDescent="0.3">
      <c r="A30" s="108" t="s">
        <v>3</v>
      </c>
      <c r="B30" s="109"/>
      <c r="C30" s="109"/>
      <c r="D30" s="109"/>
      <c r="E30" s="109"/>
      <c r="F30" s="110"/>
      <c r="G30" s="17"/>
      <c r="H30" s="17"/>
      <c r="I30" s="17"/>
      <c r="J30" s="17"/>
      <c r="K30" s="67"/>
      <c r="L30" s="109" t="s">
        <v>3</v>
      </c>
      <c r="M30" s="109"/>
      <c r="N30" s="109"/>
      <c r="O30" s="109"/>
      <c r="P30" s="109"/>
      <c r="Q30" s="110"/>
      <c r="R30" s="17"/>
      <c r="S30" s="17"/>
      <c r="T30" s="17"/>
      <c r="U30" s="17"/>
      <c r="V30" s="67"/>
      <c r="W30" s="109" t="s">
        <v>3</v>
      </c>
      <c r="X30" s="109"/>
      <c r="Y30" s="109"/>
      <c r="Z30" s="109"/>
      <c r="AA30" s="109"/>
      <c r="AB30" s="110"/>
      <c r="AC30" s="17"/>
      <c r="AD30" s="17"/>
      <c r="AE30" s="17"/>
      <c r="AF30" s="17"/>
      <c r="AG30" s="67"/>
      <c r="AH30" s="109" t="s">
        <v>3</v>
      </c>
      <c r="AI30" s="109"/>
      <c r="AJ30" s="109"/>
      <c r="AK30" s="109"/>
      <c r="AL30" s="109"/>
      <c r="AM30" s="110"/>
      <c r="AN30" s="17"/>
      <c r="AO30" s="17"/>
      <c r="AP30" s="17"/>
      <c r="AQ30" s="17"/>
      <c r="AR30" s="67"/>
      <c r="AS30" s="109" t="s">
        <v>3</v>
      </c>
      <c r="AT30" s="109"/>
      <c r="AU30" s="109"/>
      <c r="AV30" s="109"/>
      <c r="AW30" s="109"/>
      <c r="AX30" s="110"/>
      <c r="AY30" s="17"/>
      <c r="AZ30" s="17"/>
      <c r="BA30" s="17"/>
      <c r="BB30" s="17"/>
      <c r="BC30" s="67"/>
      <c r="BD30" s="109" t="s">
        <v>3</v>
      </c>
      <c r="BE30" s="109"/>
      <c r="BF30" s="109"/>
      <c r="BG30" s="109"/>
      <c r="BH30" s="109"/>
      <c r="BI30" s="110"/>
      <c r="BJ30" s="17"/>
      <c r="BK30" s="17"/>
      <c r="BL30" s="17"/>
      <c r="BM30" s="17"/>
      <c r="BN30" s="67"/>
      <c r="BO30" s="109" t="s">
        <v>3</v>
      </c>
      <c r="BP30" s="109"/>
      <c r="BQ30" s="109"/>
      <c r="BR30" s="109"/>
      <c r="BS30" s="109"/>
      <c r="BT30" s="110"/>
      <c r="BU30" s="17"/>
      <c r="BV30" s="17"/>
      <c r="BW30" s="17"/>
      <c r="BX30" s="17"/>
      <c r="BY30" s="17"/>
    </row>
    <row r="31" spans="1:77" s="8" customFormat="1" ht="32" customHeight="1" x14ac:dyDescent="0.2">
      <c r="A31" s="60"/>
      <c r="B31" s="71" t="s">
        <v>60</v>
      </c>
      <c r="C31" s="71" t="s">
        <v>58</v>
      </c>
      <c r="D31" s="87" t="s">
        <v>0</v>
      </c>
      <c r="E31" s="59" t="s">
        <v>48</v>
      </c>
      <c r="F31" s="21" t="s">
        <v>47</v>
      </c>
      <c r="G31" s="26"/>
      <c r="H31" s="26"/>
      <c r="I31" s="26"/>
      <c r="J31" s="26"/>
      <c r="K31" s="62"/>
      <c r="L31" s="60"/>
      <c r="M31" s="71" t="s">
        <v>60</v>
      </c>
      <c r="N31" s="71" t="s">
        <v>58</v>
      </c>
      <c r="O31" s="87" t="s">
        <v>0</v>
      </c>
      <c r="P31" s="59" t="s">
        <v>48</v>
      </c>
      <c r="Q31" s="21" t="s">
        <v>47</v>
      </c>
      <c r="R31" s="26"/>
      <c r="S31" s="26"/>
      <c r="T31" s="26"/>
      <c r="U31" s="26"/>
      <c r="V31" s="62"/>
      <c r="W31" s="60"/>
      <c r="X31" s="71" t="s">
        <v>60</v>
      </c>
      <c r="Y31" s="71" t="s">
        <v>58</v>
      </c>
      <c r="Z31" s="87" t="s">
        <v>0</v>
      </c>
      <c r="AA31" s="59" t="s">
        <v>48</v>
      </c>
      <c r="AB31" s="21" t="s">
        <v>47</v>
      </c>
      <c r="AC31" s="26"/>
      <c r="AD31" s="26"/>
      <c r="AE31" s="26"/>
      <c r="AF31" s="26"/>
      <c r="AG31" s="62"/>
      <c r="AH31" s="60"/>
      <c r="AI31" s="71" t="s">
        <v>60</v>
      </c>
      <c r="AJ31" s="71" t="s">
        <v>58</v>
      </c>
      <c r="AK31" s="87" t="s">
        <v>0</v>
      </c>
      <c r="AL31" s="59" t="s">
        <v>48</v>
      </c>
      <c r="AM31" s="21" t="s">
        <v>47</v>
      </c>
      <c r="AN31" s="26"/>
      <c r="AO31" s="26"/>
      <c r="AP31" s="26"/>
      <c r="AQ31" s="26"/>
      <c r="AR31" s="62"/>
      <c r="AS31" s="60"/>
      <c r="AT31" s="71" t="s">
        <v>60</v>
      </c>
      <c r="AU31" s="71" t="s">
        <v>58</v>
      </c>
      <c r="AV31" s="87" t="s">
        <v>0</v>
      </c>
      <c r="AW31" s="59" t="s">
        <v>48</v>
      </c>
      <c r="AX31" s="21" t="s">
        <v>47</v>
      </c>
      <c r="AY31" s="26"/>
      <c r="AZ31" s="26"/>
      <c r="BA31" s="26"/>
      <c r="BB31" s="26"/>
      <c r="BC31" s="62"/>
      <c r="BD31" s="60"/>
      <c r="BE31" s="71" t="s">
        <v>60</v>
      </c>
      <c r="BF31" s="71" t="s">
        <v>58</v>
      </c>
      <c r="BG31" s="87" t="s">
        <v>0</v>
      </c>
      <c r="BH31" s="59" t="s">
        <v>48</v>
      </c>
      <c r="BI31" s="21" t="s">
        <v>47</v>
      </c>
      <c r="BJ31" s="26"/>
      <c r="BK31" s="26"/>
      <c r="BL31" s="26"/>
      <c r="BM31" s="26"/>
      <c r="BN31" s="62"/>
      <c r="BO31" s="60"/>
      <c r="BP31" s="71" t="s">
        <v>60</v>
      </c>
      <c r="BQ31" s="71" t="s">
        <v>58</v>
      </c>
      <c r="BR31" s="87" t="s">
        <v>0</v>
      </c>
      <c r="BS31" s="59" t="s">
        <v>48</v>
      </c>
      <c r="BT31" s="21" t="s">
        <v>47</v>
      </c>
      <c r="BU31" s="26"/>
      <c r="BV31" s="26"/>
      <c r="BW31" s="26"/>
      <c r="BX31" s="26"/>
      <c r="BY31" s="26"/>
    </row>
    <row r="32" spans="1:77" s="8" customFormat="1" ht="18" customHeight="1" x14ac:dyDescent="0.2">
      <c r="A32" s="70" t="s">
        <v>37</v>
      </c>
      <c r="B32" s="24">
        <f t="shared" ref="B32:C43" si="48">B3/B18</f>
        <v>10582.983076923078</v>
      </c>
      <c r="C32" s="24">
        <f t="shared" si="48"/>
        <v>10582.983076923078</v>
      </c>
      <c r="D32" s="25">
        <f t="shared" ref="D32:D43" si="49">B32-C32</f>
        <v>0</v>
      </c>
      <c r="E32" s="50">
        <f t="shared" ref="E32:E43" si="50">E3/E18</f>
        <v>8775.0652000000009</v>
      </c>
      <c r="F32" s="50">
        <f t="shared" ref="F32:F43" si="51">C32-E32</f>
        <v>1807.9178769230766</v>
      </c>
      <c r="G32" s="26"/>
      <c r="H32" s="26"/>
      <c r="I32" s="3"/>
      <c r="J32" s="26"/>
      <c r="K32" s="62"/>
      <c r="L32" s="70" t="s">
        <v>37</v>
      </c>
      <c r="M32" s="24">
        <f t="shared" ref="M32:N43" si="52">M3/M18</f>
        <v>9317.391304347826</v>
      </c>
      <c r="N32" s="24">
        <f t="shared" si="52"/>
        <v>9317.391304347826</v>
      </c>
      <c r="O32" s="25">
        <f t="shared" ref="O32:O43" si="53">M32-N32</f>
        <v>0</v>
      </c>
      <c r="P32" s="50">
        <f>P3/P18</f>
        <v>7131.8421052631575</v>
      </c>
      <c r="Q32" s="50">
        <f t="shared" ref="Q32:Q43" si="54">N32-P32</f>
        <v>2185.5491990846685</v>
      </c>
      <c r="R32" s="26"/>
      <c r="S32" s="26"/>
      <c r="T32" s="3"/>
      <c r="U32" s="26"/>
      <c r="V32" s="62"/>
      <c r="W32" s="70" t="s">
        <v>37</v>
      </c>
      <c r="X32" s="24">
        <f t="shared" ref="X32:Y43" si="55">X3/X18</f>
        <v>10584.625</v>
      </c>
      <c r="Y32" s="24">
        <f t="shared" si="55"/>
        <v>10584.625</v>
      </c>
      <c r="Z32" s="25">
        <f t="shared" ref="Z32:Z43" si="56">X32-Y32</f>
        <v>0</v>
      </c>
      <c r="AA32" s="75" t="s">
        <v>50</v>
      </c>
      <c r="AB32" s="75" t="s">
        <v>50</v>
      </c>
      <c r="AC32" s="26"/>
      <c r="AD32" s="26"/>
      <c r="AE32" s="3"/>
      <c r="AG32" s="62"/>
      <c r="AH32" s="70" t="s">
        <v>37</v>
      </c>
      <c r="AI32" s="24">
        <f t="shared" ref="AI32:AJ37" si="57">AI3/AI18</f>
        <v>5695.833333333333</v>
      </c>
      <c r="AJ32" s="24">
        <f t="shared" si="57"/>
        <v>5695.833333333333</v>
      </c>
      <c r="AK32" s="25">
        <f t="shared" ref="AK32:AK43" si="58">AI32-AJ32</f>
        <v>0</v>
      </c>
      <c r="AL32" s="50">
        <f t="shared" ref="AL32:AL43" si="59">AL3/AL18</f>
        <v>4817.4989999999998</v>
      </c>
      <c r="AM32" s="50">
        <f t="shared" ref="AM32:AM43" si="60">AJ32-AL32</f>
        <v>878.33433333333323</v>
      </c>
      <c r="AN32" s="26"/>
      <c r="AO32" s="26"/>
      <c r="AP32" s="3"/>
      <c r="AQ32" s="26"/>
      <c r="AR32" s="62"/>
      <c r="AS32" s="70" t="s">
        <v>37</v>
      </c>
      <c r="AT32" s="24">
        <f t="shared" ref="AT32:AU38" si="61">AT3/AT18</f>
        <v>7150</v>
      </c>
      <c r="AU32" s="24">
        <f t="shared" si="61"/>
        <v>7150</v>
      </c>
      <c r="AV32" s="25">
        <f t="shared" ref="AV32:AV43" si="62">AT32-AU32</f>
        <v>0</v>
      </c>
      <c r="AW32" s="50">
        <f>AW3/AW18</f>
        <v>4768.4713636363631</v>
      </c>
      <c r="AX32" s="50">
        <f t="shared" ref="AX32:AX43" si="63">AU32-AW32</f>
        <v>2381.5286363636369</v>
      </c>
      <c r="AY32" s="26"/>
      <c r="AZ32" s="26"/>
      <c r="BA32" s="3"/>
      <c r="BB32" s="26"/>
      <c r="BC32" s="62"/>
      <c r="BD32" s="70" t="s">
        <v>37</v>
      </c>
      <c r="BE32" s="24">
        <f t="shared" ref="BE32:BF34" si="64">BE3/BE18</f>
        <v>4829.4059259259266</v>
      </c>
      <c r="BF32" s="24">
        <f t="shared" si="64"/>
        <v>4829.4059259259266</v>
      </c>
      <c r="BG32" s="25">
        <f t="shared" ref="BG32:BG43" si="65">BE32-BF32</f>
        <v>0</v>
      </c>
      <c r="BH32" s="50">
        <f t="shared" ref="BH32:BH43" si="66">BH3/BH18</f>
        <v>4092.1247999999996</v>
      </c>
      <c r="BI32" s="50">
        <f t="shared" ref="BI32:BI43" si="67">BF32-BH32</f>
        <v>737.28112592592697</v>
      </c>
      <c r="BJ32" s="26"/>
      <c r="BK32" s="26"/>
      <c r="BL32" s="3"/>
      <c r="BM32" s="26"/>
      <c r="BN32" s="62"/>
      <c r="BO32" s="70" t="s">
        <v>37</v>
      </c>
      <c r="BP32" s="24">
        <f t="shared" ref="BP32:BQ43" si="68">BP3/BP18</f>
        <v>7941.0288524590169</v>
      </c>
      <c r="BQ32" s="24">
        <f t="shared" si="68"/>
        <v>7941.0288524590169</v>
      </c>
      <c r="BR32" s="25">
        <f t="shared" ref="BR32:BR43" si="69">BP32-BQ32</f>
        <v>0</v>
      </c>
      <c r="BS32" s="50">
        <f t="shared" ref="BS32:BS43" si="70">BS3/BS18</f>
        <v>6459.6371074380158</v>
      </c>
      <c r="BT32" s="50">
        <f t="shared" ref="BT32:BT43" si="71">BQ32-BS32</f>
        <v>1481.391745021001</v>
      </c>
      <c r="BU32" s="3"/>
      <c r="BV32" s="3"/>
      <c r="BW32" s="3"/>
      <c r="BX32" s="3"/>
      <c r="BY32" s="3"/>
    </row>
    <row r="33" spans="1:77" s="8" customFormat="1" ht="18" customHeight="1" x14ac:dyDescent="0.2">
      <c r="A33" s="28" t="s">
        <v>38</v>
      </c>
      <c r="B33" s="24">
        <f t="shared" si="48"/>
        <v>11430</v>
      </c>
      <c r="C33" s="24">
        <f t="shared" si="48"/>
        <v>11430</v>
      </c>
      <c r="D33" s="25">
        <f t="shared" si="49"/>
        <v>0</v>
      </c>
      <c r="E33" s="50">
        <f t="shared" si="50"/>
        <v>7702.3045000000002</v>
      </c>
      <c r="F33" s="50">
        <f t="shared" si="51"/>
        <v>3727.6954999999998</v>
      </c>
      <c r="G33" s="26"/>
      <c r="H33" s="26"/>
      <c r="I33" s="3"/>
      <c r="J33" s="26"/>
      <c r="K33" s="62"/>
      <c r="L33" s="28" t="s">
        <v>38</v>
      </c>
      <c r="M33" s="24">
        <f t="shared" si="52"/>
        <v>9449.0383333333339</v>
      </c>
      <c r="N33" s="24">
        <f t="shared" si="52"/>
        <v>9449.0383333333339</v>
      </c>
      <c r="O33" s="25">
        <f t="shared" si="53"/>
        <v>0</v>
      </c>
      <c r="P33" s="50">
        <f>P4/P19</f>
        <v>8456.9892857142859</v>
      </c>
      <c r="Q33" s="50">
        <f t="shared" si="54"/>
        <v>992.049047619048</v>
      </c>
      <c r="R33" s="26"/>
      <c r="S33" s="26"/>
      <c r="T33" s="3"/>
      <c r="U33" s="26"/>
      <c r="V33" s="62"/>
      <c r="W33" s="28" t="s">
        <v>38</v>
      </c>
      <c r="X33" s="24">
        <f t="shared" si="55"/>
        <v>8648.75</v>
      </c>
      <c r="Y33" s="24">
        <f t="shared" si="55"/>
        <v>8648.75</v>
      </c>
      <c r="Z33" s="25">
        <f t="shared" si="56"/>
        <v>0</v>
      </c>
      <c r="AA33" s="75" t="s">
        <v>50</v>
      </c>
      <c r="AB33" s="75" t="s">
        <v>50</v>
      </c>
      <c r="AC33" s="26"/>
      <c r="AD33" s="26"/>
      <c r="AE33" s="3"/>
      <c r="AG33" s="62"/>
      <c r="AH33" s="28" t="s">
        <v>38</v>
      </c>
      <c r="AI33" s="24">
        <f t="shared" si="57"/>
        <v>6118.3929166666667</v>
      </c>
      <c r="AJ33" s="24">
        <f t="shared" si="57"/>
        <v>6118.3929166666667</v>
      </c>
      <c r="AK33" s="25">
        <f t="shared" si="58"/>
        <v>0</v>
      </c>
      <c r="AL33" s="50">
        <f t="shared" si="59"/>
        <v>3874.4639999999999</v>
      </c>
      <c r="AM33" s="50">
        <f t="shared" si="60"/>
        <v>2243.9289166666667</v>
      </c>
      <c r="AN33" s="26"/>
      <c r="AO33" s="26"/>
      <c r="AP33" s="3"/>
      <c r="AQ33" s="26"/>
      <c r="AR33" s="62"/>
      <c r="AS33" s="28" t="s">
        <v>38</v>
      </c>
      <c r="AT33" s="24">
        <f t="shared" si="61"/>
        <v>6184.0160000000005</v>
      </c>
      <c r="AU33" s="24">
        <f t="shared" si="61"/>
        <v>6184.0160000000005</v>
      </c>
      <c r="AV33" s="25">
        <f t="shared" si="62"/>
        <v>0</v>
      </c>
      <c r="AW33" s="50">
        <f>AW4/AW19</f>
        <v>4059.7478571428574</v>
      </c>
      <c r="AX33" s="50">
        <f t="shared" si="63"/>
        <v>2124.2681428571432</v>
      </c>
      <c r="AY33" s="26"/>
      <c r="AZ33" s="26"/>
      <c r="BA33" s="3"/>
      <c r="BB33" s="26"/>
      <c r="BC33" s="62"/>
      <c r="BD33" s="28" t="s">
        <v>38</v>
      </c>
      <c r="BE33" s="24">
        <f t="shared" si="64"/>
        <v>5315.8757142857139</v>
      </c>
      <c r="BF33" s="24">
        <f t="shared" si="64"/>
        <v>5315.8757142857139</v>
      </c>
      <c r="BG33" s="25">
        <f t="shared" si="65"/>
        <v>0</v>
      </c>
      <c r="BH33" s="50">
        <f t="shared" si="66"/>
        <v>3305.5207142857143</v>
      </c>
      <c r="BI33" s="50">
        <f t="shared" si="67"/>
        <v>2010.3549999999996</v>
      </c>
      <c r="BJ33" s="26"/>
      <c r="BK33" s="26"/>
      <c r="BL33" s="3"/>
      <c r="BM33" s="26"/>
      <c r="BN33" s="62"/>
      <c r="BO33" s="28" t="s">
        <v>38</v>
      </c>
      <c r="BP33" s="24">
        <f t="shared" si="68"/>
        <v>7780.9180373831787</v>
      </c>
      <c r="BQ33" s="24">
        <f t="shared" si="68"/>
        <v>7780.9180373831787</v>
      </c>
      <c r="BR33" s="25">
        <f t="shared" si="69"/>
        <v>0</v>
      </c>
      <c r="BS33" s="50">
        <f t="shared" si="70"/>
        <v>6439.5973170731704</v>
      </c>
      <c r="BT33" s="50">
        <f t="shared" si="71"/>
        <v>1341.3207203100083</v>
      </c>
      <c r="BU33" s="3"/>
      <c r="BV33" s="3"/>
      <c r="BW33" s="3"/>
      <c r="BX33" s="3"/>
      <c r="BY33" s="3"/>
    </row>
    <row r="34" spans="1:77" s="8" customFormat="1" ht="18" customHeight="1" x14ac:dyDescent="0.2">
      <c r="A34" s="28" t="s">
        <v>39</v>
      </c>
      <c r="B34" s="24">
        <f t="shared" si="48"/>
        <v>7682.8125</v>
      </c>
      <c r="C34" s="24">
        <f t="shared" si="48"/>
        <v>7682.8125</v>
      </c>
      <c r="D34" s="25">
        <f t="shared" si="49"/>
        <v>0</v>
      </c>
      <c r="E34" s="50">
        <f t="shared" si="50"/>
        <v>7311.63</v>
      </c>
      <c r="F34" s="50">
        <f t="shared" si="51"/>
        <v>371.18249999999989</v>
      </c>
      <c r="G34" s="26"/>
      <c r="H34" s="26"/>
      <c r="I34" s="3"/>
      <c r="J34" s="26"/>
      <c r="K34" s="62"/>
      <c r="L34" s="28" t="s">
        <v>39</v>
      </c>
      <c r="M34" s="24">
        <f t="shared" si="52"/>
        <v>4882.738571428571</v>
      </c>
      <c r="N34" s="24">
        <f t="shared" si="52"/>
        <v>4882.738571428571</v>
      </c>
      <c r="O34" s="25">
        <f t="shared" si="53"/>
        <v>0</v>
      </c>
      <c r="P34" s="50">
        <f>P5/P20</f>
        <v>6043.2736363636359</v>
      </c>
      <c r="Q34" s="50">
        <f t="shared" si="54"/>
        <v>-1160.5350649350648</v>
      </c>
      <c r="R34" s="26"/>
      <c r="S34" s="26"/>
      <c r="T34" s="3"/>
      <c r="U34" s="26"/>
      <c r="V34" s="62"/>
      <c r="W34" s="28" t="s">
        <v>39</v>
      </c>
      <c r="X34" s="24">
        <f t="shared" si="55"/>
        <v>7177.5</v>
      </c>
      <c r="Y34" s="24">
        <f t="shared" si="55"/>
        <v>7177.5</v>
      </c>
      <c r="Z34" s="25">
        <f t="shared" si="56"/>
        <v>0</v>
      </c>
      <c r="AA34" s="50">
        <f t="shared" ref="AA34:AA43" si="72">AA5/AA20</f>
        <v>13000</v>
      </c>
      <c r="AB34" s="50">
        <f t="shared" ref="AB34:AB43" si="73">Y34-AA34</f>
        <v>-5822.5</v>
      </c>
      <c r="AC34" s="26"/>
      <c r="AD34" s="26"/>
      <c r="AE34" s="3"/>
      <c r="AG34" s="62"/>
      <c r="AH34" s="28" t="s">
        <v>39</v>
      </c>
      <c r="AI34" s="24">
        <f t="shared" si="57"/>
        <v>3843.8125</v>
      </c>
      <c r="AJ34" s="24">
        <f t="shared" si="57"/>
        <v>3843.8125</v>
      </c>
      <c r="AK34" s="25">
        <f t="shared" si="58"/>
        <v>0</v>
      </c>
      <c r="AL34" s="50">
        <f t="shared" si="59"/>
        <v>4350</v>
      </c>
      <c r="AM34" s="50">
        <f t="shared" si="60"/>
        <v>-506.1875</v>
      </c>
      <c r="AN34" s="26"/>
      <c r="AO34" s="26"/>
      <c r="AP34" s="3"/>
      <c r="AQ34" s="26"/>
      <c r="AR34" s="62"/>
      <c r="AS34" s="28" t="s">
        <v>39</v>
      </c>
      <c r="AT34" s="24">
        <f t="shared" si="61"/>
        <v>4927.7250000000004</v>
      </c>
      <c r="AU34" s="24">
        <f t="shared" si="61"/>
        <v>4927.7250000000004</v>
      </c>
      <c r="AV34" s="25">
        <f t="shared" si="62"/>
        <v>0</v>
      </c>
      <c r="AW34" s="50">
        <f>AW5/AW20</f>
        <v>5009.3228571428572</v>
      </c>
      <c r="AX34" s="50">
        <f t="shared" si="63"/>
        <v>-81.59785714285681</v>
      </c>
      <c r="AY34" s="26"/>
      <c r="AZ34" s="26"/>
      <c r="BA34" s="3"/>
      <c r="BB34" s="26"/>
      <c r="BC34" s="62"/>
      <c r="BD34" s="28" t="s">
        <v>39</v>
      </c>
      <c r="BE34" s="24">
        <f t="shared" si="64"/>
        <v>3047.402</v>
      </c>
      <c r="BF34" s="24">
        <f t="shared" si="64"/>
        <v>3047.402</v>
      </c>
      <c r="BG34" s="25">
        <f t="shared" si="65"/>
        <v>0</v>
      </c>
      <c r="BH34" s="50">
        <f t="shared" si="66"/>
        <v>1473.4180000000001</v>
      </c>
      <c r="BI34" s="50">
        <f t="shared" si="67"/>
        <v>1573.9839999999999</v>
      </c>
      <c r="BJ34" s="26"/>
      <c r="BK34" s="26"/>
      <c r="BL34" s="3"/>
      <c r="BM34" s="26"/>
      <c r="BN34" s="62"/>
      <c r="BO34" s="28" t="s">
        <v>39</v>
      </c>
      <c r="BP34" s="24">
        <f t="shared" si="68"/>
        <v>5015.7365277777772</v>
      </c>
      <c r="BQ34" s="24">
        <f t="shared" si="68"/>
        <v>5015.7365277777772</v>
      </c>
      <c r="BR34" s="25">
        <f t="shared" si="69"/>
        <v>0</v>
      </c>
      <c r="BS34" s="50">
        <f t="shared" si="70"/>
        <v>5948.8163636363643</v>
      </c>
      <c r="BT34" s="50">
        <f t="shared" si="71"/>
        <v>-933.0798358585871</v>
      </c>
      <c r="BU34" s="3"/>
      <c r="BV34" s="3"/>
      <c r="BW34" s="3"/>
      <c r="BX34" s="3"/>
      <c r="BY34" s="3"/>
    </row>
    <row r="35" spans="1:77" s="8" customFormat="1" ht="18" customHeight="1" x14ac:dyDescent="0.2">
      <c r="A35" s="28" t="s">
        <v>40</v>
      </c>
      <c r="B35" s="24">
        <f t="shared" si="48"/>
        <v>5398.25</v>
      </c>
      <c r="C35" s="24">
        <f t="shared" si="48"/>
        <v>5398.25</v>
      </c>
      <c r="D35" s="25">
        <f t="shared" si="49"/>
        <v>0</v>
      </c>
      <c r="E35" s="50">
        <f t="shared" si="50"/>
        <v>5475.28</v>
      </c>
      <c r="F35" s="50">
        <f t="shared" si="51"/>
        <v>-77.029999999999745</v>
      </c>
      <c r="G35" s="26"/>
      <c r="H35" s="26"/>
      <c r="I35" s="3"/>
      <c r="J35" s="26"/>
      <c r="K35" s="62"/>
      <c r="L35" s="28" t="s">
        <v>40</v>
      </c>
      <c r="M35" s="24">
        <f t="shared" si="52"/>
        <v>6573.890625</v>
      </c>
      <c r="N35" s="24">
        <f t="shared" si="52"/>
        <v>6573.890625</v>
      </c>
      <c r="O35" s="25">
        <f t="shared" si="53"/>
        <v>0</v>
      </c>
      <c r="P35" s="50">
        <v>0</v>
      </c>
      <c r="Q35" s="50">
        <f t="shared" si="54"/>
        <v>6573.890625</v>
      </c>
      <c r="R35" s="26"/>
      <c r="S35" s="26"/>
      <c r="T35" s="3"/>
      <c r="U35" s="26"/>
      <c r="V35" s="62"/>
      <c r="W35" s="28" t="s">
        <v>40</v>
      </c>
      <c r="X35" s="24">
        <f t="shared" si="55"/>
        <v>7787.73</v>
      </c>
      <c r="Y35" s="24">
        <f t="shared" si="55"/>
        <v>7787.73</v>
      </c>
      <c r="Z35" s="25">
        <f t="shared" si="56"/>
        <v>0</v>
      </c>
      <c r="AA35" s="50">
        <f t="shared" si="72"/>
        <v>7475.99</v>
      </c>
      <c r="AB35" s="50">
        <f t="shared" si="73"/>
        <v>311.73999999999978</v>
      </c>
      <c r="AC35" s="26"/>
      <c r="AD35" s="26"/>
      <c r="AE35" s="3"/>
      <c r="AG35" s="62"/>
      <c r="AH35" s="28" t="s">
        <v>40</v>
      </c>
      <c r="AI35" s="24">
        <f t="shared" si="57"/>
        <v>3529.1666666666665</v>
      </c>
      <c r="AJ35" s="24">
        <f t="shared" si="57"/>
        <v>3529.1666666666665</v>
      </c>
      <c r="AK35" s="25">
        <f t="shared" si="58"/>
        <v>0</v>
      </c>
      <c r="AL35" s="50">
        <f t="shared" si="59"/>
        <v>3225.0800000000004</v>
      </c>
      <c r="AM35" s="50">
        <f t="shared" si="60"/>
        <v>304.08666666666613</v>
      </c>
      <c r="AN35" s="26"/>
      <c r="AO35" s="26"/>
      <c r="AP35" s="3"/>
      <c r="AQ35" s="26"/>
      <c r="AR35" s="62"/>
      <c r="AS35" s="28" t="s">
        <v>40</v>
      </c>
      <c r="AT35" s="24">
        <f t="shared" si="61"/>
        <v>3748.8799999999997</v>
      </c>
      <c r="AU35" s="24">
        <f t="shared" si="61"/>
        <v>3748.8799999999997</v>
      </c>
      <c r="AV35" s="25">
        <f t="shared" si="62"/>
        <v>0</v>
      </c>
      <c r="AW35" s="50">
        <v>0</v>
      </c>
      <c r="AX35" s="50">
        <f t="shared" si="63"/>
        <v>3748.8799999999997</v>
      </c>
      <c r="AY35" s="26"/>
      <c r="AZ35" s="26"/>
      <c r="BA35" s="3"/>
      <c r="BB35" s="26"/>
      <c r="BC35" s="62"/>
      <c r="BD35" s="28" t="s">
        <v>40</v>
      </c>
      <c r="BE35" s="24">
        <v>0</v>
      </c>
      <c r="BF35" s="24">
        <v>0</v>
      </c>
      <c r="BG35" s="25">
        <f t="shared" si="65"/>
        <v>0</v>
      </c>
      <c r="BH35" s="50">
        <f t="shared" si="66"/>
        <v>2266.606153846154</v>
      </c>
      <c r="BI35" s="50">
        <f t="shared" si="67"/>
        <v>-2266.606153846154</v>
      </c>
      <c r="BJ35" s="26"/>
      <c r="BK35" s="26"/>
      <c r="BL35" s="3"/>
      <c r="BM35" s="26"/>
      <c r="BN35" s="62"/>
      <c r="BO35" s="28" t="s">
        <v>40</v>
      </c>
      <c r="BP35" s="24">
        <f t="shared" si="68"/>
        <v>5366.4677272727276</v>
      </c>
      <c r="BQ35" s="24">
        <f t="shared" si="68"/>
        <v>5366.4677272727276</v>
      </c>
      <c r="BR35" s="25">
        <f t="shared" si="69"/>
        <v>0</v>
      </c>
      <c r="BS35" s="50">
        <f t="shared" si="70"/>
        <v>3643.3792592592595</v>
      </c>
      <c r="BT35" s="50">
        <f t="shared" si="71"/>
        <v>1723.0884680134682</v>
      </c>
      <c r="BU35" s="3"/>
      <c r="BV35" s="3"/>
      <c r="BW35" s="3"/>
      <c r="BX35" s="3"/>
      <c r="BY35" s="3"/>
    </row>
    <row r="36" spans="1:77" s="8" customFormat="1" ht="18" customHeight="1" x14ac:dyDescent="0.2">
      <c r="A36" s="28" t="s">
        <v>41</v>
      </c>
      <c r="B36" s="24">
        <f t="shared" si="48"/>
        <v>6000.1057142857144</v>
      </c>
      <c r="C36" s="24">
        <f t="shared" si="48"/>
        <v>6000.1057142857144</v>
      </c>
      <c r="D36" s="25">
        <f t="shared" si="49"/>
        <v>0</v>
      </c>
      <c r="E36" s="50">
        <f t="shared" si="50"/>
        <v>5462.7607142857141</v>
      </c>
      <c r="F36" s="50">
        <f t="shared" si="51"/>
        <v>537.34500000000025</v>
      </c>
      <c r="G36" s="26"/>
      <c r="H36" s="26"/>
      <c r="I36" s="3"/>
      <c r="J36" s="26"/>
      <c r="K36" s="62"/>
      <c r="L36" s="28" t="s">
        <v>41</v>
      </c>
      <c r="M36" s="24">
        <f t="shared" si="52"/>
        <v>7564.772727272727</v>
      </c>
      <c r="N36" s="24">
        <f t="shared" si="52"/>
        <v>7564.772727272727</v>
      </c>
      <c r="O36" s="25">
        <f t="shared" si="53"/>
        <v>0</v>
      </c>
      <c r="P36" s="50">
        <f t="shared" ref="P36:P43" si="74">P7/P22</f>
        <v>5993.2060000000001</v>
      </c>
      <c r="Q36" s="50">
        <f t="shared" si="54"/>
        <v>1571.5667272727269</v>
      </c>
      <c r="R36" s="26"/>
      <c r="S36" s="26"/>
      <c r="T36" s="3"/>
      <c r="U36" s="26"/>
      <c r="V36" s="62"/>
      <c r="W36" s="28" t="s">
        <v>41</v>
      </c>
      <c r="X36" s="24">
        <f t="shared" si="55"/>
        <v>9334.2857142857138</v>
      </c>
      <c r="Y36" s="24">
        <f t="shared" si="55"/>
        <v>9334.2857142857138</v>
      </c>
      <c r="Z36" s="25">
        <f t="shared" si="56"/>
        <v>0</v>
      </c>
      <c r="AA36" s="50">
        <f t="shared" si="72"/>
        <v>5933.333333333333</v>
      </c>
      <c r="AB36" s="50">
        <f t="shared" si="73"/>
        <v>3400.9523809523807</v>
      </c>
      <c r="AC36" s="26"/>
      <c r="AD36" s="26"/>
      <c r="AE36" s="3"/>
      <c r="AG36" s="62"/>
      <c r="AH36" s="28" t="s">
        <v>41</v>
      </c>
      <c r="AI36" s="24">
        <f t="shared" si="57"/>
        <v>4090</v>
      </c>
      <c r="AJ36" s="24">
        <f t="shared" si="57"/>
        <v>4090</v>
      </c>
      <c r="AK36" s="25">
        <f t="shared" si="58"/>
        <v>0</v>
      </c>
      <c r="AL36" s="50">
        <f t="shared" si="59"/>
        <v>3722.2044444444441</v>
      </c>
      <c r="AM36" s="50">
        <f t="shared" si="60"/>
        <v>367.79555555555589</v>
      </c>
      <c r="AN36" s="26"/>
      <c r="AO36" s="26"/>
      <c r="AP36" s="3"/>
      <c r="AQ36" s="26"/>
      <c r="AR36" s="62"/>
      <c r="AS36" s="28" t="s">
        <v>41</v>
      </c>
      <c r="AT36" s="24">
        <f t="shared" si="61"/>
        <v>4266.6350000000002</v>
      </c>
      <c r="AU36" s="24">
        <f t="shared" si="61"/>
        <v>4266.6350000000002</v>
      </c>
      <c r="AV36" s="25">
        <f t="shared" si="62"/>
        <v>0</v>
      </c>
      <c r="AW36" s="50">
        <f>AW7/AW22</f>
        <v>4950</v>
      </c>
      <c r="AX36" s="50">
        <f t="shared" si="63"/>
        <v>-683.36499999999978</v>
      </c>
      <c r="AY36" s="26"/>
      <c r="AZ36" s="26"/>
      <c r="BA36" s="3"/>
      <c r="BB36" s="26"/>
      <c r="BC36" s="62"/>
      <c r="BD36" s="28" t="s">
        <v>41</v>
      </c>
      <c r="BE36" s="24">
        <f t="shared" ref="BE36:BF43" si="75">BE7/BE22</f>
        <v>3646.3809999999999</v>
      </c>
      <c r="BF36" s="24">
        <f t="shared" si="75"/>
        <v>3646.3809999999999</v>
      </c>
      <c r="BG36" s="25">
        <f t="shared" si="65"/>
        <v>0</v>
      </c>
      <c r="BH36" s="50">
        <f t="shared" si="66"/>
        <v>2746.3271428571429</v>
      </c>
      <c r="BI36" s="50">
        <f t="shared" si="67"/>
        <v>900.05385714285694</v>
      </c>
      <c r="BJ36" s="26"/>
      <c r="BK36" s="26"/>
      <c r="BL36" s="3"/>
      <c r="BM36" s="26"/>
      <c r="BN36" s="62"/>
      <c r="BO36" s="28" t="s">
        <v>41</v>
      </c>
      <c r="BP36" s="24">
        <f t="shared" si="68"/>
        <v>5707.2273770491802</v>
      </c>
      <c r="BQ36" s="24">
        <f t="shared" si="68"/>
        <v>5707.2273770491802</v>
      </c>
      <c r="BR36" s="25">
        <f t="shared" si="69"/>
        <v>0</v>
      </c>
      <c r="BS36" s="50">
        <f t="shared" si="70"/>
        <v>4615.6205454545452</v>
      </c>
      <c r="BT36" s="50">
        <f t="shared" si="71"/>
        <v>1091.606831594635</v>
      </c>
      <c r="BU36" s="3"/>
      <c r="BV36" s="3"/>
      <c r="BW36" s="3"/>
      <c r="BX36" s="3"/>
      <c r="BY36" s="3"/>
    </row>
    <row r="37" spans="1:77" s="8" customFormat="1" ht="18" customHeight="1" x14ac:dyDescent="0.2">
      <c r="A37" s="28" t="s">
        <v>42</v>
      </c>
      <c r="B37" s="24">
        <f t="shared" si="48"/>
        <v>6005.0647619047622</v>
      </c>
      <c r="C37" s="24">
        <f t="shared" si="48"/>
        <v>6005.0647619047622</v>
      </c>
      <c r="D37" s="25">
        <f t="shared" si="49"/>
        <v>0</v>
      </c>
      <c r="E37" s="50">
        <f t="shared" si="50"/>
        <v>5459.5076923076931</v>
      </c>
      <c r="F37" s="50">
        <f t="shared" si="51"/>
        <v>545.55706959706913</v>
      </c>
      <c r="G37" s="26"/>
      <c r="H37" s="26"/>
      <c r="I37" s="3"/>
      <c r="J37" s="26"/>
      <c r="K37" s="62"/>
      <c r="L37" s="28" t="s">
        <v>42</v>
      </c>
      <c r="M37" s="24">
        <f t="shared" si="52"/>
        <v>5928.69</v>
      </c>
      <c r="N37" s="24">
        <f t="shared" si="52"/>
        <v>5928.69</v>
      </c>
      <c r="O37" s="25">
        <f t="shared" si="53"/>
        <v>0</v>
      </c>
      <c r="P37" s="50">
        <f t="shared" si="74"/>
        <v>5850</v>
      </c>
      <c r="Q37" s="50">
        <f t="shared" si="54"/>
        <v>78.6899999999996</v>
      </c>
      <c r="R37" s="26"/>
      <c r="S37" s="26"/>
      <c r="T37" s="3"/>
      <c r="U37" s="26"/>
      <c r="V37" s="62"/>
      <c r="W37" s="28" t="s">
        <v>42</v>
      </c>
      <c r="X37" s="24">
        <f t="shared" si="55"/>
        <v>600</v>
      </c>
      <c r="Y37" s="24">
        <f t="shared" si="55"/>
        <v>600</v>
      </c>
      <c r="Z37" s="25">
        <f t="shared" si="56"/>
        <v>0</v>
      </c>
      <c r="AA37" s="50">
        <f t="shared" si="72"/>
        <v>5370</v>
      </c>
      <c r="AB37" s="50">
        <f t="shared" si="73"/>
        <v>-4770</v>
      </c>
      <c r="AC37" s="26"/>
      <c r="AD37" s="26"/>
      <c r="AE37" s="3"/>
      <c r="AG37" s="62"/>
      <c r="AH37" s="28" t="s">
        <v>42</v>
      </c>
      <c r="AI37" s="24">
        <f t="shared" si="57"/>
        <v>5307.1428571428569</v>
      </c>
      <c r="AJ37" s="24">
        <f t="shared" si="57"/>
        <v>5307.1428571428569</v>
      </c>
      <c r="AK37" s="25">
        <f t="shared" si="58"/>
        <v>0</v>
      </c>
      <c r="AL37" s="50">
        <f t="shared" si="59"/>
        <v>2992.7866666666669</v>
      </c>
      <c r="AM37" s="50">
        <f t="shared" si="60"/>
        <v>2314.35619047619</v>
      </c>
      <c r="AN37" s="26"/>
      <c r="AO37" s="26"/>
      <c r="AP37" s="3"/>
      <c r="AQ37" s="26"/>
      <c r="AR37" s="62"/>
      <c r="AS37" s="28" t="s">
        <v>42</v>
      </c>
      <c r="AT37" s="24">
        <f t="shared" si="61"/>
        <v>4582.9028571428571</v>
      </c>
      <c r="AU37" s="24">
        <f t="shared" si="61"/>
        <v>4582.9028571428571</v>
      </c>
      <c r="AV37" s="25">
        <f t="shared" si="62"/>
        <v>0</v>
      </c>
      <c r="AW37" s="50">
        <v>0</v>
      </c>
      <c r="AX37" s="50">
        <f t="shared" si="63"/>
        <v>4582.9028571428571</v>
      </c>
      <c r="AY37" s="26"/>
      <c r="AZ37" s="26"/>
      <c r="BA37" s="3"/>
      <c r="BB37" s="26"/>
      <c r="BC37" s="62"/>
      <c r="BD37" s="28" t="s">
        <v>42</v>
      </c>
      <c r="BE37" s="24">
        <f t="shared" si="75"/>
        <v>3285.3173333333334</v>
      </c>
      <c r="BF37" s="24">
        <f t="shared" si="75"/>
        <v>3285.3173333333334</v>
      </c>
      <c r="BG37" s="25">
        <f t="shared" si="65"/>
        <v>0</v>
      </c>
      <c r="BH37" s="50">
        <f t="shared" si="66"/>
        <v>3162.8470833333336</v>
      </c>
      <c r="BI37" s="50">
        <f t="shared" si="67"/>
        <v>122.47024999999985</v>
      </c>
      <c r="BJ37" s="26"/>
      <c r="BK37" s="26"/>
      <c r="BL37" s="3"/>
      <c r="BM37" s="26"/>
      <c r="BN37" s="62"/>
      <c r="BO37" s="28" t="s">
        <v>42</v>
      </c>
      <c r="BP37" s="24">
        <f t="shared" si="68"/>
        <v>4739.8792424242429</v>
      </c>
      <c r="BQ37" s="24">
        <f t="shared" si="68"/>
        <v>4739.8792424242429</v>
      </c>
      <c r="BR37" s="25">
        <f t="shared" si="69"/>
        <v>0</v>
      </c>
      <c r="BS37" s="50">
        <f t="shared" si="70"/>
        <v>4013.5135416666672</v>
      </c>
      <c r="BT37" s="50">
        <f t="shared" si="71"/>
        <v>726.36570075757572</v>
      </c>
      <c r="BU37" s="3"/>
      <c r="BV37" s="3"/>
      <c r="BW37" s="3"/>
      <c r="BX37" s="3"/>
      <c r="BY37" s="3"/>
    </row>
    <row r="38" spans="1:77" s="8" customFormat="1" ht="18" customHeight="1" x14ac:dyDescent="0.2">
      <c r="A38" s="28" t="s">
        <v>43</v>
      </c>
      <c r="B38" s="24">
        <f t="shared" si="48"/>
        <v>5923.8453333333327</v>
      </c>
      <c r="C38" s="24">
        <f t="shared" si="48"/>
        <v>5923.8453333333327</v>
      </c>
      <c r="D38" s="25">
        <f t="shared" si="49"/>
        <v>0</v>
      </c>
      <c r="E38" s="50">
        <f t="shared" si="50"/>
        <v>6022.2752631578942</v>
      </c>
      <c r="F38" s="50">
        <f t="shared" si="51"/>
        <v>-98.429929824561441</v>
      </c>
      <c r="G38" s="26"/>
      <c r="H38" s="26"/>
      <c r="I38" s="3"/>
      <c r="J38" s="26"/>
      <c r="K38" s="62"/>
      <c r="L38" s="28" t="s">
        <v>43</v>
      </c>
      <c r="M38" s="24">
        <f t="shared" si="52"/>
        <v>4847.9440000000004</v>
      </c>
      <c r="N38" s="24">
        <f t="shared" si="52"/>
        <v>4847.9440000000004</v>
      </c>
      <c r="O38" s="25">
        <f t="shared" si="53"/>
        <v>0</v>
      </c>
      <c r="P38" s="50">
        <f t="shared" si="74"/>
        <v>7458.2520000000004</v>
      </c>
      <c r="Q38" s="50">
        <f t="shared" si="54"/>
        <v>-2610.308</v>
      </c>
      <c r="R38" s="26"/>
      <c r="S38" s="26"/>
      <c r="T38" s="3"/>
      <c r="U38" s="26"/>
      <c r="V38" s="62"/>
      <c r="W38" s="28" t="s">
        <v>43</v>
      </c>
      <c r="X38" s="24">
        <f t="shared" si="55"/>
        <v>4123.5375000000004</v>
      </c>
      <c r="Y38" s="24">
        <f t="shared" si="55"/>
        <v>4123.5375000000004</v>
      </c>
      <c r="Z38" s="25">
        <f t="shared" si="56"/>
        <v>0</v>
      </c>
      <c r="AA38" s="50">
        <f t="shared" si="72"/>
        <v>4243.333333333333</v>
      </c>
      <c r="AB38" s="50">
        <f t="shared" si="73"/>
        <v>-119.79583333333267</v>
      </c>
      <c r="AC38" s="26"/>
      <c r="AD38" s="26"/>
      <c r="AE38" s="3"/>
      <c r="AG38" s="62"/>
      <c r="AH38" s="28" t="s">
        <v>43</v>
      </c>
      <c r="AI38" s="24">
        <v>0</v>
      </c>
      <c r="AJ38" s="24">
        <v>0</v>
      </c>
      <c r="AK38" s="25">
        <f t="shared" si="58"/>
        <v>0</v>
      </c>
      <c r="AL38" s="50">
        <f t="shared" si="59"/>
        <v>3529.4533333333334</v>
      </c>
      <c r="AM38" s="50">
        <f t="shared" si="60"/>
        <v>-3529.4533333333334</v>
      </c>
      <c r="AN38" s="26"/>
      <c r="AO38" s="26"/>
      <c r="AP38" s="3"/>
      <c r="AQ38" s="26"/>
      <c r="AR38" s="62"/>
      <c r="AS38" s="28" t="s">
        <v>43</v>
      </c>
      <c r="AT38" s="24">
        <f t="shared" si="61"/>
        <v>4334.5542857142855</v>
      </c>
      <c r="AU38" s="24">
        <f t="shared" si="61"/>
        <v>4334.5542857142855</v>
      </c>
      <c r="AV38" s="25">
        <f t="shared" si="62"/>
        <v>0</v>
      </c>
      <c r="AW38" s="50">
        <f t="shared" ref="AW38:AW43" si="76">AW9/AW24</f>
        <v>4616.666666666667</v>
      </c>
      <c r="AX38" s="50">
        <f t="shared" si="63"/>
        <v>-282.1123809523815</v>
      </c>
      <c r="AY38" s="26"/>
      <c r="AZ38" s="26"/>
      <c r="BA38" s="3"/>
      <c r="BB38" s="26"/>
      <c r="BC38" s="62"/>
      <c r="BD38" s="28" t="s">
        <v>43</v>
      </c>
      <c r="BE38" s="24">
        <f t="shared" si="75"/>
        <v>3270.99</v>
      </c>
      <c r="BF38" s="24">
        <f t="shared" si="75"/>
        <v>3270.99</v>
      </c>
      <c r="BG38" s="25">
        <f t="shared" si="65"/>
        <v>0</v>
      </c>
      <c r="BH38" s="50">
        <f t="shared" si="66"/>
        <v>3523.2083333333335</v>
      </c>
      <c r="BI38" s="50">
        <f t="shared" si="67"/>
        <v>-252.2183333333337</v>
      </c>
      <c r="BJ38" s="26"/>
      <c r="BK38" s="26"/>
      <c r="BL38" s="3"/>
      <c r="BM38" s="26"/>
      <c r="BN38" s="62"/>
      <c r="BO38" s="28" t="s">
        <v>43</v>
      </c>
      <c r="BP38" s="24">
        <f t="shared" si="68"/>
        <v>4633.4438333333337</v>
      </c>
      <c r="BQ38" s="24">
        <f t="shared" si="68"/>
        <v>4633.4438333333337</v>
      </c>
      <c r="BR38" s="25">
        <f t="shared" si="69"/>
        <v>0</v>
      </c>
      <c r="BS38" s="50">
        <f t="shared" si="70"/>
        <v>4789.1883333333335</v>
      </c>
      <c r="BT38" s="50">
        <f t="shared" si="71"/>
        <v>-155.74449999999979</v>
      </c>
      <c r="BU38" s="3"/>
      <c r="BV38" s="3"/>
      <c r="BW38" s="3"/>
      <c r="BX38" s="3"/>
      <c r="BY38" s="3"/>
    </row>
    <row r="39" spans="1:77" s="8" customFormat="1" ht="18" customHeight="1" x14ac:dyDescent="0.2">
      <c r="A39" s="28" t="s">
        <v>44</v>
      </c>
      <c r="B39" s="24">
        <f t="shared" si="48"/>
        <v>11077.5</v>
      </c>
      <c r="C39" s="24">
        <f t="shared" si="48"/>
        <v>11077.5</v>
      </c>
      <c r="D39" s="25">
        <f t="shared" si="49"/>
        <v>0</v>
      </c>
      <c r="E39" s="50">
        <f t="shared" si="50"/>
        <v>11325</v>
      </c>
      <c r="F39" s="50">
        <f t="shared" si="51"/>
        <v>-247.5</v>
      </c>
      <c r="G39" s="26"/>
      <c r="H39" s="26"/>
      <c r="I39" s="3"/>
      <c r="J39" s="26"/>
      <c r="K39" s="62"/>
      <c r="L39" s="28" t="s">
        <v>44</v>
      </c>
      <c r="M39" s="24">
        <f t="shared" si="52"/>
        <v>8511.7744999999995</v>
      </c>
      <c r="N39" s="24">
        <f t="shared" si="52"/>
        <v>8511.7744999999995</v>
      </c>
      <c r="O39" s="25">
        <f t="shared" si="53"/>
        <v>0</v>
      </c>
      <c r="P39" s="50">
        <f t="shared" si="74"/>
        <v>9518.8888888888887</v>
      </c>
      <c r="Q39" s="50">
        <f t="shared" si="54"/>
        <v>-1007.1143888888892</v>
      </c>
      <c r="R39" s="26"/>
      <c r="S39" s="26"/>
      <c r="T39" s="3"/>
      <c r="U39" s="26"/>
      <c r="V39" s="62"/>
      <c r="W39" s="28" t="s">
        <v>44</v>
      </c>
      <c r="X39" s="24">
        <f t="shared" si="55"/>
        <v>13805</v>
      </c>
      <c r="Y39" s="24">
        <f t="shared" si="55"/>
        <v>13805</v>
      </c>
      <c r="Z39" s="25">
        <f t="shared" si="56"/>
        <v>0</v>
      </c>
      <c r="AA39" s="50">
        <f t="shared" si="72"/>
        <v>5240</v>
      </c>
      <c r="AB39" s="50">
        <f t="shared" si="73"/>
        <v>8565</v>
      </c>
      <c r="AC39" s="26"/>
      <c r="AD39" s="26"/>
      <c r="AE39" s="3"/>
      <c r="AG39" s="62"/>
      <c r="AH39" s="28" t="s">
        <v>44</v>
      </c>
      <c r="AI39" s="24">
        <f t="shared" ref="AI39:AJ43" si="77">AI10/AI25</f>
        <v>6160</v>
      </c>
      <c r="AJ39" s="24">
        <f t="shared" si="77"/>
        <v>6160</v>
      </c>
      <c r="AK39" s="25">
        <f t="shared" si="58"/>
        <v>0</v>
      </c>
      <c r="AL39" s="50">
        <f t="shared" si="59"/>
        <v>5750</v>
      </c>
      <c r="AM39" s="50">
        <f t="shared" si="60"/>
        <v>410</v>
      </c>
      <c r="AN39" s="26"/>
      <c r="AO39" s="26"/>
      <c r="AP39" s="3"/>
      <c r="AQ39" s="26"/>
      <c r="AR39" s="62"/>
      <c r="AS39" s="28" t="s">
        <v>44</v>
      </c>
      <c r="AT39" s="24">
        <v>0</v>
      </c>
      <c r="AU39" s="24">
        <v>0</v>
      </c>
      <c r="AV39" s="25">
        <f t="shared" si="62"/>
        <v>0</v>
      </c>
      <c r="AW39" s="50">
        <f t="shared" si="76"/>
        <v>7150</v>
      </c>
      <c r="AX39" s="50">
        <f t="shared" si="63"/>
        <v>-7150</v>
      </c>
      <c r="AY39" s="26"/>
      <c r="AZ39" s="26"/>
      <c r="BA39" s="3"/>
      <c r="BB39" s="26"/>
      <c r="BC39" s="62"/>
      <c r="BD39" s="28" t="s">
        <v>44</v>
      </c>
      <c r="BE39" s="24">
        <f t="shared" si="75"/>
        <v>5120.3883333333333</v>
      </c>
      <c r="BF39" s="24">
        <f t="shared" si="75"/>
        <v>5120.3883333333333</v>
      </c>
      <c r="BG39" s="25">
        <f t="shared" si="65"/>
        <v>0</v>
      </c>
      <c r="BH39" s="50">
        <f t="shared" si="66"/>
        <v>5043.75</v>
      </c>
      <c r="BI39" s="50">
        <f t="shared" si="67"/>
        <v>76.638333333333321</v>
      </c>
      <c r="BJ39" s="26"/>
      <c r="BK39" s="26"/>
      <c r="BL39" s="3"/>
      <c r="BM39" s="26"/>
      <c r="BN39" s="62"/>
      <c r="BO39" s="28" t="s">
        <v>44</v>
      </c>
      <c r="BP39" s="24">
        <f t="shared" si="68"/>
        <v>8480.6594444444436</v>
      </c>
      <c r="BQ39" s="24">
        <f t="shared" si="68"/>
        <v>8480.6594444444436</v>
      </c>
      <c r="BR39" s="25">
        <f t="shared" si="69"/>
        <v>0</v>
      </c>
      <c r="BS39" s="50">
        <f t="shared" si="70"/>
        <v>7231.0483870967746</v>
      </c>
      <c r="BT39" s="50">
        <f t="shared" si="71"/>
        <v>1249.611057347669</v>
      </c>
      <c r="BU39" s="3"/>
      <c r="BV39" s="3"/>
      <c r="BW39" s="3"/>
      <c r="BX39" s="3"/>
      <c r="BY39" s="3"/>
    </row>
    <row r="40" spans="1:77" s="8" customFormat="1" ht="18" customHeight="1" x14ac:dyDescent="0.2">
      <c r="A40" s="28" t="s">
        <v>45</v>
      </c>
      <c r="B40" s="24">
        <f t="shared" si="48"/>
        <v>10948.109199999999</v>
      </c>
      <c r="C40" s="24">
        <f t="shared" si="48"/>
        <v>10948.109199999999</v>
      </c>
      <c r="D40" s="25">
        <f t="shared" si="49"/>
        <v>0</v>
      </c>
      <c r="E40" s="50">
        <f t="shared" si="50"/>
        <v>11262.5</v>
      </c>
      <c r="F40" s="50">
        <f t="shared" si="51"/>
        <v>-314.39080000000104</v>
      </c>
      <c r="G40" s="26"/>
      <c r="H40" s="26"/>
      <c r="I40" s="3"/>
      <c r="J40" s="26"/>
      <c r="K40" s="62"/>
      <c r="L40" s="28" t="s">
        <v>45</v>
      </c>
      <c r="M40" s="24">
        <f t="shared" si="52"/>
        <v>8417.6936000000005</v>
      </c>
      <c r="N40" s="24">
        <f t="shared" si="52"/>
        <v>8417.6936000000005</v>
      </c>
      <c r="O40" s="25">
        <f t="shared" si="53"/>
        <v>0</v>
      </c>
      <c r="P40" s="50">
        <f t="shared" si="74"/>
        <v>9223.318181818182</v>
      </c>
      <c r="Q40" s="50">
        <f t="shared" si="54"/>
        <v>-805.62458181818147</v>
      </c>
      <c r="R40" s="26"/>
      <c r="S40" s="26"/>
      <c r="T40" s="3"/>
      <c r="U40" s="26"/>
      <c r="V40" s="62"/>
      <c r="W40" s="28" t="s">
        <v>45</v>
      </c>
      <c r="X40" s="24">
        <f t="shared" si="55"/>
        <v>9251.1</v>
      </c>
      <c r="Y40" s="24">
        <f t="shared" si="55"/>
        <v>9251.1</v>
      </c>
      <c r="Z40" s="25">
        <f t="shared" si="56"/>
        <v>0</v>
      </c>
      <c r="AA40" s="50">
        <f t="shared" si="72"/>
        <v>8156.25</v>
      </c>
      <c r="AB40" s="50">
        <f t="shared" si="73"/>
        <v>1094.8500000000004</v>
      </c>
      <c r="AC40" s="26"/>
      <c r="AD40" s="26"/>
      <c r="AE40" s="3"/>
      <c r="AG40" s="62"/>
      <c r="AH40" s="28" t="s">
        <v>45</v>
      </c>
      <c r="AI40" s="24">
        <f t="shared" si="77"/>
        <v>6542.4615384615381</v>
      </c>
      <c r="AJ40" s="24">
        <f t="shared" si="77"/>
        <v>6542.4615384615381</v>
      </c>
      <c r="AK40" s="25">
        <f t="shared" si="58"/>
        <v>0</v>
      </c>
      <c r="AL40" s="50">
        <f t="shared" si="59"/>
        <v>5779.4444444444443</v>
      </c>
      <c r="AM40" s="50">
        <f t="shared" si="60"/>
        <v>763.01709401709377</v>
      </c>
      <c r="AN40" s="26"/>
      <c r="AO40" s="26"/>
      <c r="AP40" s="3"/>
      <c r="AQ40" s="26"/>
      <c r="AR40" s="62"/>
      <c r="AS40" s="28" t="s">
        <v>45</v>
      </c>
      <c r="AT40" s="24">
        <v>0</v>
      </c>
      <c r="AU40" s="24">
        <v>0</v>
      </c>
      <c r="AV40" s="25">
        <f t="shared" si="62"/>
        <v>0</v>
      </c>
      <c r="AW40" s="50">
        <f t="shared" si="76"/>
        <v>6701.3377777777778</v>
      </c>
      <c r="AX40" s="50">
        <f t="shared" si="63"/>
        <v>-6701.3377777777778</v>
      </c>
      <c r="AY40" s="26"/>
      <c r="AZ40" s="26"/>
      <c r="BA40" s="3"/>
      <c r="BB40" s="26"/>
      <c r="BC40" s="62"/>
      <c r="BD40" s="28" t="s">
        <v>45</v>
      </c>
      <c r="BE40" s="24">
        <f t="shared" si="75"/>
        <v>5145.3</v>
      </c>
      <c r="BF40" s="24">
        <f t="shared" si="75"/>
        <v>5145.3</v>
      </c>
      <c r="BG40" s="25">
        <f t="shared" si="65"/>
        <v>0</v>
      </c>
      <c r="BH40" s="50">
        <f t="shared" si="66"/>
        <v>4927.5</v>
      </c>
      <c r="BI40" s="50">
        <f t="shared" si="67"/>
        <v>217.80000000000018</v>
      </c>
      <c r="BJ40" s="26"/>
      <c r="BK40" s="26"/>
      <c r="BL40" s="3"/>
      <c r="BM40" s="26"/>
      <c r="BN40" s="62"/>
      <c r="BO40" s="28" t="s">
        <v>45</v>
      </c>
      <c r="BP40" s="24">
        <f t="shared" si="68"/>
        <v>7933.8866956521733</v>
      </c>
      <c r="BQ40" s="24">
        <f t="shared" si="68"/>
        <v>7933.8866956521733</v>
      </c>
      <c r="BR40" s="25">
        <f t="shared" si="69"/>
        <v>0</v>
      </c>
      <c r="BS40" s="50">
        <f t="shared" si="70"/>
        <v>8075.8143636363629</v>
      </c>
      <c r="BT40" s="50">
        <f t="shared" si="71"/>
        <v>-141.92766798418961</v>
      </c>
      <c r="BU40" s="3"/>
      <c r="BV40" s="3"/>
      <c r="BW40" s="3"/>
      <c r="BX40" s="3"/>
      <c r="BY40" s="3"/>
    </row>
    <row r="41" spans="1:77" s="8" customFormat="1" ht="18" customHeight="1" x14ac:dyDescent="0.2">
      <c r="A41" s="28" t="s">
        <v>46</v>
      </c>
      <c r="B41" s="24">
        <f t="shared" si="48"/>
        <v>11430.701538461539</v>
      </c>
      <c r="C41" s="24">
        <f t="shared" si="48"/>
        <v>11430.701538461539</v>
      </c>
      <c r="D41" s="25">
        <f t="shared" si="49"/>
        <v>0</v>
      </c>
      <c r="E41" s="50">
        <f t="shared" si="50"/>
        <v>11638.75</v>
      </c>
      <c r="F41" s="50">
        <f t="shared" si="51"/>
        <v>-208.0484615384612</v>
      </c>
      <c r="G41" s="26"/>
      <c r="H41" s="26"/>
      <c r="I41" s="3"/>
      <c r="J41" s="26"/>
      <c r="K41" s="62"/>
      <c r="L41" s="28" t="s">
        <v>46</v>
      </c>
      <c r="M41" s="24">
        <f t="shared" si="52"/>
        <v>9734.3206896551728</v>
      </c>
      <c r="N41" s="24">
        <f t="shared" si="52"/>
        <v>9734.3206896551728</v>
      </c>
      <c r="O41" s="25">
        <f t="shared" si="53"/>
        <v>0</v>
      </c>
      <c r="P41" s="50">
        <f t="shared" si="74"/>
        <v>10972.5</v>
      </c>
      <c r="Q41" s="50">
        <f t="shared" si="54"/>
        <v>-1238.1793103448272</v>
      </c>
      <c r="R41" s="26"/>
      <c r="S41" s="26"/>
      <c r="T41" s="3"/>
      <c r="U41" s="26"/>
      <c r="V41" s="62"/>
      <c r="W41" s="28" t="s">
        <v>46</v>
      </c>
      <c r="X41" s="24">
        <f t="shared" si="55"/>
        <v>11784.268749999999</v>
      </c>
      <c r="Y41" s="24">
        <f t="shared" si="55"/>
        <v>11784.268749999999</v>
      </c>
      <c r="Z41" s="25">
        <f t="shared" si="56"/>
        <v>0</v>
      </c>
      <c r="AA41" s="50">
        <f t="shared" si="72"/>
        <v>12643.368421052632</v>
      </c>
      <c r="AB41" s="50">
        <f t="shared" si="73"/>
        <v>-859.0996710526324</v>
      </c>
      <c r="AC41" s="26"/>
      <c r="AD41" s="26"/>
      <c r="AE41" s="3"/>
      <c r="AG41" s="62"/>
      <c r="AH41" s="28" t="s">
        <v>46</v>
      </c>
      <c r="AI41" s="24">
        <f t="shared" si="77"/>
        <v>7916.333333333333</v>
      </c>
      <c r="AJ41" s="24">
        <f t="shared" si="77"/>
        <v>7916.333333333333</v>
      </c>
      <c r="AK41" s="25">
        <f t="shared" si="58"/>
        <v>0</v>
      </c>
      <c r="AL41" s="50">
        <f t="shared" si="59"/>
        <v>6653.333333333333</v>
      </c>
      <c r="AM41" s="50">
        <f t="shared" si="60"/>
        <v>1263</v>
      </c>
      <c r="AN41" s="26"/>
      <c r="AO41" s="26"/>
      <c r="AP41" s="3"/>
      <c r="AQ41" s="26"/>
      <c r="AR41" s="62"/>
      <c r="AS41" s="28" t="s">
        <v>46</v>
      </c>
      <c r="AT41" s="24">
        <f t="shared" ref="AT41:AU43" si="78">AT12/AT27</f>
        <v>7631.9750000000004</v>
      </c>
      <c r="AU41" s="24">
        <f t="shared" si="78"/>
        <v>7631.9750000000004</v>
      </c>
      <c r="AV41" s="25">
        <f t="shared" si="62"/>
        <v>0</v>
      </c>
      <c r="AW41" s="50">
        <f t="shared" si="76"/>
        <v>7031.8142307692315</v>
      </c>
      <c r="AX41" s="50">
        <f t="shared" si="63"/>
        <v>600.16076923076889</v>
      </c>
      <c r="AY41" s="26"/>
      <c r="AZ41" s="26"/>
      <c r="BA41" s="3"/>
      <c r="BB41" s="26"/>
      <c r="BC41" s="62"/>
      <c r="BD41" s="28" t="s">
        <v>46</v>
      </c>
      <c r="BE41" s="24">
        <f t="shared" si="75"/>
        <v>5553.9151851851848</v>
      </c>
      <c r="BF41" s="24">
        <f t="shared" si="75"/>
        <v>5553.9151851851848</v>
      </c>
      <c r="BG41" s="25">
        <f t="shared" si="65"/>
        <v>0</v>
      </c>
      <c r="BH41" s="50">
        <f t="shared" si="66"/>
        <v>5802.1153846153848</v>
      </c>
      <c r="BI41" s="50">
        <f t="shared" si="67"/>
        <v>-248.20019943019997</v>
      </c>
      <c r="BJ41" s="26"/>
      <c r="BK41" s="26"/>
      <c r="BL41" s="3"/>
      <c r="BM41" s="26"/>
      <c r="BN41" s="62"/>
      <c r="BO41" s="28" t="s">
        <v>46</v>
      </c>
      <c r="BP41" s="24">
        <f t="shared" si="68"/>
        <v>8872.2163194444456</v>
      </c>
      <c r="BQ41" s="24">
        <f t="shared" si="68"/>
        <v>8872.2163194444456</v>
      </c>
      <c r="BR41" s="25">
        <f t="shared" si="69"/>
        <v>0</v>
      </c>
      <c r="BS41" s="50">
        <f t="shared" si="70"/>
        <v>8774.3873793103448</v>
      </c>
      <c r="BT41" s="50">
        <f t="shared" si="71"/>
        <v>97.828940134100776</v>
      </c>
      <c r="BU41" s="3"/>
      <c r="BV41" s="3"/>
      <c r="BW41" s="3"/>
      <c r="BX41" s="3"/>
      <c r="BY41" s="3"/>
    </row>
    <row r="42" spans="1:77" s="8" customFormat="1" ht="18" customHeight="1" x14ac:dyDescent="0.2">
      <c r="A42" s="28" t="s">
        <v>17</v>
      </c>
      <c r="B42" s="24">
        <f t="shared" si="48"/>
        <v>11041.644</v>
      </c>
      <c r="C42" s="24">
        <f t="shared" si="48"/>
        <v>11041.644</v>
      </c>
      <c r="D42" s="25">
        <f t="shared" si="49"/>
        <v>0</v>
      </c>
      <c r="E42" s="50">
        <f t="shared" si="50"/>
        <v>10906.985925925926</v>
      </c>
      <c r="F42" s="50">
        <f t="shared" si="51"/>
        <v>134.65807407407374</v>
      </c>
      <c r="G42" s="26"/>
      <c r="H42" s="26"/>
      <c r="I42" s="3"/>
      <c r="J42" s="26"/>
      <c r="K42" s="62"/>
      <c r="L42" s="28" t="s">
        <v>17</v>
      </c>
      <c r="M42" s="24">
        <f t="shared" si="52"/>
        <v>8791.6129032258068</v>
      </c>
      <c r="N42" s="24">
        <f t="shared" si="52"/>
        <v>8791.6129032258068</v>
      </c>
      <c r="O42" s="25">
        <f t="shared" si="53"/>
        <v>0</v>
      </c>
      <c r="P42" s="50">
        <f t="shared" si="74"/>
        <v>10049.214285714286</v>
      </c>
      <c r="Q42" s="50">
        <f t="shared" si="54"/>
        <v>-1257.6013824884794</v>
      </c>
      <c r="R42" s="26"/>
      <c r="S42" s="26"/>
      <c r="T42" s="3"/>
      <c r="U42" s="26"/>
      <c r="V42" s="62"/>
      <c r="W42" s="28" t="s">
        <v>17</v>
      </c>
      <c r="X42" s="24">
        <f t="shared" si="55"/>
        <v>10769.922333333332</v>
      </c>
      <c r="Y42" s="24">
        <f t="shared" si="55"/>
        <v>10769.922333333332</v>
      </c>
      <c r="Z42" s="25">
        <f t="shared" si="56"/>
        <v>0</v>
      </c>
      <c r="AA42" s="50">
        <f t="shared" si="72"/>
        <v>10634.48275862069</v>
      </c>
      <c r="AB42" s="50">
        <f t="shared" si="73"/>
        <v>135.43957471264184</v>
      </c>
      <c r="AC42" s="26"/>
      <c r="AD42" s="26"/>
      <c r="AE42" s="3"/>
      <c r="AG42" s="62"/>
      <c r="AH42" s="28" t="s">
        <v>17</v>
      </c>
      <c r="AI42" s="24">
        <f t="shared" si="77"/>
        <v>6513.1293548387102</v>
      </c>
      <c r="AJ42" s="24">
        <f t="shared" si="77"/>
        <v>6513.1293548387102</v>
      </c>
      <c r="AK42" s="25">
        <f t="shared" si="58"/>
        <v>0</v>
      </c>
      <c r="AL42" s="50">
        <f t="shared" si="59"/>
        <v>6400</v>
      </c>
      <c r="AM42" s="50">
        <f t="shared" si="60"/>
        <v>113.12935483871024</v>
      </c>
      <c r="AN42" s="26"/>
      <c r="AO42" s="26"/>
      <c r="AP42" s="3"/>
      <c r="AQ42" s="26"/>
      <c r="AR42" s="62"/>
      <c r="AS42" s="28" t="s">
        <v>17</v>
      </c>
      <c r="AT42" s="24">
        <f t="shared" si="78"/>
        <v>7633.4119354838704</v>
      </c>
      <c r="AU42" s="24">
        <f t="shared" si="78"/>
        <v>7633.4119354838704</v>
      </c>
      <c r="AV42" s="25">
        <f t="shared" si="62"/>
        <v>0</v>
      </c>
      <c r="AW42" s="50">
        <f t="shared" si="76"/>
        <v>7103.2613333333329</v>
      </c>
      <c r="AX42" s="50">
        <f t="shared" si="63"/>
        <v>530.15060215053745</v>
      </c>
      <c r="AY42" s="26"/>
      <c r="AZ42" s="26"/>
      <c r="BA42" s="3"/>
      <c r="BB42" s="26"/>
      <c r="BC42" s="62"/>
      <c r="BD42" s="28" t="s">
        <v>17</v>
      </c>
      <c r="BE42" s="24">
        <f t="shared" si="75"/>
        <v>5392.1680000000006</v>
      </c>
      <c r="BF42" s="24">
        <f t="shared" si="75"/>
        <v>5392.1680000000006</v>
      </c>
      <c r="BG42" s="25">
        <f t="shared" si="65"/>
        <v>0</v>
      </c>
      <c r="BH42" s="50">
        <f t="shared" si="66"/>
        <v>5010.1975862068966</v>
      </c>
      <c r="BI42" s="50">
        <f t="shared" si="67"/>
        <v>381.97041379310394</v>
      </c>
      <c r="BJ42" s="26"/>
      <c r="BK42" s="26"/>
      <c r="BL42" s="3"/>
      <c r="BM42" s="26"/>
      <c r="BN42" s="62"/>
      <c r="BO42" s="28" t="s">
        <v>17</v>
      </c>
      <c r="BP42" s="24">
        <f t="shared" si="68"/>
        <v>8428.2807303370791</v>
      </c>
      <c r="BQ42" s="24">
        <f t="shared" si="68"/>
        <v>8428.2807303370791</v>
      </c>
      <c r="BR42" s="25">
        <f t="shared" si="69"/>
        <v>0</v>
      </c>
      <c r="BS42" s="50">
        <f t="shared" si="70"/>
        <v>8292.8334682080931</v>
      </c>
      <c r="BT42" s="50">
        <f t="shared" si="71"/>
        <v>135.44726212898604</v>
      </c>
      <c r="BU42" s="3"/>
      <c r="BV42" s="3"/>
      <c r="BW42" s="3"/>
      <c r="BX42" s="3"/>
      <c r="BY42" s="3"/>
    </row>
    <row r="43" spans="1:77" s="8" customFormat="1" ht="18" customHeight="1" x14ac:dyDescent="0.2">
      <c r="A43" s="48" t="s">
        <v>18</v>
      </c>
      <c r="B43" s="49">
        <f t="shared" si="48"/>
        <v>11300.462962962964</v>
      </c>
      <c r="C43" s="49">
        <f t="shared" si="48"/>
        <v>11300.462962962964</v>
      </c>
      <c r="D43" s="49">
        <f t="shared" si="49"/>
        <v>0</v>
      </c>
      <c r="E43" s="51">
        <f t="shared" si="50"/>
        <v>11250</v>
      </c>
      <c r="F43" s="51">
        <f t="shared" si="51"/>
        <v>50.462962962963502</v>
      </c>
      <c r="G43" s="26"/>
      <c r="H43" s="26"/>
      <c r="I43" s="3"/>
      <c r="J43" s="26"/>
      <c r="K43" s="62"/>
      <c r="L43" s="48" t="s">
        <v>18</v>
      </c>
      <c r="M43" s="49">
        <f t="shared" si="52"/>
        <v>8183.3959999999997</v>
      </c>
      <c r="N43" s="49">
        <f t="shared" si="52"/>
        <v>8183.3959999999997</v>
      </c>
      <c r="O43" s="49">
        <f t="shared" si="53"/>
        <v>0</v>
      </c>
      <c r="P43" s="51">
        <f t="shared" si="74"/>
        <v>9619.2307692307695</v>
      </c>
      <c r="Q43" s="51">
        <f t="shared" si="54"/>
        <v>-1435.8347692307698</v>
      </c>
      <c r="R43" s="26"/>
      <c r="S43" s="26"/>
      <c r="T43" s="3"/>
      <c r="U43" s="26"/>
      <c r="V43" s="62"/>
      <c r="W43" s="48" t="s">
        <v>18</v>
      </c>
      <c r="X43" s="49">
        <f t="shared" si="55"/>
        <v>10515.656086956522</v>
      </c>
      <c r="Y43" s="49">
        <f t="shared" si="55"/>
        <v>10515.656086956522</v>
      </c>
      <c r="Z43" s="49">
        <f t="shared" si="56"/>
        <v>0</v>
      </c>
      <c r="AA43" s="51">
        <f t="shared" si="72"/>
        <v>10342.391304347826</v>
      </c>
      <c r="AB43" s="51">
        <f t="shared" si="73"/>
        <v>173.2647826086959</v>
      </c>
      <c r="AC43" s="26"/>
      <c r="AD43" s="26"/>
      <c r="AE43" s="3"/>
      <c r="AG43" s="62"/>
      <c r="AH43" s="48" t="s">
        <v>18</v>
      </c>
      <c r="AI43" s="49">
        <f t="shared" si="77"/>
        <v>5559.8685185185186</v>
      </c>
      <c r="AJ43" s="49">
        <f t="shared" si="77"/>
        <v>5559.8685185185186</v>
      </c>
      <c r="AK43" s="49">
        <f t="shared" si="58"/>
        <v>0</v>
      </c>
      <c r="AL43" s="51">
        <f t="shared" si="59"/>
        <v>5867.391304347826</v>
      </c>
      <c r="AM43" s="51">
        <f t="shared" si="60"/>
        <v>-307.5227858293074</v>
      </c>
      <c r="AN43" s="26"/>
      <c r="AO43" s="26"/>
      <c r="AP43" s="3"/>
      <c r="AQ43" s="26"/>
      <c r="AR43" s="62"/>
      <c r="AS43" s="48" t="s">
        <v>18</v>
      </c>
      <c r="AT43" s="49">
        <f t="shared" si="78"/>
        <v>7480</v>
      </c>
      <c r="AU43" s="49">
        <f t="shared" si="78"/>
        <v>7480</v>
      </c>
      <c r="AV43" s="49">
        <f t="shared" si="62"/>
        <v>0</v>
      </c>
      <c r="AW43" s="51">
        <f t="shared" si="76"/>
        <v>5117.7458333333334</v>
      </c>
      <c r="AX43" s="51">
        <f t="shared" si="63"/>
        <v>2362.2541666666666</v>
      </c>
      <c r="AY43" s="26"/>
      <c r="AZ43" s="26"/>
      <c r="BA43" s="3"/>
      <c r="BB43" s="26"/>
      <c r="BC43" s="62"/>
      <c r="BD43" s="48" t="s">
        <v>18</v>
      </c>
      <c r="BE43" s="49">
        <f t="shared" si="75"/>
        <v>4976.6824999999999</v>
      </c>
      <c r="BF43" s="49">
        <f t="shared" si="75"/>
        <v>4875.5637500000003</v>
      </c>
      <c r="BG43" s="49">
        <f t="shared" si="65"/>
        <v>101.11874999999964</v>
      </c>
      <c r="BH43" s="51">
        <f t="shared" si="66"/>
        <v>5211.9323076923074</v>
      </c>
      <c r="BI43" s="51">
        <f t="shared" si="67"/>
        <v>-336.36855769230715</v>
      </c>
      <c r="BJ43" s="26"/>
      <c r="BK43" s="26"/>
      <c r="BL43" s="3"/>
      <c r="BM43" s="26"/>
      <c r="BN43" s="62"/>
      <c r="BO43" s="48" t="s">
        <v>18</v>
      </c>
      <c r="BP43" s="49">
        <f t="shared" si="68"/>
        <v>8089.5683720930228</v>
      </c>
      <c r="BQ43" s="49">
        <f t="shared" si="68"/>
        <v>8070.7555813953486</v>
      </c>
      <c r="BR43" s="49">
        <f t="shared" si="69"/>
        <v>18.812790697674245</v>
      </c>
      <c r="BS43" s="51">
        <f t="shared" si="70"/>
        <v>7741.1510000000007</v>
      </c>
      <c r="BT43" s="51">
        <f t="shared" si="71"/>
        <v>329.60458139534785</v>
      </c>
      <c r="BU43" s="3"/>
      <c r="BV43" s="3"/>
      <c r="BW43" s="3"/>
      <c r="BX43" s="3"/>
      <c r="BY43" s="3"/>
    </row>
    <row r="44" spans="1:77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</row>
  </sheetData>
  <mergeCells count="28">
    <mergeCell ref="A1:K1"/>
    <mergeCell ref="L1:V1"/>
    <mergeCell ref="W1:AG1"/>
    <mergeCell ref="AH1:AR1"/>
    <mergeCell ref="A16:F16"/>
    <mergeCell ref="L16:Q16"/>
    <mergeCell ref="W16:AB16"/>
    <mergeCell ref="AH16:AM16"/>
    <mergeCell ref="AC16:AG16"/>
    <mergeCell ref="R16:V16"/>
    <mergeCell ref="G16:K16"/>
    <mergeCell ref="AS30:AX30"/>
    <mergeCell ref="BD30:BI30"/>
    <mergeCell ref="BO30:BT30"/>
    <mergeCell ref="A30:F30"/>
    <mergeCell ref="L30:Q30"/>
    <mergeCell ref="W30:AB30"/>
    <mergeCell ref="AH30:AM30"/>
    <mergeCell ref="AS1:BC1"/>
    <mergeCell ref="BU16:BY16"/>
    <mergeCell ref="BJ16:BN16"/>
    <mergeCell ref="AY16:BC16"/>
    <mergeCell ref="AN16:AR16"/>
    <mergeCell ref="BD1:BN1"/>
    <mergeCell ref="BO1:BY1"/>
    <mergeCell ref="BD16:BI16"/>
    <mergeCell ref="BO16:BT16"/>
    <mergeCell ref="AS16:AX16"/>
  </mergeCells>
  <conditionalFormatting sqref="D1 F1 I1 K1 O1 Q1 T1 V1 Z1 AB1 AE1 AG1 AK1 AM1 AP1 AR1 AV1 AX1 BA1 BC1 BG1 BI1 BL1 BN1 BR1 BT1 BW1 BY1 D3:D16 F3:F16 I3:I16 K3:K16 O3:O16 Q3:Q16 T3:T16 V3:V16 Z3:Z16 AB3:AB16 AE3:AE16 AG3:AG16 AK3:AK16 AM3:AM16 AP3:AP16 AR3:AR16 AV3:AV16 AX3:AX16 BA3:BA16 BC3:BC16 BG3:BG16 BI3:BI16 BL3:BL16 BN3:BN16 BR3:BR16 BT3:BT16 BW3:BW16 BY3:BY16 D18:D30 F18:F30 I18:I30 K18:K30 O18:O30 Q18:Q30 T18:T30 V18:V30 Z18:Z30 AB18:AB30 AE18:AE30 AG18:AG30 AK18:AK30 AM18:AM30 AP18:AP30 AR18:AR30 AV18:AV30 AX18:AX30 BA18:BA30 BC18:BC30 BG18:BG30 BI18:BI30 BL18:BL30 BN18:BN30 BR18:BR30 BT18:BT30 BW18:BW30 BY18:BY30 D32:D44 F32:F44 I32:I44 K32:K44 O32:O44 Q32:Q44 T32:T44 V32:V44 Z32:Z44 AB32:AB44 AE32:AE44 AG32:AG44 AK32:AK44 AM32:AM44 AP32:AP44 AR32:AR44 AV32:AV44 AX32:AX44 BA32:BA44 BC32:BC44 BG32:BG44 BI32:BI44 BL32:BL44 BN32:BN44 BR32:BR44 BT32:BT44 BW32:BW44 BY32:BY44 D89:D1048576 F89:F1048576 I89:I1048576 K89:K1048576 O89:O1048576 Q89:Q1048576 T89:T1048576 V89:V1048576 Z89:Z1048576 AB89:AB1048576 AE89:AE1048576 AG89:AG1048576 AK89:AK1048576 AM89:AM1048576 AP89:AP1048576 AR89:AR1048576 AV89:AV1048576 AX89:AX1048576 BA89:BA1048576 BC89:BC1048576 BG89:BG1048576 BI89:BI1048576 BL89:BL1048576 BN89:BN1048576 BR89:BR1048576 BT89:BT1048576 BW89:BW1048576 BY89:BY1048576">
    <cfRule type="cellIs" dxfId="30" priority="1" operator="lessThan">
      <formula>-0.0009</formula>
    </cfRule>
    <cfRule type="cellIs" dxfId="29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BM19:BN26 BU19:BV26 J19:K26 G19:H26 BR3:BR15 BT19:BT26 BO19:BO26 BO18:BP18 BO27:BP30 BP19:BP26 BP32:BP40 BR32:BR40 B32:B40 I18:I29 D15 S19:S22 S24:S26 L19:L26 Q19:Q26 U19:V26 L15:M16 L30:M30 M19:M26 R23:T23 R24:R26 T24:T26 R19:R22 T19:T22 M35 M32:M34 R32:R34 M36:M40 R36:R43 R35 T32:T34 T36:T43 T35 AD19:AD26 AB19:AB26 AF19:AG26 W19:W26 W15:X16 W30:X30 X19:X26 AC19:AC26 AE19:AE26 X32:X40 AC32:AG43 AO19:AO26 AM19:AM26 AQ19:AR26 AH19:AH26 AH15:AI16 AH30:AI30 AI19:AI26 AN19:AN26 AP19:AP26 AH32:AI40 AN32:AN43 AP32:AP43 AZ19:AZ26 AX19:AX26 BB19:BB26 AS19:AS26 AS15:AT16 AS30:AT30 AT19:AT26 BC19:BC26 AY19:AY26 BA19:BA26 AT35 AT32:AT34 AY32:AY34 AT38:AT40 AT36 AY36 AT37 AY37 AY38:AY43 AY35 BA32:BA34 BA36 BA37 BA38:BA43 BA35 AH41:AH43 BK19:BK26 BJ18:BL18 BJ27:BL29 BJ19:BJ26 BL19:BL26 BE32:BE40 L27 O27:V27 W27 Z27:AG27 AH27 AK27:AR27 AS27 AV27:BC27 L28 O28:V28 W28 Z28:AG28 AH28 AK28:AR28 AS28 AV28:BC28 L29 O29:V29 W29 Z29:AG29 AH29 AK29:AR29 AS29 AV29:BC29 BX19:BX27 D32:D40 O15:V16 O30:V31 O19:P26 O35:P35 O32:O34 O36:O40 Z15:AG16 Z30:AG31 Z19:AA26 Z32:Z40 AK15:AR16 AK30:AR31 AK19:AL26 AK32:AK40 AV15:BC16 AV30:BC31 AV19:AW26 AV35:AW35 AV32:AV34 AV38:AV40 AV36 AV37:AW37 BG32:BG40 L18:M18 L17 L31 O18:V18 O17:Q17 T17:V17 W18:X18 W17 Z18:AG18 Z17:AB17 AE17:AG17 W31 AH18:AI18 AH17 AH31 AK18:AR18 AK17:AM17 AP17:AR17 AS18:AT18 AS17 AS31 AV18:BC18 AV17:AX17 BA17:BC17 BO31 BR31:BT31 BR18:BT18 BR27:BT30 BR19:BS26 BG15" formula="1"/>
    <ignoredError sqref="J32:K43 BD32:BD43 BM32:BN43 E32:F43 BH32:BI43 BK32:BK43 H32:H43" evalError="1"/>
    <ignoredError sqref="BO32:BO43 BS32:BT43 S32:S43 Q35 P36:Q43 P32:Q34 U32:V43 L32:L43 W32:W43 AA34:AB43 AO32:AO43 AL32:AM43 AQ32:AR43 AZ32:AZ43 AX35 AW38:AX43 AX37 AW36:AX36 AW32:AX34 BB32:BC43 AS32:AS43 B41:B42 M41:M42 X41:X43 AI41:AI43 AT41:AT43 BE41:BE43 BR41:BR43 BP41:BP43 D41:D43 O41:O43 Z41:Z43 AK41:AK43 AV41:AV43 BG41:BG43" evalError="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07B7-9ABC-E846-9A1B-712539005E28}">
  <sheetPr>
    <pageSetUpPr fitToPage="1"/>
  </sheetPr>
  <dimension ref="A1:CQ44"/>
  <sheetViews>
    <sheetView zoomScaleNormal="100" workbookViewId="0">
      <pane xSplit="1" topLeftCell="CD1" activePane="topRight" state="frozen"/>
      <selection pane="topRight" sqref="A1:K1"/>
    </sheetView>
  </sheetViews>
  <sheetFormatPr baseColWidth="10" defaultRowHeight="16" x14ac:dyDescent="0.2"/>
  <cols>
    <col min="1" max="1" width="8.83203125" customWidth="1"/>
    <col min="2" max="3" width="10.83203125" customWidth="1"/>
    <col min="4" max="4" width="8.83203125" customWidth="1"/>
    <col min="5" max="8" width="10.83203125" customWidth="1"/>
    <col min="9" max="9" width="8.83203125" customWidth="1"/>
    <col min="10" max="12" width="10.83203125" customWidth="1"/>
    <col min="13" max="13" width="8.83203125" customWidth="1"/>
    <col min="14" max="15" width="10.83203125" customWidth="1"/>
    <col min="16" max="16" width="8.83203125" customWidth="1"/>
    <col min="17" max="20" width="10.83203125" customWidth="1"/>
    <col min="21" max="21" width="8.83203125" customWidth="1"/>
    <col min="22" max="24" width="10.83203125" customWidth="1"/>
    <col min="25" max="25" width="8.83203125" customWidth="1"/>
    <col min="26" max="27" width="10.83203125" customWidth="1"/>
    <col min="28" max="28" width="8.83203125" customWidth="1"/>
    <col min="29" max="32" width="10.83203125" customWidth="1"/>
    <col min="33" max="33" width="8.83203125" customWidth="1"/>
    <col min="34" max="36" width="10.83203125" customWidth="1"/>
    <col min="37" max="37" width="8.83203125" customWidth="1"/>
    <col min="38" max="39" width="10.83203125" customWidth="1"/>
    <col min="40" max="40" width="8.83203125" customWidth="1"/>
    <col min="41" max="44" width="10.83203125" customWidth="1"/>
    <col min="45" max="45" width="8.83203125" customWidth="1"/>
    <col min="46" max="48" width="10.83203125" customWidth="1"/>
    <col min="49" max="49" width="8.83203125" customWidth="1"/>
    <col min="50" max="51" width="10.83203125" customWidth="1"/>
    <col min="52" max="52" width="8.83203125" customWidth="1"/>
    <col min="53" max="56" width="10.83203125" customWidth="1"/>
    <col min="57" max="57" width="8.83203125" customWidth="1"/>
    <col min="58" max="60" width="10.83203125" customWidth="1"/>
    <col min="61" max="61" width="8.83203125" customWidth="1"/>
    <col min="62" max="63" width="10.83203125" customWidth="1"/>
    <col min="64" max="64" width="8.83203125" customWidth="1"/>
    <col min="65" max="68" width="10.83203125" customWidth="1"/>
    <col min="69" max="69" width="8.83203125" customWidth="1"/>
    <col min="70" max="72" width="10.83203125" customWidth="1"/>
    <col min="73" max="73" width="8.83203125" customWidth="1"/>
    <col min="74" max="75" width="10.83203125" customWidth="1"/>
    <col min="76" max="76" width="8.83203125" customWidth="1"/>
    <col min="77" max="80" width="10.83203125" customWidth="1"/>
    <col min="81" max="81" width="8.83203125" customWidth="1"/>
    <col min="82" max="84" width="10.83203125" customWidth="1"/>
    <col min="85" max="85" width="8.83203125" customWidth="1"/>
    <col min="86" max="87" width="10.83203125" customWidth="1"/>
    <col min="88" max="88" width="8.83203125" customWidth="1"/>
    <col min="89" max="92" width="10.83203125" customWidth="1"/>
    <col min="93" max="93" width="8.83203125" customWidth="1"/>
    <col min="94" max="95" width="10.83203125" customWidth="1"/>
  </cols>
  <sheetData>
    <row r="1" spans="1:95" s="37" customFormat="1" ht="28" customHeight="1" thickBot="1" x14ac:dyDescent="0.3">
      <c r="A1" s="111" t="s">
        <v>62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97"/>
      <c r="M1" s="111" t="s">
        <v>63</v>
      </c>
      <c r="N1" s="112"/>
      <c r="O1" s="112"/>
      <c r="P1" s="112"/>
      <c r="Q1" s="112"/>
      <c r="R1" s="112"/>
      <c r="S1" s="112"/>
      <c r="T1" s="112"/>
      <c r="U1" s="112"/>
      <c r="V1" s="112"/>
      <c r="W1" s="113"/>
      <c r="X1" s="97"/>
      <c r="Y1" s="111" t="s">
        <v>64</v>
      </c>
      <c r="Z1" s="112"/>
      <c r="AA1" s="112"/>
      <c r="AB1" s="112"/>
      <c r="AC1" s="112"/>
      <c r="AD1" s="112"/>
      <c r="AE1" s="112"/>
      <c r="AF1" s="112"/>
      <c r="AG1" s="112"/>
      <c r="AH1" s="112"/>
      <c r="AI1" s="113"/>
      <c r="AJ1" s="97"/>
      <c r="AK1" s="111" t="s">
        <v>65</v>
      </c>
      <c r="AL1" s="112"/>
      <c r="AM1" s="112"/>
      <c r="AN1" s="112"/>
      <c r="AO1" s="112"/>
      <c r="AP1" s="112"/>
      <c r="AQ1" s="112"/>
      <c r="AR1" s="112"/>
      <c r="AS1" s="112"/>
      <c r="AT1" s="112"/>
      <c r="AU1" s="113"/>
      <c r="AV1" s="97"/>
      <c r="AW1" s="111" t="s">
        <v>66</v>
      </c>
      <c r="AX1" s="112"/>
      <c r="AY1" s="112"/>
      <c r="AZ1" s="112"/>
      <c r="BA1" s="112"/>
      <c r="BB1" s="112"/>
      <c r="BC1" s="112"/>
      <c r="BD1" s="112"/>
      <c r="BE1" s="112"/>
      <c r="BF1" s="112"/>
      <c r="BG1" s="113"/>
      <c r="BH1" s="97"/>
      <c r="BI1" s="111" t="s">
        <v>67</v>
      </c>
      <c r="BJ1" s="112"/>
      <c r="BK1" s="112"/>
      <c r="BL1" s="112"/>
      <c r="BM1" s="112"/>
      <c r="BN1" s="112"/>
      <c r="BO1" s="112"/>
      <c r="BP1" s="112"/>
      <c r="BQ1" s="112"/>
      <c r="BR1" s="112"/>
      <c r="BS1" s="113"/>
      <c r="BT1" s="97"/>
      <c r="BU1" s="111" t="s">
        <v>82</v>
      </c>
      <c r="BV1" s="112"/>
      <c r="BW1" s="112"/>
      <c r="BX1" s="112"/>
      <c r="BY1" s="112"/>
      <c r="BZ1" s="112"/>
      <c r="CA1" s="112"/>
      <c r="CB1" s="112"/>
      <c r="CC1" s="112"/>
      <c r="CD1" s="112"/>
      <c r="CE1" s="113"/>
      <c r="CF1" s="97"/>
      <c r="CG1" s="111" t="s">
        <v>57</v>
      </c>
      <c r="CH1" s="112"/>
      <c r="CI1" s="112"/>
      <c r="CJ1" s="112"/>
      <c r="CK1" s="112"/>
      <c r="CL1" s="112"/>
      <c r="CM1" s="112"/>
      <c r="CN1" s="112"/>
      <c r="CO1" s="112"/>
      <c r="CP1" s="112"/>
      <c r="CQ1" s="113"/>
    </row>
    <row r="2" spans="1:95" s="23" customFormat="1" ht="32" customHeight="1" x14ac:dyDescent="0.2">
      <c r="A2" s="18"/>
      <c r="B2" s="71" t="s">
        <v>80</v>
      </c>
      <c r="C2" s="71" t="s">
        <v>73</v>
      </c>
      <c r="D2" s="18" t="s">
        <v>0</v>
      </c>
      <c r="E2" s="20" t="s">
        <v>1</v>
      </c>
      <c r="F2" s="21" t="s">
        <v>5</v>
      </c>
      <c r="G2" s="22"/>
      <c r="H2" s="22"/>
      <c r="I2" s="22"/>
      <c r="J2" s="22"/>
      <c r="K2" s="22"/>
      <c r="L2" s="22"/>
      <c r="M2" s="18"/>
      <c r="N2" s="71" t="s">
        <v>80</v>
      </c>
      <c r="O2" s="71" t="s">
        <v>73</v>
      </c>
      <c r="P2" s="18" t="s">
        <v>0</v>
      </c>
      <c r="Q2" s="20" t="s">
        <v>1</v>
      </c>
      <c r="R2" s="21" t="s">
        <v>5</v>
      </c>
      <c r="S2" s="22"/>
      <c r="T2" s="22"/>
      <c r="U2" s="22"/>
      <c r="V2" s="22"/>
      <c r="W2" s="22"/>
      <c r="X2" s="100"/>
      <c r="Y2" s="68"/>
      <c r="Z2" s="71" t="s">
        <v>80</v>
      </c>
      <c r="AA2" s="71" t="s">
        <v>73</v>
      </c>
      <c r="AB2" s="18" t="s">
        <v>0</v>
      </c>
      <c r="AC2" s="20" t="s">
        <v>1</v>
      </c>
      <c r="AD2" s="21" t="s">
        <v>5</v>
      </c>
      <c r="AE2" s="22"/>
      <c r="AF2" s="22"/>
      <c r="AG2" s="22"/>
      <c r="AH2" s="22"/>
      <c r="AI2" s="22"/>
      <c r="AJ2" s="22"/>
      <c r="AK2" s="18"/>
      <c r="AL2" s="71" t="s">
        <v>80</v>
      </c>
      <c r="AM2" s="71" t="s">
        <v>73</v>
      </c>
      <c r="AN2" s="18" t="s">
        <v>0</v>
      </c>
      <c r="AO2" s="20" t="s">
        <v>1</v>
      </c>
      <c r="AP2" s="21" t="s">
        <v>5</v>
      </c>
      <c r="AQ2" s="22"/>
      <c r="AR2" s="22"/>
      <c r="AS2" s="22"/>
      <c r="AT2" s="22"/>
      <c r="AU2" s="22"/>
      <c r="AV2" s="22"/>
      <c r="AW2" s="18"/>
      <c r="AX2" s="71" t="s">
        <v>80</v>
      </c>
      <c r="AY2" s="71" t="s">
        <v>73</v>
      </c>
      <c r="AZ2" s="18" t="s">
        <v>0</v>
      </c>
      <c r="BA2" s="20" t="s">
        <v>1</v>
      </c>
      <c r="BB2" s="21" t="s">
        <v>5</v>
      </c>
      <c r="BC2" s="22"/>
      <c r="BD2" s="22"/>
      <c r="BE2" s="22"/>
      <c r="BF2" s="22"/>
      <c r="BG2" s="22"/>
      <c r="BH2" s="22"/>
      <c r="BI2" s="18"/>
      <c r="BJ2" s="71" t="s">
        <v>80</v>
      </c>
      <c r="BK2" s="71" t="s">
        <v>73</v>
      </c>
      <c r="BL2" s="18" t="s">
        <v>0</v>
      </c>
      <c r="BM2" s="20" t="s">
        <v>1</v>
      </c>
      <c r="BN2" s="21" t="s">
        <v>5</v>
      </c>
      <c r="BO2" s="22"/>
      <c r="BP2" s="22"/>
      <c r="BQ2" s="22"/>
      <c r="BR2" s="22"/>
      <c r="BS2" s="22"/>
      <c r="BT2" s="22"/>
      <c r="BU2" s="18"/>
      <c r="BV2" s="71" t="s">
        <v>80</v>
      </c>
      <c r="BW2" s="71" t="s">
        <v>73</v>
      </c>
      <c r="BX2" s="18" t="s">
        <v>0</v>
      </c>
      <c r="BY2" s="20" t="s">
        <v>1</v>
      </c>
      <c r="BZ2" s="21" t="s">
        <v>5</v>
      </c>
      <c r="CA2" s="22"/>
      <c r="CB2" s="22"/>
      <c r="CC2" s="22"/>
      <c r="CD2" s="22"/>
      <c r="CE2" s="22"/>
      <c r="CF2" s="22"/>
      <c r="CG2" s="18"/>
      <c r="CH2" s="71" t="s">
        <v>80</v>
      </c>
      <c r="CI2" s="71" t="s">
        <v>73</v>
      </c>
      <c r="CJ2" s="87" t="s">
        <v>0</v>
      </c>
      <c r="CK2" s="21" t="s">
        <v>1</v>
      </c>
      <c r="CL2" s="21" t="s">
        <v>5</v>
      </c>
      <c r="CM2" s="22"/>
      <c r="CN2" s="22"/>
      <c r="CO2" s="22"/>
      <c r="CP2" s="22"/>
      <c r="CQ2" s="22"/>
    </row>
    <row r="3" spans="1:95" s="8" customFormat="1" ht="18" customHeight="1" x14ac:dyDescent="0.2">
      <c r="A3" s="28" t="s">
        <v>19</v>
      </c>
      <c r="B3" s="24">
        <v>193417</v>
      </c>
      <c r="C3" s="24">
        <v>193417</v>
      </c>
      <c r="D3" s="24" t="s">
        <v>50</v>
      </c>
      <c r="E3" s="36">
        <v>286407.56</v>
      </c>
      <c r="F3" s="50">
        <f t="shared" ref="F3:F15" si="0">B3-E3</f>
        <v>-92990.56</v>
      </c>
      <c r="G3" s="26"/>
      <c r="H3" s="26"/>
      <c r="I3" s="26"/>
      <c r="J3" s="26"/>
      <c r="K3" s="26"/>
      <c r="L3" s="26"/>
      <c r="M3" s="28" t="s">
        <v>19</v>
      </c>
      <c r="N3" s="24">
        <v>233716</v>
      </c>
      <c r="O3" s="24">
        <v>233716</v>
      </c>
      <c r="P3" s="24" t="s">
        <v>50</v>
      </c>
      <c r="Q3" s="36">
        <v>214300</v>
      </c>
      <c r="R3" s="50">
        <f t="shared" ref="R3:R15" si="1">N3-Q3</f>
        <v>19416</v>
      </c>
      <c r="S3" s="26"/>
      <c r="T3" s="26"/>
      <c r="U3" s="26"/>
      <c r="V3" s="26"/>
      <c r="W3" s="26"/>
      <c r="X3" s="101"/>
      <c r="Y3" s="96" t="s">
        <v>19</v>
      </c>
      <c r="Z3" s="24">
        <v>209477</v>
      </c>
      <c r="AA3" s="24">
        <v>209477</v>
      </c>
      <c r="AB3" s="24" t="s">
        <v>50</v>
      </c>
      <c r="AC3" s="36">
        <v>169354</v>
      </c>
      <c r="AD3" s="50">
        <f t="shared" ref="AD3:AD15" si="2">Z3-AC3</f>
        <v>40123</v>
      </c>
      <c r="AE3" s="26"/>
      <c r="AF3" s="26"/>
      <c r="AG3" s="26"/>
      <c r="AH3" s="26"/>
      <c r="AI3" s="26"/>
      <c r="AJ3" s="26"/>
      <c r="AK3" s="28" t="s">
        <v>19</v>
      </c>
      <c r="AL3" s="104">
        <v>150961</v>
      </c>
      <c r="AM3" s="104">
        <v>150961</v>
      </c>
      <c r="AN3" s="24" t="s">
        <v>50</v>
      </c>
      <c r="AO3" s="36">
        <v>136700</v>
      </c>
      <c r="AP3" s="50">
        <f t="shared" ref="AP3:AP15" si="3">AL3-AO3</f>
        <v>14261</v>
      </c>
      <c r="AQ3" s="26"/>
      <c r="AR3" s="26"/>
      <c r="AS3" s="26"/>
      <c r="AT3" s="26"/>
      <c r="AU3" s="26"/>
      <c r="AV3" s="26"/>
      <c r="AW3" s="28" t="s">
        <v>19</v>
      </c>
      <c r="AX3" s="104">
        <v>0</v>
      </c>
      <c r="AY3" s="104">
        <v>0</v>
      </c>
      <c r="AZ3" s="24" t="s">
        <v>50</v>
      </c>
      <c r="BA3" s="36">
        <v>42900</v>
      </c>
      <c r="BB3" s="50">
        <f t="shared" ref="BB3:BB15" si="4">AX3-BA3</f>
        <v>-42900</v>
      </c>
      <c r="BC3" s="26"/>
      <c r="BD3" s="26"/>
      <c r="BE3" s="26"/>
      <c r="BF3" s="26"/>
      <c r="BG3" s="26"/>
      <c r="BH3" s="26"/>
      <c r="BI3" s="28" t="s">
        <v>19</v>
      </c>
      <c r="BJ3" s="104">
        <v>110761</v>
      </c>
      <c r="BK3" s="104">
        <v>110761</v>
      </c>
      <c r="BL3" s="24" t="s">
        <v>50</v>
      </c>
      <c r="BM3" s="36">
        <v>130393.96</v>
      </c>
      <c r="BN3" s="50">
        <f t="shared" ref="BN3:BN15" si="5">BJ3-BM3</f>
        <v>-19632.960000000006</v>
      </c>
      <c r="BO3" s="26"/>
      <c r="BP3" s="26"/>
      <c r="BQ3" s="26"/>
      <c r="BR3" s="26"/>
      <c r="BS3" s="26"/>
      <c r="BT3" s="26"/>
      <c r="BU3" s="28" t="s">
        <v>19</v>
      </c>
      <c r="BV3" s="104"/>
      <c r="BW3" s="104"/>
      <c r="BX3" s="24" t="s">
        <v>50</v>
      </c>
      <c r="BY3" s="36"/>
      <c r="BZ3" s="50">
        <f t="shared" ref="BZ3:BZ15" si="6">BV3-BY3</f>
        <v>0</v>
      </c>
      <c r="CA3" s="26"/>
      <c r="CB3" s="26"/>
      <c r="CC3" s="26"/>
      <c r="CD3" s="26"/>
      <c r="CE3" s="26"/>
      <c r="CF3" s="26"/>
      <c r="CG3" s="28" t="s">
        <v>19</v>
      </c>
      <c r="CH3" s="24">
        <f>B3+N3+Z3+AL3+AX3+BJ3+BV3</f>
        <v>898332</v>
      </c>
      <c r="CI3" s="24">
        <f>C3+O3+AA3+AM3+AY3+BK3+BW3</f>
        <v>898332</v>
      </c>
      <c r="CJ3" s="24" t="s">
        <v>50</v>
      </c>
      <c r="CK3" s="50">
        <f>E3+Q3+AC3+AO3+BA3+BM3+BY3</f>
        <v>980055.52</v>
      </c>
      <c r="CL3" s="50">
        <f t="shared" ref="CL3:CL15" si="7">CH3-CK3</f>
        <v>-81723.520000000019</v>
      </c>
      <c r="CM3" s="26"/>
      <c r="CN3" s="26"/>
      <c r="CO3" s="26"/>
      <c r="CP3" s="26"/>
      <c r="CQ3" s="26"/>
    </row>
    <row r="4" spans="1:95" s="8" customFormat="1" ht="18" customHeight="1" x14ac:dyDescent="0.2">
      <c r="A4" s="28" t="s">
        <v>20</v>
      </c>
      <c r="B4" s="24">
        <v>142941.78</v>
      </c>
      <c r="C4" s="24">
        <v>142941.78</v>
      </c>
      <c r="D4" s="24" t="s">
        <v>50</v>
      </c>
      <c r="E4" s="36">
        <v>228600</v>
      </c>
      <c r="F4" s="50">
        <f t="shared" si="0"/>
        <v>-85658.22</v>
      </c>
      <c r="G4" s="26"/>
      <c r="H4" s="26"/>
      <c r="I4" s="26"/>
      <c r="J4" s="26"/>
      <c r="K4" s="26"/>
      <c r="L4" s="26"/>
      <c r="M4" s="28" t="s">
        <v>20</v>
      </c>
      <c r="N4" s="24">
        <v>138057.5</v>
      </c>
      <c r="O4" s="24">
        <v>138057.5</v>
      </c>
      <c r="P4" s="24" t="s">
        <v>50</v>
      </c>
      <c r="Q4" s="36">
        <v>226776.92</v>
      </c>
      <c r="R4" s="50">
        <f t="shared" si="1"/>
        <v>-88719.420000000013</v>
      </c>
      <c r="S4" s="26"/>
      <c r="T4" s="26"/>
      <c r="U4" s="26"/>
      <c r="V4" s="26"/>
      <c r="W4" s="26"/>
      <c r="X4" s="101"/>
      <c r="Y4" s="96" t="s">
        <v>20</v>
      </c>
      <c r="Z4" s="24">
        <v>131430.47999999998</v>
      </c>
      <c r="AA4" s="24">
        <v>131430.47999999998</v>
      </c>
      <c r="AB4" s="24" t="s">
        <v>50</v>
      </c>
      <c r="AC4" s="36">
        <v>30525</v>
      </c>
      <c r="AD4" s="50">
        <f t="shared" si="2"/>
        <v>100905.47999999998</v>
      </c>
      <c r="AE4" s="26"/>
      <c r="AF4" s="26"/>
      <c r="AG4" s="26"/>
      <c r="AH4" s="26"/>
      <c r="AI4" s="26"/>
      <c r="AJ4" s="26"/>
      <c r="AK4" s="28" t="s">
        <v>20</v>
      </c>
      <c r="AL4" s="104">
        <v>56101.45</v>
      </c>
      <c r="AM4" s="104">
        <v>56101.45</v>
      </c>
      <c r="AN4" s="24" t="s">
        <v>50</v>
      </c>
      <c r="AO4" s="36">
        <v>150623.62</v>
      </c>
      <c r="AP4" s="50">
        <f t="shared" si="3"/>
        <v>-94522.17</v>
      </c>
      <c r="AQ4" s="26"/>
      <c r="AR4" s="26"/>
      <c r="AS4" s="26"/>
      <c r="AT4" s="26"/>
      <c r="AU4" s="26"/>
      <c r="AV4" s="26"/>
      <c r="AW4" s="28" t="s">
        <v>20</v>
      </c>
      <c r="AX4" s="104">
        <v>0</v>
      </c>
      <c r="AY4" s="104">
        <v>0</v>
      </c>
      <c r="AZ4" s="24" t="s">
        <v>50</v>
      </c>
      <c r="BA4" s="36">
        <v>94905.24</v>
      </c>
      <c r="BB4" s="50">
        <f t="shared" si="4"/>
        <v>-94905.24</v>
      </c>
      <c r="BC4" s="26"/>
      <c r="BD4" s="26"/>
      <c r="BE4" s="26"/>
      <c r="BF4" s="26"/>
      <c r="BG4" s="26"/>
      <c r="BH4" s="26"/>
      <c r="BI4" s="28" t="s">
        <v>20</v>
      </c>
      <c r="BJ4" s="104">
        <v>101965.72</v>
      </c>
      <c r="BK4" s="104">
        <v>101965.72</v>
      </c>
      <c r="BL4" s="24" t="s">
        <v>50</v>
      </c>
      <c r="BM4" s="36">
        <v>111633.39</v>
      </c>
      <c r="BN4" s="50">
        <f t="shared" si="5"/>
        <v>-9667.6699999999983</v>
      </c>
      <c r="BO4" s="26"/>
      <c r="BP4" s="26"/>
      <c r="BQ4" s="26"/>
      <c r="BR4" s="26"/>
      <c r="BS4" s="26"/>
      <c r="BT4" s="26"/>
      <c r="BU4" s="28" t="s">
        <v>20</v>
      </c>
      <c r="BV4" s="104"/>
      <c r="BW4" s="104"/>
      <c r="BX4" s="24" t="s">
        <v>50</v>
      </c>
      <c r="BY4" s="36"/>
      <c r="BZ4" s="50">
        <f t="shared" si="6"/>
        <v>0</v>
      </c>
      <c r="CA4" s="26"/>
      <c r="CB4" s="26"/>
      <c r="CC4" s="26"/>
      <c r="CD4" s="26"/>
      <c r="CE4" s="26"/>
      <c r="CF4" s="26"/>
      <c r="CG4" s="28" t="s">
        <v>20</v>
      </c>
      <c r="CH4" s="24">
        <f t="shared" ref="CH4:CH14" si="8">B4+N4+Z4+AL4+AX4+BJ4+BV4</f>
        <v>570496.93000000005</v>
      </c>
      <c r="CI4" s="24">
        <f t="shared" ref="CI4:CI14" si="9">C4+O4+AA4+AM4+AY4+BK4+BW4</f>
        <v>570496.93000000005</v>
      </c>
      <c r="CJ4" s="24" t="s">
        <v>50</v>
      </c>
      <c r="CK4" s="50">
        <f t="shared" ref="CK4:CK14" si="10">E4+Q4+AC4+AO4+BA4+BM4+BY4</f>
        <v>843064.17</v>
      </c>
      <c r="CL4" s="50">
        <f t="shared" si="7"/>
        <v>-272567.24</v>
      </c>
      <c r="CM4" s="26"/>
      <c r="CN4" s="26"/>
      <c r="CO4" s="26"/>
      <c r="CP4" s="26"/>
      <c r="CQ4" s="26"/>
    </row>
    <row r="5" spans="1:95" s="8" customFormat="1" ht="18" customHeight="1" x14ac:dyDescent="0.2">
      <c r="A5" s="28" t="s">
        <v>21</v>
      </c>
      <c r="B5" s="24">
        <v>84490.41</v>
      </c>
      <c r="C5" s="24">
        <v>84490.41</v>
      </c>
      <c r="D5" s="24" t="s">
        <v>50</v>
      </c>
      <c r="E5" s="36">
        <v>122925</v>
      </c>
      <c r="F5" s="50">
        <f t="shared" si="0"/>
        <v>-38434.589999999997</v>
      </c>
      <c r="G5" s="26"/>
      <c r="H5" s="26"/>
      <c r="I5" s="26"/>
      <c r="J5" s="26"/>
      <c r="K5" s="26"/>
      <c r="L5" s="26"/>
      <c r="M5" s="28" t="s">
        <v>21</v>
      </c>
      <c r="N5" s="24">
        <v>107971.70000000001</v>
      </c>
      <c r="O5" s="24">
        <v>107971.70000000001</v>
      </c>
      <c r="P5" s="24" t="s">
        <v>50</v>
      </c>
      <c r="Q5" s="36">
        <v>68358.34</v>
      </c>
      <c r="R5" s="50">
        <f t="shared" si="1"/>
        <v>39613.360000000015</v>
      </c>
      <c r="S5" s="26"/>
      <c r="T5" s="26"/>
      <c r="U5" s="26"/>
      <c r="V5" s="26"/>
      <c r="W5" s="26"/>
      <c r="X5" s="101"/>
      <c r="Y5" s="96" t="s">
        <v>21</v>
      </c>
      <c r="Z5" s="24">
        <v>29853.059999999998</v>
      </c>
      <c r="AA5" s="24">
        <v>29853.059999999998</v>
      </c>
      <c r="AB5" s="24" t="s">
        <v>50</v>
      </c>
      <c r="AC5" s="36">
        <v>43065</v>
      </c>
      <c r="AD5" s="50">
        <f t="shared" si="2"/>
        <v>-13211.940000000002</v>
      </c>
      <c r="AE5" s="26"/>
      <c r="AF5" s="26"/>
      <c r="AG5" s="26"/>
      <c r="AH5" s="26"/>
      <c r="AI5" s="26"/>
      <c r="AJ5" s="26"/>
      <c r="AK5" s="28" t="s">
        <v>21</v>
      </c>
      <c r="AL5" s="104">
        <v>26377.84</v>
      </c>
      <c r="AM5" s="104">
        <v>26377.84</v>
      </c>
      <c r="AN5" s="24" t="s">
        <v>50</v>
      </c>
      <c r="AO5" s="36">
        <v>46125.75</v>
      </c>
      <c r="AP5" s="50">
        <f t="shared" si="3"/>
        <v>-19747.91</v>
      </c>
      <c r="AQ5" s="26"/>
      <c r="AR5" s="26"/>
      <c r="AS5" s="26"/>
      <c r="AT5" s="26"/>
      <c r="AU5" s="26"/>
      <c r="AV5" s="26"/>
      <c r="AW5" s="28" t="s">
        <v>21</v>
      </c>
      <c r="AX5" s="104">
        <v>0</v>
      </c>
      <c r="AY5" s="104">
        <v>0</v>
      </c>
      <c r="AZ5" s="24" t="s">
        <v>50</v>
      </c>
      <c r="BA5" s="36">
        <v>19710.900000000001</v>
      </c>
      <c r="BB5" s="50">
        <f t="shared" si="4"/>
        <v>-19710.900000000001</v>
      </c>
      <c r="BC5" s="26"/>
      <c r="BD5" s="26"/>
      <c r="BE5" s="26"/>
      <c r="BF5" s="26"/>
      <c r="BG5" s="26"/>
      <c r="BH5" s="26"/>
      <c r="BI5" s="28" t="s">
        <v>21</v>
      </c>
      <c r="BJ5" s="104">
        <v>9874.56</v>
      </c>
      <c r="BK5" s="104">
        <v>9874.56</v>
      </c>
      <c r="BL5" s="24" t="s">
        <v>50</v>
      </c>
      <c r="BM5" s="36">
        <v>60948.04</v>
      </c>
      <c r="BN5" s="50">
        <f t="shared" si="5"/>
        <v>-51073.48</v>
      </c>
      <c r="BO5" s="26"/>
      <c r="BP5" s="26"/>
      <c r="BQ5" s="26"/>
      <c r="BR5" s="26"/>
      <c r="BS5" s="26"/>
      <c r="BT5" s="26"/>
      <c r="BU5" s="28" t="s">
        <v>21</v>
      </c>
      <c r="BV5" s="104"/>
      <c r="BW5" s="104"/>
      <c r="BX5" s="24" t="s">
        <v>50</v>
      </c>
      <c r="BY5" s="36"/>
      <c r="BZ5" s="50">
        <f t="shared" si="6"/>
        <v>0</v>
      </c>
      <c r="CA5" s="26"/>
      <c r="CB5" s="26"/>
      <c r="CC5" s="26"/>
      <c r="CD5" s="26"/>
      <c r="CE5" s="26"/>
      <c r="CF5" s="26"/>
      <c r="CG5" s="28" t="s">
        <v>21</v>
      </c>
      <c r="CH5" s="24">
        <f t="shared" si="8"/>
        <v>258567.57</v>
      </c>
      <c r="CI5" s="24">
        <f t="shared" si="9"/>
        <v>258567.57</v>
      </c>
      <c r="CJ5" s="24" t="s">
        <v>50</v>
      </c>
      <c r="CK5" s="50">
        <f t="shared" si="10"/>
        <v>361133.02999999997</v>
      </c>
      <c r="CL5" s="50">
        <f t="shared" si="7"/>
        <v>-102565.45999999996</v>
      </c>
      <c r="CM5" s="26"/>
      <c r="CN5" s="26"/>
      <c r="CO5" s="26"/>
      <c r="CP5" s="26"/>
      <c r="CQ5" s="26"/>
    </row>
    <row r="6" spans="1:95" s="8" customFormat="1" ht="18" customHeight="1" x14ac:dyDescent="0.2">
      <c r="A6" s="28" t="s">
        <v>23</v>
      </c>
      <c r="B6" s="24">
        <v>37748.6</v>
      </c>
      <c r="C6" s="24">
        <v>37748.6</v>
      </c>
      <c r="D6" s="24" t="s">
        <v>50</v>
      </c>
      <c r="E6" s="36">
        <v>53982.5</v>
      </c>
      <c r="F6" s="50">
        <f t="shared" si="0"/>
        <v>-16233.900000000001</v>
      </c>
      <c r="G6" s="26"/>
      <c r="H6" s="26"/>
      <c r="I6" s="26"/>
      <c r="J6" s="26"/>
      <c r="K6" s="26"/>
      <c r="L6" s="26"/>
      <c r="M6" s="28" t="s">
        <v>23</v>
      </c>
      <c r="N6" s="24">
        <v>12420.2</v>
      </c>
      <c r="O6" s="24">
        <v>12420.2</v>
      </c>
      <c r="P6" s="24" t="s">
        <v>50</v>
      </c>
      <c r="Q6" s="36">
        <v>105182.25</v>
      </c>
      <c r="R6" s="50">
        <f t="shared" si="1"/>
        <v>-92762.05</v>
      </c>
      <c r="S6" s="26"/>
      <c r="T6" s="26"/>
      <c r="U6" s="26"/>
      <c r="V6" s="26"/>
      <c r="W6" s="26"/>
      <c r="X6" s="101"/>
      <c r="Y6" s="96" t="s">
        <v>23</v>
      </c>
      <c r="Z6" s="24">
        <v>53059.97</v>
      </c>
      <c r="AA6" s="24">
        <v>53059.97</v>
      </c>
      <c r="AB6" s="24" t="s">
        <v>50</v>
      </c>
      <c r="AC6" s="36">
        <v>23363.19</v>
      </c>
      <c r="AD6" s="50">
        <f t="shared" si="2"/>
        <v>29696.780000000002</v>
      </c>
      <c r="AE6" s="26"/>
      <c r="AF6" s="26"/>
      <c r="AG6" s="26"/>
      <c r="AH6" s="26"/>
      <c r="AI6" s="26"/>
      <c r="AJ6" s="26"/>
      <c r="AK6" s="28" t="s">
        <v>23</v>
      </c>
      <c r="AL6" s="104">
        <v>0</v>
      </c>
      <c r="AM6" s="104">
        <v>0</v>
      </c>
      <c r="AN6" s="24" t="s">
        <v>50</v>
      </c>
      <c r="AO6" s="36">
        <v>42350</v>
      </c>
      <c r="AP6" s="50">
        <f t="shared" si="3"/>
        <v>-42350</v>
      </c>
      <c r="AQ6" s="26"/>
      <c r="AR6" s="26"/>
      <c r="AS6" s="26"/>
      <c r="AT6" s="26"/>
      <c r="AU6" s="26"/>
      <c r="AV6" s="26"/>
      <c r="AW6" s="28" t="s">
        <v>23</v>
      </c>
      <c r="AX6" s="104">
        <v>0</v>
      </c>
      <c r="AY6" s="104">
        <v>0</v>
      </c>
      <c r="AZ6" s="24" t="s">
        <v>50</v>
      </c>
      <c r="BA6" s="36">
        <v>11246.64</v>
      </c>
      <c r="BB6" s="50">
        <f t="shared" si="4"/>
        <v>-11246.64</v>
      </c>
      <c r="BC6" s="26"/>
      <c r="BD6" s="26"/>
      <c r="BE6" s="26"/>
      <c r="BF6" s="26"/>
      <c r="BG6" s="26"/>
      <c r="BH6" s="26"/>
      <c r="BI6" s="28" t="s">
        <v>23</v>
      </c>
      <c r="BJ6" s="104">
        <v>8698</v>
      </c>
      <c r="BK6" s="104">
        <v>8698</v>
      </c>
      <c r="BL6" s="24" t="s">
        <v>50</v>
      </c>
      <c r="BM6" s="36">
        <v>0</v>
      </c>
      <c r="BN6" s="50">
        <f t="shared" si="5"/>
        <v>8698</v>
      </c>
      <c r="BO6" s="26"/>
      <c r="BP6" s="26"/>
      <c r="BQ6" s="26"/>
      <c r="BR6" s="26"/>
      <c r="BS6" s="26"/>
      <c r="BT6" s="26"/>
      <c r="BU6" s="28" t="s">
        <v>23</v>
      </c>
      <c r="BV6" s="104"/>
      <c r="BW6" s="104"/>
      <c r="BX6" s="24" t="s">
        <v>50</v>
      </c>
      <c r="BY6" s="36"/>
      <c r="BZ6" s="50">
        <f t="shared" si="6"/>
        <v>0</v>
      </c>
      <c r="CA6" s="26"/>
      <c r="CB6" s="26"/>
      <c r="CC6" s="26"/>
      <c r="CD6" s="26"/>
      <c r="CE6" s="26"/>
      <c r="CF6" s="26"/>
      <c r="CG6" s="28" t="s">
        <v>23</v>
      </c>
      <c r="CH6" s="24">
        <f t="shared" si="8"/>
        <v>111926.77</v>
      </c>
      <c r="CI6" s="24">
        <f t="shared" si="9"/>
        <v>111926.77</v>
      </c>
      <c r="CJ6" s="25">
        <f t="shared" ref="CJ6:CJ15" si="11">CH6-CI6</f>
        <v>0</v>
      </c>
      <c r="CK6" s="50">
        <f t="shared" si="10"/>
        <v>236124.58000000002</v>
      </c>
      <c r="CL6" s="50">
        <f t="shared" si="7"/>
        <v>-124197.81000000001</v>
      </c>
      <c r="CM6" s="26"/>
      <c r="CN6" s="26"/>
      <c r="CO6" s="26"/>
      <c r="CP6" s="26"/>
      <c r="CQ6" s="26"/>
    </row>
    <row r="7" spans="1:95" s="8" customFormat="1" ht="18" customHeight="1" x14ac:dyDescent="0.2">
      <c r="A7" s="28" t="s">
        <v>22</v>
      </c>
      <c r="B7" s="24">
        <v>58684</v>
      </c>
      <c r="C7" s="24">
        <v>58684</v>
      </c>
      <c r="D7" s="24">
        <f t="shared" ref="D7:D15" si="12">B7-C7</f>
        <v>0</v>
      </c>
      <c r="E7" s="36">
        <v>84001.48</v>
      </c>
      <c r="F7" s="50">
        <f t="shared" si="0"/>
        <v>-25317.479999999996</v>
      </c>
      <c r="G7" s="26"/>
      <c r="H7" s="26"/>
      <c r="I7" s="26"/>
      <c r="J7" s="26"/>
      <c r="K7" s="26"/>
      <c r="L7" s="26"/>
      <c r="M7" s="28" t="s">
        <v>22</v>
      </c>
      <c r="N7" s="24">
        <v>30979.739999999998</v>
      </c>
      <c r="O7" s="24">
        <v>30779.739999999998</v>
      </c>
      <c r="P7" s="24">
        <f t="shared" ref="P7:P15" si="13">N7-O7</f>
        <v>200</v>
      </c>
      <c r="Q7" s="36">
        <v>83212.5</v>
      </c>
      <c r="R7" s="50">
        <f t="shared" si="1"/>
        <v>-52232.76</v>
      </c>
      <c r="S7" s="26"/>
      <c r="T7" s="26"/>
      <c r="U7" s="26"/>
      <c r="V7" s="26"/>
      <c r="W7" s="26"/>
      <c r="X7" s="101"/>
      <c r="Y7" s="96" t="s">
        <v>22</v>
      </c>
      <c r="Z7" s="24">
        <v>25619.279999999999</v>
      </c>
      <c r="AA7" s="24">
        <v>25019.279999999999</v>
      </c>
      <c r="AB7" s="24">
        <f t="shared" ref="AB7:AB15" si="14">Z7-AA7</f>
        <v>600</v>
      </c>
      <c r="AC7" s="36">
        <v>65340</v>
      </c>
      <c r="AD7" s="50">
        <f t="shared" si="2"/>
        <v>-39720.720000000001</v>
      </c>
      <c r="AE7" s="26"/>
      <c r="AF7" s="26"/>
      <c r="AG7" s="26"/>
      <c r="AH7" s="26"/>
      <c r="AI7" s="26"/>
      <c r="AJ7" s="26"/>
      <c r="AK7" s="28" t="s">
        <v>22</v>
      </c>
      <c r="AL7" s="104">
        <v>29145.22</v>
      </c>
      <c r="AM7" s="104">
        <v>29145.22</v>
      </c>
      <c r="AN7" s="24">
        <f t="shared" ref="AN7:AN15" si="15">AL7-AM7</f>
        <v>0</v>
      </c>
      <c r="AO7" s="36">
        <v>44990</v>
      </c>
      <c r="AP7" s="50">
        <f t="shared" si="3"/>
        <v>-15844.779999999999</v>
      </c>
      <c r="AQ7" s="26"/>
      <c r="AR7" s="26"/>
      <c r="AS7" s="26"/>
      <c r="AT7" s="26"/>
      <c r="AU7" s="26"/>
      <c r="AV7" s="26"/>
      <c r="AW7" s="28" t="s">
        <v>22</v>
      </c>
      <c r="AX7" s="104">
        <v>0</v>
      </c>
      <c r="AY7" s="104">
        <v>0</v>
      </c>
      <c r="AZ7" s="24">
        <f t="shared" ref="AZ7:AZ15" si="16">AX7-AY7</f>
        <v>0</v>
      </c>
      <c r="BA7" s="36">
        <v>34133.08</v>
      </c>
      <c r="BB7" s="50">
        <f t="shared" si="4"/>
        <v>-34133.08</v>
      </c>
      <c r="BC7" s="26"/>
      <c r="BD7" s="26"/>
      <c r="BE7" s="26"/>
      <c r="BF7" s="26"/>
      <c r="BG7" s="26"/>
      <c r="BH7" s="26"/>
      <c r="BI7" s="28" t="s">
        <v>22</v>
      </c>
      <c r="BJ7" s="104">
        <v>69148.924999999988</v>
      </c>
      <c r="BK7" s="104">
        <v>69115.87</v>
      </c>
      <c r="BL7" s="24">
        <f t="shared" ref="BL7:BL15" si="17">BJ7-BK7</f>
        <v>33.054999999993015</v>
      </c>
      <c r="BM7" s="36">
        <v>36463.81</v>
      </c>
      <c r="BN7" s="50">
        <f t="shared" si="5"/>
        <v>32685.114999999991</v>
      </c>
      <c r="BO7" s="26"/>
      <c r="BP7" s="26"/>
      <c r="BQ7" s="26"/>
      <c r="BR7" s="26"/>
      <c r="BS7" s="26"/>
      <c r="BT7" s="26"/>
      <c r="BU7" s="28" t="s">
        <v>22</v>
      </c>
      <c r="BV7" s="104"/>
      <c r="BW7" s="104"/>
      <c r="BX7" s="24">
        <f t="shared" ref="BX7:BX15" si="18">BV7-BW7</f>
        <v>0</v>
      </c>
      <c r="BY7" s="36"/>
      <c r="BZ7" s="50">
        <f t="shared" si="6"/>
        <v>0</v>
      </c>
      <c r="CA7" s="26"/>
      <c r="CB7" s="26"/>
      <c r="CC7" s="26"/>
      <c r="CD7" s="26"/>
      <c r="CE7" s="26"/>
      <c r="CF7" s="26"/>
      <c r="CG7" s="28" t="s">
        <v>22</v>
      </c>
      <c r="CH7" s="24">
        <f t="shared" si="8"/>
        <v>213577.16499999998</v>
      </c>
      <c r="CI7" s="24">
        <f t="shared" si="9"/>
        <v>212744.11</v>
      </c>
      <c r="CJ7" s="25">
        <f t="shared" si="11"/>
        <v>833.05499999999302</v>
      </c>
      <c r="CK7" s="50">
        <f t="shared" si="10"/>
        <v>348140.87</v>
      </c>
      <c r="CL7" s="50">
        <f t="shared" si="7"/>
        <v>-134563.70500000002</v>
      </c>
      <c r="CM7" s="26"/>
      <c r="CN7" s="26"/>
      <c r="CO7" s="26"/>
      <c r="CP7" s="26"/>
      <c r="CQ7" s="26"/>
    </row>
    <row r="8" spans="1:95" s="8" customFormat="1" ht="18" customHeight="1" x14ac:dyDescent="0.2">
      <c r="A8" s="28" t="s">
        <v>24</v>
      </c>
      <c r="B8" s="24">
        <v>95953.56</v>
      </c>
      <c r="C8" s="24">
        <v>95953.56</v>
      </c>
      <c r="D8" s="24">
        <f t="shared" si="12"/>
        <v>0</v>
      </c>
      <c r="E8" s="36">
        <v>126106.36</v>
      </c>
      <c r="F8" s="50">
        <f t="shared" si="0"/>
        <v>-30152.800000000003</v>
      </c>
      <c r="G8" s="26"/>
      <c r="H8" s="26"/>
      <c r="I8" s="26"/>
      <c r="J8" s="26"/>
      <c r="K8" s="26"/>
      <c r="L8" s="26"/>
      <c r="M8" s="28" t="s">
        <v>24</v>
      </c>
      <c r="N8" s="24">
        <v>62679.740000000005</v>
      </c>
      <c r="O8" s="24">
        <v>33925.4</v>
      </c>
      <c r="P8" s="24">
        <f t="shared" si="13"/>
        <v>28754.340000000004</v>
      </c>
      <c r="Q8" s="36">
        <v>65215.59</v>
      </c>
      <c r="R8" s="50">
        <f t="shared" si="1"/>
        <v>-2535.8499999999913</v>
      </c>
      <c r="S8" s="26"/>
      <c r="T8" s="26"/>
      <c r="U8" s="26"/>
      <c r="V8" s="26"/>
      <c r="W8" s="26"/>
      <c r="X8" s="101"/>
      <c r="Y8" s="96" t="s">
        <v>24</v>
      </c>
      <c r="Z8" s="24">
        <v>10082.98</v>
      </c>
      <c r="AA8" s="24">
        <v>0</v>
      </c>
      <c r="AB8" s="24">
        <f t="shared" si="14"/>
        <v>10082.98</v>
      </c>
      <c r="AC8" s="36">
        <v>3000</v>
      </c>
      <c r="AD8" s="50">
        <f t="shared" si="2"/>
        <v>7082.98</v>
      </c>
      <c r="AE8" s="26"/>
      <c r="AF8" s="26"/>
      <c r="AG8" s="26"/>
      <c r="AH8" s="26"/>
      <c r="AI8" s="26"/>
      <c r="AJ8" s="26"/>
      <c r="AK8" s="28" t="s">
        <v>24</v>
      </c>
      <c r="AL8" s="104">
        <v>9074.68</v>
      </c>
      <c r="AM8" s="104">
        <v>26226.260000000002</v>
      </c>
      <c r="AN8" s="24">
        <f t="shared" si="15"/>
        <v>-17151.580000000002</v>
      </c>
      <c r="AO8" s="36">
        <v>37150</v>
      </c>
      <c r="AP8" s="50">
        <f t="shared" si="3"/>
        <v>-28075.32</v>
      </c>
      <c r="AQ8" s="26"/>
      <c r="AR8" s="26"/>
      <c r="AS8" s="26"/>
      <c r="AT8" s="26"/>
      <c r="AU8" s="26"/>
      <c r="AV8" s="26"/>
      <c r="AW8" s="28" t="s">
        <v>24</v>
      </c>
      <c r="AX8" s="104">
        <v>0</v>
      </c>
      <c r="AY8" s="104">
        <v>0</v>
      </c>
      <c r="AZ8" s="24">
        <f t="shared" si="16"/>
        <v>0</v>
      </c>
      <c r="BA8" s="36">
        <v>32080.32</v>
      </c>
      <c r="BB8" s="50">
        <f t="shared" si="4"/>
        <v>-32080.32</v>
      </c>
      <c r="BC8" s="26"/>
      <c r="BD8" s="26"/>
      <c r="BE8" s="26"/>
      <c r="BF8" s="26"/>
      <c r="BG8" s="26"/>
      <c r="BH8" s="26"/>
      <c r="BI8" s="28" t="s">
        <v>24</v>
      </c>
      <c r="BJ8" s="104">
        <v>28264.799999999999</v>
      </c>
      <c r="BK8" s="104">
        <v>28231.739999999998</v>
      </c>
      <c r="BL8" s="24">
        <f t="shared" si="17"/>
        <v>33.06000000000131</v>
      </c>
      <c r="BM8" s="36">
        <v>49279.76</v>
      </c>
      <c r="BN8" s="50">
        <f t="shared" si="5"/>
        <v>-21014.960000000003</v>
      </c>
      <c r="BO8" s="26"/>
      <c r="BP8" s="26"/>
      <c r="BQ8" s="26"/>
      <c r="BR8" s="26"/>
      <c r="BS8" s="26"/>
      <c r="BT8" s="26"/>
      <c r="BU8" s="28" t="s">
        <v>24</v>
      </c>
      <c r="BV8" s="104"/>
      <c r="BW8" s="104"/>
      <c r="BX8" s="24">
        <f t="shared" si="18"/>
        <v>0</v>
      </c>
      <c r="BY8" s="36"/>
      <c r="BZ8" s="50">
        <f t="shared" si="6"/>
        <v>0</v>
      </c>
      <c r="CA8" s="26"/>
      <c r="CB8" s="26"/>
      <c r="CC8" s="26"/>
      <c r="CD8" s="26"/>
      <c r="CE8" s="26"/>
      <c r="CF8" s="26"/>
      <c r="CG8" s="28" t="s">
        <v>24</v>
      </c>
      <c r="CH8" s="24">
        <f t="shared" si="8"/>
        <v>206055.75999999998</v>
      </c>
      <c r="CI8" s="24">
        <f t="shared" si="9"/>
        <v>184336.96</v>
      </c>
      <c r="CJ8" s="25">
        <f t="shared" si="11"/>
        <v>21718.799999999988</v>
      </c>
      <c r="CK8" s="50">
        <f t="shared" si="10"/>
        <v>312832.03000000003</v>
      </c>
      <c r="CL8" s="50">
        <f t="shared" si="7"/>
        <v>-106776.27000000005</v>
      </c>
      <c r="CM8" s="26"/>
      <c r="CN8" s="26"/>
      <c r="CO8" s="26"/>
      <c r="CP8" s="26"/>
      <c r="CQ8" s="26"/>
    </row>
    <row r="9" spans="1:95" s="8" customFormat="1" ht="18" customHeight="1" x14ac:dyDescent="0.2">
      <c r="A9" s="28" t="s">
        <v>25</v>
      </c>
      <c r="B9" s="24">
        <v>129254.3</v>
      </c>
      <c r="C9" s="24">
        <v>139589.9</v>
      </c>
      <c r="D9" s="24">
        <f t="shared" si="12"/>
        <v>-10335.599999999991</v>
      </c>
      <c r="E9" s="36">
        <v>88857.68</v>
      </c>
      <c r="F9" s="50">
        <f t="shared" si="0"/>
        <v>40396.62000000001</v>
      </c>
      <c r="G9" s="26"/>
      <c r="H9" s="26"/>
      <c r="I9" s="26"/>
      <c r="J9" s="26"/>
      <c r="K9" s="26"/>
      <c r="L9" s="26"/>
      <c r="M9" s="28" t="s">
        <v>25</v>
      </c>
      <c r="N9" s="24">
        <v>31975.399999999998</v>
      </c>
      <c r="O9" s="24">
        <v>31975.399999999998</v>
      </c>
      <c r="P9" s="24">
        <f t="shared" si="13"/>
        <v>0</v>
      </c>
      <c r="Q9" s="36">
        <v>72719.16</v>
      </c>
      <c r="R9" s="50">
        <f t="shared" si="1"/>
        <v>-40743.760000000009</v>
      </c>
      <c r="S9" s="26"/>
      <c r="T9" s="26"/>
      <c r="U9" s="26"/>
      <c r="V9" s="26"/>
      <c r="W9" s="26"/>
      <c r="X9" s="101"/>
      <c r="Y9" s="96" t="s">
        <v>25</v>
      </c>
      <c r="Z9" s="24">
        <v>0</v>
      </c>
      <c r="AA9" s="24">
        <v>0</v>
      </c>
      <c r="AB9" s="24">
        <f t="shared" si="14"/>
        <v>0</v>
      </c>
      <c r="AC9" s="36">
        <v>16494.150000000001</v>
      </c>
      <c r="AD9" s="50">
        <f t="shared" si="2"/>
        <v>-16494.150000000001</v>
      </c>
      <c r="AE9" s="26"/>
      <c r="AF9" s="26"/>
      <c r="AG9" s="26"/>
      <c r="AH9" s="26"/>
      <c r="AI9" s="26"/>
      <c r="AJ9" s="26"/>
      <c r="AK9" s="28" t="s">
        <v>25</v>
      </c>
      <c r="AL9" s="24">
        <v>56287.95</v>
      </c>
      <c r="AM9" s="24">
        <v>56287.95</v>
      </c>
      <c r="AN9" s="24">
        <f t="shared" si="15"/>
        <v>0</v>
      </c>
      <c r="AO9" s="36">
        <v>0</v>
      </c>
      <c r="AP9" s="50">
        <f t="shared" si="3"/>
        <v>56287.95</v>
      </c>
      <c r="AQ9" s="26"/>
      <c r="AR9" s="26"/>
      <c r="AS9" s="26"/>
      <c r="AT9" s="26"/>
      <c r="AU9" s="26"/>
      <c r="AV9" s="26"/>
      <c r="AW9" s="28" t="s">
        <v>25</v>
      </c>
      <c r="AX9" s="104">
        <v>0</v>
      </c>
      <c r="AY9" s="104">
        <v>0</v>
      </c>
      <c r="AZ9" s="24">
        <f t="shared" si="16"/>
        <v>0</v>
      </c>
      <c r="BA9" s="36">
        <v>60683.76</v>
      </c>
      <c r="BB9" s="50">
        <f t="shared" si="4"/>
        <v>-60683.76</v>
      </c>
      <c r="BC9" s="26"/>
      <c r="BD9" s="26"/>
      <c r="BE9" s="26"/>
      <c r="BF9" s="26"/>
      <c r="BG9" s="26"/>
      <c r="BH9" s="26"/>
      <c r="BI9" s="28" t="s">
        <v>25</v>
      </c>
      <c r="BJ9" s="104">
        <v>34311.33</v>
      </c>
      <c r="BK9" s="104">
        <v>34311.33</v>
      </c>
      <c r="BL9" s="24">
        <f t="shared" si="17"/>
        <v>0</v>
      </c>
      <c r="BM9" s="36">
        <v>39251.879999999997</v>
      </c>
      <c r="BN9" s="50">
        <f t="shared" si="5"/>
        <v>-4940.5499999999956</v>
      </c>
      <c r="BO9" s="26"/>
      <c r="BP9" s="26"/>
      <c r="BQ9" s="26"/>
      <c r="BR9" s="26"/>
      <c r="BS9" s="26"/>
      <c r="BT9" s="26"/>
      <c r="BU9" s="28" t="s">
        <v>25</v>
      </c>
      <c r="BV9" s="104"/>
      <c r="BW9" s="104"/>
      <c r="BX9" s="24">
        <f t="shared" si="18"/>
        <v>0</v>
      </c>
      <c r="BY9" s="36"/>
      <c r="BZ9" s="50">
        <f t="shared" si="6"/>
        <v>0</v>
      </c>
      <c r="CA9" s="26"/>
      <c r="CB9" s="26"/>
      <c r="CC9" s="26"/>
      <c r="CD9" s="26"/>
      <c r="CE9" s="26"/>
      <c r="CF9" s="26"/>
      <c r="CG9" s="28" t="s">
        <v>25</v>
      </c>
      <c r="CH9" s="24">
        <f t="shared" si="8"/>
        <v>251828.98000000004</v>
      </c>
      <c r="CI9" s="24">
        <f t="shared" si="9"/>
        <v>262164.58</v>
      </c>
      <c r="CJ9" s="24">
        <f t="shared" si="11"/>
        <v>-10335.599999999977</v>
      </c>
      <c r="CK9" s="50">
        <f t="shared" si="10"/>
        <v>278006.63</v>
      </c>
      <c r="CL9" s="50">
        <f t="shared" si="7"/>
        <v>-26177.649999999965</v>
      </c>
      <c r="CM9" s="26"/>
      <c r="CN9" s="26"/>
      <c r="CO9" s="26"/>
      <c r="CP9" s="26"/>
      <c r="CQ9" s="26"/>
    </row>
    <row r="10" spans="1:95" s="8" customFormat="1" ht="18" customHeight="1" x14ac:dyDescent="0.2">
      <c r="A10" s="28" t="s">
        <v>26</v>
      </c>
      <c r="B10" s="24">
        <v>68161.5</v>
      </c>
      <c r="C10" s="24">
        <v>88832.7</v>
      </c>
      <c r="D10" s="24">
        <f t="shared" si="12"/>
        <v>-20671.199999999997</v>
      </c>
      <c r="E10" s="36">
        <v>243405</v>
      </c>
      <c r="F10" s="50">
        <f t="shared" si="0"/>
        <v>-175243.5</v>
      </c>
      <c r="G10" s="26"/>
      <c r="H10" s="26"/>
      <c r="I10" s="26"/>
      <c r="J10" s="26"/>
      <c r="K10" s="26"/>
      <c r="L10" s="26"/>
      <c r="M10" s="28" t="s">
        <v>26</v>
      </c>
      <c r="N10" s="24">
        <v>25423.050000000003</v>
      </c>
      <c r="O10" s="24">
        <v>25423.050000000003</v>
      </c>
      <c r="P10" s="24">
        <f t="shared" si="13"/>
        <v>0</v>
      </c>
      <c r="Q10" s="36">
        <v>170235.49</v>
      </c>
      <c r="R10" s="50">
        <f t="shared" si="1"/>
        <v>-144812.44</v>
      </c>
      <c r="S10" s="26"/>
      <c r="T10" s="26"/>
      <c r="U10" s="26"/>
      <c r="V10" s="26"/>
      <c r="W10" s="26"/>
      <c r="X10" s="101"/>
      <c r="Y10" s="96" t="s">
        <v>26</v>
      </c>
      <c r="Z10" s="24">
        <v>0</v>
      </c>
      <c r="AA10" s="24">
        <v>0</v>
      </c>
      <c r="AB10" s="24">
        <f t="shared" si="14"/>
        <v>0</v>
      </c>
      <c r="AC10" s="36">
        <v>55220</v>
      </c>
      <c r="AD10" s="50">
        <f t="shared" si="2"/>
        <v>-55220</v>
      </c>
      <c r="AE10" s="26"/>
      <c r="AF10" s="26"/>
      <c r="AG10" s="26"/>
      <c r="AH10" s="26"/>
      <c r="AI10" s="26"/>
      <c r="AJ10" s="26"/>
      <c r="AK10" s="28" t="s">
        <v>26</v>
      </c>
      <c r="AL10" s="24">
        <v>16511.25</v>
      </c>
      <c r="AM10" s="24">
        <v>16511.25</v>
      </c>
      <c r="AN10" s="24">
        <f t="shared" si="15"/>
        <v>0</v>
      </c>
      <c r="AO10" s="36">
        <v>49280</v>
      </c>
      <c r="AP10" s="50">
        <f t="shared" si="3"/>
        <v>-32768.75</v>
      </c>
      <c r="AQ10" s="26"/>
      <c r="AR10" s="26"/>
      <c r="AS10" s="26"/>
      <c r="AT10" s="26"/>
      <c r="AU10" s="26"/>
      <c r="AV10" s="26"/>
      <c r="AW10" s="28" t="s">
        <v>26</v>
      </c>
      <c r="AX10" s="104">
        <v>33822.58</v>
      </c>
      <c r="AY10" s="104">
        <v>33822.58</v>
      </c>
      <c r="AZ10" s="24">
        <f t="shared" si="16"/>
        <v>0</v>
      </c>
      <c r="BA10" s="36">
        <v>0</v>
      </c>
      <c r="BB10" s="50">
        <f t="shared" si="4"/>
        <v>33822.58</v>
      </c>
      <c r="BC10" s="26"/>
      <c r="BD10" s="26"/>
      <c r="BE10" s="26"/>
      <c r="BF10" s="26"/>
      <c r="BG10" s="26"/>
      <c r="BH10" s="26"/>
      <c r="BI10" s="28" t="s">
        <v>26</v>
      </c>
      <c r="BJ10" s="104">
        <v>16660.080000000002</v>
      </c>
      <c r="BK10" s="104">
        <v>16660.080000000002</v>
      </c>
      <c r="BL10" s="24">
        <f t="shared" si="17"/>
        <v>0</v>
      </c>
      <c r="BM10" s="36">
        <v>92166.99</v>
      </c>
      <c r="BN10" s="50">
        <f t="shared" si="5"/>
        <v>-75506.91</v>
      </c>
      <c r="BO10" s="26"/>
      <c r="BP10" s="26"/>
      <c r="BQ10" s="26"/>
      <c r="BR10" s="26"/>
      <c r="BS10" s="26"/>
      <c r="BT10" s="26"/>
      <c r="BU10" s="28" t="s">
        <v>26</v>
      </c>
      <c r="BV10" s="104"/>
      <c r="BW10" s="104"/>
      <c r="BX10" s="24">
        <f t="shared" si="18"/>
        <v>0</v>
      </c>
      <c r="BY10" s="36"/>
      <c r="BZ10" s="50">
        <f t="shared" si="6"/>
        <v>0</v>
      </c>
      <c r="CA10" s="26"/>
      <c r="CB10" s="26"/>
      <c r="CC10" s="26"/>
      <c r="CD10" s="26"/>
      <c r="CE10" s="26"/>
      <c r="CF10" s="26"/>
      <c r="CG10" s="28" t="s">
        <v>26</v>
      </c>
      <c r="CH10" s="24">
        <f t="shared" si="8"/>
        <v>160578.46000000002</v>
      </c>
      <c r="CI10" s="24">
        <f t="shared" si="9"/>
        <v>181249.66000000003</v>
      </c>
      <c r="CJ10" s="24">
        <f t="shared" si="11"/>
        <v>-20671.200000000012</v>
      </c>
      <c r="CK10" s="50">
        <f t="shared" si="10"/>
        <v>610307.48</v>
      </c>
      <c r="CL10" s="50">
        <f t="shared" si="7"/>
        <v>-449729.01999999996</v>
      </c>
      <c r="CM10" s="26"/>
      <c r="CN10" s="26"/>
      <c r="CO10" s="26"/>
      <c r="CP10" s="26"/>
      <c r="CQ10" s="26"/>
    </row>
    <row r="11" spans="1:95" s="8" customFormat="1" ht="18" customHeight="1" x14ac:dyDescent="0.2">
      <c r="A11" s="28" t="s">
        <v>27</v>
      </c>
      <c r="B11" s="24">
        <v>228407.86</v>
      </c>
      <c r="C11" s="24">
        <v>228407.86</v>
      </c>
      <c r="D11" s="24">
        <f t="shared" si="12"/>
        <v>0</v>
      </c>
      <c r="E11" s="36">
        <v>273702.73</v>
      </c>
      <c r="F11" s="50">
        <f t="shared" si="0"/>
        <v>-45294.869999999995</v>
      </c>
      <c r="G11" s="26"/>
      <c r="H11" s="26"/>
      <c r="I11" s="26"/>
      <c r="J11" s="26"/>
      <c r="K11" s="26"/>
      <c r="L11" s="26"/>
      <c r="M11" s="28" t="s">
        <v>27</v>
      </c>
      <c r="N11" s="24">
        <v>36096.720000000001</v>
      </c>
      <c r="O11" s="24">
        <v>29524.65</v>
      </c>
      <c r="P11" s="24">
        <f t="shared" si="13"/>
        <v>6572.07</v>
      </c>
      <c r="Q11" s="36">
        <v>210442.34</v>
      </c>
      <c r="R11" s="50">
        <f t="shared" si="1"/>
        <v>-174345.62</v>
      </c>
      <c r="S11" s="26"/>
      <c r="T11" s="26"/>
      <c r="U11" s="26"/>
      <c r="V11" s="26"/>
      <c r="W11" s="26"/>
      <c r="X11" s="101"/>
      <c r="Y11" s="96" t="s">
        <v>27</v>
      </c>
      <c r="Z11" s="24">
        <v>16500</v>
      </c>
      <c r="AA11" s="24">
        <v>16500</v>
      </c>
      <c r="AB11" s="24">
        <f t="shared" si="14"/>
        <v>0</v>
      </c>
      <c r="AC11" s="36">
        <v>129515.4</v>
      </c>
      <c r="AD11" s="50">
        <f t="shared" si="2"/>
        <v>-113015.4</v>
      </c>
      <c r="AE11" s="26"/>
      <c r="AF11" s="26"/>
      <c r="AG11" s="26"/>
      <c r="AH11" s="26"/>
      <c r="AI11" s="26"/>
      <c r="AJ11" s="26"/>
      <c r="AK11" s="28" t="s">
        <v>27</v>
      </c>
      <c r="AL11" s="104">
        <v>112580.41</v>
      </c>
      <c r="AM11" s="104">
        <v>112580.41</v>
      </c>
      <c r="AN11" s="24">
        <f t="shared" si="15"/>
        <v>0</v>
      </c>
      <c r="AO11" s="36">
        <v>170104</v>
      </c>
      <c r="AP11" s="50">
        <f t="shared" si="3"/>
        <v>-57523.59</v>
      </c>
      <c r="AQ11" s="26"/>
      <c r="AR11" s="26"/>
      <c r="AS11" s="26"/>
      <c r="AT11" s="26"/>
      <c r="AU11" s="26"/>
      <c r="AV11" s="26"/>
      <c r="AW11" s="28" t="s">
        <v>27</v>
      </c>
      <c r="AX11" s="104">
        <v>89968.680000000008</v>
      </c>
      <c r="AY11" s="104">
        <v>89968.680000000008</v>
      </c>
      <c r="AZ11" s="24">
        <f t="shared" si="16"/>
        <v>0</v>
      </c>
      <c r="BA11" s="36">
        <v>0</v>
      </c>
      <c r="BB11" s="50">
        <f t="shared" si="4"/>
        <v>89968.680000000008</v>
      </c>
      <c r="BC11" s="26"/>
      <c r="BD11" s="26"/>
      <c r="BE11" s="26"/>
      <c r="BF11" s="26"/>
      <c r="BG11" s="26"/>
      <c r="BH11" s="26"/>
      <c r="BI11" s="28" t="s">
        <v>27</v>
      </c>
      <c r="BJ11" s="104">
        <v>122900.69999999998</v>
      </c>
      <c r="BK11" s="104">
        <v>105188.57999999999</v>
      </c>
      <c r="BL11" s="24">
        <f t="shared" si="17"/>
        <v>17712.119999999995</v>
      </c>
      <c r="BM11" s="36">
        <v>128632.5</v>
      </c>
      <c r="BN11" s="50">
        <f t="shared" si="5"/>
        <v>-5731.8000000000175</v>
      </c>
      <c r="BO11" s="26"/>
      <c r="BP11" s="26"/>
      <c r="BQ11" s="26"/>
      <c r="BR11" s="26"/>
      <c r="BS11" s="26"/>
      <c r="BT11" s="26"/>
      <c r="BU11" s="28" t="s">
        <v>27</v>
      </c>
      <c r="BV11" s="104"/>
      <c r="BW11" s="104"/>
      <c r="BX11" s="24">
        <f t="shared" si="18"/>
        <v>0</v>
      </c>
      <c r="BY11" s="36"/>
      <c r="BZ11" s="50">
        <f t="shared" si="6"/>
        <v>0</v>
      </c>
      <c r="CA11" s="26"/>
      <c r="CB11" s="26"/>
      <c r="CC11" s="26"/>
      <c r="CD11" s="26"/>
      <c r="CE11" s="26"/>
      <c r="CF11" s="26"/>
      <c r="CG11" s="28" t="s">
        <v>27</v>
      </c>
      <c r="CH11" s="24">
        <f t="shared" si="8"/>
        <v>606454.37</v>
      </c>
      <c r="CI11" s="24">
        <f t="shared" si="9"/>
        <v>582170.18000000005</v>
      </c>
      <c r="CJ11" s="24">
        <f t="shared" si="11"/>
        <v>24284.189999999944</v>
      </c>
      <c r="CK11" s="50">
        <f t="shared" si="10"/>
        <v>912396.97</v>
      </c>
      <c r="CL11" s="50">
        <f t="shared" si="7"/>
        <v>-305942.59999999998</v>
      </c>
      <c r="CM11" s="26"/>
      <c r="CN11" s="26"/>
      <c r="CO11" s="26"/>
      <c r="CP11" s="26"/>
      <c r="CQ11" s="26"/>
    </row>
    <row r="12" spans="1:95" s="8" customFormat="1" ht="18" customHeight="1" x14ac:dyDescent="0.2">
      <c r="A12" s="28" t="s">
        <v>28</v>
      </c>
      <c r="B12" s="24">
        <v>261665.32</v>
      </c>
      <c r="C12" s="24">
        <v>261665.32</v>
      </c>
      <c r="D12" s="24">
        <f t="shared" si="12"/>
        <v>0</v>
      </c>
      <c r="E12" s="36">
        <v>294798.75</v>
      </c>
      <c r="F12" s="50">
        <f t="shared" si="0"/>
        <v>-33133.429999999993</v>
      </c>
      <c r="G12" s="26"/>
      <c r="H12" s="26"/>
      <c r="I12" s="26"/>
      <c r="J12" s="26"/>
      <c r="K12" s="26"/>
      <c r="L12" s="26"/>
      <c r="M12" s="28" t="s">
        <v>28</v>
      </c>
      <c r="N12" s="24">
        <v>242469.09</v>
      </c>
      <c r="O12" s="24">
        <v>242469.09</v>
      </c>
      <c r="P12" s="24">
        <f t="shared" si="13"/>
        <v>0</v>
      </c>
      <c r="Q12" s="36">
        <v>282295.3</v>
      </c>
      <c r="R12" s="50">
        <f t="shared" si="1"/>
        <v>-39826.209999999992</v>
      </c>
      <c r="S12" s="26"/>
      <c r="T12" s="26"/>
      <c r="U12" s="26"/>
      <c r="V12" s="26"/>
      <c r="W12" s="26"/>
      <c r="X12" s="101"/>
      <c r="Y12" s="96" t="s">
        <v>28</v>
      </c>
      <c r="Z12" s="24">
        <v>271231.56</v>
      </c>
      <c r="AA12" s="24">
        <v>271231.56</v>
      </c>
      <c r="AB12" s="24">
        <f t="shared" si="14"/>
        <v>0</v>
      </c>
      <c r="AC12" s="36">
        <v>129789</v>
      </c>
      <c r="AD12" s="50">
        <f t="shared" si="2"/>
        <v>141442.56</v>
      </c>
      <c r="AE12" s="26"/>
      <c r="AF12" s="26"/>
      <c r="AG12" s="26"/>
      <c r="AH12" s="26"/>
      <c r="AI12" s="26"/>
      <c r="AJ12" s="26"/>
      <c r="AK12" s="28" t="s">
        <v>28</v>
      </c>
      <c r="AL12" s="24">
        <v>188681.28000000003</v>
      </c>
      <c r="AM12" s="24">
        <v>188681.28000000003</v>
      </c>
      <c r="AN12" s="24">
        <f t="shared" si="15"/>
        <v>0</v>
      </c>
      <c r="AO12" s="36">
        <v>237490</v>
      </c>
      <c r="AP12" s="50">
        <f t="shared" si="3"/>
        <v>-48808.719999999972</v>
      </c>
      <c r="AQ12" s="26"/>
      <c r="AR12" s="26"/>
      <c r="AS12" s="26"/>
      <c r="AT12" s="26"/>
      <c r="AU12" s="26"/>
      <c r="AV12" s="26"/>
      <c r="AW12" s="28" t="s">
        <v>28</v>
      </c>
      <c r="AX12" s="104">
        <v>142196.62</v>
      </c>
      <c r="AY12" s="104">
        <v>142196.62</v>
      </c>
      <c r="AZ12" s="24">
        <f t="shared" si="16"/>
        <v>0</v>
      </c>
      <c r="BA12" s="36">
        <v>122111.6</v>
      </c>
      <c r="BB12" s="50">
        <f t="shared" si="4"/>
        <v>20085.01999999999</v>
      </c>
      <c r="BC12" s="26"/>
      <c r="BD12" s="26"/>
      <c r="BE12" s="26"/>
      <c r="BF12" s="26"/>
      <c r="BG12" s="26"/>
      <c r="BH12" s="26"/>
      <c r="BI12" s="28" t="s">
        <v>28</v>
      </c>
      <c r="BJ12" s="104">
        <v>76064.399999999994</v>
      </c>
      <c r="BK12" s="104">
        <v>76064.399999999994</v>
      </c>
      <c r="BL12" s="24">
        <f t="shared" si="17"/>
        <v>0</v>
      </c>
      <c r="BM12" s="36">
        <v>149955.71</v>
      </c>
      <c r="BN12" s="50">
        <f t="shared" si="5"/>
        <v>-73891.31</v>
      </c>
      <c r="BO12" s="26"/>
      <c r="BP12" s="26"/>
      <c r="BQ12" s="26"/>
      <c r="BR12" s="26"/>
      <c r="BS12" s="26"/>
      <c r="BT12" s="26"/>
      <c r="BU12" s="28" t="s">
        <v>28</v>
      </c>
      <c r="BV12" s="104"/>
      <c r="BW12" s="104"/>
      <c r="BX12" s="24">
        <f t="shared" si="18"/>
        <v>0</v>
      </c>
      <c r="BY12" s="36"/>
      <c r="BZ12" s="50">
        <f t="shared" si="6"/>
        <v>0</v>
      </c>
      <c r="CA12" s="26"/>
      <c r="CB12" s="26"/>
      <c r="CC12" s="26"/>
      <c r="CD12" s="26"/>
      <c r="CE12" s="26"/>
      <c r="CF12" s="26"/>
      <c r="CG12" s="28" t="s">
        <v>28</v>
      </c>
      <c r="CH12" s="24">
        <f t="shared" si="8"/>
        <v>1182308.27</v>
      </c>
      <c r="CI12" s="24">
        <f t="shared" si="9"/>
        <v>1182308.27</v>
      </c>
      <c r="CJ12" s="24">
        <f t="shared" si="11"/>
        <v>0</v>
      </c>
      <c r="CK12" s="50">
        <f t="shared" si="10"/>
        <v>1216440.3600000001</v>
      </c>
      <c r="CL12" s="50">
        <f t="shared" si="7"/>
        <v>-34132.090000000084</v>
      </c>
      <c r="CM12" s="26"/>
      <c r="CN12" s="26"/>
      <c r="CO12" s="26"/>
      <c r="CP12" s="26"/>
      <c r="CQ12" s="26"/>
    </row>
    <row r="13" spans="1:95" s="8" customFormat="1" ht="18" customHeight="1" x14ac:dyDescent="0.2">
      <c r="A13" s="28" t="s">
        <v>29</v>
      </c>
      <c r="B13" s="24">
        <v>136776.15</v>
      </c>
      <c r="C13" s="24">
        <v>136776.15</v>
      </c>
      <c r="D13" s="24">
        <f t="shared" si="12"/>
        <v>0</v>
      </c>
      <c r="E13" s="36">
        <v>350350.01</v>
      </c>
      <c r="F13" s="50">
        <f t="shared" si="0"/>
        <v>-213573.86000000002</v>
      </c>
      <c r="G13" s="26"/>
      <c r="H13" s="26"/>
      <c r="I13" s="26"/>
      <c r="J13" s="26"/>
      <c r="K13" s="26"/>
      <c r="L13" s="26"/>
      <c r="M13" s="28" t="s">
        <v>29</v>
      </c>
      <c r="N13" s="24">
        <v>176188.19999999998</v>
      </c>
      <c r="O13" s="24">
        <v>176188.19999999998</v>
      </c>
      <c r="P13" s="24">
        <f t="shared" si="13"/>
        <v>0</v>
      </c>
      <c r="Q13" s="36">
        <v>259412</v>
      </c>
      <c r="R13" s="50">
        <f t="shared" si="1"/>
        <v>-83223.800000000017</v>
      </c>
      <c r="S13" s="26"/>
      <c r="T13" s="26"/>
      <c r="U13" s="26"/>
      <c r="V13" s="26"/>
      <c r="W13" s="26"/>
      <c r="X13" s="101"/>
      <c r="Y13" s="96" t="s">
        <v>29</v>
      </c>
      <c r="Z13" s="24">
        <v>335943.34473684209</v>
      </c>
      <c r="AA13" s="24">
        <v>335943.34473684209</v>
      </c>
      <c r="AB13" s="24">
        <f t="shared" si="14"/>
        <v>0</v>
      </c>
      <c r="AC13" s="36">
        <v>301165.67</v>
      </c>
      <c r="AD13" s="50">
        <f t="shared" si="2"/>
        <v>34777.674736842106</v>
      </c>
      <c r="AE13" s="26"/>
      <c r="AF13" s="26"/>
      <c r="AG13" s="26"/>
      <c r="AH13" s="26"/>
      <c r="AI13" s="26"/>
      <c r="AJ13" s="26"/>
      <c r="AK13" s="28" t="s">
        <v>29</v>
      </c>
      <c r="AL13" s="24">
        <v>176256.97428571427</v>
      </c>
      <c r="AM13" s="24">
        <v>176256.97428571427</v>
      </c>
      <c r="AN13" s="24">
        <f t="shared" si="15"/>
        <v>0</v>
      </c>
      <c r="AO13" s="36">
        <v>203122.01</v>
      </c>
      <c r="AP13" s="50">
        <f t="shared" si="3"/>
        <v>-26865.035714285739</v>
      </c>
      <c r="AQ13" s="26"/>
      <c r="AR13" s="26"/>
      <c r="AS13" s="26"/>
      <c r="AT13" s="26"/>
      <c r="AU13" s="26"/>
      <c r="AV13" s="26"/>
      <c r="AW13" s="28" t="s">
        <v>29</v>
      </c>
      <c r="AX13" s="104">
        <v>191191.06</v>
      </c>
      <c r="AY13" s="104">
        <v>145998.85999999999</v>
      </c>
      <c r="AZ13" s="24">
        <f t="shared" si="16"/>
        <v>45192.200000000012</v>
      </c>
      <c r="BA13" s="36">
        <v>236635.77</v>
      </c>
      <c r="BB13" s="50">
        <f t="shared" si="4"/>
        <v>-45444.709999999992</v>
      </c>
      <c r="BC13" s="26"/>
      <c r="BD13" s="26"/>
      <c r="BE13" s="26"/>
      <c r="BF13" s="26"/>
      <c r="BG13" s="26"/>
      <c r="BH13" s="26"/>
      <c r="BI13" s="28" t="s">
        <v>29</v>
      </c>
      <c r="BJ13" s="104">
        <v>106596.54000000001</v>
      </c>
      <c r="BK13" s="104">
        <v>106596.54000000001</v>
      </c>
      <c r="BL13" s="24">
        <f t="shared" si="17"/>
        <v>0</v>
      </c>
      <c r="BM13" s="36">
        <v>134804.20000000001</v>
      </c>
      <c r="BN13" s="50">
        <f t="shared" si="5"/>
        <v>-28207.660000000003</v>
      </c>
      <c r="BO13" s="26"/>
      <c r="BP13" s="26"/>
      <c r="BQ13" s="26"/>
      <c r="BR13" s="26"/>
      <c r="BS13" s="26"/>
      <c r="BT13" s="26"/>
      <c r="BU13" s="28" t="s">
        <v>29</v>
      </c>
      <c r="BV13" s="104">
        <v>74250</v>
      </c>
      <c r="BW13" s="104"/>
      <c r="BX13" s="24">
        <f t="shared" si="18"/>
        <v>74250</v>
      </c>
      <c r="BY13" s="36"/>
      <c r="BZ13" s="50">
        <f t="shared" si="6"/>
        <v>74250</v>
      </c>
      <c r="CA13" s="26"/>
      <c r="CB13" s="26"/>
      <c r="CC13" s="26"/>
      <c r="CD13" s="26"/>
      <c r="CE13" s="26"/>
      <c r="CF13" s="26"/>
      <c r="CG13" s="28" t="s">
        <v>29</v>
      </c>
      <c r="CH13" s="24">
        <f t="shared" si="8"/>
        <v>1197202.2690225565</v>
      </c>
      <c r="CI13" s="24">
        <f t="shared" si="9"/>
        <v>1077760.0690225563</v>
      </c>
      <c r="CJ13" s="24">
        <f t="shared" si="11"/>
        <v>119442.20000000019</v>
      </c>
      <c r="CK13" s="50">
        <f t="shared" si="10"/>
        <v>1485489.66</v>
      </c>
      <c r="CL13" s="50">
        <f t="shared" si="7"/>
        <v>-288287.39097744343</v>
      </c>
      <c r="CM13" s="26"/>
      <c r="CN13" s="26"/>
      <c r="CO13" s="26"/>
      <c r="CP13" s="26"/>
      <c r="CQ13" s="26"/>
    </row>
    <row r="14" spans="1:95" s="8" customFormat="1" ht="18" customHeight="1" x14ac:dyDescent="0.2">
      <c r="A14" s="28" t="s">
        <v>30</v>
      </c>
      <c r="B14" s="24">
        <v>291490.64999999997</v>
      </c>
      <c r="C14" s="24">
        <v>291490.64999999997</v>
      </c>
      <c r="D14" s="24">
        <f t="shared" si="12"/>
        <v>0</v>
      </c>
      <c r="E14" s="36">
        <v>305112.51</v>
      </c>
      <c r="F14" s="50">
        <f t="shared" si="0"/>
        <v>-13621.860000000044</v>
      </c>
      <c r="G14" s="26"/>
      <c r="H14" s="26"/>
      <c r="I14" s="26"/>
      <c r="J14" s="26"/>
      <c r="K14" s="26"/>
      <c r="L14" s="26"/>
      <c r="M14" s="28" t="s">
        <v>30</v>
      </c>
      <c r="N14" s="24">
        <v>192437.40999999997</v>
      </c>
      <c r="O14" s="24">
        <v>192437.40999999997</v>
      </c>
      <c r="P14" s="24">
        <f t="shared" si="13"/>
        <v>0</v>
      </c>
      <c r="Q14" s="36">
        <v>194738.9</v>
      </c>
      <c r="R14" s="50">
        <f t="shared" si="1"/>
        <v>-2301.4900000000198</v>
      </c>
      <c r="S14" s="26"/>
      <c r="T14" s="26"/>
      <c r="U14" s="26"/>
      <c r="V14" s="26"/>
      <c r="W14" s="26"/>
      <c r="X14" s="101"/>
      <c r="Y14" s="96" t="s">
        <v>30</v>
      </c>
      <c r="Z14" s="24">
        <v>209040.34000000003</v>
      </c>
      <c r="AA14" s="24">
        <v>209040.34000000003</v>
      </c>
      <c r="AB14" s="24">
        <f t="shared" si="14"/>
        <v>0</v>
      </c>
      <c r="AC14" s="36">
        <v>241860.09</v>
      </c>
      <c r="AD14" s="50">
        <f t="shared" si="2"/>
        <v>-32819.749999999971</v>
      </c>
      <c r="AE14" s="26"/>
      <c r="AF14" s="26"/>
      <c r="AG14" s="26"/>
      <c r="AH14" s="26"/>
      <c r="AI14" s="26"/>
      <c r="AJ14" s="26"/>
      <c r="AK14" s="28" t="s">
        <v>30</v>
      </c>
      <c r="AL14" s="104">
        <v>167771.41</v>
      </c>
      <c r="AM14" s="104">
        <v>167771.41</v>
      </c>
      <c r="AN14" s="24">
        <f t="shared" si="15"/>
        <v>0</v>
      </c>
      <c r="AO14" s="36">
        <v>147335.6</v>
      </c>
      <c r="AP14" s="50">
        <f t="shared" si="3"/>
        <v>20435.809999999998</v>
      </c>
      <c r="AQ14" s="26"/>
      <c r="AR14" s="26"/>
      <c r="AS14" s="26"/>
      <c r="AT14" s="26"/>
      <c r="AU14" s="26"/>
      <c r="AV14" s="26"/>
      <c r="AW14" s="28" t="s">
        <v>30</v>
      </c>
      <c r="AX14" s="104">
        <v>0</v>
      </c>
      <c r="AY14" s="104">
        <v>0</v>
      </c>
      <c r="AZ14" s="24">
        <f t="shared" si="16"/>
        <v>0</v>
      </c>
      <c r="BA14" s="36">
        <v>22440</v>
      </c>
      <c r="BB14" s="50">
        <f t="shared" si="4"/>
        <v>-22440</v>
      </c>
      <c r="BC14" s="26"/>
      <c r="BD14" s="26"/>
      <c r="BE14" s="26"/>
      <c r="BF14" s="26"/>
      <c r="BG14" s="26"/>
      <c r="BH14" s="26"/>
      <c r="BI14" s="28" t="s">
        <v>30</v>
      </c>
      <c r="BJ14" s="104">
        <v>62278.48</v>
      </c>
      <c r="BK14" s="104">
        <v>62278.48</v>
      </c>
      <c r="BL14" s="24">
        <f t="shared" si="17"/>
        <v>0</v>
      </c>
      <c r="BM14" s="36">
        <v>130924.8</v>
      </c>
      <c r="BN14" s="50">
        <f t="shared" si="5"/>
        <v>-68646.320000000007</v>
      </c>
      <c r="BO14" s="26"/>
      <c r="BP14" s="26"/>
      <c r="BQ14" s="26"/>
      <c r="BR14" s="26"/>
      <c r="BS14" s="26"/>
      <c r="BT14" s="26"/>
      <c r="BU14" s="28" t="s">
        <v>30</v>
      </c>
      <c r="BV14" s="104">
        <v>113850</v>
      </c>
      <c r="BW14" s="104"/>
      <c r="BX14" s="24">
        <f t="shared" si="18"/>
        <v>113850</v>
      </c>
      <c r="BY14" s="36"/>
      <c r="BZ14" s="50">
        <f t="shared" si="6"/>
        <v>113850</v>
      </c>
      <c r="CA14" s="26"/>
      <c r="CB14" s="26"/>
      <c r="CC14" s="26"/>
      <c r="CD14" s="26"/>
      <c r="CE14" s="26"/>
      <c r="CF14" s="26"/>
      <c r="CG14" s="48" t="s">
        <v>30</v>
      </c>
      <c r="CH14" s="24">
        <f t="shared" si="8"/>
        <v>1036868.2899999999</v>
      </c>
      <c r="CI14" s="24">
        <f t="shared" si="9"/>
        <v>923018.28999999992</v>
      </c>
      <c r="CJ14" s="25">
        <f t="shared" si="11"/>
        <v>113850</v>
      </c>
      <c r="CK14" s="50">
        <f t="shared" si="10"/>
        <v>1042411.9</v>
      </c>
      <c r="CL14" s="50">
        <f t="shared" si="7"/>
        <v>-5543.6100000001024</v>
      </c>
      <c r="CM14" s="26"/>
      <c r="CN14" s="26"/>
      <c r="CO14" s="26"/>
      <c r="CP14" s="26"/>
      <c r="CQ14" s="26"/>
    </row>
    <row r="15" spans="1:95" s="34" customFormat="1" ht="18" customHeight="1" thickBot="1" x14ac:dyDescent="0.25">
      <c r="A15" s="29" t="s">
        <v>6</v>
      </c>
      <c r="B15" s="38">
        <f>SUM(B3:B14)</f>
        <v>1728991.13</v>
      </c>
      <c r="C15" s="38">
        <f>SUM(C3:C14)</f>
        <v>1759997.93</v>
      </c>
      <c r="D15" s="38">
        <f t="shared" si="12"/>
        <v>-31006.800000000047</v>
      </c>
      <c r="E15" s="39">
        <f>SUM(E3:E14)</f>
        <v>2458249.58</v>
      </c>
      <c r="F15" s="54">
        <f t="shared" si="0"/>
        <v>-729258.45000000019</v>
      </c>
      <c r="G15" s="32"/>
      <c r="H15" s="32"/>
      <c r="I15" s="32"/>
      <c r="J15" s="32"/>
      <c r="K15" s="32"/>
      <c r="L15" s="32"/>
      <c r="M15" s="29" t="s">
        <v>6</v>
      </c>
      <c r="N15" s="38">
        <f>SUM(N3:N14)</f>
        <v>1290414.75</v>
      </c>
      <c r="O15" s="38">
        <f>SUM(O3:O14)</f>
        <v>1254888.3400000001</v>
      </c>
      <c r="P15" s="38">
        <f t="shared" si="13"/>
        <v>35526.409999999916</v>
      </c>
      <c r="Q15" s="39">
        <f>SUM(Q3:Q14)</f>
        <v>1952888.79</v>
      </c>
      <c r="R15" s="54">
        <f t="shared" si="1"/>
        <v>-662474.04</v>
      </c>
      <c r="S15" s="32"/>
      <c r="T15" s="32"/>
      <c r="U15" s="32"/>
      <c r="V15" s="32"/>
      <c r="W15" s="32"/>
      <c r="X15" s="102"/>
      <c r="Y15" s="69" t="s">
        <v>6</v>
      </c>
      <c r="Z15" s="38">
        <f>SUM(Z3:Z14)</f>
        <v>1292238.0147368421</v>
      </c>
      <c r="AA15" s="38">
        <f>SUM(AA3:AA14)</f>
        <v>1281555.0347368421</v>
      </c>
      <c r="AB15" s="38">
        <f t="shared" si="14"/>
        <v>10682.979999999981</v>
      </c>
      <c r="AC15" s="39">
        <f>SUM(AC3:AC14)</f>
        <v>1208691.5</v>
      </c>
      <c r="AD15" s="54">
        <f t="shared" si="2"/>
        <v>83546.514736842131</v>
      </c>
      <c r="AE15" s="32"/>
      <c r="AF15" s="32"/>
      <c r="AG15" s="32"/>
      <c r="AH15" s="32"/>
      <c r="AI15" s="32"/>
      <c r="AJ15" s="32"/>
      <c r="AK15" s="29" t="s">
        <v>6</v>
      </c>
      <c r="AL15" s="105">
        <f>SUM(AL3:AL14)</f>
        <v>989749.46428571444</v>
      </c>
      <c r="AM15" s="105">
        <f>SUM(AM3:AM14)</f>
        <v>1006901.0442857143</v>
      </c>
      <c r="AN15" s="38">
        <f t="shared" si="15"/>
        <v>-17151.579999999842</v>
      </c>
      <c r="AO15" s="39">
        <f>SUM(AO3:AO14)</f>
        <v>1265270.98</v>
      </c>
      <c r="AP15" s="54">
        <f t="shared" si="3"/>
        <v>-275521.51571428555</v>
      </c>
      <c r="AQ15" s="32"/>
      <c r="AR15" s="32"/>
      <c r="AS15" s="32"/>
      <c r="AT15" s="32"/>
      <c r="AU15" s="32"/>
      <c r="AV15" s="32"/>
      <c r="AW15" s="29" t="s">
        <v>6</v>
      </c>
      <c r="AX15" s="105">
        <f>SUM(AX3:AX14)</f>
        <v>457178.94</v>
      </c>
      <c r="AY15" s="105">
        <f>SUM(AY3:AY14)</f>
        <v>411986.74</v>
      </c>
      <c r="AZ15" s="38">
        <f t="shared" si="16"/>
        <v>45192.200000000012</v>
      </c>
      <c r="BA15" s="39">
        <f>SUM(BA3:BA14)</f>
        <v>676847.31</v>
      </c>
      <c r="BB15" s="54">
        <f t="shared" si="4"/>
        <v>-219668.37000000005</v>
      </c>
      <c r="BC15" s="32"/>
      <c r="BD15" s="32"/>
      <c r="BE15" s="32"/>
      <c r="BF15" s="32"/>
      <c r="BG15" s="32"/>
      <c r="BH15" s="32"/>
      <c r="BI15" s="29" t="s">
        <v>6</v>
      </c>
      <c r="BJ15" s="105">
        <f>SUM(BJ3:BJ14)</f>
        <v>747524.53500000003</v>
      </c>
      <c r="BK15" s="105">
        <f>SUM(BK3:BK14)</f>
        <v>729746.3</v>
      </c>
      <c r="BL15" s="38">
        <f t="shared" si="17"/>
        <v>17778.234999999986</v>
      </c>
      <c r="BM15" s="39">
        <f>SUM(BM3:BM14)</f>
        <v>1064455.04</v>
      </c>
      <c r="BN15" s="54">
        <f t="shared" si="5"/>
        <v>-316930.505</v>
      </c>
      <c r="BO15" s="32"/>
      <c r="BP15" s="32"/>
      <c r="BQ15" s="32"/>
      <c r="BR15" s="32"/>
      <c r="BS15" s="32"/>
      <c r="BT15" s="32"/>
      <c r="BU15" s="29" t="s">
        <v>6</v>
      </c>
      <c r="BV15" s="105">
        <f>SUM(BV3:BV14)</f>
        <v>188100</v>
      </c>
      <c r="BW15" s="105">
        <f>SUM(BW3:BW14)</f>
        <v>0</v>
      </c>
      <c r="BX15" s="38">
        <f t="shared" si="18"/>
        <v>188100</v>
      </c>
      <c r="BY15" s="39">
        <f>SUM(BY3:BY14)</f>
        <v>0</v>
      </c>
      <c r="BZ15" s="54">
        <f t="shared" si="6"/>
        <v>188100</v>
      </c>
      <c r="CA15" s="32"/>
      <c r="CB15" s="32"/>
      <c r="CC15" s="32"/>
      <c r="CD15" s="32"/>
      <c r="CE15" s="32"/>
      <c r="CF15" s="32"/>
      <c r="CG15" s="29" t="s">
        <v>6</v>
      </c>
      <c r="CH15" s="38">
        <f>SUM(CH3:CH14)</f>
        <v>6694196.8340225564</v>
      </c>
      <c r="CI15" s="38">
        <f>SUM(CI3:CI14)</f>
        <v>6445075.389022558</v>
      </c>
      <c r="CJ15" s="72">
        <f t="shared" si="11"/>
        <v>249121.44499999844</v>
      </c>
      <c r="CK15" s="54">
        <f>SUM(CK3:CK14)</f>
        <v>8626403.2000000011</v>
      </c>
      <c r="CL15" s="53">
        <f t="shared" si="7"/>
        <v>-1932206.3659774447</v>
      </c>
      <c r="CM15" s="32"/>
      <c r="CN15" s="32"/>
      <c r="CO15" s="32"/>
      <c r="CP15" s="32"/>
      <c r="CQ15" s="32"/>
    </row>
    <row r="16" spans="1:95" s="16" customFormat="1" ht="25" customHeight="1" thickBot="1" x14ac:dyDescent="0.3">
      <c r="A16" s="108" t="s">
        <v>2</v>
      </c>
      <c r="B16" s="109"/>
      <c r="C16" s="109"/>
      <c r="D16" s="109"/>
      <c r="E16" s="109"/>
      <c r="F16" s="110"/>
      <c r="G16" s="108" t="s">
        <v>4</v>
      </c>
      <c r="H16" s="109"/>
      <c r="I16" s="109"/>
      <c r="J16" s="109"/>
      <c r="K16" s="110"/>
      <c r="L16" s="98"/>
      <c r="M16" s="108" t="s">
        <v>2</v>
      </c>
      <c r="N16" s="109"/>
      <c r="O16" s="109"/>
      <c r="P16" s="109"/>
      <c r="Q16" s="109"/>
      <c r="R16" s="110"/>
      <c r="S16" s="108" t="s">
        <v>4</v>
      </c>
      <c r="T16" s="109"/>
      <c r="U16" s="109"/>
      <c r="V16" s="109"/>
      <c r="W16" s="110"/>
      <c r="X16" s="98"/>
      <c r="Y16" s="108" t="s">
        <v>2</v>
      </c>
      <c r="Z16" s="109"/>
      <c r="AA16" s="109"/>
      <c r="AB16" s="109"/>
      <c r="AC16" s="109"/>
      <c r="AD16" s="110"/>
      <c r="AE16" s="108" t="s">
        <v>4</v>
      </c>
      <c r="AF16" s="109"/>
      <c r="AG16" s="109"/>
      <c r="AH16" s="109"/>
      <c r="AI16" s="110"/>
      <c r="AJ16" s="98"/>
      <c r="AK16" s="108" t="s">
        <v>2</v>
      </c>
      <c r="AL16" s="109"/>
      <c r="AM16" s="109"/>
      <c r="AN16" s="109"/>
      <c r="AO16" s="109"/>
      <c r="AP16" s="110"/>
      <c r="AQ16" s="108" t="s">
        <v>4</v>
      </c>
      <c r="AR16" s="109"/>
      <c r="AS16" s="109"/>
      <c r="AT16" s="109"/>
      <c r="AU16" s="110"/>
      <c r="AV16" s="98"/>
      <c r="AW16" s="108" t="s">
        <v>2</v>
      </c>
      <c r="AX16" s="109"/>
      <c r="AY16" s="109"/>
      <c r="AZ16" s="109"/>
      <c r="BA16" s="109"/>
      <c r="BB16" s="110"/>
      <c r="BC16" s="108" t="s">
        <v>4</v>
      </c>
      <c r="BD16" s="109"/>
      <c r="BE16" s="109"/>
      <c r="BF16" s="109"/>
      <c r="BG16" s="110"/>
      <c r="BH16" s="98"/>
      <c r="BI16" s="108" t="s">
        <v>2</v>
      </c>
      <c r="BJ16" s="109"/>
      <c r="BK16" s="109"/>
      <c r="BL16" s="109"/>
      <c r="BM16" s="109"/>
      <c r="BN16" s="110"/>
      <c r="BO16" s="108" t="s">
        <v>4</v>
      </c>
      <c r="BP16" s="109"/>
      <c r="BQ16" s="109"/>
      <c r="BR16" s="109"/>
      <c r="BS16" s="110"/>
      <c r="BT16" s="98"/>
      <c r="BU16" s="108" t="s">
        <v>2</v>
      </c>
      <c r="BV16" s="109"/>
      <c r="BW16" s="109"/>
      <c r="BX16" s="109"/>
      <c r="BY16" s="109"/>
      <c r="BZ16" s="110"/>
      <c r="CA16" s="108" t="s">
        <v>4</v>
      </c>
      <c r="CB16" s="109"/>
      <c r="CC16" s="109"/>
      <c r="CD16" s="109"/>
      <c r="CE16" s="110"/>
      <c r="CF16" s="98"/>
      <c r="CG16" s="108" t="s">
        <v>2</v>
      </c>
      <c r="CH16" s="109"/>
      <c r="CI16" s="109"/>
      <c r="CJ16" s="109"/>
      <c r="CK16" s="109"/>
      <c r="CL16" s="110"/>
      <c r="CM16" s="108" t="s">
        <v>4</v>
      </c>
      <c r="CN16" s="109"/>
      <c r="CO16" s="109"/>
      <c r="CP16" s="109"/>
      <c r="CQ16" s="110"/>
    </row>
    <row r="17" spans="1:95" s="8" customFormat="1" ht="32" customHeight="1" x14ac:dyDescent="0.2">
      <c r="A17" s="18"/>
      <c r="B17" s="71" t="s">
        <v>80</v>
      </c>
      <c r="C17" s="71" t="s">
        <v>73</v>
      </c>
      <c r="D17" s="18" t="s">
        <v>0</v>
      </c>
      <c r="E17" s="20" t="s">
        <v>1</v>
      </c>
      <c r="F17" s="21" t="s">
        <v>5</v>
      </c>
      <c r="G17" s="71" t="s">
        <v>80</v>
      </c>
      <c r="H17" s="71" t="s">
        <v>73</v>
      </c>
      <c r="I17" s="90" t="s">
        <v>0</v>
      </c>
      <c r="J17" s="20" t="s">
        <v>1</v>
      </c>
      <c r="K17" s="59" t="s">
        <v>5</v>
      </c>
      <c r="L17" s="22"/>
      <c r="M17" s="18"/>
      <c r="N17" s="71" t="s">
        <v>80</v>
      </c>
      <c r="O17" s="71" t="s">
        <v>73</v>
      </c>
      <c r="P17" s="18" t="s">
        <v>0</v>
      </c>
      <c r="Q17" s="20" t="s">
        <v>1</v>
      </c>
      <c r="R17" s="21" t="s">
        <v>5</v>
      </c>
      <c r="S17" s="71" t="s">
        <v>80</v>
      </c>
      <c r="T17" s="71" t="s">
        <v>73</v>
      </c>
      <c r="U17" s="90" t="s">
        <v>0</v>
      </c>
      <c r="V17" s="20" t="s">
        <v>1</v>
      </c>
      <c r="W17" s="94" t="s">
        <v>5</v>
      </c>
      <c r="X17" s="103"/>
      <c r="Y17" s="60"/>
      <c r="Z17" s="71" t="s">
        <v>80</v>
      </c>
      <c r="AA17" s="71" t="s">
        <v>73</v>
      </c>
      <c r="AB17" s="18" t="s">
        <v>0</v>
      </c>
      <c r="AC17" s="20" t="s">
        <v>1</v>
      </c>
      <c r="AD17" s="21" t="s">
        <v>5</v>
      </c>
      <c r="AE17" s="71" t="s">
        <v>80</v>
      </c>
      <c r="AF17" s="71" t="s">
        <v>73</v>
      </c>
      <c r="AG17" s="90" t="s">
        <v>0</v>
      </c>
      <c r="AH17" s="20" t="s">
        <v>1</v>
      </c>
      <c r="AI17" s="59" t="s">
        <v>5</v>
      </c>
      <c r="AJ17" s="22"/>
      <c r="AK17" s="18"/>
      <c r="AL17" s="71" t="s">
        <v>80</v>
      </c>
      <c r="AM17" s="71" t="s">
        <v>73</v>
      </c>
      <c r="AN17" s="18" t="s">
        <v>0</v>
      </c>
      <c r="AO17" s="20" t="s">
        <v>1</v>
      </c>
      <c r="AP17" s="21" t="s">
        <v>5</v>
      </c>
      <c r="AQ17" s="71" t="s">
        <v>80</v>
      </c>
      <c r="AR17" s="71" t="s">
        <v>73</v>
      </c>
      <c r="AS17" s="90" t="s">
        <v>0</v>
      </c>
      <c r="AT17" s="20" t="s">
        <v>1</v>
      </c>
      <c r="AU17" s="59" t="s">
        <v>5</v>
      </c>
      <c r="AV17" s="22"/>
      <c r="AW17" s="18"/>
      <c r="AX17" s="71" t="s">
        <v>80</v>
      </c>
      <c r="AY17" s="71" t="s">
        <v>73</v>
      </c>
      <c r="AZ17" s="18" t="s">
        <v>0</v>
      </c>
      <c r="BA17" s="20" t="s">
        <v>1</v>
      </c>
      <c r="BB17" s="21" t="s">
        <v>5</v>
      </c>
      <c r="BC17" s="71" t="s">
        <v>80</v>
      </c>
      <c r="BD17" s="71" t="s">
        <v>73</v>
      </c>
      <c r="BE17" s="90" t="s">
        <v>0</v>
      </c>
      <c r="BF17" s="20" t="s">
        <v>1</v>
      </c>
      <c r="BG17" s="59" t="s">
        <v>5</v>
      </c>
      <c r="BH17" s="22"/>
      <c r="BI17" s="18"/>
      <c r="BJ17" s="71" t="s">
        <v>80</v>
      </c>
      <c r="BK17" s="71" t="s">
        <v>73</v>
      </c>
      <c r="BL17" s="18" t="s">
        <v>0</v>
      </c>
      <c r="BM17" s="20" t="s">
        <v>1</v>
      </c>
      <c r="BN17" s="21" t="s">
        <v>5</v>
      </c>
      <c r="BO17" s="71" t="s">
        <v>80</v>
      </c>
      <c r="BP17" s="71" t="s">
        <v>73</v>
      </c>
      <c r="BQ17" s="90" t="s">
        <v>0</v>
      </c>
      <c r="BR17" s="20" t="s">
        <v>1</v>
      </c>
      <c r="BS17" s="59" t="s">
        <v>5</v>
      </c>
      <c r="BT17" s="22"/>
      <c r="BU17" s="18"/>
      <c r="BV17" s="71" t="s">
        <v>80</v>
      </c>
      <c r="BW17" s="71" t="s">
        <v>73</v>
      </c>
      <c r="BX17" s="18" t="s">
        <v>0</v>
      </c>
      <c r="BY17" s="20" t="s">
        <v>1</v>
      </c>
      <c r="BZ17" s="21" t="s">
        <v>5</v>
      </c>
      <c r="CA17" s="71" t="s">
        <v>80</v>
      </c>
      <c r="CB17" s="71" t="s">
        <v>73</v>
      </c>
      <c r="CC17" s="90" t="s">
        <v>0</v>
      </c>
      <c r="CD17" s="20" t="s">
        <v>1</v>
      </c>
      <c r="CE17" s="59" t="s">
        <v>5</v>
      </c>
      <c r="CF17" s="22"/>
      <c r="CG17" s="18"/>
      <c r="CH17" s="71" t="s">
        <v>80</v>
      </c>
      <c r="CI17" s="71" t="s">
        <v>73</v>
      </c>
      <c r="CJ17" s="87" t="s">
        <v>0</v>
      </c>
      <c r="CK17" s="21" t="s">
        <v>1</v>
      </c>
      <c r="CL17" s="21" t="s">
        <v>5</v>
      </c>
      <c r="CM17" s="71" t="s">
        <v>80</v>
      </c>
      <c r="CN17" s="71" t="s">
        <v>73</v>
      </c>
      <c r="CO17" s="89" t="s">
        <v>0</v>
      </c>
      <c r="CP17" s="21" t="s">
        <v>1</v>
      </c>
      <c r="CQ17" s="21" t="s">
        <v>5</v>
      </c>
    </row>
    <row r="18" spans="1:95" s="8" customFormat="1" ht="18" customHeight="1" x14ac:dyDescent="0.2">
      <c r="A18" s="28" t="s">
        <v>19</v>
      </c>
      <c r="B18" s="40">
        <v>18</v>
      </c>
      <c r="C18" s="40">
        <v>18</v>
      </c>
      <c r="D18" s="24" t="s">
        <v>50</v>
      </c>
      <c r="E18" s="41">
        <v>26</v>
      </c>
      <c r="F18" s="44">
        <f t="shared" ref="F18:F29" si="19">B18-E18</f>
        <v>-8</v>
      </c>
      <c r="G18" s="42">
        <f>B18/31</f>
        <v>0.58064516129032262</v>
      </c>
      <c r="H18" s="42">
        <f>C18/31</f>
        <v>0.58064516129032262</v>
      </c>
      <c r="I18" s="24" t="s">
        <v>50</v>
      </c>
      <c r="J18" s="45">
        <f>E18/31</f>
        <v>0.83870967741935487</v>
      </c>
      <c r="K18" s="45">
        <f t="shared" ref="K18:K29" si="20">G18-J18</f>
        <v>-0.25806451612903225</v>
      </c>
      <c r="L18" s="99"/>
      <c r="M18" s="28" t="s">
        <v>19</v>
      </c>
      <c r="N18" s="40">
        <v>29</v>
      </c>
      <c r="O18" s="40">
        <v>29</v>
      </c>
      <c r="P18" s="24" t="s">
        <v>50</v>
      </c>
      <c r="Q18" s="41">
        <v>23</v>
      </c>
      <c r="R18" s="44">
        <f t="shared" ref="R18:R29" si="21">N18-Q18</f>
        <v>6</v>
      </c>
      <c r="S18" s="42">
        <f>N18/31</f>
        <v>0.93548387096774188</v>
      </c>
      <c r="T18" s="42">
        <f>O18/31</f>
        <v>0.93548387096774188</v>
      </c>
      <c r="U18" s="24" t="s">
        <v>50</v>
      </c>
      <c r="V18" s="45">
        <f>Q18/31</f>
        <v>0.74193548387096775</v>
      </c>
      <c r="W18" s="93">
        <f t="shared" ref="W18:W29" si="22">S18-V18</f>
        <v>0.19354838709677413</v>
      </c>
      <c r="X18" s="42"/>
      <c r="Y18" s="96" t="s">
        <v>19</v>
      </c>
      <c r="Z18" s="40">
        <v>24</v>
      </c>
      <c r="AA18" s="40">
        <v>24</v>
      </c>
      <c r="AB18" s="24" t="s">
        <v>50</v>
      </c>
      <c r="AC18" s="41">
        <v>16</v>
      </c>
      <c r="AD18" s="44">
        <f t="shared" ref="AD18:AD29" si="23">Z18-AC18</f>
        <v>8</v>
      </c>
      <c r="AE18" s="42">
        <f>Z18/31</f>
        <v>0.77419354838709675</v>
      </c>
      <c r="AF18" s="42">
        <f>AA18/31</f>
        <v>0.77419354838709675</v>
      </c>
      <c r="AG18" s="24" t="s">
        <v>50</v>
      </c>
      <c r="AH18" s="93">
        <f>AC18/31</f>
        <v>0.5161290322580645</v>
      </c>
      <c r="AI18" s="45">
        <f t="shared" ref="AI18:AI29" si="24">AE18-AH18</f>
        <v>0.25806451612903225</v>
      </c>
      <c r="AJ18" s="99"/>
      <c r="AK18" s="28" t="s">
        <v>19</v>
      </c>
      <c r="AL18" s="106">
        <v>26</v>
      </c>
      <c r="AM18" s="106">
        <v>26</v>
      </c>
      <c r="AN18" s="24" t="s">
        <v>50</v>
      </c>
      <c r="AO18" s="41">
        <v>24</v>
      </c>
      <c r="AP18" s="44">
        <f t="shared" ref="AP18:AP29" si="25">AL18-AO18</f>
        <v>2</v>
      </c>
      <c r="AQ18" s="42">
        <f>AL18/31</f>
        <v>0.83870967741935487</v>
      </c>
      <c r="AR18" s="42">
        <f>AM18/31</f>
        <v>0.83870967741935487</v>
      </c>
      <c r="AS18" s="24" t="s">
        <v>50</v>
      </c>
      <c r="AT18" s="45">
        <f>AO18/31</f>
        <v>0.77419354838709675</v>
      </c>
      <c r="AU18" s="45">
        <f t="shared" ref="AU18:AU29" si="26">AQ18-AT18</f>
        <v>6.4516129032258118E-2</v>
      </c>
      <c r="AV18" s="99"/>
      <c r="AW18" s="28" t="s">
        <v>19</v>
      </c>
      <c r="AX18" s="106">
        <v>0</v>
      </c>
      <c r="AY18" s="106">
        <v>0</v>
      </c>
      <c r="AZ18" s="24" t="s">
        <v>50</v>
      </c>
      <c r="BA18" s="41">
        <v>6</v>
      </c>
      <c r="BB18" s="44">
        <f t="shared" ref="BB18:BB29" si="27">AX18-BA18</f>
        <v>-6</v>
      </c>
      <c r="BC18" s="42">
        <f>AX18/31</f>
        <v>0</v>
      </c>
      <c r="BD18" s="42">
        <f>AY18/31</f>
        <v>0</v>
      </c>
      <c r="BE18" s="24" t="s">
        <v>50</v>
      </c>
      <c r="BF18" s="45">
        <f>BA18/31</f>
        <v>0.19354838709677419</v>
      </c>
      <c r="BG18" s="45">
        <f t="shared" ref="BG18:BG29" si="28">BC18-BF18</f>
        <v>-0.19354838709677419</v>
      </c>
      <c r="BH18" s="99"/>
      <c r="BI18" s="28" t="s">
        <v>19</v>
      </c>
      <c r="BJ18" s="106">
        <v>23</v>
      </c>
      <c r="BK18" s="106">
        <v>23</v>
      </c>
      <c r="BL18" s="24" t="s">
        <v>50</v>
      </c>
      <c r="BM18" s="41">
        <v>27</v>
      </c>
      <c r="BN18" s="44">
        <f t="shared" ref="BN18:BN29" si="29">BJ18-BM18</f>
        <v>-4</v>
      </c>
      <c r="BO18" s="42">
        <f>BJ18/31</f>
        <v>0.74193548387096775</v>
      </c>
      <c r="BP18" s="42">
        <f>BK18/31</f>
        <v>0.74193548387096775</v>
      </c>
      <c r="BQ18" s="24" t="s">
        <v>50</v>
      </c>
      <c r="BR18" s="45">
        <f>BM18/31</f>
        <v>0.87096774193548387</v>
      </c>
      <c r="BS18" s="45">
        <f t="shared" ref="BS18:BS29" si="30">BO18-BR18</f>
        <v>-0.12903225806451613</v>
      </c>
      <c r="BT18" s="99"/>
      <c r="BU18" s="28" t="s">
        <v>19</v>
      </c>
      <c r="BV18" s="106"/>
      <c r="BW18" s="106"/>
      <c r="BX18" s="24" t="s">
        <v>50</v>
      </c>
      <c r="BY18" s="41"/>
      <c r="BZ18" s="44">
        <f t="shared" ref="BZ18:BZ29" si="31">BV18-BY18</f>
        <v>0</v>
      </c>
      <c r="CA18" s="42">
        <f>BV18/31</f>
        <v>0</v>
      </c>
      <c r="CB18" s="42">
        <f>BW18/31</f>
        <v>0</v>
      </c>
      <c r="CC18" s="24" t="s">
        <v>50</v>
      </c>
      <c r="CD18" s="45">
        <f>BY18/31</f>
        <v>0</v>
      </c>
      <c r="CE18" s="45">
        <f t="shared" ref="CE18:CE29" si="32">CA18-CD18</f>
        <v>0</v>
      </c>
      <c r="CF18" s="99"/>
      <c r="CG18" s="28" t="s">
        <v>19</v>
      </c>
      <c r="CH18" s="104">
        <f>B18+N18+Z18+AL18+AX18+BJ18+BV18</f>
        <v>120</v>
      </c>
      <c r="CI18" s="24">
        <f>C18+O18+AA18+AM18+AY18+BK18+BW18</f>
        <v>120</v>
      </c>
      <c r="CJ18" s="24" t="s">
        <v>50</v>
      </c>
      <c r="CK18" s="50">
        <f>E18+Q18+AC18+AO18+BA18+BM18+BY18</f>
        <v>122</v>
      </c>
      <c r="CL18" s="58">
        <f t="shared" ref="CL18:CL29" si="33">CH18-CK18</f>
        <v>-2</v>
      </c>
      <c r="CM18" s="42">
        <f>CH18/186</f>
        <v>0.64516129032258063</v>
      </c>
      <c r="CN18" s="42">
        <f>CI18/186</f>
        <v>0.64516129032258063</v>
      </c>
      <c r="CO18" s="24" t="s">
        <v>50</v>
      </c>
      <c r="CP18" s="45">
        <f>CK18/186</f>
        <v>0.65591397849462363</v>
      </c>
      <c r="CQ18" s="45">
        <f t="shared" ref="CQ18:CQ29" si="34">CM18-CP18</f>
        <v>-1.0752688172043001E-2</v>
      </c>
    </row>
    <row r="19" spans="1:95" s="8" customFormat="1" ht="18" customHeight="1" x14ac:dyDescent="0.2">
      <c r="A19" s="28" t="s">
        <v>20</v>
      </c>
      <c r="B19" s="40">
        <v>16</v>
      </c>
      <c r="C19" s="40">
        <v>16</v>
      </c>
      <c r="D19" s="24" t="s">
        <v>50</v>
      </c>
      <c r="E19" s="41">
        <v>20</v>
      </c>
      <c r="F19" s="44">
        <f t="shared" si="19"/>
        <v>-4</v>
      </c>
      <c r="G19" s="42">
        <f>B19/30</f>
        <v>0.53333333333333333</v>
      </c>
      <c r="H19" s="42">
        <f>C19/30</f>
        <v>0.53333333333333333</v>
      </c>
      <c r="I19" s="24" t="s">
        <v>50</v>
      </c>
      <c r="J19" s="45">
        <f>E19/30</f>
        <v>0.66666666666666663</v>
      </c>
      <c r="K19" s="45">
        <f t="shared" si="20"/>
        <v>-0.1333333333333333</v>
      </c>
      <c r="L19" s="99"/>
      <c r="M19" s="28" t="s">
        <v>20</v>
      </c>
      <c r="N19" s="40">
        <v>17</v>
      </c>
      <c r="O19" s="40">
        <v>17</v>
      </c>
      <c r="P19" s="24" t="s">
        <v>50</v>
      </c>
      <c r="Q19" s="41">
        <v>24</v>
      </c>
      <c r="R19" s="44">
        <f t="shared" si="21"/>
        <v>-7</v>
      </c>
      <c r="S19" s="42">
        <f>N19/30</f>
        <v>0.56666666666666665</v>
      </c>
      <c r="T19" s="42">
        <f>O19/30</f>
        <v>0.56666666666666665</v>
      </c>
      <c r="U19" s="24" t="s">
        <v>50</v>
      </c>
      <c r="V19" s="45">
        <f>Q19/30</f>
        <v>0.8</v>
      </c>
      <c r="W19" s="93">
        <f t="shared" si="22"/>
        <v>-0.23333333333333339</v>
      </c>
      <c r="X19" s="42"/>
      <c r="Y19" s="96" t="s">
        <v>20</v>
      </c>
      <c r="Z19" s="40">
        <v>20</v>
      </c>
      <c r="AA19" s="40">
        <v>20</v>
      </c>
      <c r="AB19" s="24" t="s">
        <v>50</v>
      </c>
      <c r="AC19" s="41">
        <v>3</v>
      </c>
      <c r="AD19" s="44">
        <f t="shared" si="23"/>
        <v>17</v>
      </c>
      <c r="AE19" s="42">
        <f>Z19/30</f>
        <v>0.66666666666666663</v>
      </c>
      <c r="AF19" s="42">
        <f>AA19/30</f>
        <v>0.66666666666666663</v>
      </c>
      <c r="AG19" s="24" t="s">
        <v>50</v>
      </c>
      <c r="AH19" s="93">
        <f>AC19/30</f>
        <v>0.1</v>
      </c>
      <c r="AI19" s="45">
        <f t="shared" si="24"/>
        <v>0.56666666666666665</v>
      </c>
      <c r="AJ19" s="99"/>
      <c r="AK19" s="28" t="s">
        <v>20</v>
      </c>
      <c r="AL19" s="106">
        <v>11</v>
      </c>
      <c r="AM19" s="106">
        <v>11</v>
      </c>
      <c r="AN19" s="24" t="s">
        <v>50</v>
      </c>
      <c r="AO19" s="41">
        <v>24</v>
      </c>
      <c r="AP19" s="44">
        <f t="shared" si="25"/>
        <v>-13</v>
      </c>
      <c r="AQ19" s="42">
        <f>AL19/30</f>
        <v>0.36666666666666664</v>
      </c>
      <c r="AR19" s="42">
        <f>AM19/30</f>
        <v>0.36666666666666664</v>
      </c>
      <c r="AS19" s="24" t="s">
        <v>50</v>
      </c>
      <c r="AT19" s="45">
        <f>AO19/30</f>
        <v>0.8</v>
      </c>
      <c r="AU19" s="45">
        <f t="shared" si="26"/>
        <v>-0.4333333333333334</v>
      </c>
      <c r="AV19" s="99"/>
      <c r="AW19" s="28" t="s">
        <v>20</v>
      </c>
      <c r="AX19" s="106">
        <v>0</v>
      </c>
      <c r="AY19" s="106">
        <v>0</v>
      </c>
      <c r="AZ19" s="24" t="s">
        <v>50</v>
      </c>
      <c r="BA19" s="41">
        <v>15</v>
      </c>
      <c r="BB19" s="44">
        <f t="shared" si="27"/>
        <v>-15</v>
      </c>
      <c r="BC19" s="42">
        <f>AX19/30</f>
        <v>0</v>
      </c>
      <c r="BD19" s="42">
        <f>AY19/30</f>
        <v>0</v>
      </c>
      <c r="BE19" s="24" t="s">
        <v>50</v>
      </c>
      <c r="BF19" s="45">
        <f>BA19/30</f>
        <v>0.5</v>
      </c>
      <c r="BG19" s="45">
        <f t="shared" si="28"/>
        <v>-0.5</v>
      </c>
      <c r="BH19" s="99"/>
      <c r="BI19" s="28" t="s">
        <v>20</v>
      </c>
      <c r="BJ19" s="106">
        <v>17</v>
      </c>
      <c r="BK19" s="106">
        <v>17</v>
      </c>
      <c r="BL19" s="24" t="s">
        <v>50</v>
      </c>
      <c r="BM19" s="41">
        <v>21</v>
      </c>
      <c r="BN19" s="44">
        <f t="shared" si="29"/>
        <v>-4</v>
      </c>
      <c r="BO19" s="42">
        <f>BJ19/30</f>
        <v>0.56666666666666665</v>
      </c>
      <c r="BP19" s="42">
        <f>BK19/30</f>
        <v>0.56666666666666665</v>
      </c>
      <c r="BQ19" s="24" t="s">
        <v>50</v>
      </c>
      <c r="BR19" s="45">
        <f>BM19/30</f>
        <v>0.7</v>
      </c>
      <c r="BS19" s="45">
        <f t="shared" si="30"/>
        <v>-0.1333333333333333</v>
      </c>
      <c r="BT19" s="99"/>
      <c r="BU19" s="28" t="s">
        <v>20</v>
      </c>
      <c r="BV19" s="106"/>
      <c r="BW19" s="106"/>
      <c r="BX19" s="24" t="s">
        <v>50</v>
      </c>
      <c r="BY19" s="41"/>
      <c r="BZ19" s="44">
        <f t="shared" si="31"/>
        <v>0</v>
      </c>
      <c r="CA19" s="42">
        <f>BV19/30</f>
        <v>0</v>
      </c>
      <c r="CB19" s="42">
        <f>BW19/30</f>
        <v>0</v>
      </c>
      <c r="CC19" s="24" t="s">
        <v>50</v>
      </c>
      <c r="CD19" s="45">
        <f>BY19/30</f>
        <v>0</v>
      </c>
      <c r="CE19" s="45">
        <f t="shared" si="32"/>
        <v>0</v>
      </c>
      <c r="CF19" s="99"/>
      <c r="CG19" s="28" t="s">
        <v>20</v>
      </c>
      <c r="CH19" s="104">
        <f t="shared" ref="CH19:CH29" si="35">B19+N19+Z19+AL19+AX19+BJ19+BV19</f>
        <v>81</v>
      </c>
      <c r="CI19" s="24">
        <f t="shared" ref="CI19:CI29" si="36">C19+O19+AA19+AM19+AY19+BK19+BW19</f>
        <v>81</v>
      </c>
      <c r="CJ19" s="24" t="s">
        <v>50</v>
      </c>
      <c r="CK19" s="50">
        <f t="shared" ref="CK19:CK29" si="37">E19+Q19+AC19+AO19+BA19+BM19+BY19</f>
        <v>107</v>
      </c>
      <c r="CL19" s="58">
        <f t="shared" si="33"/>
        <v>-26</v>
      </c>
      <c r="CM19" s="42">
        <f>CH19/180</f>
        <v>0.45</v>
      </c>
      <c r="CN19" s="42">
        <f>CI19/180</f>
        <v>0.45</v>
      </c>
      <c r="CO19" s="24" t="s">
        <v>50</v>
      </c>
      <c r="CP19" s="45">
        <f>CK19/180</f>
        <v>0.59444444444444444</v>
      </c>
      <c r="CQ19" s="45">
        <f t="shared" si="34"/>
        <v>-0.14444444444444443</v>
      </c>
    </row>
    <row r="20" spans="1:95" s="8" customFormat="1" ht="18" customHeight="1" x14ac:dyDescent="0.2">
      <c r="A20" s="28" t="s">
        <v>21</v>
      </c>
      <c r="B20" s="40">
        <v>9</v>
      </c>
      <c r="C20" s="40">
        <v>9</v>
      </c>
      <c r="D20" s="24" t="s">
        <v>50</v>
      </c>
      <c r="E20" s="41">
        <v>16</v>
      </c>
      <c r="F20" s="44">
        <f t="shared" si="19"/>
        <v>-7</v>
      </c>
      <c r="G20" s="42">
        <f>B20/31</f>
        <v>0.29032258064516131</v>
      </c>
      <c r="H20" s="42">
        <f>C20/31</f>
        <v>0.29032258064516131</v>
      </c>
      <c r="I20" s="24" t="s">
        <v>50</v>
      </c>
      <c r="J20" s="45">
        <f>E20/31</f>
        <v>0.5161290322580645</v>
      </c>
      <c r="K20" s="45">
        <f t="shared" si="20"/>
        <v>-0.22580645161290319</v>
      </c>
      <c r="L20" s="99"/>
      <c r="M20" s="28" t="s">
        <v>21</v>
      </c>
      <c r="N20" s="40">
        <v>11</v>
      </c>
      <c r="O20" s="40">
        <v>11</v>
      </c>
      <c r="P20" s="24" t="s">
        <v>50</v>
      </c>
      <c r="Q20" s="41">
        <v>14</v>
      </c>
      <c r="R20" s="44">
        <f t="shared" si="21"/>
        <v>-3</v>
      </c>
      <c r="S20" s="42">
        <f>N20/31</f>
        <v>0.35483870967741937</v>
      </c>
      <c r="T20" s="42">
        <f>O20/31</f>
        <v>0.35483870967741937</v>
      </c>
      <c r="U20" s="24" t="s">
        <v>50</v>
      </c>
      <c r="V20" s="45">
        <f>Q20/31</f>
        <v>0.45161290322580644</v>
      </c>
      <c r="W20" s="93">
        <f t="shared" si="22"/>
        <v>-9.6774193548387066E-2</v>
      </c>
      <c r="X20" s="42"/>
      <c r="Y20" s="96" t="s">
        <v>21</v>
      </c>
      <c r="Z20" s="40">
        <v>6</v>
      </c>
      <c r="AA20" s="40">
        <v>6</v>
      </c>
      <c r="AB20" s="24" t="s">
        <v>50</v>
      </c>
      <c r="AC20" s="41">
        <v>6</v>
      </c>
      <c r="AD20" s="44">
        <f t="shared" si="23"/>
        <v>0</v>
      </c>
      <c r="AE20" s="42">
        <f>Z20/31</f>
        <v>0.19354838709677419</v>
      </c>
      <c r="AF20" s="42">
        <f>AA20/31</f>
        <v>0.19354838709677419</v>
      </c>
      <c r="AG20" s="24" t="s">
        <v>50</v>
      </c>
      <c r="AH20" s="93">
        <f>AC20/31</f>
        <v>0.19354838709677419</v>
      </c>
      <c r="AI20" s="45">
        <f t="shared" si="24"/>
        <v>0</v>
      </c>
      <c r="AJ20" s="99"/>
      <c r="AK20" s="28" t="s">
        <v>21</v>
      </c>
      <c r="AL20" s="106">
        <v>5</v>
      </c>
      <c r="AM20" s="106">
        <v>5</v>
      </c>
      <c r="AN20" s="24" t="s">
        <v>50</v>
      </c>
      <c r="AO20" s="41">
        <v>12</v>
      </c>
      <c r="AP20" s="44">
        <f t="shared" si="25"/>
        <v>-7</v>
      </c>
      <c r="AQ20" s="42">
        <f>AL20/31</f>
        <v>0.16129032258064516</v>
      </c>
      <c r="AR20" s="42">
        <f>AM20/31</f>
        <v>0.16129032258064516</v>
      </c>
      <c r="AS20" s="24" t="s">
        <v>50</v>
      </c>
      <c r="AT20" s="45">
        <f>AO20/31</f>
        <v>0.38709677419354838</v>
      </c>
      <c r="AU20" s="45">
        <f t="shared" si="26"/>
        <v>-0.22580645161290322</v>
      </c>
      <c r="AV20" s="99"/>
      <c r="AW20" s="28" t="s">
        <v>21</v>
      </c>
      <c r="AX20" s="106">
        <v>0</v>
      </c>
      <c r="AY20" s="106">
        <v>0</v>
      </c>
      <c r="AZ20" s="24" t="s">
        <v>50</v>
      </c>
      <c r="BA20" s="41">
        <v>4</v>
      </c>
      <c r="BB20" s="44">
        <f t="shared" si="27"/>
        <v>-4</v>
      </c>
      <c r="BC20" s="42">
        <f>AX20/31</f>
        <v>0</v>
      </c>
      <c r="BD20" s="42">
        <f>AY20/31</f>
        <v>0</v>
      </c>
      <c r="BE20" s="24" t="s">
        <v>50</v>
      </c>
      <c r="BF20" s="45">
        <f>BA20/31</f>
        <v>0.12903225806451613</v>
      </c>
      <c r="BG20" s="45">
        <f t="shared" si="28"/>
        <v>-0.12903225806451613</v>
      </c>
      <c r="BH20" s="99"/>
      <c r="BI20" s="28" t="s">
        <v>21</v>
      </c>
      <c r="BJ20" s="106">
        <v>2</v>
      </c>
      <c r="BK20" s="106">
        <v>2</v>
      </c>
      <c r="BL20" s="24" t="s">
        <v>50</v>
      </c>
      <c r="BM20" s="41">
        <v>20</v>
      </c>
      <c r="BN20" s="44">
        <f t="shared" si="29"/>
        <v>-18</v>
      </c>
      <c r="BO20" s="42">
        <f>BJ20/31</f>
        <v>6.4516129032258063E-2</v>
      </c>
      <c r="BP20" s="42">
        <f>BK20/31</f>
        <v>6.4516129032258063E-2</v>
      </c>
      <c r="BQ20" s="24" t="s">
        <v>50</v>
      </c>
      <c r="BR20" s="45">
        <f>BM20/31</f>
        <v>0.64516129032258063</v>
      </c>
      <c r="BS20" s="45">
        <f t="shared" si="30"/>
        <v>-0.58064516129032251</v>
      </c>
      <c r="BT20" s="99"/>
      <c r="BU20" s="28" t="s">
        <v>21</v>
      </c>
      <c r="BV20" s="106"/>
      <c r="BW20" s="106"/>
      <c r="BX20" s="24" t="s">
        <v>50</v>
      </c>
      <c r="BY20" s="41"/>
      <c r="BZ20" s="44">
        <f t="shared" si="31"/>
        <v>0</v>
      </c>
      <c r="CA20" s="42">
        <f>BV20/31</f>
        <v>0</v>
      </c>
      <c r="CB20" s="42">
        <f>BW20/31</f>
        <v>0</v>
      </c>
      <c r="CC20" s="24" t="s">
        <v>50</v>
      </c>
      <c r="CD20" s="45">
        <f>BY20/31</f>
        <v>0</v>
      </c>
      <c r="CE20" s="45">
        <f t="shared" si="32"/>
        <v>0</v>
      </c>
      <c r="CF20" s="99"/>
      <c r="CG20" s="28" t="s">
        <v>21</v>
      </c>
      <c r="CH20" s="104">
        <f t="shared" si="35"/>
        <v>33</v>
      </c>
      <c r="CI20" s="24">
        <f t="shared" si="36"/>
        <v>33</v>
      </c>
      <c r="CJ20" s="24" t="s">
        <v>50</v>
      </c>
      <c r="CK20" s="50">
        <f t="shared" si="37"/>
        <v>72</v>
      </c>
      <c r="CL20" s="58">
        <f t="shared" si="33"/>
        <v>-39</v>
      </c>
      <c r="CM20" s="42">
        <f>CH20/186</f>
        <v>0.17741935483870969</v>
      </c>
      <c r="CN20" s="42">
        <f>CI20/186</f>
        <v>0.17741935483870969</v>
      </c>
      <c r="CO20" s="24" t="s">
        <v>50</v>
      </c>
      <c r="CP20" s="45">
        <f>CK20/186</f>
        <v>0.38709677419354838</v>
      </c>
      <c r="CQ20" s="45">
        <f t="shared" si="34"/>
        <v>-0.20967741935483869</v>
      </c>
    </row>
    <row r="21" spans="1:95" s="8" customFormat="1" ht="18" customHeight="1" x14ac:dyDescent="0.2">
      <c r="A21" s="28" t="s">
        <v>23</v>
      </c>
      <c r="B21" s="40">
        <v>6</v>
      </c>
      <c r="C21" s="40">
        <v>6</v>
      </c>
      <c r="D21" s="24" t="s">
        <v>50</v>
      </c>
      <c r="E21" s="41">
        <v>10</v>
      </c>
      <c r="F21" s="44">
        <f t="shared" si="19"/>
        <v>-4</v>
      </c>
      <c r="G21" s="42">
        <f>B21/30</f>
        <v>0.2</v>
      </c>
      <c r="H21" s="42">
        <f>C21/30</f>
        <v>0.2</v>
      </c>
      <c r="I21" s="24" t="s">
        <v>50</v>
      </c>
      <c r="J21" s="45">
        <f>E21/30</f>
        <v>0.33333333333333331</v>
      </c>
      <c r="K21" s="45">
        <f t="shared" si="20"/>
        <v>-0.1333333333333333</v>
      </c>
      <c r="L21" s="99"/>
      <c r="M21" s="28" t="s">
        <v>23</v>
      </c>
      <c r="N21" s="40">
        <v>2</v>
      </c>
      <c r="O21" s="40">
        <v>2</v>
      </c>
      <c r="P21" s="24" t="s">
        <v>50</v>
      </c>
      <c r="Q21" s="41">
        <v>16</v>
      </c>
      <c r="R21" s="44">
        <f t="shared" si="21"/>
        <v>-14</v>
      </c>
      <c r="S21" s="42">
        <f>N21/30</f>
        <v>6.6666666666666666E-2</v>
      </c>
      <c r="T21" s="42">
        <f>O21/30</f>
        <v>6.6666666666666666E-2</v>
      </c>
      <c r="U21" s="24" t="s">
        <v>50</v>
      </c>
      <c r="V21" s="45">
        <f>Q21/30</f>
        <v>0.53333333333333333</v>
      </c>
      <c r="W21" s="93">
        <f t="shared" si="22"/>
        <v>-0.46666666666666667</v>
      </c>
      <c r="X21" s="42"/>
      <c r="Y21" s="96" t="s">
        <v>23</v>
      </c>
      <c r="Z21" s="40">
        <v>6</v>
      </c>
      <c r="AA21" s="40">
        <v>6</v>
      </c>
      <c r="AB21" s="24" t="s">
        <v>50</v>
      </c>
      <c r="AC21" s="41">
        <v>3</v>
      </c>
      <c r="AD21" s="44">
        <f t="shared" si="23"/>
        <v>3</v>
      </c>
      <c r="AE21" s="42">
        <f>Z21/30</f>
        <v>0.2</v>
      </c>
      <c r="AF21" s="42">
        <f>AA21/30</f>
        <v>0.2</v>
      </c>
      <c r="AG21" s="24" t="s">
        <v>50</v>
      </c>
      <c r="AH21" s="93">
        <f>AC21/30</f>
        <v>0.1</v>
      </c>
      <c r="AI21" s="45">
        <f t="shared" si="24"/>
        <v>0.1</v>
      </c>
      <c r="AJ21" s="99"/>
      <c r="AK21" s="28" t="s">
        <v>23</v>
      </c>
      <c r="AL21" s="106">
        <v>0</v>
      </c>
      <c r="AM21" s="106">
        <v>0</v>
      </c>
      <c r="AN21" s="24" t="s">
        <v>50</v>
      </c>
      <c r="AO21" s="41">
        <v>12</v>
      </c>
      <c r="AP21" s="44">
        <f t="shared" si="25"/>
        <v>-12</v>
      </c>
      <c r="AQ21" s="42">
        <f>AL21/30</f>
        <v>0</v>
      </c>
      <c r="AR21" s="42">
        <f>AM21/30</f>
        <v>0</v>
      </c>
      <c r="AS21" s="24" t="s">
        <v>50</v>
      </c>
      <c r="AT21" s="45">
        <f>AO21/30</f>
        <v>0.4</v>
      </c>
      <c r="AU21" s="45">
        <f t="shared" si="26"/>
        <v>-0.4</v>
      </c>
      <c r="AV21" s="99"/>
      <c r="AW21" s="28" t="s">
        <v>23</v>
      </c>
      <c r="AX21" s="106">
        <v>0</v>
      </c>
      <c r="AY21" s="106">
        <v>0</v>
      </c>
      <c r="AZ21" s="24" t="s">
        <v>50</v>
      </c>
      <c r="BA21" s="41">
        <v>3</v>
      </c>
      <c r="BB21" s="44">
        <f t="shared" si="27"/>
        <v>-3</v>
      </c>
      <c r="BC21" s="42">
        <f>AX21/30</f>
        <v>0</v>
      </c>
      <c r="BD21" s="42">
        <f>AY21/30</f>
        <v>0</v>
      </c>
      <c r="BE21" s="24" t="s">
        <v>50</v>
      </c>
      <c r="BF21" s="45">
        <f>BA21/30</f>
        <v>0.1</v>
      </c>
      <c r="BG21" s="45">
        <f t="shared" si="28"/>
        <v>-0.1</v>
      </c>
      <c r="BH21" s="99"/>
      <c r="BI21" s="28" t="s">
        <v>23</v>
      </c>
      <c r="BJ21" s="106">
        <v>2</v>
      </c>
      <c r="BK21" s="106">
        <v>2</v>
      </c>
      <c r="BL21" s="24" t="s">
        <v>50</v>
      </c>
      <c r="BM21" s="41">
        <v>0</v>
      </c>
      <c r="BN21" s="44">
        <f t="shared" si="29"/>
        <v>2</v>
      </c>
      <c r="BO21" s="42">
        <f>BJ21/30</f>
        <v>6.6666666666666666E-2</v>
      </c>
      <c r="BP21" s="42">
        <f>BK21/30</f>
        <v>6.6666666666666666E-2</v>
      </c>
      <c r="BQ21" s="24" t="s">
        <v>50</v>
      </c>
      <c r="BR21" s="45">
        <f>BM21/30</f>
        <v>0</v>
      </c>
      <c r="BS21" s="45">
        <f t="shared" si="30"/>
        <v>6.6666666666666666E-2</v>
      </c>
      <c r="BT21" s="99"/>
      <c r="BU21" s="28" t="s">
        <v>23</v>
      </c>
      <c r="BV21" s="106"/>
      <c r="BW21" s="106"/>
      <c r="BX21" s="24" t="s">
        <v>50</v>
      </c>
      <c r="BY21" s="41"/>
      <c r="BZ21" s="44">
        <f t="shared" si="31"/>
        <v>0</v>
      </c>
      <c r="CA21" s="42">
        <f>BV21/30</f>
        <v>0</v>
      </c>
      <c r="CB21" s="42">
        <f>BW21/30</f>
        <v>0</v>
      </c>
      <c r="CC21" s="24" t="s">
        <v>50</v>
      </c>
      <c r="CD21" s="45">
        <f>BY21/30</f>
        <v>0</v>
      </c>
      <c r="CE21" s="45">
        <f t="shared" si="32"/>
        <v>0</v>
      </c>
      <c r="CF21" s="99"/>
      <c r="CG21" s="28" t="s">
        <v>23</v>
      </c>
      <c r="CH21" s="104">
        <f t="shared" si="35"/>
        <v>16</v>
      </c>
      <c r="CI21" s="24">
        <f t="shared" si="36"/>
        <v>16</v>
      </c>
      <c r="CJ21" s="24">
        <f t="shared" ref="CJ21:CJ29" si="38">CH21-CI21</f>
        <v>0</v>
      </c>
      <c r="CK21" s="50">
        <f t="shared" si="37"/>
        <v>44</v>
      </c>
      <c r="CL21" s="58">
        <f t="shared" si="33"/>
        <v>-28</v>
      </c>
      <c r="CM21" s="42">
        <f>CH21/180</f>
        <v>8.8888888888888892E-2</v>
      </c>
      <c r="CN21" s="42">
        <f>CI21/180</f>
        <v>8.8888888888888892E-2</v>
      </c>
      <c r="CO21" s="84">
        <f t="shared" ref="CO21:CO29" si="39">CM21-CN21</f>
        <v>0</v>
      </c>
      <c r="CP21" s="45">
        <f>CK21/180</f>
        <v>0.24444444444444444</v>
      </c>
      <c r="CQ21" s="45">
        <f t="shared" si="34"/>
        <v>-0.15555555555555556</v>
      </c>
    </row>
    <row r="22" spans="1:95" s="8" customFormat="1" ht="18" customHeight="1" x14ac:dyDescent="0.2">
      <c r="A22" s="28" t="s">
        <v>22</v>
      </c>
      <c r="B22" s="40">
        <v>9</v>
      </c>
      <c r="C22" s="40">
        <v>9</v>
      </c>
      <c r="D22" s="24">
        <f t="shared" ref="D22:D29" si="40">B22-C22</f>
        <v>0</v>
      </c>
      <c r="E22" s="41">
        <v>14</v>
      </c>
      <c r="F22" s="44">
        <f t="shared" si="19"/>
        <v>-5</v>
      </c>
      <c r="G22" s="42">
        <f>B22/31</f>
        <v>0.29032258064516131</v>
      </c>
      <c r="H22" s="42">
        <f>C22/31</f>
        <v>0.29032258064516131</v>
      </c>
      <c r="I22" s="73">
        <f t="shared" ref="I22:I29" si="41">G22-H22</f>
        <v>0</v>
      </c>
      <c r="J22" s="45">
        <f>E22/31</f>
        <v>0.45161290322580644</v>
      </c>
      <c r="K22" s="45">
        <f t="shared" si="20"/>
        <v>-0.16129032258064513</v>
      </c>
      <c r="L22" s="99"/>
      <c r="M22" s="28" t="s">
        <v>22</v>
      </c>
      <c r="N22" s="40">
        <v>5</v>
      </c>
      <c r="O22" s="40">
        <v>5</v>
      </c>
      <c r="P22" s="24">
        <f t="shared" ref="P22:P29" si="42">N22-O22</f>
        <v>0</v>
      </c>
      <c r="Q22" s="41">
        <v>11</v>
      </c>
      <c r="R22" s="44">
        <f t="shared" si="21"/>
        <v>-6</v>
      </c>
      <c r="S22" s="42">
        <f>N22/31</f>
        <v>0.16129032258064516</v>
      </c>
      <c r="T22" s="42">
        <f>O22/31</f>
        <v>0.16129032258064516</v>
      </c>
      <c r="U22" s="73">
        <f t="shared" ref="U22:U29" si="43">S22-T22</f>
        <v>0</v>
      </c>
      <c r="V22" s="45">
        <f>Q22/31</f>
        <v>0.35483870967741937</v>
      </c>
      <c r="W22" s="93">
        <f t="shared" si="22"/>
        <v>-0.19354838709677422</v>
      </c>
      <c r="X22" s="42"/>
      <c r="Y22" s="96" t="s">
        <v>22</v>
      </c>
      <c r="Z22" s="40">
        <v>4</v>
      </c>
      <c r="AA22" s="40">
        <v>4</v>
      </c>
      <c r="AB22" s="24">
        <f t="shared" ref="AB22:AB29" si="44">Z22-AA22</f>
        <v>0</v>
      </c>
      <c r="AC22" s="41">
        <v>7</v>
      </c>
      <c r="AD22" s="44">
        <f t="shared" si="23"/>
        <v>-3</v>
      </c>
      <c r="AE22" s="42">
        <f>Z22/31</f>
        <v>0.12903225806451613</v>
      </c>
      <c r="AF22" s="42">
        <f>AA22/31</f>
        <v>0.12903225806451613</v>
      </c>
      <c r="AG22" s="84">
        <f t="shared" ref="AG22:AG29" si="45">AE22-AF22</f>
        <v>0</v>
      </c>
      <c r="AH22" s="93">
        <f>AC22/31</f>
        <v>0.22580645161290322</v>
      </c>
      <c r="AI22" s="45">
        <f t="shared" si="24"/>
        <v>-9.6774193548387094E-2</v>
      </c>
      <c r="AJ22" s="99"/>
      <c r="AK22" s="28" t="s">
        <v>22</v>
      </c>
      <c r="AL22" s="106">
        <v>7</v>
      </c>
      <c r="AM22" s="106">
        <v>7</v>
      </c>
      <c r="AN22" s="24">
        <f t="shared" ref="AN22:AN29" si="46">AL22-AM22</f>
        <v>0</v>
      </c>
      <c r="AO22" s="41">
        <v>13</v>
      </c>
      <c r="AP22" s="44">
        <f t="shared" si="25"/>
        <v>-6</v>
      </c>
      <c r="AQ22" s="42">
        <f>AL22/31</f>
        <v>0.22580645161290322</v>
      </c>
      <c r="AR22" s="42">
        <f>AM22/31</f>
        <v>0.22580645161290322</v>
      </c>
      <c r="AS22" s="73">
        <f t="shared" ref="AS22:AS29" si="47">AQ22-AR22</f>
        <v>0</v>
      </c>
      <c r="AT22" s="45">
        <f>AO22/31</f>
        <v>0.41935483870967744</v>
      </c>
      <c r="AU22" s="45">
        <f t="shared" si="26"/>
        <v>-0.19354838709677422</v>
      </c>
      <c r="AV22" s="99"/>
      <c r="AW22" s="28" t="s">
        <v>22</v>
      </c>
      <c r="AX22" s="106">
        <v>0</v>
      </c>
      <c r="AY22" s="106">
        <v>0</v>
      </c>
      <c r="AZ22" s="24">
        <f t="shared" ref="AZ22:AZ29" si="48">AX22-AY22</f>
        <v>0</v>
      </c>
      <c r="BA22" s="41">
        <v>8</v>
      </c>
      <c r="BB22" s="44">
        <f t="shared" si="27"/>
        <v>-8</v>
      </c>
      <c r="BC22" s="42">
        <f>AX22/31</f>
        <v>0</v>
      </c>
      <c r="BD22" s="42">
        <f>AY22/31</f>
        <v>0</v>
      </c>
      <c r="BE22" s="84">
        <f t="shared" ref="BE22:BE29" si="49">BC22-BD22</f>
        <v>0</v>
      </c>
      <c r="BF22" s="45">
        <f>BA22/31</f>
        <v>0.25806451612903225</v>
      </c>
      <c r="BG22" s="45">
        <f t="shared" si="28"/>
        <v>-0.25806451612903225</v>
      </c>
      <c r="BH22" s="99"/>
      <c r="BI22" s="28" t="s">
        <v>22</v>
      </c>
      <c r="BJ22" s="106">
        <v>17</v>
      </c>
      <c r="BK22" s="106">
        <v>17</v>
      </c>
      <c r="BL22" s="24">
        <f t="shared" ref="BL22:BL29" si="50">BJ22-BK22</f>
        <v>0</v>
      </c>
      <c r="BM22" s="41">
        <v>10</v>
      </c>
      <c r="BN22" s="44">
        <f t="shared" si="29"/>
        <v>7</v>
      </c>
      <c r="BO22" s="42">
        <f>BJ22/31</f>
        <v>0.54838709677419351</v>
      </c>
      <c r="BP22" s="42">
        <f>BK22/31</f>
        <v>0.54838709677419351</v>
      </c>
      <c r="BQ22" s="84">
        <f t="shared" ref="BQ22:BQ29" si="51">BO22-BP22</f>
        <v>0</v>
      </c>
      <c r="BR22" s="45">
        <f>BM22/31</f>
        <v>0.32258064516129031</v>
      </c>
      <c r="BS22" s="45">
        <f t="shared" si="30"/>
        <v>0.22580645161290319</v>
      </c>
      <c r="BT22" s="99"/>
      <c r="BU22" s="28" t="s">
        <v>22</v>
      </c>
      <c r="BV22" s="106"/>
      <c r="BW22" s="106"/>
      <c r="BX22" s="24">
        <f t="shared" ref="BX22:BX29" si="52">BV22-BW22</f>
        <v>0</v>
      </c>
      <c r="BY22" s="41"/>
      <c r="BZ22" s="44">
        <f t="shared" si="31"/>
        <v>0</v>
      </c>
      <c r="CA22" s="42">
        <f>BV22/31</f>
        <v>0</v>
      </c>
      <c r="CB22" s="42">
        <f>BW22/31</f>
        <v>0</v>
      </c>
      <c r="CC22" s="84">
        <f t="shared" ref="CC22:CC29" si="53">CA22-CB22</f>
        <v>0</v>
      </c>
      <c r="CD22" s="45">
        <f>BY22/31</f>
        <v>0</v>
      </c>
      <c r="CE22" s="45">
        <f t="shared" si="32"/>
        <v>0</v>
      </c>
      <c r="CF22" s="99"/>
      <c r="CG22" s="28" t="s">
        <v>22</v>
      </c>
      <c r="CH22" s="104">
        <f t="shared" si="35"/>
        <v>42</v>
      </c>
      <c r="CI22" s="24">
        <f t="shared" si="36"/>
        <v>42</v>
      </c>
      <c r="CJ22" s="24">
        <f t="shared" si="38"/>
        <v>0</v>
      </c>
      <c r="CK22" s="50">
        <f t="shared" si="37"/>
        <v>63</v>
      </c>
      <c r="CL22" s="58">
        <f t="shared" si="33"/>
        <v>-21</v>
      </c>
      <c r="CM22" s="42">
        <f>CH22/186</f>
        <v>0.22580645161290322</v>
      </c>
      <c r="CN22" s="42">
        <f>CI22/186</f>
        <v>0.22580645161290322</v>
      </c>
      <c r="CO22" s="84">
        <f t="shared" si="39"/>
        <v>0</v>
      </c>
      <c r="CP22" s="45">
        <f>CK22/186</f>
        <v>0.33870967741935482</v>
      </c>
      <c r="CQ22" s="45">
        <f t="shared" si="34"/>
        <v>-0.1129032258064516</v>
      </c>
    </row>
    <row r="23" spans="1:95" s="8" customFormat="1" ht="18" customHeight="1" x14ac:dyDescent="0.2">
      <c r="A23" s="28" t="s">
        <v>24</v>
      </c>
      <c r="B23" s="40">
        <v>13</v>
      </c>
      <c r="C23" s="40">
        <v>13</v>
      </c>
      <c r="D23" s="24">
        <f t="shared" si="40"/>
        <v>0</v>
      </c>
      <c r="E23" s="41">
        <v>21</v>
      </c>
      <c r="F23" s="44">
        <f t="shared" si="19"/>
        <v>-8</v>
      </c>
      <c r="G23" s="42">
        <f>B23/31</f>
        <v>0.41935483870967744</v>
      </c>
      <c r="H23" s="42">
        <f>C23/31</f>
        <v>0.41935483870967744</v>
      </c>
      <c r="I23" s="73">
        <f t="shared" si="41"/>
        <v>0</v>
      </c>
      <c r="J23" s="45">
        <f>E23/31</f>
        <v>0.67741935483870963</v>
      </c>
      <c r="K23" s="45">
        <f t="shared" si="20"/>
        <v>-0.2580645161290322</v>
      </c>
      <c r="L23" s="99"/>
      <c r="M23" s="28" t="s">
        <v>24</v>
      </c>
      <c r="N23" s="40">
        <v>11</v>
      </c>
      <c r="O23" s="40">
        <v>6</v>
      </c>
      <c r="P23" s="24">
        <f t="shared" si="42"/>
        <v>5</v>
      </c>
      <c r="Q23" s="41">
        <v>11</v>
      </c>
      <c r="R23" s="44">
        <f t="shared" si="21"/>
        <v>0</v>
      </c>
      <c r="S23" s="42">
        <f>N23/31</f>
        <v>0.35483870967741937</v>
      </c>
      <c r="T23" s="42">
        <f>O23/31</f>
        <v>0.19354838709677419</v>
      </c>
      <c r="U23" s="73">
        <f t="shared" si="43"/>
        <v>0.16129032258064518</v>
      </c>
      <c r="V23" s="45">
        <f>Q23/31</f>
        <v>0.35483870967741937</v>
      </c>
      <c r="W23" s="93">
        <f t="shared" si="22"/>
        <v>0</v>
      </c>
      <c r="X23" s="42"/>
      <c r="Y23" s="96" t="s">
        <v>24</v>
      </c>
      <c r="Z23" s="40">
        <v>2</v>
      </c>
      <c r="AA23" s="40">
        <v>0</v>
      </c>
      <c r="AB23" s="24">
        <f t="shared" si="44"/>
        <v>2</v>
      </c>
      <c r="AC23" s="41">
        <v>6</v>
      </c>
      <c r="AD23" s="44">
        <f t="shared" si="23"/>
        <v>-4</v>
      </c>
      <c r="AE23" s="42">
        <f>Z23/31</f>
        <v>6.4516129032258063E-2</v>
      </c>
      <c r="AF23" s="42">
        <f>AA23/31</f>
        <v>0</v>
      </c>
      <c r="AG23" s="84">
        <f t="shared" si="45"/>
        <v>6.4516129032258063E-2</v>
      </c>
      <c r="AH23" s="93">
        <f>AC23/31</f>
        <v>0.19354838709677419</v>
      </c>
      <c r="AI23" s="45">
        <f t="shared" si="24"/>
        <v>-0.12903225806451613</v>
      </c>
      <c r="AJ23" s="99"/>
      <c r="AK23" s="28" t="s">
        <v>24</v>
      </c>
      <c r="AL23" s="106">
        <v>2</v>
      </c>
      <c r="AM23" s="106">
        <v>6</v>
      </c>
      <c r="AN23" s="24">
        <f t="shared" si="46"/>
        <v>-4</v>
      </c>
      <c r="AO23" s="41">
        <v>7</v>
      </c>
      <c r="AP23" s="44">
        <f t="shared" si="25"/>
        <v>-5</v>
      </c>
      <c r="AQ23" s="42">
        <f>AL23/31</f>
        <v>6.4516129032258063E-2</v>
      </c>
      <c r="AR23" s="42">
        <f>AM23/31</f>
        <v>0.19354838709677419</v>
      </c>
      <c r="AS23" s="73">
        <f t="shared" si="47"/>
        <v>-0.12903225806451613</v>
      </c>
      <c r="AT23" s="45">
        <f>AO23/31</f>
        <v>0.22580645161290322</v>
      </c>
      <c r="AU23" s="45">
        <f t="shared" si="26"/>
        <v>-0.16129032258064516</v>
      </c>
      <c r="AV23" s="99"/>
      <c r="AW23" s="28" t="s">
        <v>24</v>
      </c>
      <c r="AX23" s="106">
        <v>0</v>
      </c>
      <c r="AY23" s="106">
        <v>0</v>
      </c>
      <c r="AZ23" s="24">
        <f t="shared" si="48"/>
        <v>0</v>
      </c>
      <c r="BA23" s="41">
        <v>7</v>
      </c>
      <c r="BB23" s="44">
        <f t="shared" si="27"/>
        <v>-7</v>
      </c>
      <c r="BC23" s="42">
        <f>AX23/31</f>
        <v>0</v>
      </c>
      <c r="BD23" s="42">
        <f>AY23/31</f>
        <v>0</v>
      </c>
      <c r="BE23" s="84">
        <f t="shared" si="49"/>
        <v>0</v>
      </c>
      <c r="BF23" s="45">
        <f>BA23/31</f>
        <v>0.22580645161290322</v>
      </c>
      <c r="BG23" s="45">
        <f t="shared" si="28"/>
        <v>-0.22580645161290322</v>
      </c>
      <c r="BH23" s="99"/>
      <c r="BI23" s="28" t="s">
        <v>24</v>
      </c>
      <c r="BJ23" s="106">
        <v>8</v>
      </c>
      <c r="BK23" s="106">
        <v>8</v>
      </c>
      <c r="BL23" s="24">
        <f t="shared" si="50"/>
        <v>0</v>
      </c>
      <c r="BM23" s="41">
        <v>15</v>
      </c>
      <c r="BN23" s="44">
        <f t="shared" si="29"/>
        <v>-7</v>
      </c>
      <c r="BO23" s="42">
        <f>BJ23/31</f>
        <v>0.25806451612903225</v>
      </c>
      <c r="BP23" s="42">
        <f>BK23/31</f>
        <v>0.25806451612903225</v>
      </c>
      <c r="BQ23" s="84">
        <f t="shared" si="51"/>
        <v>0</v>
      </c>
      <c r="BR23" s="45">
        <f>BM23/31</f>
        <v>0.4838709677419355</v>
      </c>
      <c r="BS23" s="45">
        <f t="shared" si="30"/>
        <v>-0.22580645161290325</v>
      </c>
      <c r="BT23" s="99"/>
      <c r="BU23" s="28" t="s">
        <v>24</v>
      </c>
      <c r="BV23" s="106"/>
      <c r="BW23" s="106"/>
      <c r="BX23" s="24">
        <f t="shared" si="52"/>
        <v>0</v>
      </c>
      <c r="BY23" s="41"/>
      <c r="BZ23" s="44">
        <f t="shared" si="31"/>
        <v>0</v>
      </c>
      <c r="CA23" s="42">
        <f>BV23/31</f>
        <v>0</v>
      </c>
      <c r="CB23" s="42">
        <f>BW23/31</f>
        <v>0</v>
      </c>
      <c r="CC23" s="84">
        <f t="shared" si="53"/>
        <v>0</v>
      </c>
      <c r="CD23" s="45">
        <f>BY23/31</f>
        <v>0</v>
      </c>
      <c r="CE23" s="45">
        <f t="shared" si="32"/>
        <v>0</v>
      </c>
      <c r="CF23" s="99"/>
      <c r="CG23" s="28" t="s">
        <v>24</v>
      </c>
      <c r="CH23" s="104">
        <f t="shared" si="35"/>
        <v>36</v>
      </c>
      <c r="CI23" s="24">
        <f t="shared" si="36"/>
        <v>33</v>
      </c>
      <c r="CJ23" s="24">
        <f t="shared" si="38"/>
        <v>3</v>
      </c>
      <c r="CK23" s="50">
        <f t="shared" si="37"/>
        <v>67</v>
      </c>
      <c r="CL23" s="58">
        <f t="shared" si="33"/>
        <v>-31</v>
      </c>
      <c r="CM23" s="42">
        <f>CH23/217</f>
        <v>0.16589861751152074</v>
      </c>
      <c r="CN23" s="42">
        <f>CI23/217</f>
        <v>0.15207373271889402</v>
      </c>
      <c r="CO23" s="84">
        <f t="shared" si="39"/>
        <v>1.3824884792626724E-2</v>
      </c>
      <c r="CP23" s="45">
        <f>CK23/186</f>
        <v>0.36021505376344087</v>
      </c>
      <c r="CQ23" s="45">
        <f t="shared" si="34"/>
        <v>-0.19431643625192013</v>
      </c>
    </row>
    <row r="24" spans="1:95" s="8" customFormat="1" ht="18" customHeight="1" x14ac:dyDescent="0.2">
      <c r="A24" s="28" t="s">
        <v>25</v>
      </c>
      <c r="B24" s="40">
        <v>17</v>
      </c>
      <c r="C24" s="40">
        <v>18</v>
      </c>
      <c r="D24" s="24">
        <f t="shared" si="40"/>
        <v>-1</v>
      </c>
      <c r="E24" s="41">
        <v>15</v>
      </c>
      <c r="F24" s="44">
        <f t="shared" si="19"/>
        <v>2</v>
      </c>
      <c r="G24" s="42">
        <f>B24/30</f>
        <v>0.56666666666666665</v>
      </c>
      <c r="H24" s="42">
        <f>C24/30</f>
        <v>0.6</v>
      </c>
      <c r="I24" s="73">
        <f t="shared" si="41"/>
        <v>-3.3333333333333326E-2</v>
      </c>
      <c r="J24" s="45">
        <f>E24/30</f>
        <v>0.5</v>
      </c>
      <c r="K24" s="45">
        <f t="shared" si="20"/>
        <v>6.6666666666666652E-2</v>
      </c>
      <c r="L24" s="99"/>
      <c r="M24" s="28" t="s">
        <v>25</v>
      </c>
      <c r="N24" s="40">
        <v>4</v>
      </c>
      <c r="O24" s="40">
        <v>4</v>
      </c>
      <c r="P24" s="24">
        <f t="shared" si="42"/>
        <v>0</v>
      </c>
      <c r="Q24" s="41">
        <v>15</v>
      </c>
      <c r="R24" s="44">
        <f t="shared" si="21"/>
        <v>-11</v>
      </c>
      <c r="S24" s="42">
        <f>N24/30</f>
        <v>0.13333333333333333</v>
      </c>
      <c r="T24" s="42">
        <f>O24/30</f>
        <v>0.13333333333333333</v>
      </c>
      <c r="U24" s="73">
        <f t="shared" si="43"/>
        <v>0</v>
      </c>
      <c r="V24" s="45">
        <f>Q24/30</f>
        <v>0.5</v>
      </c>
      <c r="W24" s="93">
        <f t="shared" si="22"/>
        <v>-0.3666666666666667</v>
      </c>
      <c r="X24" s="42"/>
      <c r="Y24" s="96" t="s">
        <v>25</v>
      </c>
      <c r="Z24" s="40">
        <v>0</v>
      </c>
      <c r="AA24" s="40">
        <v>0</v>
      </c>
      <c r="AB24" s="24">
        <f t="shared" si="44"/>
        <v>0</v>
      </c>
      <c r="AC24" s="41">
        <v>4</v>
      </c>
      <c r="AD24" s="44">
        <f t="shared" si="23"/>
        <v>-4</v>
      </c>
      <c r="AE24" s="42">
        <f>Z24/30</f>
        <v>0</v>
      </c>
      <c r="AF24" s="42">
        <f>AA24/30</f>
        <v>0</v>
      </c>
      <c r="AG24" s="84">
        <f t="shared" si="45"/>
        <v>0</v>
      </c>
      <c r="AH24" s="93">
        <f>AC24/30</f>
        <v>0.13333333333333333</v>
      </c>
      <c r="AI24" s="45">
        <f t="shared" si="24"/>
        <v>-0.13333333333333333</v>
      </c>
      <c r="AJ24" s="99"/>
      <c r="AK24" s="28" t="s">
        <v>25</v>
      </c>
      <c r="AL24" s="106">
        <v>14</v>
      </c>
      <c r="AM24" s="106">
        <v>14</v>
      </c>
      <c r="AN24" s="24">
        <f t="shared" si="46"/>
        <v>0</v>
      </c>
      <c r="AO24" s="41">
        <v>0</v>
      </c>
      <c r="AP24" s="44">
        <f t="shared" si="25"/>
        <v>14</v>
      </c>
      <c r="AQ24" s="42">
        <f>AL24/30</f>
        <v>0.46666666666666667</v>
      </c>
      <c r="AR24" s="42">
        <f>AM24/30</f>
        <v>0.46666666666666667</v>
      </c>
      <c r="AS24" s="73">
        <f t="shared" si="47"/>
        <v>0</v>
      </c>
      <c r="AT24" s="45">
        <f>AO24/30</f>
        <v>0</v>
      </c>
      <c r="AU24" s="45">
        <f t="shared" si="26"/>
        <v>0.46666666666666667</v>
      </c>
      <c r="AV24" s="99"/>
      <c r="AW24" s="28" t="s">
        <v>25</v>
      </c>
      <c r="AX24" s="106">
        <v>0</v>
      </c>
      <c r="AY24" s="106">
        <v>0</v>
      </c>
      <c r="AZ24" s="24">
        <f t="shared" si="48"/>
        <v>0</v>
      </c>
      <c r="BA24" s="41">
        <v>14</v>
      </c>
      <c r="BB24" s="44">
        <f t="shared" si="27"/>
        <v>-14</v>
      </c>
      <c r="BC24" s="42">
        <f>AX24/30</f>
        <v>0</v>
      </c>
      <c r="BD24" s="42">
        <f>AY24/30</f>
        <v>0</v>
      </c>
      <c r="BE24" s="84">
        <f t="shared" si="49"/>
        <v>0</v>
      </c>
      <c r="BF24" s="45">
        <f>BA24/30</f>
        <v>0.46666666666666667</v>
      </c>
      <c r="BG24" s="45">
        <f t="shared" si="28"/>
        <v>-0.46666666666666667</v>
      </c>
      <c r="BH24" s="99"/>
      <c r="BI24" s="28" t="s">
        <v>25</v>
      </c>
      <c r="BJ24" s="106">
        <v>10</v>
      </c>
      <c r="BK24" s="106">
        <v>10</v>
      </c>
      <c r="BL24" s="24">
        <f t="shared" si="50"/>
        <v>0</v>
      </c>
      <c r="BM24" s="41">
        <v>12</v>
      </c>
      <c r="BN24" s="44">
        <f t="shared" si="29"/>
        <v>-2</v>
      </c>
      <c r="BO24" s="42">
        <f>BJ24/30</f>
        <v>0.33333333333333331</v>
      </c>
      <c r="BP24" s="42">
        <f>BK24/30</f>
        <v>0.33333333333333331</v>
      </c>
      <c r="BQ24" s="84">
        <f t="shared" si="51"/>
        <v>0</v>
      </c>
      <c r="BR24" s="45">
        <f>BM24/30</f>
        <v>0.4</v>
      </c>
      <c r="BS24" s="45">
        <f t="shared" si="30"/>
        <v>-6.6666666666666707E-2</v>
      </c>
      <c r="BT24" s="99"/>
      <c r="BU24" s="28" t="s">
        <v>25</v>
      </c>
      <c r="BV24" s="106"/>
      <c r="BW24" s="106"/>
      <c r="BX24" s="24">
        <f t="shared" si="52"/>
        <v>0</v>
      </c>
      <c r="BY24" s="41"/>
      <c r="BZ24" s="44">
        <f t="shared" si="31"/>
        <v>0</v>
      </c>
      <c r="CA24" s="42">
        <f>BV24/30</f>
        <v>0</v>
      </c>
      <c r="CB24" s="42">
        <f>BW24/30</f>
        <v>0</v>
      </c>
      <c r="CC24" s="84">
        <f t="shared" si="53"/>
        <v>0</v>
      </c>
      <c r="CD24" s="45">
        <f>BY24/30</f>
        <v>0</v>
      </c>
      <c r="CE24" s="45">
        <f t="shared" si="32"/>
        <v>0</v>
      </c>
      <c r="CF24" s="99"/>
      <c r="CG24" s="28" t="s">
        <v>25</v>
      </c>
      <c r="CH24" s="104">
        <f t="shared" si="35"/>
        <v>45</v>
      </c>
      <c r="CI24" s="24">
        <f t="shared" si="36"/>
        <v>46</v>
      </c>
      <c r="CJ24" s="24">
        <f t="shared" si="38"/>
        <v>-1</v>
      </c>
      <c r="CK24" s="50">
        <f t="shared" si="37"/>
        <v>60</v>
      </c>
      <c r="CL24" s="58">
        <f t="shared" si="33"/>
        <v>-15</v>
      </c>
      <c r="CM24" s="42">
        <f>CH24/210</f>
        <v>0.21428571428571427</v>
      </c>
      <c r="CN24" s="42">
        <f>CI24/210</f>
        <v>0.21904761904761905</v>
      </c>
      <c r="CO24" s="84">
        <f t="shared" si="39"/>
        <v>-4.7619047619047727E-3</v>
      </c>
      <c r="CP24" s="45">
        <f>CK24/180</f>
        <v>0.33333333333333331</v>
      </c>
      <c r="CQ24" s="45">
        <f t="shared" si="34"/>
        <v>-0.11904761904761904</v>
      </c>
    </row>
    <row r="25" spans="1:95" s="8" customFormat="1" ht="18" customHeight="1" x14ac:dyDescent="0.2">
      <c r="A25" s="28" t="s">
        <v>26</v>
      </c>
      <c r="B25" s="40">
        <v>6</v>
      </c>
      <c r="C25" s="40">
        <v>8</v>
      </c>
      <c r="D25" s="24">
        <f t="shared" si="40"/>
        <v>-2</v>
      </c>
      <c r="E25" s="41">
        <v>22</v>
      </c>
      <c r="F25" s="44">
        <f t="shared" si="19"/>
        <v>-16</v>
      </c>
      <c r="G25" s="42">
        <f>B25/31</f>
        <v>0.19354838709677419</v>
      </c>
      <c r="H25" s="42">
        <f>C25/31</f>
        <v>0.25806451612903225</v>
      </c>
      <c r="I25" s="73">
        <f t="shared" si="41"/>
        <v>-6.4516129032258063E-2</v>
      </c>
      <c r="J25" s="45">
        <f>E25/31</f>
        <v>0.70967741935483875</v>
      </c>
      <c r="K25" s="45">
        <f t="shared" si="20"/>
        <v>-0.5161290322580645</v>
      </c>
      <c r="L25" s="99"/>
      <c r="M25" s="28" t="s">
        <v>26</v>
      </c>
      <c r="N25" s="40">
        <v>3</v>
      </c>
      <c r="O25" s="40">
        <v>3</v>
      </c>
      <c r="P25" s="24">
        <f t="shared" si="42"/>
        <v>0</v>
      </c>
      <c r="Q25" s="41">
        <v>20</v>
      </c>
      <c r="R25" s="44">
        <f t="shared" si="21"/>
        <v>-17</v>
      </c>
      <c r="S25" s="42">
        <f>N25/31</f>
        <v>9.6774193548387094E-2</v>
      </c>
      <c r="T25" s="42">
        <f>O25/31</f>
        <v>9.6774193548387094E-2</v>
      </c>
      <c r="U25" s="73">
        <f t="shared" si="43"/>
        <v>0</v>
      </c>
      <c r="V25" s="45">
        <f>Q25/31</f>
        <v>0.64516129032258063</v>
      </c>
      <c r="W25" s="93">
        <f t="shared" si="22"/>
        <v>-0.54838709677419351</v>
      </c>
      <c r="X25" s="42"/>
      <c r="Y25" s="96" t="s">
        <v>26</v>
      </c>
      <c r="Z25" s="40">
        <v>0</v>
      </c>
      <c r="AA25" s="40">
        <v>0</v>
      </c>
      <c r="AB25" s="24">
        <f t="shared" si="44"/>
        <v>0</v>
      </c>
      <c r="AC25" s="41">
        <v>4</v>
      </c>
      <c r="AD25" s="44">
        <f t="shared" si="23"/>
        <v>-4</v>
      </c>
      <c r="AE25" s="42">
        <f>Z25/31</f>
        <v>0</v>
      </c>
      <c r="AF25" s="42">
        <f>AA25/31</f>
        <v>0</v>
      </c>
      <c r="AG25" s="84">
        <f t="shared" si="45"/>
        <v>0</v>
      </c>
      <c r="AH25" s="93">
        <f>AC25/31</f>
        <v>0.12903225806451613</v>
      </c>
      <c r="AI25" s="45">
        <f t="shared" si="24"/>
        <v>-0.12903225806451613</v>
      </c>
      <c r="AJ25" s="99"/>
      <c r="AK25" s="28" t="s">
        <v>26</v>
      </c>
      <c r="AL25" s="106">
        <v>3</v>
      </c>
      <c r="AM25" s="106">
        <v>3</v>
      </c>
      <c r="AN25" s="24">
        <f t="shared" si="46"/>
        <v>0</v>
      </c>
      <c r="AO25" s="41">
        <v>8</v>
      </c>
      <c r="AP25" s="44">
        <f t="shared" si="25"/>
        <v>-5</v>
      </c>
      <c r="AQ25" s="42">
        <f>AL25/31</f>
        <v>9.6774193548387094E-2</v>
      </c>
      <c r="AR25" s="42">
        <f>AM25/31</f>
        <v>9.6774193548387094E-2</v>
      </c>
      <c r="AS25" s="73">
        <f t="shared" si="47"/>
        <v>0</v>
      </c>
      <c r="AT25" s="45">
        <f>AO25/31</f>
        <v>0.25806451612903225</v>
      </c>
      <c r="AU25" s="45">
        <f t="shared" si="26"/>
        <v>-0.16129032258064516</v>
      </c>
      <c r="AV25" s="99"/>
      <c r="AW25" s="28" t="s">
        <v>26</v>
      </c>
      <c r="AX25" s="106">
        <v>5</v>
      </c>
      <c r="AY25" s="106">
        <v>5</v>
      </c>
      <c r="AZ25" s="24">
        <f t="shared" si="48"/>
        <v>0</v>
      </c>
      <c r="BA25" s="41">
        <v>0</v>
      </c>
      <c r="BB25" s="44">
        <f t="shared" si="27"/>
        <v>5</v>
      </c>
      <c r="BC25" s="42">
        <f>AX25/31</f>
        <v>0.16129032258064516</v>
      </c>
      <c r="BD25" s="42">
        <f>AY25/31</f>
        <v>0.16129032258064516</v>
      </c>
      <c r="BE25" s="84">
        <f t="shared" si="49"/>
        <v>0</v>
      </c>
      <c r="BF25" s="45">
        <f>BA25/31</f>
        <v>0</v>
      </c>
      <c r="BG25" s="45">
        <f t="shared" si="28"/>
        <v>0.16129032258064516</v>
      </c>
      <c r="BH25" s="99"/>
      <c r="BI25" s="28" t="s">
        <v>26</v>
      </c>
      <c r="BJ25" s="106">
        <v>3</v>
      </c>
      <c r="BK25" s="106">
        <v>3</v>
      </c>
      <c r="BL25" s="24">
        <f t="shared" si="50"/>
        <v>0</v>
      </c>
      <c r="BM25" s="41">
        <v>18</v>
      </c>
      <c r="BN25" s="44">
        <f t="shared" si="29"/>
        <v>-15</v>
      </c>
      <c r="BO25" s="42">
        <f>BJ25/31</f>
        <v>9.6774193548387094E-2</v>
      </c>
      <c r="BP25" s="42">
        <f>BK25/31</f>
        <v>9.6774193548387094E-2</v>
      </c>
      <c r="BQ25" s="84">
        <f t="shared" si="51"/>
        <v>0</v>
      </c>
      <c r="BR25" s="45">
        <f>BM25/31</f>
        <v>0.58064516129032262</v>
      </c>
      <c r="BS25" s="45">
        <f t="shared" si="30"/>
        <v>-0.4838709677419355</v>
      </c>
      <c r="BT25" s="99"/>
      <c r="BU25" s="28" t="s">
        <v>26</v>
      </c>
      <c r="BV25" s="106"/>
      <c r="BW25" s="106"/>
      <c r="BX25" s="24">
        <f t="shared" si="52"/>
        <v>0</v>
      </c>
      <c r="BY25" s="41"/>
      <c r="BZ25" s="44">
        <f t="shared" si="31"/>
        <v>0</v>
      </c>
      <c r="CA25" s="42">
        <f>BV25/31</f>
        <v>0</v>
      </c>
      <c r="CB25" s="42">
        <f>BW25/31</f>
        <v>0</v>
      </c>
      <c r="CC25" s="84">
        <f t="shared" si="53"/>
        <v>0</v>
      </c>
      <c r="CD25" s="45">
        <f>BY25/31</f>
        <v>0</v>
      </c>
      <c r="CE25" s="45">
        <f t="shared" si="32"/>
        <v>0</v>
      </c>
      <c r="CF25" s="99"/>
      <c r="CG25" s="28" t="s">
        <v>26</v>
      </c>
      <c r="CH25" s="104">
        <f t="shared" si="35"/>
        <v>20</v>
      </c>
      <c r="CI25" s="24">
        <f t="shared" si="36"/>
        <v>22</v>
      </c>
      <c r="CJ25" s="24">
        <f t="shared" si="38"/>
        <v>-2</v>
      </c>
      <c r="CK25" s="50">
        <f t="shared" si="37"/>
        <v>72</v>
      </c>
      <c r="CL25" s="58">
        <f t="shared" si="33"/>
        <v>-52</v>
      </c>
      <c r="CM25" s="42">
        <f>CH25/217</f>
        <v>9.2165898617511524E-2</v>
      </c>
      <c r="CN25" s="42">
        <f>CI25/217</f>
        <v>0.10138248847926268</v>
      </c>
      <c r="CO25" s="84">
        <f t="shared" si="39"/>
        <v>-9.2165898617511538E-3</v>
      </c>
      <c r="CP25" s="45">
        <f>CK25/186</f>
        <v>0.38709677419354838</v>
      </c>
      <c r="CQ25" s="45">
        <f t="shared" si="34"/>
        <v>-0.29493087557603687</v>
      </c>
    </row>
    <row r="26" spans="1:95" s="8" customFormat="1" ht="18" customHeight="1" x14ac:dyDescent="0.2">
      <c r="A26" s="28" t="s">
        <v>27</v>
      </c>
      <c r="B26" s="40">
        <v>20</v>
      </c>
      <c r="C26" s="40">
        <v>20</v>
      </c>
      <c r="D26" s="24">
        <f t="shared" si="40"/>
        <v>0</v>
      </c>
      <c r="E26" s="41">
        <v>25</v>
      </c>
      <c r="F26" s="44">
        <f t="shared" si="19"/>
        <v>-5</v>
      </c>
      <c r="G26" s="42">
        <f>B26/30</f>
        <v>0.66666666666666663</v>
      </c>
      <c r="H26" s="42">
        <f>C26/30</f>
        <v>0.66666666666666663</v>
      </c>
      <c r="I26" s="73">
        <f t="shared" si="41"/>
        <v>0</v>
      </c>
      <c r="J26" s="45">
        <f>E26/30</f>
        <v>0.83333333333333337</v>
      </c>
      <c r="K26" s="45">
        <f t="shared" si="20"/>
        <v>-0.16666666666666674</v>
      </c>
      <c r="L26" s="99"/>
      <c r="M26" s="28" t="s">
        <v>27</v>
      </c>
      <c r="N26" s="40">
        <v>3</v>
      </c>
      <c r="O26" s="40">
        <v>3</v>
      </c>
      <c r="P26" s="24">
        <f t="shared" si="42"/>
        <v>0</v>
      </c>
      <c r="Q26" s="41">
        <v>25</v>
      </c>
      <c r="R26" s="44">
        <f t="shared" si="21"/>
        <v>-22</v>
      </c>
      <c r="S26" s="42">
        <f>N26/30</f>
        <v>0.1</v>
      </c>
      <c r="T26" s="42">
        <f>O26/30</f>
        <v>0.1</v>
      </c>
      <c r="U26" s="73">
        <f t="shared" si="43"/>
        <v>0</v>
      </c>
      <c r="V26" s="45">
        <f>Q26/30</f>
        <v>0.83333333333333337</v>
      </c>
      <c r="W26" s="93">
        <f t="shared" si="22"/>
        <v>-0.73333333333333339</v>
      </c>
      <c r="X26" s="42"/>
      <c r="Y26" s="96" t="s">
        <v>27</v>
      </c>
      <c r="Z26" s="40">
        <v>3</v>
      </c>
      <c r="AA26" s="40">
        <v>3</v>
      </c>
      <c r="AB26" s="24">
        <f t="shared" si="44"/>
        <v>0</v>
      </c>
      <c r="AC26" s="41">
        <v>14</v>
      </c>
      <c r="AD26" s="44">
        <f t="shared" si="23"/>
        <v>-11</v>
      </c>
      <c r="AE26" s="42">
        <f>Z26/30</f>
        <v>0.1</v>
      </c>
      <c r="AF26" s="42">
        <f>AA26/30</f>
        <v>0.1</v>
      </c>
      <c r="AG26" s="73">
        <f t="shared" si="45"/>
        <v>0</v>
      </c>
      <c r="AH26" s="93">
        <f>AC26/30</f>
        <v>0.46666666666666667</v>
      </c>
      <c r="AI26" s="45">
        <f t="shared" si="24"/>
        <v>-0.3666666666666667</v>
      </c>
      <c r="AJ26" s="99"/>
      <c r="AK26" s="28" t="s">
        <v>27</v>
      </c>
      <c r="AL26" s="106">
        <v>17</v>
      </c>
      <c r="AM26" s="106">
        <v>17</v>
      </c>
      <c r="AN26" s="24">
        <f t="shared" si="46"/>
        <v>0</v>
      </c>
      <c r="AO26" s="41">
        <v>26</v>
      </c>
      <c r="AP26" s="44">
        <f t="shared" si="25"/>
        <v>-9</v>
      </c>
      <c r="AQ26" s="42">
        <f>AL26/30</f>
        <v>0.56666666666666665</v>
      </c>
      <c r="AR26" s="42">
        <f>AM26/30</f>
        <v>0.56666666666666665</v>
      </c>
      <c r="AS26" s="73">
        <f t="shared" si="47"/>
        <v>0</v>
      </c>
      <c r="AT26" s="45">
        <f>AO26/30</f>
        <v>0.8666666666666667</v>
      </c>
      <c r="AU26" s="45">
        <f t="shared" si="26"/>
        <v>-0.30000000000000004</v>
      </c>
      <c r="AV26" s="99"/>
      <c r="AW26" s="28" t="s">
        <v>27</v>
      </c>
      <c r="AX26" s="106">
        <v>16</v>
      </c>
      <c r="AY26" s="106">
        <v>16</v>
      </c>
      <c r="AZ26" s="24">
        <f t="shared" si="48"/>
        <v>0</v>
      </c>
      <c r="BA26" s="41">
        <v>0</v>
      </c>
      <c r="BB26" s="44">
        <f t="shared" si="27"/>
        <v>16</v>
      </c>
      <c r="BC26" s="42">
        <f>AX26/30</f>
        <v>0.53333333333333333</v>
      </c>
      <c r="BD26" s="42">
        <f>AY26/30</f>
        <v>0.53333333333333333</v>
      </c>
      <c r="BE26" s="84">
        <f t="shared" si="49"/>
        <v>0</v>
      </c>
      <c r="BF26" s="45">
        <f>BA26/30</f>
        <v>0</v>
      </c>
      <c r="BG26" s="45">
        <f t="shared" si="28"/>
        <v>0.53333333333333333</v>
      </c>
      <c r="BH26" s="99"/>
      <c r="BI26" s="28" t="s">
        <v>27</v>
      </c>
      <c r="BJ26" s="106">
        <v>21</v>
      </c>
      <c r="BK26" s="106">
        <v>18</v>
      </c>
      <c r="BL26" s="24">
        <f t="shared" si="50"/>
        <v>3</v>
      </c>
      <c r="BM26" s="41">
        <v>25</v>
      </c>
      <c r="BN26" s="44">
        <f t="shared" si="29"/>
        <v>-4</v>
      </c>
      <c r="BO26" s="42">
        <f>BJ26/30</f>
        <v>0.7</v>
      </c>
      <c r="BP26" s="42">
        <f>BK26/30</f>
        <v>0.6</v>
      </c>
      <c r="BQ26" s="84">
        <f t="shared" si="51"/>
        <v>9.9999999999999978E-2</v>
      </c>
      <c r="BR26" s="45">
        <f>BM26/30</f>
        <v>0.83333333333333337</v>
      </c>
      <c r="BS26" s="45">
        <f t="shared" si="30"/>
        <v>-0.13333333333333341</v>
      </c>
      <c r="BT26" s="99"/>
      <c r="BU26" s="28" t="s">
        <v>27</v>
      </c>
      <c r="BV26" s="106"/>
      <c r="BW26" s="106"/>
      <c r="BX26" s="24">
        <f t="shared" si="52"/>
        <v>0</v>
      </c>
      <c r="BY26" s="41"/>
      <c r="BZ26" s="44">
        <f t="shared" si="31"/>
        <v>0</v>
      </c>
      <c r="CA26" s="42">
        <f>BV26/30</f>
        <v>0</v>
      </c>
      <c r="CB26" s="42">
        <f>BW26/30</f>
        <v>0</v>
      </c>
      <c r="CC26" s="84">
        <f t="shared" si="53"/>
        <v>0</v>
      </c>
      <c r="CD26" s="45">
        <f>BY26/30</f>
        <v>0</v>
      </c>
      <c r="CE26" s="45">
        <f t="shared" si="32"/>
        <v>0</v>
      </c>
      <c r="CF26" s="99"/>
      <c r="CG26" s="28" t="s">
        <v>27</v>
      </c>
      <c r="CH26" s="104">
        <f t="shared" si="35"/>
        <v>80</v>
      </c>
      <c r="CI26" s="24">
        <f t="shared" si="36"/>
        <v>77</v>
      </c>
      <c r="CJ26" s="24">
        <f t="shared" si="38"/>
        <v>3</v>
      </c>
      <c r="CK26" s="50">
        <f t="shared" si="37"/>
        <v>115</v>
      </c>
      <c r="CL26" s="58">
        <f t="shared" si="33"/>
        <v>-35</v>
      </c>
      <c r="CM26" s="42">
        <f>CH26/210</f>
        <v>0.38095238095238093</v>
      </c>
      <c r="CN26" s="42">
        <f>CI26/210</f>
        <v>0.36666666666666664</v>
      </c>
      <c r="CO26" s="84">
        <f t="shared" si="39"/>
        <v>1.428571428571429E-2</v>
      </c>
      <c r="CP26" s="45">
        <f>CK26/180</f>
        <v>0.63888888888888884</v>
      </c>
      <c r="CQ26" s="45">
        <f t="shared" si="34"/>
        <v>-0.25793650793650791</v>
      </c>
    </row>
    <row r="27" spans="1:95" s="8" customFormat="1" ht="18" customHeight="1" x14ac:dyDescent="0.2">
      <c r="A27" s="28" t="s">
        <v>28</v>
      </c>
      <c r="B27" s="40">
        <v>22</v>
      </c>
      <c r="C27" s="40">
        <v>22</v>
      </c>
      <c r="D27" s="24">
        <f t="shared" si="40"/>
        <v>0</v>
      </c>
      <c r="E27" s="41">
        <v>26</v>
      </c>
      <c r="F27" s="44">
        <f t="shared" si="19"/>
        <v>-4</v>
      </c>
      <c r="G27" s="42">
        <f>B27/31</f>
        <v>0.70967741935483875</v>
      </c>
      <c r="H27" s="42">
        <f>C27/31</f>
        <v>0.70967741935483875</v>
      </c>
      <c r="I27" s="73">
        <f t="shared" si="41"/>
        <v>0</v>
      </c>
      <c r="J27" s="45">
        <f>E27/31</f>
        <v>0.83870967741935487</v>
      </c>
      <c r="K27" s="45">
        <f t="shared" si="20"/>
        <v>-0.12903225806451613</v>
      </c>
      <c r="L27" s="99"/>
      <c r="M27" s="28" t="s">
        <v>28</v>
      </c>
      <c r="N27" s="40">
        <v>22</v>
      </c>
      <c r="O27" s="40">
        <v>22</v>
      </c>
      <c r="P27" s="24">
        <f t="shared" si="42"/>
        <v>0</v>
      </c>
      <c r="Q27" s="41">
        <v>29</v>
      </c>
      <c r="R27" s="44">
        <f t="shared" si="21"/>
        <v>-7</v>
      </c>
      <c r="S27" s="42">
        <f>N27/31</f>
        <v>0.70967741935483875</v>
      </c>
      <c r="T27" s="42">
        <f>O27/31</f>
        <v>0.70967741935483875</v>
      </c>
      <c r="U27" s="73">
        <f t="shared" si="43"/>
        <v>0</v>
      </c>
      <c r="V27" s="45">
        <f>Q27/31</f>
        <v>0.93548387096774188</v>
      </c>
      <c r="W27" s="93">
        <f t="shared" si="22"/>
        <v>-0.22580645161290314</v>
      </c>
      <c r="X27" s="42"/>
      <c r="Y27" s="96" t="s">
        <v>28</v>
      </c>
      <c r="Z27" s="40">
        <v>25</v>
      </c>
      <c r="AA27" s="40">
        <v>20</v>
      </c>
      <c r="AB27" s="24">
        <f t="shared" si="44"/>
        <v>5</v>
      </c>
      <c r="AC27" s="41">
        <v>9</v>
      </c>
      <c r="AD27" s="44">
        <f t="shared" si="23"/>
        <v>16</v>
      </c>
      <c r="AE27" s="42">
        <f>Z27/31</f>
        <v>0.80645161290322576</v>
      </c>
      <c r="AF27" s="42">
        <f>AA27/31</f>
        <v>0.64516129032258063</v>
      </c>
      <c r="AG27" s="73">
        <f t="shared" si="45"/>
        <v>0.16129032258064513</v>
      </c>
      <c r="AH27" s="93">
        <f>AC27/31</f>
        <v>0.29032258064516131</v>
      </c>
      <c r="AI27" s="45">
        <f t="shared" si="24"/>
        <v>0.5161290322580645</v>
      </c>
      <c r="AJ27" s="99"/>
      <c r="AK27" s="28" t="s">
        <v>28</v>
      </c>
      <c r="AL27" s="106">
        <v>26</v>
      </c>
      <c r="AM27" s="106">
        <v>26</v>
      </c>
      <c r="AN27" s="24">
        <f t="shared" si="46"/>
        <v>0</v>
      </c>
      <c r="AO27" s="41">
        <v>30</v>
      </c>
      <c r="AP27" s="44">
        <f t="shared" si="25"/>
        <v>-4</v>
      </c>
      <c r="AQ27" s="42">
        <f>AL27/31</f>
        <v>0.83870967741935487</v>
      </c>
      <c r="AR27" s="42">
        <f>AM27/31</f>
        <v>0.83870967741935487</v>
      </c>
      <c r="AS27" s="73">
        <f t="shared" si="47"/>
        <v>0</v>
      </c>
      <c r="AT27" s="45">
        <f>AO27/31</f>
        <v>0.967741935483871</v>
      </c>
      <c r="AU27" s="45">
        <f t="shared" si="26"/>
        <v>-0.12903225806451613</v>
      </c>
      <c r="AV27" s="99"/>
      <c r="AW27" s="28" t="s">
        <v>28</v>
      </c>
      <c r="AX27" s="106">
        <v>21</v>
      </c>
      <c r="AY27" s="106">
        <v>21</v>
      </c>
      <c r="AZ27" s="24">
        <f t="shared" si="48"/>
        <v>0</v>
      </c>
      <c r="BA27" s="41">
        <v>16</v>
      </c>
      <c r="BB27" s="44">
        <f t="shared" si="27"/>
        <v>5</v>
      </c>
      <c r="BC27" s="42">
        <f>AX27/31</f>
        <v>0.67741935483870963</v>
      </c>
      <c r="BD27" s="42">
        <f>AY27/31</f>
        <v>0.67741935483870963</v>
      </c>
      <c r="BE27" s="73">
        <f t="shared" si="49"/>
        <v>0</v>
      </c>
      <c r="BF27" s="45">
        <f>BA27/31</f>
        <v>0.5161290322580645</v>
      </c>
      <c r="BG27" s="45">
        <f t="shared" si="28"/>
        <v>0.16129032258064513</v>
      </c>
      <c r="BH27" s="99"/>
      <c r="BI27" s="28" t="s">
        <v>28</v>
      </c>
      <c r="BJ27" s="106">
        <v>13</v>
      </c>
      <c r="BK27" s="106">
        <v>13</v>
      </c>
      <c r="BL27" s="24">
        <f t="shared" si="50"/>
        <v>0</v>
      </c>
      <c r="BM27" s="41">
        <v>27</v>
      </c>
      <c r="BN27" s="44">
        <f t="shared" si="29"/>
        <v>-14</v>
      </c>
      <c r="BO27" s="42">
        <f>BJ27/31</f>
        <v>0.41935483870967744</v>
      </c>
      <c r="BP27" s="42">
        <f>BK27/31</f>
        <v>0.41935483870967744</v>
      </c>
      <c r="BQ27" s="73">
        <f t="shared" si="51"/>
        <v>0</v>
      </c>
      <c r="BR27" s="45">
        <f>BM27/31</f>
        <v>0.87096774193548387</v>
      </c>
      <c r="BS27" s="45">
        <f t="shared" si="30"/>
        <v>-0.45161290322580644</v>
      </c>
      <c r="BT27" s="99"/>
      <c r="BU27" s="28" t="s">
        <v>28</v>
      </c>
      <c r="BV27" s="106"/>
      <c r="BW27" s="106"/>
      <c r="BX27" s="24">
        <f t="shared" si="52"/>
        <v>0</v>
      </c>
      <c r="BY27" s="41"/>
      <c r="BZ27" s="44">
        <f t="shared" si="31"/>
        <v>0</v>
      </c>
      <c r="CA27" s="42">
        <f>BV27/31</f>
        <v>0</v>
      </c>
      <c r="CB27" s="42">
        <f>BW27/31</f>
        <v>0</v>
      </c>
      <c r="CC27" s="73">
        <f t="shared" si="53"/>
        <v>0</v>
      </c>
      <c r="CD27" s="45">
        <f>BY27/31</f>
        <v>0</v>
      </c>
      <c r="CE27" s="45">
        <f t="shared" si="32"/>
        <v>0</v>
      </c>
      <c r="CF27" s="99"/>
      <c r="CG27" s="28" t="s">
        <v>28</v>
      </c>
      <c r="CH27" s="104">
        <f t="shared" si="35"/>
        <v>129</v>
      </c>
      <c r="CI27" s="24">
        <f t="shared" si="36"/>
        <v>124</v>
      </c>
      <c r="CJ27" s="25">
        <f t="shared" si="38"/>
        <v>5</v>
      </c>
      <c r="CK27" s="50">
        <f t="shared" si="37"/>
        <v>137</v>
      </c>
      <c r="CL27" s="58">
        <f t="shared" si="33"/>
        <v>-8</v>
      </c>
      <c r="CM27" s="42">
        <f>CH27/217</f>
        <v>0.59447004608294929</v>
      </c>
      <c r="CN27" s="42">
        <f>CI27/217</f>
        <v>0.5714285714285714</v>
      </c>
      <c r="CO27" s="73">
        <f t="shared" si="39"/>
        <v>2.3041474654377891E-2</v>
      </c>
      <c r="CP27" s="45">
        <f>CK27/186</f>
        <v>0.73655913978494625</v>
      </c>
      <c r="CQ27" s="45">
        <f t="shared" si="34"/>
        <v>-0.14208909370199696</v>
      </c>
    </row>
    <row r="28" spans="1:95" s="8" customFormat="1" ht="18" customHeight="1" x14ac:dyDescent="0.2">
      <c r="A28" s="28" t="s">
        <v>29</v>
      </c>
      <c r="B28" s="40">
        <v>28</v>
      </c>
      <c r="C28" s="40">
        <v>28</v>
      </c>
      <c r="D28" s="24">
        <f t="shared" si="40"/>
        <v>0</v>
      </c>
      <c r="E28" s="41">
        <v>30</v>
      </c>
      <c r="F28" s="44">
        <f t="shared" si="19"/>
        <v>-2</v>
      </c>
      <c r="G28" s="42">
        <f>B28/31</f>
        <v>0.90322580645161288</v>
      </c>
      <c r="H28" s="42">
        <f>C28/31</f>
        <v>0.90322580645161288</v>
      </c>
      <c r="I28" s="73">
        <f t="shared" si="41"/>
        <v>0</v>
      </c>
      <c r="J28" s="45">
        <f>E28/31</f>
        <v>0.967741935483871</v>
      </c>
      <c r="K28" s="45">
        <f t="shared" si="20"/>
        <v>-6.4516129032258118E-2</v>
      </c>
      <c r="L28" s="99"/>
      <c r="M28" s="28" t="s">
        <v>29</v>
      </c>
      <c r="N28" s="40">
        <v>15</v>
      </c>
      <c r="O28" s="40">
        <v>15</v>
      </c>
      <c r="P28" s="24">
        <f t="shared" si="42"/>
        <v>0</v>
      </c>
      <c r="Q28" s="41">
        <v>31</v>
      </c>
      <c r="R28" s="44">
        <f t="shared" si="21"/>
        <v>-16</v>
      </c>
      <c r="S28" s="42">
        <f>N28/31</f>
        <v>0.4838709677419355</v>
      </c>
      <c r="T28" s="42">
        <f>O28/31</f>
        <v>0.4838709677419355</v>
      </c>
      <c r="U28" s="73">
        <f t="shared" si="43"/>
        <v>0</v>
      </c>
      <c r="V28" s="45">
        <f>Q28/31</f>
        <v>1</v>
      </c>
      <c r="W28" s="93">
        <f t="shared" si="22"/>
        <v>-0.5161290322580645</v>
      </c>
      <c r="X28" s="42"/>
      <c r="Y28" s="96" t="s">
        <v>29</v>
      </c>
      <c r="Z28" s="40">
        <v>27</v>
      </c>
      <c r="AA28" s="40">
        <v>27</v>
      </c>
      <c r="AB28" s="24">
        <f t="shared" si="44"/>
        <v>0</v>
      </c>
      <c r="AC28" s="41">
        <v>30</v>
      </c>
      <c r="AD28" s="44">
        <f t="shared" si="23"/>
        <v>-3</v>
      </c>
      <c r="AE28" s="42">
        <f>Z28/31</f>
        <v>0.87096774193548387</v>
      </c>
      <c r="AF28" s="42">
        <f>AA28/31</f>
        <v>0.87096774193548387</v>
      </c>
      <c r="AG28" s="73">
        <f t="shared" si="45"/>
        <v>0</v>
      </c>
      <c r="AH28" s="93">
        <f>AC28/31</f>
        <v>0.967741935483871</v>
      </c>
      <c r="AI28" s="45">
        <f t="shared" si="24"/>
        <v>-9.6774193548387122E-2</v>
      </c>
      <c r="AJ28" s="99"/>
      <c r="AK28" s="28" t="s">
        <v>29</v>
      </c>
      <c r="AL28" s="106">
        <v>28</v>
      </c>
      <c r="AM28" s="106">
        <v>28</v>
      </c>
      <c r="AN28" s="24">
        <f t="shared" si="46"/>
        <v>0</v>
      </c>
      <c r="AO28" s="41">
        <v>31</v>
      </c>
      <c r="AP28" s="44">
        <f t="shared" si="25"/>
        <v>-3</v>
      </c>
      <c r="AQ28" s="42">
        <f>AL28/31</f>
        <v>0.90322580645161288</v>
      </c>
      <c r="AR28" s="42">
        <f>AM28/31</f>
        <v>0.90322580645161288</v>
      </c>
      <c r="AS28" s="73">
        <f t="shared" si="47"/>
        <v>0</v>
      </c>
      <c r="AT28" s="45">
        <f>AO28/31</f>
        <v>1</v>
      </c>
      <c r="AU28" s="45">
        <f t="shared" si="26"/>
        <v>-9.6774193548387122E-2</v>
      </c>
      <c r="AV28" s="99"/>
      <c r="AW28" s="28" t="s">
        <v>29</v>
      </c>
      <c r="AX28" s="106">
        <v>28</v>
      </c>
      <c r="AY28" s="106">
        <v>23</v>
      </c>
      <c r="AZ28" s="24">
        <f t="shared" si="48"/>
        <v>5</v>
      </c>
      <c r="BA28" s="41">
        <v>31</v>
      </c>
      <c r="BB28" s="44">
        <f t="shared" si="27"/>
        <v>-3</v>
      </c>
      <c r="BC28" s="42">
        <f>AX28/31</f>
        <v>0.90322580645161288</v>
      </c>
      <c r="BD28" s="42">
        <f>AY28/31</f>
        <v>0.74193548387096775</v>
      </c>
      <c r="BE28" s="73">
        <f t="shared" si="49"/>
        <v>0.16129032258064513</v>
      </c>
      <c r="BF28" s="45">
        <f>BA28/31</f>
        <v>1</v>
      </c>
      <c r="BG28" s="45">
        <f t="shared" si="28"/>
        <v>-9.6774193548387122E-2</v>
      </c>
      <c r="BH28" s="99"/>
      <c r="BI28" s="28" t="s">
        <v>29</v>
      </c>
      <c r="BJ28" s="106">
        <v>18</v>
      </c>
      <c r="BK28" s="106">
        <v>18</v>
      </c>
      <c r="BL28" s="24">
        <f t="shared" si="50"/>
        <v>0</v>
      </c>
      <c r="BM28" s="41">
        <v>25</v>
      </c>
      <c r="BN28" s="44">
        <f t="shared" si="29"/>
        <v>-7</v>
      </c>
      <c r="BO28" s="42">
        <f>BJ28/31</f>
        <v>0.58064516129032262</v>
      </c>
      <c r="BP28" s="42">
        <f>BK28/31</f>
        <v>0.58064516129032262</v>
      </c>
      <c r="BQ28" s="73">
        <f t="shared" si="51"/>
        <v>0</v>
      </c>
      <c r="BR28" s="45">
        <f>BM28/31</f>
        <v>0.80645161290322576</v>
      </c>
      <c r="BS28" s="45">
        <f t="shared" si="30"/>
        <v>-0.22580645161290314</v>
      </c>
      <c r="BT28" s="99"/>
      <c r="BU28" s="28" t="s">
        <v>29</v>
      </c>
      <c r="BV28" s="106">
        <v>15</v>
      </c>
      <c r="BW28" s="106"/>
      <c r="BX28" s="24">
        <f t="shared" si="52"/>
        <v>15</v>
      </c>
      <c r="BY28" s="41"/>
      <c r="BZ28" s="44">
        <f t="shared" si="31"/>
        <v>15</v>
      </c>
      <c r="CA28" s="42">
        <f>BV28/31</f>
        <v>0.4838709677419355</v>
      </c>
      <c r="CB28" s="42">
        <f>BW28/31</f>
        <v>0</v>
      </c>
      <c r="CC28" s="73">
        <f t="shared" si="53"/>
        <v>0.4838709677419355</v>
      </c>
      <c r="CD28" s="45">
        <f>BY28/31</f>
        <v>0</v>
      </c>
      <c r="CE28" s="45">
        <f t="shared" si="32"/>
        <v>0.4838709677419355</v>
      </c>
      <c r="CF28" s="99"/>
      <c r="CG28" s="28" t="s">
        <v>29</v>
      </c>
      <c r="CH28" s="104">
        <f t="shared" si="35"/>
        <v>159</v>
      </c>
      <c r="CI28" s="24">
        <f t="shared" si="36"/>
        <v>139</v>
      </c>
      <c r="CJ28" s="25">
        <f t="shared" si="38"/>
        <v>20</v>
      </c>
      <c r="CK28" s="50">
        <f t="shared" si="37"/>
        <v>178</v>
      </c>
      <c r="CL28" s="58">
        <f t="shared" si="33"/>
        <v>-19</v>
      </c>
      <c r="CM28" s="42">
        <f>CH28/217</f>
        <v>0.73271889400921664</v>
      </c>
      <c r="CN28" s="42">
        <f>CI28/217</f>
        <v>0.64055299539170507</v>
      </c>
      <c r="CO28" s="73">
        <f t="shared" si="39"/>
        <v>9.2165898617511566E-2</v>
      </c>
      <c r="CP28" s="45">
        <f>CK28/186</f>
        <v>0.956989247311828</v>
      </c>
      <c r="CQ28" s="45">
        <f t="shared" si="34"/>
        <v>-0.22427035330261136</v>
      </c>
    </row>
    <row r="29" spans="1:95" s="8" customFormat="1" ht="18" customHeight="1" thickBot="1" x14ac:dyDescent="0.25">
      <c r="A29" s="28" t="s">
        <v>30</v>
      </c>
      <c r="B29" s="40">
        <v>25</v>
      </c>
      <c r="C29" s="40">
        <v>25</v>
      </c>
      <c r="D29" s="24">
        <f t="shared" si="40"/>
        <v>0</v>
      </c>
      <c r="E29" s="41">
        <v>27</v>
      </c>
      <c r="F29" s="44">
        <f t="shared" si="19"/>
        <v>-2</v>
      </c>
      <c r="G29" s="46">
        <f>B29/28</f>
        <v>0.8928571428571429</v>
      </c>
      <c r="H29" s="46">
        <f>C29/28</f>
        <v>0.8928571428571429</v>
      </c>
      <c r="I29" s="74">
        <f t="shared" si="41"/>
        <v>0</v>
      </c>
      <c r="J29" s="47">
        <f>E29/28</f>
        <v>0.9642857142857143</v>
      </c>
      <c r="K29" s="47">
        <f t="shared" si="20"/>
        <v>-7.1428571428571397E-2</v>
      </c>
      <c r="L29" s="99"/>
      <c r="M29" s="28" t="s">
        <v>30</v>
      </c>
      <c r="N29" s="40">
        <v>17</v>
      </c>
      <c r="O29" s="40">
        <v>17</v>
      </c>
      <c r="P29" s="24">
        <f t="shared" si="42"/>
        <v>0</v>
      </c>
      <c r="Q29" s="41">
        <v>25</v>
      </c>
      <c r="R29" s="44">
        <f t="shared" si="21"/>
        <v>-8</v>
      </c>
      <c r="S29" s="46">
        <f>N29/28</f>
        <v>0.6071428571428571</v>
      </c>
      <c r="T29" s="46">
        <f>O29/28</f>
        <v>0.6071428571428571</v>
      </c>
      <c r="U29" s="74">
        <f t="shared" si="43"/>
        <v>0</v>
      </c>
      <c r="V29" s="47">
        <f>Q29/28</f>
        <v>0.8928571428571429</v>
      </c>
      <c r="W29" s="95">
        <f t="shared" si="22"/>
        <v>-0.28571428571428581</v>
      </c>
      <c r="X29" s="42"/>
      <c r="Y29" s="96" t="s">
        <v>30</v>
      </c>
      <c r="Z29" s="40">
        <v>17</v>
      </c>
      <c r="AA29" s="40">
        <v>17</v>
      </c>
      <c r="AB29" s="24">
        <f t="shared" si="44"/>
        <v>0</v>
      </c>
      <c r="AC29" s="41">
        <v>23</v>
      </c>
      <c r="AD29" s="44">
        <f t="shared" si="23"/>
        <v>-6</v>
      </c>
      <c r="AE29" s="46">
        <f>Z29/28</f>
        <v>0.6071428571428571</v>
      </c>
      <c r="AF29" s="46">
        <f>AA29/28</f>
        <v>0.6071428571428571</v>
      </c>
      <c r="AG29" s="74">
        <f t="shared" si="45"/>
        <v>0</v>
      </c>
      <c r="AH29" s="95">
        <f>AC29/28</f>
        <v>0.8214285714285714</v>
      </c>
      <c r="AI29" s="47">
        <f t="shared" si="24"/>
        <v>-0.2142857142857143</v>
      </c>
      <c r="AJ29" s="99"/>
      <c r="AK29" s="28" t="s">
        <v>30</v>
      </c>
      <c r="AL29" s="106">
        <v>26</v>
      </c>
      <c r="AM29" s="106">
        <v>26</v>
      </c>
      <c r="AN29" s="24">
        <f t="shared" si="46"/>
        <v>0</v>
      </c>
      <c r="AO29" s="41">
        <v>27</v>
      </c>
      <c r="AP29" s="44">
        <f t="shared" si="25"/>
        <v>-1</v>
      </c>
      <c r="AQ29" s="46">
        <f>AL29/28</f>
        <v>0.9285714285714286</v>
      </c>
      <c r="AR29" s="46">
        <f>AM29/28</f>
        <v>0.9285714285714286</v>
      </c>
      <c r="AS29" s="74">
        <f t="shared" si="47"/>
        <v>0</v>
      </c>
      <c r="AT29" s="47">
        <f>AO29/28</f>
        <v>0.9642857142857143</v>
      </c>
      <c r="AU29" s="47">
        <f t="shared" si="26"/>
        <v>-3.5714285714285698E-2</v>
      </c>
      <c r="AV29" s="99"/>
      <c r="AW29" s="28" t="s">
        <v>30</v>
      </c>
      <c r="AX29" s="106">
        <v>0</v>
      </c>
      <c r="AY29" s="106">
        <v>0</v>
      </c>
      <c r="AZ29" s="24">
        <f t="shared" si="48"/>
        <v>0</v>
      </c>
      <c r="BA29" s="41">
        <v>3</v>
      </c>
      <c r="BB29" s="44">
        <f t="shared" si="27"/>
        <v>-3</v>
      </c>
      <c r="BC29" s="46">
        <f>AX29/28</f>
        <v>0</v>
      </c>
      <c r="BD29" s="46">
        <f>AY29/28</f>
        <v>0</v>
      </c>
      <c r="BE29" s="74">
        <f t="shared" si="49"/>
        <v>0</v>
      </c>
      <c r="BF29" s="47">
        <f>BA29/28</f>
        <v>0.10714285714285714</v>
      </c>
      <c r="BG29" s="47">
        <f t="shared" si="28"/>
        <v>-0.10714285714285714</v>
      </c>
      <c r="BH29" s="99"/>
      <c r="BI29" s="28" t="s">
        <v>30</v>
      </c>
      <c r="BJ29" s="106">
        <v>12</v>
      </c>
      <c r="BK29" s="106">
        <v>12</v>
      </c>
      <c r="BL29" s="24">
        <f t="shared" si="50"/>
        <v>0</v>
      </c>
      <c r="BM29" s="41">
        <v>25</v>
      </c>
      <c r="BN29" s="44">
        <f t="shared" si="29"/>
        <v>-13</v>
      </c>
      <c r="BO29" s="46">
        <f>BJ29/28</f>
        <v>0.42857142857142855</v>
      </c>
      <c r="BP29" s="46">
        <f>BK29/28</f>
        <v>0.42857142857142855</v>
      </c>
      <c r="BQ29" s="74">
        <f t="shared" si="51"/>
        <v>0</v>
      </c>
      <c r="BR29" s="47">
        <f>BM29/28</f>
        <v>0.8928571428571429</v>
      </c>
      <c r="BS29" s="47">
        <f t="shared" si="30"/>
        <v>-0.46428571428571436</v>
      </c>
      <c r="BT29" s="99"/>
      <c r="BU29" s="28" t="s">
        <v>30</v>
      </c>
      <c r="BV29" s="106">
        <v>23</v>
      </c>
      <c r="BW29" s="106"/>
      <c r="BX29" s="24">
        <f t="shared" si="52"/>
        <v>23</v>
      </c>
      <c r="BY29" s="41"/>
      <c r="BZ29" s="44">
        <f t="shared" si="31"/>
        <v>23</v>
      </c>
      <c r="CA29" s="46">
        <f>BV29/28</f>
        <v>0.8214285714285714</v>
      </c>
      <c r="CB29" s="46">
        <f>BW29/28</f>
        <v>0</v>
      </c>
      <c r="CC29" s="74">
        <f t="shared" si="53"/>
        <v>0.8214285714285714</v>
      </c>
      <c r="CD29" s="47">
        <f>BY29/28</f>
        <v>0</v>
      </c>
      <c r="CE29" s="47">
        <f t="shared" si="32"/>
        <v>0.8214285714285714</v>
      </c>
      <c r="CF29" s="99"/>
      <c r="CG29" s="28" t="s">
        <v>30</v>
      </c>
      <c r="CH29" s="104">
        <f t="shared" si="35"/>
        <v>120</v>
      </c>
      <c r="CI29" s="24">
        <f t="shared" si="36"/>
        <v>97</v>
      </c>
      <c r="CJ29" s="25">
        <f t="shared" si="38"/>
        <v>23</v>
      </c>
      <c r="CK29" s="50">
        <f t="shared" si="37"/>
        <v>130</v>
      </c>
      <c r="CL29" s="44">
        <f t="shared" si="33"/>
        <v>-10</v>
      </c>
      <c r="CM29" s="46">
        <f>CH29/196</f>
        <v>0.61224489795918369</v>
      </c>
      <c r="CN29" s="46">
        <f>CI29/196</f>
        <v>0.49489795918367346</v>
      </c>
      <c r="CO29" s="74">
        <f t="shared" si="39"/>
        <v>0.11734693877551022</v>
      </c>
      <c r="CP29" s="47">
        <f>CK29/168</f>
        <v>0.77380952380952384</v>
      </c>
      <c r="CQ29" s="47">
        <f t="shared" si="34"/>
        <v>-0.16156462585034015</v>
      </c>
    </row>
    <row r="30" spans="1:95" s="16" customFormat="1" ht="25" customHeight="1" thickBot="1" x14ac:dyDescent="0.3">
      <c r="A30" s="108" t="s">
        <v>3</v>
      </c>
      <c r="B30" s="109"/>
      <c r="C30" s="109"/>
      <c r="D30" s="109"/>
      <c r="E30" s="109"/>
      <c r="F30" s="110"/>
      <c r="G30" s="81"/>
      <c r="H30" s="82"/>
      <c r="I30" s="82"/>
      <c r="J30" s="82"/>
      <c r="K30" s="82"/>
      <c r="L30" s="17"/>
      <c r="M30" s="108" t="s">
        <v>3</v>
      </c>
      <c r="N30" s="109"/>
      <c r="O30" s="109"/>
      <c r="P30" s="109"/>
      <c r="Q30" s="109"/>
      <c r="R30" s="110"/>
      <c r="S30" s="81"/>
      <c r="T30" s="82"/>
      <c r="U30" s="82"/>
      <c r="V30" s="82"/>
      <c r="W30" s="82"/>
      <c r="X30" s="17"/>
      <c r="Y30" s="108" t="s">
        <v>3</v>
      </c>
      <c r="Z30" s="109"/>
      <c r="AA30" s="109"/>
      <c r="AB30" s="109"/>
      <c r="AC30" s="109"/>
      <c r="AD30" s="110"/>
      <c r="AE30" s="81"/>
      <c r="AF30" s="82"/>
      <c r="AG30" s="82"/>
      <c r="AH30" s="82"/>
      <c r="AI30" s="82"/>
      <c r="AJ30" s="17"/>
      <c r="AK30" s="108" t="s">
        <v>3</v>
      </c>
      <c r="AL30" s="109"/>
      <c r="AM30" s="109"/>
      <c r="AN30" s="109"/>
      <c r="AO30" s="109"/>
      <c r="AP30" s="110"/>
      <c r="AQ30" s="81"/>
      <c r="AR30" s="82"/>
      <c r="AS30" s="82"/>
      <c r="AT30" s="82"/>
      <c r="AU30" s="82"/>
      <c r="AV30" s="17"/>
      <c r="AW30" s="108" t="s">
        <v>3</v>
      </c>
      <c r="AX30" s="109"/>
      <c r="AY30" s="109"/>
      <c r="AZ30" s="109"/>
      <c r="BA30" s="109"/>
      <c r="BB30" s="110"/>
      <c r="BC30" s="81"/>
      <c r="BD30" s="82"/>
      <c r="BE30" s="82"/>
      <c r="BF30" s="82"/>
      <c r="BG30" s="82"/>
      <c r="BH30" s="17"/>
      <c r="BI30" s="108" t="s">
        <v>3</v>
      </c>
      <c r="BJ30" s="109"/>
      <c r="BK30" s="109"/>
      <c r="BL30" s="109"/>
      <c r="BM30" s="109"/>
      <c r="BN30" s="110"/>
      <c r="BO30" s="81"/>
      <c r="BP30" s="82"/>
      <c r="BQ30" s="82"/>
      <c r="BR30" s="82"/>
      <c r="BS30" s="82"/>
      <c r="BT30" s="17"/>
      <c r="BU30" s="108" t="s">
        <v>3</v>
      </c>
      <c r="BV30" s="109"/>
      <c r="BW30" s="109"/>
      <c r="BX30" s="109"/>
      <c r="BY30" s="109"/>
      <c r="BZ30" s="110"/>
      <c r="CA30" s="81"/>
      <c r="CB30" s="82"/>
      <c r="CC30" s="82"/>
      <c r="CD30" s="82"/>
      <c r="CE30" s="82"/>
      <c r="CF30" s="17"/>
      <c r="CG30" s="108" t="s">
        <v>3</v>
      </c>
      <c r="CH30" s="109"/>
      <c r="CI30" s="109"/>
      <c r="CJ30" s="109"/>
      <c r="CK30" s="109"/>
      <c r="CL30" s="110"/>
      <c r="CM30" s="81"/>
      <c r="CN30" s="82"/>
      <c r="CO30" s="82"/>
      <c r="CP30" s="82"/>
      <c r="CQ30" s="82"/>
    </row>
    <row r="31" spans="1:95" s="8" customFormat="1" ht="32" customHeight="1" x14ac:dyDescent="0.2">
      <c r="A31" s="18"/>
      <c r="B31" s="71" t="s">
        <v>80</v>
      </c>
      <c r="C31" s="71" t="s">
        <v>73</v>
      </c>
      <c r="D31" s="18" t="s">
        <v>0</v>
      </c>
      <c r="E31" s="20" t="s">
        <v>1</v>
      </c>
      <c r="F31" s="21" t="s">
        <v>5</v>
      </c>
      <c r="G31" s="26"/>
      <c r="H31" s="26"/>
      <c r="I31" s="26"/>
      <c r="J31" s="26"/>
      <c r="K31" s="26"/>
      <c r="L31" s="26"/>
      <c r="M31" s="18"/>
      <c r="N31" s="71" t="s">
        <v>80</v>
      </c>
      <c r="O31" s="71" t="s">
        <v>73</v>
      </c>
      <c r="P31" s="18" t="s">
        <v>0</v>
      </c>
      <c r="Q31" s="20" t="s">
        <v>1</v>
      </c>
      <c r="R31" s="21" t="s">
        <v>5</v>
      </c>
      <c r="S31" s="26"/>
      <c r="T31" s="26"/>
      <c r="U31" s="26"/>
      <c r="V31" s="26"/>
      <c r="W31" s="26"/>
      <c r="X31" s="26"/>
      <c r="Y31" s="18"/>
      <c r="Z31" s="71" t="s">
        <v>80</v>
      </c>
      <c r="AA31" s="71" t="s">
        <v>73</v>
      </c>
      <c r="AB31" s="18" t="s">
        <v>0</v>
      </c>
      <c r="AC31" s="20" t="s">
        <v>1</v>
      </c>
      <c r="AD31" s="21" t="s">
        <v>5</v>
      </c>
      <c r="AE31" s="26"/>
      <c r="AF31" s="26"/>
      <c r="AG31" s="26"/>
      <c r="AH31" s="26"/>
      <c r="AI31" s="26"/>
      <c r="AJ31" s="26"/>
      <c r="AK31" s="18"/>
      <c r="AL31" s="71" t="s">
        <v>80</v>
      </c>
      <c r="AM31" s="71" t="s">
        <v>73</v>
      </c>
      <c r="AN31" s="18" t="s">
        <v>0</v>
      </c>
      <c r="AO31" s="20" t="s">
        <v>1</v>
      </c>
      <c r="AP31" s="21" t="s">
        <v>5</v>
      </c>
      <c r="AQ31" s="26"/>
      <c r="AR31" s="26"/>
      <c r="AS31" s="26"/>
      <c r="AT31" s="26"/>
      <c r="AU31" s="26"/>
      <c r="AV31" s="26"/>
      <c r="AW31" s="18"/>
      <c r="AX31" s="71" t="s">
        <v>80</v>
      </c>
      <c r="AY31" s="71" t="s">
        <v>73</v>
      </c>
      <c r="AZ31" s="18" t="s">
        <v>0</v>
      </c>
      <c r="BA31" s="20" t="s">
        <v>1</v>
      </c>
      <c r="BB31" s="21" t="s">
        <v>5</v>
      </c>
      <c r="BC31" s="26"/>
      <c r="BD31" s="26"/>
      <c r="BE31" s="26"/>
      <c r="BF31" s="26"/>
      <c r="BG31" s="26"/>
      <c r="BH31" s="26"/>
      <c r="BI31" s="18"/>
      <c r="BJ31" s="71" t="s">
        <v>80</v>
      </c>
      <c r="BK31" s="71" t="s">
        <v>73</v>
      </c>
      <c r="BL31" s="18" t="s">
        <v>0</v>
      </c>
      <c r="BM31" s="20" t="s">
        <v>1</v>
      </c>
      <c r="BN31" s="21" t="s">
        <v>5</v>
      </c>
      <c r="BO31" s="26"/>
      <c r="BP31" s="26"/>
      <c r="BQ31" s="26"/>
      <c r="BR31" s="26"/>
      <c r="BS31" s="26"/>
      <c r="BT31" s="26"/>
      <c r="BU31" s="18"/>
      <c r="BV31" s="71" t="s">
        <v>80</v>
      </c>
      <c r="BW31" s="71" t="s">
        <v>73</v>
      </c>
      <c r="BX31" s="18" t="s">
        <v>0</v>
      </c>
      <c r="BY31" s="20" t="s">
        <v>1</v>
      </c>
      <c r="BZ31" s="21" t="s">
        <v>5</v>
      </c>
      <c r="CA31" s="26"/>
      <c r="CB31" s="26"/>
      <c r="CC31" s="26"/>
      <c r="CD31" s="26"/>
      <c r="CE31" s="26"/>
      <c r="CF31" s="26"/>
      <c r="CG31" s="18"/>
      <c r="CH31" s="71" t="s">
        <v>80</v>
      </c>
      <c r="CI31" s="71" t="s">
        <v>73</v>
      </c>
      <c r="CJ31" s="87" t="s">
        <v>0</v>
      </c>
      <c r="CK31" s="21" t="s">
        <v>1</v>
      </c>
      <c r="CL31" s="21" t="s">
        <v>5</v>
      </c>
      <c r="CM31" s="26"/>
      <c r="CN31" s="26"/>
      <c r="CO31" s="26"/>
      <c r="CP31" s="26"/>
      <c r="CQ31" s="26"/>
    </row>
    <row r="32" spans="1:95" s="8" customFormat="1" ht="18" customHeight="1" x14ac:dyDescent="0.2">
      <c r="A32" s="70" t="s">
        <v>19</v>
      </c>
      <c r="B32" s="24">
        <f t="shared" ref="B32:C43" si="54">B3/B18</f>
        <v>10745.388888888889</v>
      </c>
      <c r="C32" s="24">
        <f t="shared" si="54"/>
        <v>10745.388888888889</v>
      </c>
      <c r="D32" s="24" t="s">
        <v>50</v>
      </c>
      <c r="E32" s="50">
        <f t="shared" ref="E32:E43" si="55">E3/E18</f>
        <v>11015.675384615384</v>
      </c>
      <c r="F32" s="50">
        <f t="shared" ref="F32:F43" si="56">B32-E32</f>
        <v>-270.28649572649556</v>
      </c>
      <c r="G32" s="26"/>
      <c r="H32" s="26"/>
      <c r="I32" s="3"/>
      <c r="J32" s="26"/>
      <c r="K32" s="26"/>
      <c r="L32" s="26"/>
      <c r="M32" s="70" t="s">
        <v>19</v>
      </c>
      <c r="N32" s="24">
        <f t="shared" ref="N32:O43" si="57">N3/N18</f>
        <v>8059.1724137931033</v>
      </c>
      <c r="O32" s="24">
        <f t="shared" si="57"/>
        <v>8059.1724137931033</v>
      </c>
      <c r="P32" s="24" t="s">
        <v>50</v>
      </c>
      <c r="Q32" s="50">
        <f t="shared" ref="Q32:Q43" si="58">Q3/Q18</f>
        <v>9317.391304347826</v>
      </c>
      <c r="R32" s="50">
        <f t="shared" ref="R32:R43" si="59">N32-Q32</f>
        <v>-1258.2188905547227</v>
      </c>
      <c r="S32" s="26"/>
      <c r="T32" s="26"/>
      <c r="U32" s="3"/>
      <c r="V32" s="26"/>
      <c r="W32" s="26"/>
      <c r="X32" s="26"/>
      <c r="Y32" s="70" t="s">
        <v>19</v>
      </c>
      <c r="Z32" s="24">
        <f t="shared" ref="Z32:AA37" si="60">Z3/Z18</f>
        <v>8728.2083333333339</v>
      </c>
      <c r="AA32" s="24">
        <f t="shared" si="60"/>
        <v>8728.2083333333339</v>
      </c>
      <c r="AB32" s="24" t="s">
        <v>50</v>
      </c>
      <c r="AC32" s="50">
        <f t="shared" ref="AC32:AC43" si="61">AC3/AC18</f>
        <v>10584.625</v>
      </c>
      <c r="AD32" s="50">
        <f t="shared" ref="AD32:AD43" si="62">Z32-AC32</f>
        <v>-1856.4166666666661</v>
      </c>
      <c r="AE32" s="26"/>
      <c r="AF32" s="26"/>
      <c r="AG32" s="3"/>
      <c r="AI32" s="26"/>
      <c r="AJ32" s="26"/>
      <c r="AK32" s="70" t="s">
        <v>19</v>
      </c>
      <c r="AL32" s="104">
        <f t="shared" ref="AL32:AL37" si="63">AL3/AL18</f>
        <v>5806.1923076923076</v>
      </c>
      <c r="AM32" s="104">
        <f t="shared" ref="AM32" si="64">AM3/AM18</f>
        <v>5806.1923076923076</v>
      </c>
      <c r="AN32" s="24" t="s">
        <v>50</v>
      </c>
      <c r="AO32" s="50">
        <f t="shared" ref="AO32:AO37" si="65">AO3/AO18</f>
        <v>5695.833333333333</v>
      </c>
      <c r="AP32" s="50">
        <f t="shared" ref="AP32:AP43" si="66">AL32-AO32</f>
        <v>110.35897435897459</v>
      </c>
      <c r="AQ32" s="26"/>
      <c r="AR32" s="26"/>
      <c r="AS32" s="3"/>
      <c r="AT32" s="26"/>
      <c r="AU32" s="26"/>
      <c r="AV32" s="26"/>
      <c r="AW32" s="70" t="s">
        <v>19</v>
      </c>
      <c r="AX32" s="104">
        <v>0</v>
      </c>
      <c r="AY32" s="104">
        <v>0</v>
      </c>
      <c r="AZ32" s="24" t="s">
        <v>50</v>
      </c>
      <c r="BA32" s="50">
        <f t="shared" ref="BA32:BA38" si="67">BA3/BA18</f>
        <v>7150</v>
      </c>
      <c r="BB32" s="50">
        <f t="shared" ref="BB32:BB43" si="68">AX32-BA32</f>
        <v>-7150</v>
      </c>
      <c r="BC32" s="26"/>
      <c r="BD32" s="26"/>
      <c r="BE32" s="3"/>
      <c r="BF32" s="26"/>
      <c r="BG32" s="26"/>
      <c r="BH32" s="26"/>
      <c r="BI32" s="70" t="s">
        <v>19</v>
      </c>
      <c r="BJ32" s="104">
        <f t="shared" ref="BJ32:BK35" si="69">BJ3/BJ18</f>
        <v>4815.695652173913</v>
      </c>
      <c r="BK32" s="104">
        <f t="shared" si="69"/>
        <v>4815.695652173913</v>
      </c>
      <c r="BL32" s="24" t="s">
        <v>50</v>
      </c>
      <c r="BM32" s="50">
        <f>BM3/BM18</f>
        <v>4829.4059259259266</v>
      </c>
      <c r="BN32" s="50">
        <f t="shared" ref="BN32:BN43" si="70">BJ32-BM32</f>
        <v>-13.710273752013563</v>
      </c>
      <c r="BO32" s="26"/>
      <c r="BP32" s="26"/>
      <c r="BQ32" s="3"/>
      <c r="BR32" s="26"/>
      <c r="BS32" s="26"/>
      <c r="BT32" s="26"/>
      <c r="BU32" s="70" t="s">
        <v>19</v>
      </c>
      <c r="BV32" s="104" t="e">
        <f t="shared" ref="BV32:BW32" si="71">BV3/BV18</f>
        <v>#DIV/0!</v>
      </c>
      <c r="BW32" s="104" t="e">
        <f t="shared" si="71"/>
        <v>#DIV/0!</v>
      </c>
      <c r="BX32" s="24" t="s">
        <v>50</v>
      </c>
      <c r="BY32" s="50" t="e">
        <f>BY3/BY18</f>
        <v>#DIV/0!</v>
      </c>
      <c r="BZ32" s="50" t="e">
        <f t="shared" ref="BZ32:BZ43" si="72">BV32-BY32</f>
        <v>#DIV/0!</v>
      </c>
      <c r="CA32" s="26"/>
      <c r="CB32" s="26"/>
      <c r="CC32" s="3"/>
      <c r="CD32" s="26"/>
      <c r="CE32" s="26"/>
      <c r="CF32" s="26"/>
      <c r="CG32" s="70" t="s">
        <v>19</v>
      </c>
      <c r="CH32" s="104">
        <f t="shared" ref="CH32:CI43" si="73">CH3/CH18</f>
        <v>7486.1</v>
      </c>
      <c r="CI32" s="24">
        <f t="shared" si="73"/>
        <v>7486.1</v>
      </c>
      <c r="CJ32" s="24" t="s">
        <v>50</v>
      </c>
      <c r="CK32" s="50">
        <f>CK3/CK18</f>
        <v>8033.2419672131145</v>
      </c>
      <c r="CL32" s="50">
        <f t="shared" ref="CL32:CL43" si="74">CH32-CK32</f>
        <v>-547.14196721311419</v>
      </c>
      <c r="CM32" s="3"/>
      <c r="CN32" s="3"/>
      <c r="CO32" s="3"/>
      <c r="CP32" s="3"/>
      <c r="CQ32" s="3"/>
    </row>
    <row r="33" spans="1:95" s="8" customFormat="1" ht="18" customHeight="1" x14ac:dyDescent="0.2">
      <c r="A33" s="28" t="s">
        <v>20</v>
      </c>
      <c r="B33" s="24">
        <f t="shared" si="54"/>
        <v>8933.8612499999999</v>
      </c>
      <c r="C33" s="24">
        <f t="shared" si="54"/>
        <v>8933.8612499999999</v>
      </c>
      <c r="D33" s="24" t="s">
        <v>50</v>
      </c>
      <c r="E33" s="50">
        <f t="shared" si="55"/>
        <v>11430</v>
      </c>
      <c r="F33" s="50">
        <f t="shared" si="56"/>
        <v>-2496.1387500000001</v>
      </c>
      <c r="G33" s="26"/>
      <c r="H33" s="26"/>
      <c r="I33" s="3"/>
      <c r="J33" s="26"/>
      <c r="K33" s="26"/>
      <c r="L33" s="26"/>
      <c r="M33" s="28" t="s">
        <v>20</v>
      </c>
      <c r="N33" s="24">
        <f t="shared" si="57"/>
        <v>8121.0294117647063</v>
      </c>
      <c r="O33" s="24">
        <f t="shared" si="57"/>
        <v>8121.0294117647063</v>
      </c>
      <c r="P33" s="24" t="s">
        <v>50</v>
      </c>
      <c r="Q33" s="50">
        <f t="shared" si="58"/>
        <v>9449.0383333333339</v>
      </c>
      <c r="R33" s="50">
        <f t="shared" si="59"/>
        <v>-1328.0089215686276</v>
      </c>
      <c r="S33" s="26"/>
      <c r="T33" s="26"/>
      <c r="U33" s="3"/>
      <c r="V33" s="26"/>
      <c r="W33" s="26"/>
      <c r="X33" s="26"/>
      <c r="Y33" s="28" t="s">
        <v>20</v>
      </c>
      <c r="Z33" s="24">
        <f t="shared" si="60"/>
        <v>6571.5239999999994</v>
      </c>
      <c r="AA33" s="24">
        <f t="shared" si="60"/>
        <v>6571.5239999999994</v>
      </c>
      <c r="AB33" s="24" t="s">
        <v>50</v>
      </c>
      <c r="AC33" s="50">
        <f t="shared" si="61"/>
        <v>10175</v>
      </c>
      <c r="AD33" s="50">
        <f t="shared" si="62"/>
        <v>-3603.4760000000006</v>
      </c>
      <c r="AE33" s="26"/>
      <c r="AF33" s="26"/>
      <c r="AG33" s="3"/>
      <c r="AI33" s="26"/>
      <c r="AJ33" s="26"/>
      <c r="AK33" s="28" t="s">
        <v>20</v>
      </c>
      <c r="AL33" s="104">
        <f t="shared" si="63"/>
        <v>5100.1318181818178</v>
      </c>
      <c r="AM33" s="104">
        <f t="shared" ref="AM33" si="75">AM4/AM19</f>
        <v>5100.1318181818178</v>
      </c>
      <c r="AN33" s="24" t="s">
        <v>50</v>
      </c>
      <c r="AO33" s="50">
        <f t="shared" si="65"/>
        <v>6275.9841666666662</v>
      </c>
      <c r="AP33" s="50">
        <f t="shared" si="66"/>
        <v>-1175.8523484848483</v>
      </c>
      <c r="AQ33" s="26"/>
      <c r="AR33" s="26"/>
      <c r="AS33" s="3"/>
      <c r="AT33" s="26"/>
      <c r="AU33" s="26"/>
      <c r="AV33" s="26"/>
      <c r="AW33" s="28" t="s">
        <v>20</v>
      </c>
      <c r="AX33" s="104">
        <v>0</v>
      </c>
      <c r="AY33" s="104">
        <v>0</v>
      </c>
      <c r="AZ33" s="24" t="s">
        <v>50</v>
      </c>
      <c r="BA33" s="50">
        <f t="shared" si="67"/>
        <v>6327.0160000000005</v>
      </c>
      <c r="BB33" s="50">
        <f t="shared" si="68"/>
        <v>-6327.0160000000005</v>
      </c>
      <c r="BC33" s="26"/>
      <c r="BD33" s="26"/>
      <c r="BE33" s="3"/>
      <c r="BF33" s="26"/>
      <c r="BG33" s="26"/>
      <c r="BH33" s="26"/>
      <c r="BI33" s="28" t="s">
        <v>20</v>
      </c>
      <c r="BJ33" s="104">
        <f t="shared" si="69"/>
        <v>5997.9835294117647</v>
      </c>
      <c r="BK33" s="104">
        <f t="shared" si="69"/>
        <v>5997.9835294117647</v>
      </c>
      <c r="BL33" s="24" t="s">
        <v>50</v>
      </c>
      <c r="BM33" s="50">
        <f>BM4/BM19</f>
        <v>5315.8757142857139</v>
      </c>
      <c r="BN33" s="50">
        <f t="shared" si="70"/>
        <v>682.10781512605081</v>
      </c>
      <c r="BO33" s="26"/>
      <c r="BP33" s="26"/>
      <c r="BQ33" s="3"/>
      <c r="BR33" s="26"/>
      <c r="BS33" s="26"/>
      <c r="BT33" s="26"/>
      <c r="BU33" s="28" t="s">
        <v>20</v>
      </c>
      <c r="BV33" s="104" t="e">
        <f t="shared" ref="BV33:BW33" si="76">BV4/BV19</f>
        <v>#DIV/0!</v>
      </c>
      <c r="BW33" s="104" t="e">
        <f t="shared" si="76"/>
        <v>#DIV/0!</v>
      </c>
      <c r="BX33" s="24" t="s">
        <v>50</v>
      </c>
      <c r="BY33" s="50" t="e">
        <f>BY4/BY19</f>
        <v>#DIV/0!</v>
      </c>
      <c r="BZ33" s="50" t="e">
        <f t="shared" si="72"/>
        <v>#DIV/0!</v>
      </c>
      <c r="CA33" s="26"/>
      <c r="CB33" s="26"/>
      <c r="CC33" s="3"/>
      <c r="CD33" s="26"/>
      <c r="CE33" s="26"/>
      <c r="CF33" s="26"/>
      <c r="CG33" s="28" t="s">
        <v>20</v>
      </c>
      <c r="CH33" s="104">
        <f t="shared" si="73"/>
        <v>7043.1719753086427</v>
      </c>
      <c r="CI33" s="24">
        <f t="shared" si="73"/>
        <v>7043.1719753086427</v>
      </c>
      <c r="CJ33" s="24" t="s">
        <v>50</v>
      </c>
      <c r="CK33" s="50">
        <f t="shared" ref="CK32:CK43" si="77">CK4/CK19</f>
        <v>7879.1043925233653</v>
      </c>
      <c r="CL33" s="50">
        <f t="shared" si="74"/>
        <v>-835.93241721472259</v>
      </c>
      <c r="CM33" s="3"/>
      <c r="CN33" s="3" t="s">
        <v>81</v>
      </c>
      <c r="CO33" s="3"/>
      <c r="CP33" s="3"/>
      <c r="CQ33" s="3"/>
    </row>
    <row r="34" spans="1:95" s="8" customFormat="1" ht="18" customHeight="1" x14ac:dyDescent="0.2">
      <c r="A34" s="28" t="s">
        <v>21</v>
      </c>
      <c r="B34" s="24">
        <f t="shared" si="54"/>
        <v>9387.8233333333337</v>
      </c>
      <c r="C34" s="24">
        <f t="shared" si="54"/>
        <v>9387.8233333333337</v>
      </c>
      <c r="D34" s="24" t="s">
        <v>50</v>
      </c>
      <c r="E34" s="50">
        <f t="shared" si="55"/>
        <v>7682.8125</v>
      </c>
      <c r="F34" s="50">
        <f t="shared" si="56"/>
        <v>1705.0108333333337</v>
      </c>
      <c r="G34" s="26"/>
      <c r="H34" s="26"/>
      <c r="I34" s="3"/>
      <c r="J34" s="26"/>
      <c r="K34" s="26"/>
      <c r="L34" s="26"/>
      <c r="M34" s="28" t="s">
        <v>21</v>
      </c>
      <c r="N34" s="24">
        <f t="shared" si="57"/>
        <v>9815.6090909090926</v>
      </c>
      <c r="O34" s="24">
        <f t="shared" si="57"/>
        <v>9815.6090909090926</v>
      </c>
      <c r="P34" s="24" t="s">
        <v>50</v>
      </c>
      <c r="Q34" s="50">
        <f t="shared" si="58"/>
        <v>4882.738571428571</v>
      </c>
      <c r="R34" s="50">
        <f t="shared" si="59"/>
        <v>4932.8705194805216</v>
      </c>
      <c r="S34" s="26"/>
      <c r="T34" s="26"/>
      <c r="U34" s="3"/>
      <c r="V34" s="26"/>
      <c r="W34" s="26"/>
      <c r="X34" s="26"/>
      <c r="Y34" s="28" t="s">
        <v>21</v>
      </c>
      <c r="Z34" s="24">
        <f t="shared" si="60"/>
        <v>4975.5099999999993</v>
      </c>
      <c r="AA34" s="24">
        <f t="shared" si="60"/>
        <v>4975.5099999999993</v>
      </c>
      <c r="AB34" s="24" t="s">
        <v>50</v>
      </c>
      <c r="AC34" s="50">
        <f t="shared" si="61"/>
        <v>7177.5</v>
      </c>
      <c r="AD34" s="50">
        <f t="shared" si="62"/>
        <v>-2201.9900000000007</v>
      </c>
      <c r="AE34" s="26"/>
      <c r="AF34" s="26"/>
      <c r="AG34" s="3"/>
      <c r="AI34" s="26"/>
      <c r="AJ34" s="26"/>
      <c r="AK34" s="28" t="s">
        <v>21</v>
      </c>
      <c r="AL34" s="104">
        <f t="shared" si="63"/>
        <v>5275.5680000000002</v>
      </c>
      <c r="AM34" s="104">
        <f t="shared" ref="AM34" si="78">AM5/AM20</f>
        <v>5275.5680000000002</v>
      </c>
      <c r="AN34" s="24" t="s">
        <v>50</v>
      </c>
      <c r="AO34" s="50">
        <f t="shared" si="65"/>
        <v>3843.8125</v>
      </c>
      <c r="AP34" s="50">
        <f t="shared" si="66"/>
        <v>1431.7555000000002</v>
      </c>
      <c r="AQ34" s="26"/>
      <c r="AR34" s="26"/>
      <c r="AS34" s="3"/>
      <c r="AT34" s="26"/>
      <c r="AU34" s="26"/>
      <c r="AV34" s="26"/>
      <c r="AW34" s="28" t="s">
        <v>21</v>
      </c>
      <c r="AX34" s="104">
        <v>0</v>
      </c>
      <c r="AY34" s="104">
        <v>0</v>
      </c>
      <c r="AZ34" s="24" t="s">
        <v>50</v>
      </c>
      <c r="BA34" s="50">
        <f t="shared" si="67"/>
        <v>4927.7250000000004</v>
      </c>
      <c r="BB34" s="50">
        <f t="shared" si="68"/>
        <v>-4927.7250000000004</v>
      </c>
      <c r="BC34" s="26"/>
      <c r="BD34" s="26"/>
      <c r="BE34" s="3"/>
      <c r="BF34" s="26"/>
      <c r="BG34" s="26"/>
      <c r="BH34" s="26"/>
      <c r="BI34" s="28" t="s">
        <v>21</v>
      </c>
      <c r="BJ34" s="104">
        <f t="shared" si="69"/>
        <v>4937.28</v>
      </c>
      <c r="BK34" s="104">
        <f t="shared" si="69"/>
        <v>4937.28</v>
      </c>
      <c r="BL34" s="24" t="s">
        <v>50</v>
      </c>
      <c r="BM34" s="50">
        <f>BM5/BM20</f>
        <v>3047.402</v>
      </c>
      <c r="BN34" s="50">
        <f t="shared" si="70"/>
        <v>1889.8779999999997</v>
      </c>
      <c r="BO34" s="26"/>
      <c r="BP34" s="26"/>
      <c r="BQ34" s="3"/>
      <c r="BR34" s="26"/>
      <c r="BS34" s="26"/>
      <c r="BT34" s="26"/>
      <c r="BU34" s="28" t="s">
        <v>21</v>
      </c>
      <c r="BV34" s="104" t="e">
        <f t="shared" ref="BV34:BW34" si="79">BV5/BV20</f>
        <v>#DIV/0!</v>
      </c>
      <c r="BW34" s="104" t="e">
        <f t="shared" si="79"/>
        <v>#DIV/0!</v>
      </c>
      <c r="BX34" s="24" t="s">
        <v>50</v>
      </c>
      <c r="BY34" s="50" t="e">
        <f>BY5/BY20</f>
        <v>#DIV/0!</v>
      </c>
      <c r="BZ34" s="50" t="e">
        <f t="shared" si="72"/>
        <v>#DIV/0!</v>
      </c>
      <c r="CA34" s="26"/>
      <c r="CB34" s="26"/>
      <c r="CC34" s="3"/>
      <c r="CD34" s="26"/>
      <c r="CE34" s="26"/>
      <c r="CF34" s="26"/>
      <c r="CG34" s="28" t="s">
        <v>21</v>
      </c>
      <c r="CH34" s="104">
        <f t="shared" si="73"/>
        <v>7835.380909090909</v>
      </c>
      <c r="CI34" s="24">
        <f t="shared" si="73"/>
        <v>7835.380909090909</v>
      </c>
      <c r="CJ34" s="24" t="s">
        <v>50</v>
      </c>
      <c r="CK34" s="50">
        <f t="shared" si="77"/>
        <v>5015.7365277777772</v>
      </c>
      <c r="CL34" s="50">
        <f t="shared" si="74"/>
        <v>2819.6443813131318</v>
      </c>
      <c r="CM34" s="3"/>
      <c r="CN34" s="3"/>
      <c r="CO34" s="3"/>
      <c r="CP34" s="3"/>
      <c r="CQ34" s="3"/>
    </row>
    <row r="35" spans="1:95" s="8" customFormat="1" ht="18" customHeight="1" x14ac:dyDescent="0.2">
      <c r="A35" s="28" t="s">
        <v>23</v>
      </c>
      <c r="B35" s="24">
        <f t="shared" si="54"/>
        <v>6291.4333333333334</v>
      </c>
      <c r="C35" s="24">
        <f t="shared" si="54"/>
        <v>6291.4333333333334</v>
      </c>
      <c r="D35" s="24" t="s">
        <v>50</v>
      </c>
      <c r="E35" s="50">
        <f t="shared" si="55"/>
        <v>5398.25</v>
      </c>
      <c r="F35" s="50">
        <f t="shared" si="56"/>
        <v>893.18333333333339</v>
      </c>
      <c r="G35" s="26"/>
      <c r="H35" s="26"/>
      <c r="I35" s="3"/>
      <c r="J35" s="26"/>
      <c r="K35" s="26"/>
      <c r="L35" s="26"/>
      <c r="M35" s="28" t="s">
        <v>23</v>
      </c>
      <c r="N35" s="24">
        <f t="shared" si="57"/>
        <v>6210.1</v>
      </c>
      <c r="O35" s="24">
        <f t="shared" si="57"/>
        <v>6210.1</v>
      </c>
      <c r="P35" s="24" t="s">
        <v>50</v>
      </c>
      <c r="Q35" s="50">
        <f t="shared" si="58"/>
        <v>6573.890625</v>
      </c>
      <c r="R35" s="50">
        <f t="shared" si="59"/>
        <v>-363.79062499999964</v>
      </c>
      <c r="S35" s="26"/>
      <c r="T35" s="26"/>
      <c r="U35" s="3"/>
      <c r="V35" s="26"/>
      <c r="W35" s="26"/>
      <c r="X35" s="26"/>
      <c r="Y35" s="28" t="s">
        <v>23</v>
      </c>
      <c r="Z35" s="24">
        <f t="shared" si="60"/>
        <v>8843.3283333333329</v>
      </c>
      <c r="AA35" s="24">
        <f t="shared" si="60"/>
        <v>8843.3283333333329</v>
      </c>
      <c r="AB35" s="24" t="s">
        <v>50</v>
      </c>
      <c r="AC35" s="50">
        <f t="shared" si="61"/>
        <v>7787.73</v>
      </c>
      <c r="AD35" s="50">
        <f t="shared" si="62"/>
        <v>1055.5983333333334</v>
      </c>
      <c r="AE35" s="26"/>
      <c r="AF35" s="26"/>
      <c r="AG35" s="3"/>
      <c r="AI35" s="26"/>
      <c r="AJ35" s="26"/>
      <c r="AK35" s="28" t="s">
        <v>23</v>
      </c>
      <c r="AL35" s="104">
        <v>0</v>
      </c>
      <c r="AM35" s="104">
        <v>0</v>
      </c>
      <c r="AN35" s="24" t="s">
        <v>50</v>
      </c>
      <c r="AO35" s="50">
        <f t="shared" si="65"/>
        <v>3529.1666666666665</v>
      </c>
      <c r="AP35" s="50">
        <f t="shared" si="66"/>
        <v>-3529.1666666666665</v>
      </c>
      <c r="AQ35" s="26"/>
      <c r="AR35" s="26"/>
      <c r="AS35" s="3"/>
      <c r="AT35" s="26"/>
      <c r="AU35" s="26"/>
      <c r="AV35" s="26"/>
      <c r="AW35" s="28" t="s">
        <v>23</v>
      </c>
      <c r="AX35" s="104">
        <v>0</v>
      </c>
      <c r="AY35" s="104">
        <v>0</v>
      </c>
      <c r="AZ35" s="24" t="s">
        <v>50</v>
      </c>
      <c r="BA35" s="50">
        <f t="shared" si="67"/>
        <v>3748.8799999999997</v>
      </c>
      <c r="BB35" s="50">
        <f t="shared" si="68"/>
        <v>-3748.8799999999997</v>
      </c>
      <c r="BC35" s="26"/>
      <c r="BD35" s="26"/>
      <c r="BE35" s="3"/>
      <c r="BF35" s="26"/>
      <c r="BG35" s="26"/>
      <c r="BH35" s="26"/>
      <c r="BI35" s="28" t="s">
        <v>23</v>
      </c>
      <c r="BJ35" s="104">
        <f t="shared" si="69"/>
        <v>4349</v>
      </c>
      <c r="BK35" s="104">
        <f t="shared" si="69"/>
        <v>4349</v>
      </c>
      <c r="BL35" s="24" t="s">
        <v>50</v>
      </c>
      <c r="BM35" s="50">
        <v>0</v>
      </c>
      <c r="BN35" s="50">
        <f t="shared" si="70"/>
        <v>4349</v>
      </c>
      <c r="BO35" s="26"/>
      <c r="BP35" s="26"/>
      <c r="BQ35" s="3"/>
      <c r="BR35" s="26"/>
      <c r="BS35" s="26"/>
      <c r="BT35" s="26"/>
      <c r="BU35" s="28" t="s">
        <v>23</v>
      </c>
      <c r="BV35" s="104" t="e">
        <f t="shared" ref="BV35:BW35" si="80">BV6/BV21</f>
        <v>#DIV/0!</v>
      </c>
      <c r="BW35" s="104" t="e">
        <f t="shared" si="80"/>
        <v>#DIV/0!</v>
      </c>
      <c r="BX35" s="24" t="s">
        <v>50</v>
      </c>
      <c r="BY35" s="50">
        <v>0</v>
      </c>
      <c r="BZ35" s="50" t="e">
        <f t="shared" si="72"/>
        <v>#DIV/0!</v>
      </c>
      <c r="CA35" s="26"/>
      <c r="CB35" s="26"/>
      <c r="CC35" s="3"/>
      <c r="CD35" s="26"/>
      <c r="CE35" s="26"/>
      <c r="CF35" s="26"/>
      <c r="CG35" s="28" t="s">
        <v>23</v>
      </c>
      <c r="CH35" s="104">
        <f t="shared" si="73"/>
        <v>6995.4231250000003</v>
      </c>
      <c r="CI35" s="24">
        <f t="shared" si="73"/>
        <v>6995.4231250000003</v>
      </c>
      <c r="CJ35" s="24">
        <f t="shared" ref="CJ35:CJ43" si="81">CH35-CI35</f>
        <v>0</v>
      </c>
      <c r="CK35" s="50">
        <f t="shared" si="77"/>
        <v>5366.4677272727276</v>
      </c>
      <c r="CL35" s="50">
        <f t="shared" si="74"/>
        <v>1628.9553977272726</v>
      </c>
      <c r="CM35" s="3"/>
      <c r="CN35" s="3"/>
      <c r="CO35" s="3"/>
      <c r="CP35" s="3"/>
      <c r="CQ35" s="3"/>
    </row>
    <row r="36" spans="1:95" s="8" customFormat="1" ht="18" customHeight="1" x14ac:dyDescent="0.2">
      <c r="A36" s="28" t="s">
        <v>22</v>
      </c>
      <c r="B36" s="24">
        <f t="shared" si="54"/>
        <v>6520.4444444444443</v>
      </c>
      <c r="C36" s="24">
        <f t="shared" si="54"/>
        <v>6520.4444444444443</v>
      </c>
      <c r="D36" s="25">
        <f t="shared" ref="D36:D43" si="82">B36-C36</f>
        <v>0</v>
      </c>
      <c r="E36" s="50">
        <f t="shared" si="55"/>
        <v>6000.1057142857144</v>
      </c>
      <c r="F36" s="50">
        <f t="shared" si="56"/>
        <v>520.33873015872996</v>
      </c>
      <c r="G36" s="26"/>
      <c r="H36" s="26"/>
      <c r="I36" s="3"/>
      <c r="J36" s="26"/>
      <c r="K36" s="26"/>
      <c r="L36" s="26"/>
      <c r="M36" s="28" t="s">
        <v>22</v>
      </c>
      <c r="N36" s="24">
        <f t="shared" si="57"/>
        <v>6195.9479999999994</v>
      </c>
      <c r="O36" s="24">
        <f t="shared" si="57"/>
        <v>6155.9479999999994</v>
      </c>
      <c r="P36" s="25">
        <f t="shared" ref="P36:P43" si="83">N36-O36</f>
        <v>40</v>
      </c>
      <c r="Q36" s="50">
        <f t="shared" si="58"/>
        <v>7564.772727272727</v>
      </c>
      <c r="R36" s="50">
        <f t="shared" si="59"/>
        <v>-1368.8247272727276</v>
      </c>
      <c r="S36" s="26"/>
      <c r="T36" s="26"/>
      <c r="U36" s="3"/>
      <c r="V36" s="26"/>
      <c r="W36" s="26"/>
      <c r="X36" s="26"/>
      <c r="Y36" s="28" t="s">
        <v>22</v>
      </c>
      <c r="Z36" s="24">
        <f t="shared" si="60"/>
        <v>6404.82</v>
      </c>
      <c r="AA36" s="24">
        <f t="shared" si="60"/>
        <v>6254.82</v>
      </c>
      <c r="AB36" s="25">
        <f t="shared" ref="AB36:AB43" si="84">Z36-AA36</f>
        <v>150</v>
      </c>
      <c r="AC36" s="50">
        <f t="shared" si="61"/>
        <v>9334.2857142857138</v>
      </c>
      <c r="AD36" s="50">
        <f t="shared" si="62"/>
        <v>-2929.4657142857141</v>
      </c>
      <c r="AE36" s="26"/>
      <c r="AF36" s="26"/>
      <c r="AG36" s="3"/>
      <c r="AI36" s="26"/>
      <c r="AJ36" s="26"/>
      <c r="AK36" s="28" t="s">
        <v>22</v>
      </c>
      <c r="AL36" s="104">
        <f t="shared" si="63"/>
        <v>4163.6028571428569</v>
      </c>
      <c r="AM36" s="104">
        <f t="shared" ref="AM36" si="85">AM7/AM22</f>
        <v>4163.6028571428569</v>
      </c>
      <c r="AN36" s="25">
        <f t="shared" ref="AN36:AN43" si="86">AL36-AM36</f>
        <v>0</v>
      </c>
      <c r="AO36" s="50">
        <f t="shared" si="65"/>
        <v>3460.7692307692309</v>
      </c>
      <c r="AP36" s="50">
        <f t="shared" si="66"/>
        <v>702.83362637362598</v>
      </c>
      <c r="AQ36" s="26"/>
      <c r="AR36" s="26"/>
      <c r="AS36" s="3"/>
      <c r="AT36" s="26"/>
      <c r="AU36" s="26"/>
      <c r="AV36" s="26"/>
      <c r="AW36" s="28" t="s">
        <v>22</v>
      </c>
      <c r="AX36" s="104">
        <v>0</v>
      </c>
      <c r="AY36" s="104">
        <v>0</v>
      </c>
      <c r="AZ36" s="25">
        <f t="shared" ref="AZ36:AZ43" si="87">AX36-AY36</f>
        <v>0</v>
      </c>
      <c r="BA36" s="50">
        <f t="shared" si="67"/>
        <v>4266.6350000000002</v>
      </c>
      <c r="BB36" s="50">
        <f t="shared" si="68"/>
        <v>-4266.6350000000002</v>
      </c>
      <c r="BC36" s="26"/>
      <c r="BD36" s="26"/>
      <c r="BE36" s="3"/>
      <c r="BF36" s="26"/>
      <c r="BG36" s="26"/>
      <c r="BH36" s="26"/>
      <c r="BI36" s="28" t="s">
        <v>22</v>
      </c>
      <c r="BJ36" s="104">
        <f t="shared" ref="BJ36:BK43" si="88">BJ7/BJ22</f>
        <v>4067.5838235294109</v>
      </c>
      <c r="BK36" s="104">
        <f t="shared" si="88"/>
        <v>4065.6394117647055</v>
      </c>
      <c r="BL36" s="24">
        <f t="shared" ref="BL36:BL43" si="89">BJ36-BK36</f>
        <v>1.9444117647053645</v>
      </c>
      <c r="BM36" s="50">
        <f t="shared" ref="BM36:BM43" si="90">BM7/BM22</f>
        <v>3646.3809999999999</v>
      </c>
      <c r="BN36" s="50">
        <f t="shared" si="70"/>
        <v>421.20282352941103</v>
      </c>
      <c r="BO36" s="26"/>
      <c r="BP36" s="26"/>
      <c r="BQ36" s="3"/>
      <c r="BR36" s="26"/>
      <c r="BS36" s="26"/>
      <c r="BT36" s="26"/>
      <c r="BU36" s="28" t="s">
        <v>22</v>
      </c>
      <c r="BV36" s="104" t="e">
        <f t="shared" ref="BV36:BW36" si="91">BV7/BV22</f>
        <v>#DIV/0!</v>
      </c>
      <c r="BW36" s="104" t="e">
        <f t="shared" si="91"/>
        <v>#DIV/0!</v>
      </c>
      <c r="BX36" s="24" t="e">
        <f t="shared" ref="BX36:BX43" si="92">BV36-BW36</f>
        <v>#DIV/0!</v>
      </c>
      <c r="BY36" s="50" t="e">
        <f t="shared" ref="BY36:BY43" si="93">BY7/BY22</f>
        <v>#DIV/0!</v>
      </c>
      <c r="BZ36" s="50" t="e">
        <f t="shared" si="72"/>
        <v>#DIV/0!</v>
      </c>
      <c r="CA36" s="26"/>
      <c r="CB36" s="26"/>
      <c r="CC36" s="3"/>
      <c r="CD36" s="26"/>
      <c r="CE36" s="26"/>
      <c r="CF36" s="26"/>
      <c r="CG36" s="28" t="s">
        <v>22</v>
      </c>
      <c r="CH36" s="104">
        <f t="shared" si="73"/>
        <v>5085.1705952380944</v>
      </c>
      <c r="CI36" s="24">
        <f t="shared" si="73"/>
        <v>5065.3359523809522</v>
      </c>
      <c r="CJ36" s="24">
        <f t="shared" si="81"/>
        <v>19.834642857142171</v>
      </c>
      <c r="CK36" s="50">
        <f t="shared" si="77"/>
        <v>5526.0455555555554</v>
      </c>
      <c r="CL36" s="50">
        <f t="shared" si="74"/>
        <v>-440.87496031746105</v>
      </c>
      <c r="CM36" s="3"/>
      <c r="CN36" s="3"/>
      <c r="CO36" s="3"/>
      <c r="CP36" s="3"/>
      <c r="CQ36" s="3"/>
    </row>
    <row r="37" spans="1:95" s="8" customFormat="1" ht="18" customHeight="1" x14ac:dyDescent="0.2">
      <c r="A37" s="28" t="s">
        <v>24</v>
      </c>
      <c r="B37" s="24">
        <f t="shared" si="54"/>
        <v>7381.043076923077</v>
      </c>
      <c r="C37" s="24">
        <f t="shared" si="54"/>
        <v>7381.043076923077</v>
      </c>
      <c r="D37" s="25">
        <f t="shared" si="82"/>
        <v>0</v>
      </c>
      <c r="E37" s="50">
        <f t="shared" si="55"/>
        <v>6005.0647619047622</v>
      </c>
      <c r="F37" s="50">
        <f t="shared" si="56"/>
        <v>1375.9783150183148</v>
      </c>
      <c r="G37" s="26"/>
      <c r="H37" s="26"/>
      <c r="I37" s="3"/>
      <c r="J37" s="26"/>
      <c r="K37" s="26"/>
      <c r="L37" s="26"/>
      <c r="M37" s="28" t="s">
        <v>24</v>
      </c>
      <c r="N37" s="24">
        <f t="shared" si="57"/>
        <v>5698.1581818181821</v>
      </c>
      <c r="O37" s="24">
        <f t="shared" si="57"/>
        <v>5654.2333333333336</v>
      </c>
      <c r="P37" s="25">
        <f t="shared" si="83"/>
        <v>43.924848484848553</v>
      </c>
      <c r="Q37" s="50">
        <f t="shared" si="58"/>
        <v>5928.69</v>
      </c>
      <c r="R37" s="50">
        <f t="shared" si="59"/>
        <v>-230.53181818181747</v>
      </c>
      <c r="S37" s="26"/>
      <c r="T37" s="26"/>
      <c r="U37" s="3"/>
      <c r="V37" s="26"/>
      <c r="W37" s="26"/>
      <c r="X37" s="26"/>
      <c r="Y37" s="28" t="s">
        <v>24</v>
      </c>
      <c r="Z37" s="24">
        <f t="shared" si="60"/>
        <v>5041.49</v>
      </c>
      <c r="AA37" s="24">
        <v>0</v>
      </c>
      <c r="AB37" s="25">
        <f t="shared" si="84"/>
        <v>5041.49</v>
      </c>
      <c r="AC37" s="50">
        <f t="shared" si="61"/>
        <v>500</v>
      </c>
      <c r="AD37" s="50">
        <f t="shared" si="62"/>
        <v>4541.49</v>
      </c>
      <c r="AE37" s="26"/>
      <c r="AF37" s="26"/>
      <c r="AG37" s="3"/>
      <c r="AI37" s="26"/>
      <c r="AJ37" s="26"/>
      <c r="AK37" s="28" t="s">
        <v>24</v>
      </c>
      <c r="AL37" s="104">
        <f t="shared" si="63"/>
        <v>4537.34</v>
      </c>
      <c r="AM37" s="104">
        <f t="shared" ref="AM37" si="94">AM8/AM23</f>
        <v>4371.043333333334</v>
      </c>
      <c r="AN37" s="25">
        <f t="shared" si="86"/>
        <v>166.29666666666617</v>
      </c>
      <c r="AO37" s="50">
        <f t="shared" si="65"/>
        <v>5307.1428571428569</v>
      </c>
      <c r="AP37" s="50">
        <f t="shared" si="66"/>
        <v>-769.80285714285674</v>
      </c>
      <c r="AQ37" s="26"/>
      <c r="AR37" s="26"/>
      <c r="AS37" s="3"/>
      <c r="AT37" s="26"/>
      <c r="AU37" s="26"/>
      <c r="AV37" s="26"/>
      <c r="AW37" s="28" t="s">
        <v>24</v>
      </c>
      <c r="AX37" s="104">
        <v>0</v>
      </c>
      <c r="AY37" s="104">
        <v>0</v>
      </c>
      <c r="AZ37" s="25">
        <f t="shared" si="87"/>
        <v>0</v>
      </c>
      <c r="BA37" s="50">
        <f t="shared" si="67"/>
        <v>4582.9028571428571</v>
      </c>
      <c r="BB37" s="50">
        <f t="shared" si="68"/>
        <v>-4582.9028571428571</v>
      </c>
      <c r="BC37" s="26"/>
      <c r="BD37" s="26"/>
      <c r="BE37" s="3"/>
      <c r="BF37" s="26"/>
      <c r="BG37" s="26"/>
      <c r="BH37" s="26"/>
      <c r="BI37" s="28" t="s">
        <v>24</v>
      </c>
      <c r="BJ37" s="104">
        <f t="shared" si="88"/>
        <v>3533.1</v>
      </c>
      <c r="BK37" s="104">
        <f t="shared" si="88"/>
        <v>3528.9674999999997</v>
      </c>
      <c r="BL37" s="24">
        <f t="shared" si="89"/>
        <v>4.1325000000001637</v>
      </c>
      <c r="BM37" s="50">
        <f t="shared" si="90"/>
        <v>3285.3173333333334</v>
      </c>
      <c r="BN37" s="50">
        <f t="shared" si="70"/>
        <v>247.7826666666665</v>
      </c>
      <c r="BO37" s="26"/>
      <c r="BP37" s="26"/>
      <c r="BQ37" s="3"/>
      <c r="BR37" s="26"/>
      <c r="BS37" s="26"/>
      <c r="BT37" s="26"/>
      <c r="BU37" s="28" t="s">
        <v>24</v>
      </c>
      <c r="BV37" s="104" t="e">
        <f t="shared" ref="BV37:BW37" si="95">BV8/BV23</f>
        <v>#DIV/0!</v>
      </c>
      <c r="BW37" s="104" t="e">
        <f t="shared" si="95"/>
        <v>#DIV/0!</v>
      </c>
      <c r="BX37" s="24" t="e">
        <f t="shared" si="92"/>
        <v>#DIV/0!</v>
      </c>
      <c r="BY37" s="50" t="e">
        <f t="shared" si="93"/>
        <v>#DIV/0!</v>
      </c>
      <c r="BZ37" s="50" t="e">
        <f t="shared" si="72"/>
        <v>#DIV/0!</v>
      </c>
      <c r="CA37" s="26"/>
      <c r="CB37" s="26"/>
      <c r="CC37" s="3"/>
      <c r="CD37" s="26"/>
      <c r="CE37" s="26"/>
      <c r="CF37" s="26"/>
      <c r="CG37" s="28" t="s">
        <v>24</v>
      </c>
      <c r="CH37" s="104">
        <f t="shared" si="73"/>
        <v>5723.7711111111103</v>
      </c>
      <c r="CI37" s="24">
        <f t="shared" si="73"/>
        <v>5585.9684848484849</v>
      </c>
      <c r="CJ37" s="24">
        <f t="shared" si="81"/>
        <v>137.80262626262538</v>
      </c>
      <c r="CK37" s="50">
        <f t="shared" si="77"/>
        <v>4669.1347761194038</v>
      </c>
      <c r="CL37" s="50">
        <f t="shared" si="74"/>
        <v>1054.6363349917065</v>
      </c>
      <c r="CM37" s="3"/>
      <c r="CN37" s="3"/>
      <c r="CO37" s="3"/>
      <c r="CP37" s="3"/>
      <c r="CQ37" s="3"/>
    </row>
    <row r="38" spans="1:95" s="8" customFormat="1" ht="18" customHeight="1" x14ac:dyDescent="0.2">
      <c r="A38" s="28" t="s">
        <v>25</v>
      </c>
      <c r="B38" s="24">
        <f t="shared" si="54"/>
        <v>7603.1941176470591</v>
      </c>
      <c r="C38" s="24">
        <f t="shared" si="54"/>
        <v>7754.9944444444445</v>
      </c>
      <c r="D38" s="25">
        <f t="shared" si="82"/>
        <v>-151.80032679738542</v>
      </c>
      <c r="E38" s="50">
        <f t="shared" si="55"/>
        <v>5923.8453333333327</v>
      </c>
      <c r="F38" s="50">
        <f t="shared" si="56"/>
        <v>1679.3487843137264</v>
      </c>
      <c r="G38" s="26"/>
      <c r="H38" s="26"/>
      <c r="I38" s="3"/>
      <c r="J38" s="26"/>
      <c r="K38" s="26"/>
      <c r="L38" s="26"/>
      <c r="M38" s="28" t="s">
        <v>25</v>
      </c>
      <c r="N38" s="24">
        <f t="shared" si="57"/>
        <v>7993.8499999999995</v>
      </c>
      <c r="O38" s="24">
        <f t="shared" si="57"/>
        <v>7993.8499999999995</v>
      </c>
      <c r="P38" s="25">
        <f t="shared" si="83"/>
        <v>0</v>
      </c>
      <c r="Q38" s="50">
        <f t="shared" si="58"/>
        <v>4847.9440000000004</v>
      </c>
      <c r="R38" s="50">
        <f t="shared" si="59"/>
        <v>3145.905999999999</v>
      </c>
      <c r="S38" s="26"/>
      <c r="T38" s="26"/>
      <c r="U38" s="3"/>
      <c r="V38" s="26"/>
      <c r="W38" s="26"/>
      <c r="X38" s="26"/>
      <c r="Y38" s="28" t="s">
        <v>25</v>
      </c>
      <c r="Z38" s="24">
        <v>0</v>
      </c>
      <c r="AA38" s="24">
        <v>0</v>
      </c>
      <c r="AB38" s="25">
        <f t="shared" si="84"/>
        <v>0</v>
      </c>
      <c r="AC38" s="50">
        <f t="shared" si="61"/>
        <v>4123.5375000000004</v>
      </c>
      <c r="AD38" s="50">
        <f t="shared" si="62"/>
        <v>-4123.5375000000004</v>
      </c>
      <c r="AE38" s="26"/>
      <c r="AF38" s="26"/>
      <c r="AG38" s="3"/>
      <c r="AI38" s="26"/>
      <c r="AJ38" s="26"/>
      <c r="AK38" s="28" t="s">
        <v>25</v>
      </c>
      <c r="AL38" s="104">
        <f>AL9/AL24</f>
        <v>4020.5678571428571</v>
      </c>
      <c r="AM38" s="104">
        <f>AM9/AM24</f>
        <v>4020.5678571428571</v>
      </c>
      <c r="AN38" s="25">
        <f t="shared" si="86"/>
        <v>0</v>
      </c>
      <c r="AO38" s="50">
        <v>0</v>
      </c>
      <c r="AP38" s="50">
        <f t="shared" si="66"/>
        <v>4020.5678571428571</v>
      </c>
      <c r="AQ38" s="26"/>
      <c r="AR38" s="26"/>
      <c r="AS38" s="3"/>
      <c r="AT38" s="26"/>
      <c r="AU38" s="26"/>
      <c r="AV38" s="26"/>
      <c r="AW38" s="28" t="s">
        <v>25</v>
      </c>
      <c r="AX38" s="104">
        <v>0</v>
      </c>
      <c r="AY38" s="104">
        <v>0</v>
      </c>
      <c r="AZ38" s="25">
        <f t="shared" si="87"/>
        <v>0</v>
      </c>
      <c r="BA38" s="50">
        <f t="shared" si="67"/>
        <v>4334.5542857142855</v>
      </c>
      <c r="BB38" s="50">
        <f t="shared" si="68"/>
        <v>-4334.5542857142855</v>
      </c>
      <c r="BC38" s="26"/>
      <c r="BD38" s="26"/>
      <c r="BE38" s="3"/>
      <c r="BF38" s="26"/>
      <c r="BG38" s="26"/>
      <c r="BH38" s="26"/>
      <c r="BI38" s="28" t="s">
        <v>25</v>
      </c>
      <c r="BJ38" s="104">
        <f t="shared" si="88"/>
        <v>3431.1330000000003</v>
      </c>
      <c r="BK38" s="104">
        <f t="shared" si="88"/>
        <v>3431.1330000000003</v>
      </c>
      <c r="BL38" s="24">
        <f t="shared" si="89"/>
        <v>0</v>
      </c>
      <c r="BM38" s="50">
        <f t="shared" si="90"/>
        <v>3270.99</v>
      </c>
      <c r="BN38" s="50">
        <f t="shared" si="70"/>
        <v>160.14300000000048</v>
      </c>
      <c r="BO38" s="26"/>
      <c r="BP38" s="26"/>
      <c r="BQ38" s="3"/>
      <c r="BR38" s="26"/>
      <c r="BS38" s="26"/>
      <c r="BT38" s="26"/>
      <c r="BU38" s="28" t="s">
        <v>25</v>
      </c>
      <c r="BV38" s="104" t="e">
        <f t="shared" ref="BV38:BW38" si="96">BV9/BV24</f>
        <v>#DIV/0!</v>
      </c>
      <c r="BW38" s="104" t="e">
        <f t="shared" si="96"/>
        <v>#DIV/0!</v>
      </c>
      <c r="BX38" s="24" t="e">
        <f t="shared" si="92"/>
        <v>#DIV/0!</v>
      </c>
      <c r="BY38" s="50" t="e">
        <f t="shared" si="93"/>
        <v>#DIV/0!</v>
      </c>
      <c r="BZ38" s="50" t="e">
        <f t="shared" si="72"/>
        <v>#DIV/0!</v>
      </c>
      <c r="CA38" s="26"/>
      <c r="CB38" s="26"/>
      <c r="CC38" s="3"/>
      <c r="CD38" s="26"/>
      <c r="CE38" s="26"/>
      <c r="CF38" s="26"/>
      <c r="CG38" s="28" t="s">
        <v>25</v>
      </c>
      <c r="CH38" s="104">
        <f t="shared" si="73"/>
        <v>5596.1995555555568</v>
      </c>
      <c r="CI38" s="24">
        <f t="shared" si="73"/>
        <v>5699.2300000000005</v>
      </c>
      <c r="CJ38" s="24">
        <f t="shared" si="81"/>
        <v>-103.03044444444367</v>
      </c>
      <c r="CK38" s="50">
        <f t="shared" si="77"/>
        <v>4633.4438333333337</v>
      </c>
      <c r="CL38" s="50">
        <f t="shared" si="74"/>
        <v>962.75572222222308</v>
      </c>
      <c r="CM38" s="3"/>
      <c r="CN38" s="3"/>
      <c r="CO38" s="3"/>
      <c r="CP38" s="3"/>
      <c r="CQ38" s="3"/>
    </row>
    <row r="39" spans="1:95" s="8" customFormat="1" ht="18" customHeight="1" x14ac:dyDescent="0.2">
      <c r="A39" s="28" t="s">
        <v>26</v>
      </c>
      <c r="B39" s="24">
        <f t="shared" si="54"/>
        <v>11360.25</v>
      </c>
      <c r="C39" s="24">
        <f t="shared" si="54"/>
        <v>11104.0875</v>
      </c>
      <c r="D39" s="25">
        <f t="shared" si="82"/>
        <v>256.16250000000036</v>
      </c>
      <c r="E39" s="50">
        <f t="shared" si="55"/>
        <v>11063.863636363636</v>
      </c>
      <c r="F39" s="50">
        <f t="shared" si="56"/>
        <v>296.38636363636397</v>
      </c>
      <c r="G39" s="26"/>
      <c r="H39" s="26"/>
      <c r="I39" s="3"/>
      <c r="J39" s="26"/>
      <c r="K39" s="26"/>
      <c r="L39" s="26"/>
      <c r="M39" s="28" t="s">
        <v>26</v>
      </c>
      <c r="N39" s="24">
        <f t="shared" si="57"/>
        <v>8474.35</v>
      </c>
      <c r="O39" s="24">
        <f t="shared" si="57"/>
        <v>8474.35</v>
      </c>
      <c r="P39" s="25">
        <f t="shared" si="83"/>
        <v>0</v>
      </c>
      <c r="Q39" s="50">
        <f t="shared" si="58"/>
        <v>8511.7744999999995</v>
      </c>
      <c r="R39" s="50">
        <f t="shared" si="59"/>
        <v>-37.424499999999171</v>
      </c>
      <c r="S39" s="26"/>
      <c r="T39" s="26"/>
      <c r="U39" s="3"/>
      <c r="V39" s="26"/>
      <c r="W39" s="26"/>
      <c r="X39" s="26"/>
      <c r="Y39" s="28" t="s">
        <v>26</v>
      </c>
      <c r="Z39" s="24">
        <v>0</v>
      </c>
      <c r="AA39" s="24">
        <v>0</v>
      </c>
      <c r="AB39" s="25">
        <f t="shared" si="84"/>
        <v>0</v>
      </c>
      <c r="AC39" s="50">
        <f t="shared" si="61"/>
        <v>13805</v>
      </c>
      <c r="AD39" s="50">
        <f t="shared" si="62"/>
        <v>-13805</v>
      </c>
      <c r="AE39" s="26"/>
      <c r="AF39" s="26"/>
      <c r="AG39" s="3"/>
      <c r="AI39" s="26"/>
      <c r="AJ39" s="26"/>
      <c r="AK39" s="28" t="s">
        <v>26</v>
      </c>
      <c r="AL39" s="104">
        <f>AL10/AL25</f>
        <v>5503.75</v>
      </c>
      <c r="AM39" s="104">
        <f>AM10/AM25</f>
        <v>5503.75</v>
      </c>
      <c r="AN39" s="25">
        <f t="shared" si="86"/>
        <v>0</v>
      </c>
      <c r="AO39" s="50">
        <f>AO10/AO25</f>
        <v>6160</v>
      </c>
      <c r="AP39" s="50">
        <f t="shared" si="66"/>
        <v>-656.25</v>
      </c>
      <c r="AQ39" s="26"/>
      <c r="AR39" s="26"/>
      <c r="AS39" s="3"/>
      <c r="AT39" s="26"/>
      <c r="AU39" s="26"/>
      <c r="AV39" s="26"/>
      <c r="AW39" s="28" t="s">
        <v>26</v>
      </c>
      <c r="AX39" s="104">
        <f t="shared" ref="AX39:AY42" si="97">AX10/AX25</f>
        <v>6764.5160000000005</v>
      </c>
      <c r="AY39" s="104">
        <f t="shared" si="97"/>
        <v>6764.5160000000005</v>
      </c>
      <c r="AZ39" s="25">
        <f t="shared" si="87"/>
        <v>0</v>
      </c>
      <c r="BA39" s="50">
        <v>0</v>
      </c>
      <c r="BB39" s="50">
        <f t="shared" si="68"/>
        <v>6764.5160000000005</v>
      </c>
      <c r="BC39" s="26"/>
      <c r="BD39" s="26"/>
      <c r="BE39" s="3"/>
      <c r="BF39" s="26"/>
      <c r="BG39" s="26"/>
      <c r="BH39" s="26"/>
      <c r="BI39" s="28" t="s">
        <v>26</v>
      </c>
      <c r="BJ39" s="104">
        <f t="shared" si="88"/>
        <v>5553.3600000000006</v>
      </c>
      <c r="BK39" s="104">
        <f t="shared" si="88"/>
        <v>5553.3600000000006</v>
      </c>
      <c r="BL39" s="24">
        <f t="shared" si="89"/>
        <v>0</v>
      </c>
      <c r="BM39" s="50">
        <f t="shared" si="90"/>
        <v>5120.3883333333333</v>
      </c>
      <c r="BN39" s="50">
        <f t="shared" si="70"/>
        <v>432.97166666666726</v>
      </c>
      <c r="BO39" s="26"/>
      <c r="BP39" s="26"/>
      <c r="BQ39" s="3"/>
      <c r="BR39" s="26"/>
      <c r="BS39" s="26"/>
      <c r="BT39" s="26"/>
      <c r="BU39" s="28" t="s">
        <v>26</v>
      </c>
      <c r="BV39" s="104" t="e">
        <f t="shared" ref="BV39:BW39" si="98">BV10/BV25</f>
        <v>#DIV/0!</v>
      </c>
      <c r="BW39" s="104" t="e">
        <f t="shared" si="98"/>
        <v>#DIV/0!</v>
      </c>
      <c r="BX39" s="24" t="e">
        <f t="shared" si="92"/>
        <v>#DIV/0!</v>
      </c>
      <c r="BY39" s="50" t="e">
        <f t="shared" si="93"/>
        <v>#DIV/0!</v>
      </c>
      <c r="BZ39" s="50" t="e">
        <f t="shared" si="72"/>
        <v>#DIV/0!</v>
      </c>
      <c r="CA39" s="26"/>
      <c r="CB39" s="26"/>
      <c r="CC39" s="3"/>
      <c r="CD39" s="26"/>
      <c r="CE39" s="26"/>
      <c r="CF39" s="26"/>
      <c r="CG39" s="28" t="s">
        <v>26</v>
      </c>
      <c r="CH39" s="104">
        <f t="shared" si="73"/>
        <v>8028.9230000000007</v>
      </c>
      <c r="CI39" s="24">
        <f t="shared" si="73"/>
        <v>8238.6209090909106</v>
      </c>
      <c r="CJ39" s="24">
        <f t="shared" si="81"/>
        <v>-209.69790909090989</v>
      </c>
      <c r="CK39" s="50">
        <f t="shared" si="77"/>
        <v>8476.4927777777775</v>
      </c>
      <c r="CL39" s="50">
        <f t="shared" si="74"/>
        <v>-447.56977777777684</v>
      </c>
      <c r="CM39" s="3"/>
      <c r="CN39" s="3"/>
      <c r="CO39" s="3"/>
      <c r="CP39" s="3"/>
      <c r="CQ39" s="3"/>
    </row>
    <row r="40" spans="1:95" s="8" customFormat="1" ht="18" customHeight="1" x14ac:dyDescent="0.2">
      <c r="A40" s="28" t="s">
        <v>27</v>
      </c>
      <c r="B40" s="24">
        <f t="shared" si="54"/>
        <v>11420.393</v>
      </c>
      <c r="C40" s="24">
        <f t="shared" si="54"/>
        <v>11420.393</v>
      </c>
      <c r="D40" s="25">
        <f t="shared" si="82"/>
        <v>0</v>
      </c>
      <c r="E40" s="50">
        <f t="shared" si="55"/>
        <v>10948.109199999999</v>
      </c>
      <c r="F40" s="50">
        <f t="shared" si="56"/>
        <v>472.28380000000107</v>
      </c>
      <c r="G40" s="26"/>
      <c r="H40" s="26"/>
      <c r="I40" s="3"/>
      <c r="J40" s="26"/>
      <c r="K40" s="26"/>
      <c r="L40" s="26"/>
      <c r="M40" s="28" t="s">
        <v>27</v>
      </c>
      <c r="N40" s="24">
        <f t="shared" si="57"/>
        <v>12032.24</v>
      </c>
      <c r="O40" s="24">
        <f t="shared" si="57"/>
        <v>9841.5500000000011</v>
      </c>
      <c r="P40" s="25">
        <f t="shared" si="83"/>
        <v>2190.6899999999987</v>
      </c>
      <c r="Q40" s="50">
        <f t="shared" si="58"/>
        <v>8417.6936000000005</v>
      </c>
      <c r="R40" s="50">
        <f t="shared" si="59"/>
        <v>3614.5463999999993</v>
      </c>
      <c r="S40" s="26"/>
      <c r="T40" s="26"/>
      <c r="U40" s="3"/>
      <c r="V40" s="26"/>
      <c r="W40" s="26"/>
      <c r="X40" s="26"/>
      <c r="Y40" s="28" t="s">
        <v>27</v>
      </c>
      <c r="Z40" s="24">
        <f>Z11/Z26</f>
        <v>5500</v>
      </c>
      <c r="AA40" s="24">
        <f>AA11/AA26</f>
        <v>5500</v>
      </c>
      <c r="AB40" s="25">
        <f t="shared" si="84"/>
        <v>0</v>
      </c>
      <c r="AC40" s="50">
        <f t="shared" si="61"/>
        <v>9251.1</v>
      </c>
      <c r="AD40" s="50">
        <f t="shared" si="62"/>
        <v>-3751.1000000000004</v>
      </c>
      <c r="AE40" s="26"/>
      <c r="AF40" s="26"/>
      <c r="AG40" s="3"/>
      <c r="AI40" s="26"/>
      <c r="AJ40" s="26"/>
      <c r="AK40" s="28" t="s">
        <v>27</v>
      </c>
      <c r="AL40" s="104">
        <f t="shared" ref="AL40:AM43" si="99">AL11/AL26</f>
        <v>6622.3770588235293</v>
      </c>
      <c r="AM40" s="104">
        <f t="shared" ref="AM40" si="100">AM11/AM26</f>
        <v>6622.3770588235293</v>
      </c>
      <c r="AN40" s="25">
        <f t="shared" si="86"/>
        <v>0</v>
      </c>
      <c r="AO40" s="50">
        <f>AO11/AO26</f>
        <v>6542.4615384615381</v>
      </c>
      <c r="AP40" s="50">
        <f t="shared" si="66"/>
        <v>79.915520361991184</v>
      </c>
      <c r="AQ40" s="26"/>
      <c r="AR40" s="26"/>
      <c r="AS40" s="3"/>
      <c r="AT40" s="26"/>
      <c r="AU40" s="26"/>
      <c r="AV40" s="26"/>
      <c r="AW40" s="28" t="s">
        <v>27</v>
      </c>
      <c r="AX40" s="104">
        <f t="shared" si="97"/>
        <v>5623.0425000000005</v>
      </c>
      <c r="AY40" s="104">
        <f t="shared" si="97"/>
        <v>5623.0425000000005</v>
      </c>
      <c r="AZ40" s="25">
        <f t="shared" si="87"/>
        <v>0</v>
      </c>
      <c r="BA40" s="50">
        <v>0</v>
      </c>
      <c r="BB40" s="50">
        <f t="shared" si="68"/>
        <v>5623.0425000000005</v>
      </c>
      <c r="BC40" s="26"/>
      <c r="BD40" s="26"/>
      <c r="BE40" s="3"/>
      <c r="BF40" s="26"/>
      <c r="BG40" s="26"/>
      <c r="BH40" s="26"/>
      <c r="BI40" s="28" t="s">
        <v>27</v>
      </c>
      <c r="BJ40" s="104">
        <f t="shared" si="88"/>
        <v>5852.4142857142851</v>
      </c>
      <c r="BK40" s="104">
        <f t="shared" si="88"/>
        <v>5843.8099999999995</v>
      </c>
      <c r="BL40" s="24">
        <f t="shared" si="89"/>
        <v>8.6042857142856519</v>
      </c>
      <c r="BM40" s="50">
        <f t="shared" si="90"/>
        <v>5145.3</v>
      </c>
      <c r="BN40" s="50">
        <f t="shared" si="70"/>
        <v>707.11428571428496</v>
      </c>
      <c r="BO40" s="26"/>
      <c r="BP40" s="26"/>
      <c r="BQ40" s="3"/>
      <c r="BR40" s="26"/>
      <c r="BS40" s="26"/>
      <c r="BT40" s="26"/>
      <c r="BU40" s="28" t="s">
        <v>27</v>
      </c>
      <c r="BV40" s="104" t="e">
        <f t="shared" ref="BV40:BW40" si="101">BV11/BV26</f>
        <v>#DIV/0!</v>
      </c>
      <c r="BW40" s="104" t="e">
        <f t="shared" si="101"/>
        <v>#DIV/0!</v>
      </c>
      <c r="BX40" s="24" t="e">
        <f t="shared" si="92"/>
        <v>#DIV/0!</v>
      </c>
      <c r="BY40" s="50" t="e">
        <f t="shared" si="93"/>
        <v>#DIV/0!</v>
      </c>
      <c r="BZ40" s="50" t="e">
        <f t="shared" si="72"/>
        <v>#DIV/0!</v>
      </c>
      <c r="CA40" s="26"/>
      <c r="CB40" s="26"/>
      <c r="CC40" s="3"/>
      <c r="CD40" s="26"/>
      <c r="CE40" s="26"/>
      <c r="CF40" s="26"/>
      <c r="CG40" s="28" t="s">
        <v>27</v>
      </c>
      <c r="CH40" s="104">
        <f t="shared" si="73"/>
        <v>7580.6796249999998</v>
      </c>
      <c r="CI40" s="24">
        <f t="shared" si="73"/>
        <v>7560.6516883116892</v>
      </c>
      <c r="CJ40" s="24">
        <f t="shared" si="81"/>
        <v>20.027936688310547</v>
      </c>
      <c r="CK40" s="50">
        <f t="shared" si="77"/>
        <v>7933.8866956521733</v>
      </c>
      <c r="CL40" s="50">
        <f t="shared" si="74"/>
        <v>-353.20707065217357</v>
      </c>
      <c r="CM40" s="3"/>
      <c r="CN40" s="3"/>
      <c r="CO40" s="3"/>
      <c r="CP40" s="3"/>
      <c r="CQ40" s="3"/>
    </row>
    <row r="41" spans="1:95" s="8" customFormat="1" ht="18" customHeight="1" x14ac:dyDescent="0.2">
      <c r="A41" s="28" t="s">
        <v>28</v>
      </c>
      <c r="B41" s="24">
        <f t="shared" si="54"/>
        <v>11893.878181818181</v>
      </c>
      <c r="C41" s="24">
        <f t="shared" si="54"/>
        <v>11893.878181818181</v>
      </c>
      <c r="D41" s="25">
        <f t="shared" si="82"/>
        <v>0</v>
      </c>
      <c r="E41" s="50">
        <f t="shared" si="55"/>
        <v>11338.413461538461</v>
      </c>
      <c r="F41" s="50">
        <f t="shared" si="56"/>
        <v>555.4647202797205</v>
      </c>
      <c r="G41" s="26"/>
      <c r="H41" s="26"/>
      <c r="I41" s="3"/>
      <c r="J41" s="26"/>
      <c r="K41" s="26"/>
      <c r="L41" s="26"/>
      <c r="M41" s="28" t="s">
        <v>28</v>
      </c>
      <c r="N41" s="24">
        <f t="shared" si="57"/>
        <v>11021.322272727273</v>
      </c>
      <c r="O41" s="24">
        <f t="shared" si="57"/>
        <v>11021.322272727273</v>
      </c>
      <c r="P41" s="25">
        <f t="shared" si="83"/>
        <v>0</v>
      </c>
      <c r="Q41" s="50">
        <f t="shared" si="58"/>
        <v>9734.3206896551728</v>
      </c>
      <c r="R41" s="50">
        <f t="shared" si="59"/>
        <v>1287.0015830721004</v>
      </c>
      <c r="S41" s="26"/>
      <c r="T41" s="26"/>
      <c r="U41" s="3"/>
      <c r="V41" s="26"/>
      <c r="W41" s="26"/>
      <c r="X41" s="26"/>
      <c r="Y41" s="28" t="s">
        <v>28</v>
      </c>
      <c r="Z41" s="24">
        <f t="shared" ref="Z41:AA43" si="102">Z12/Z27</f>
        <v>10849.2624</v>
      </c>
      <c r="AA41" s="24">
        <f t="shared" si="102"/>
        <v>13561.578</v>
      </c>
      <c r="AB41" s="25">
        <f t="shared" si="84"/>
        <v>-2712.3155999999999</v>
      </c>
      <c r="AC41" s="50">
        <f t="shared" si="61"/>
        <v>14421</v>
      </c>
      <c r="AD41" s="50">
        <f t="shared" si="62"/>
        <v>-3571.7376000000004</v>
      </c>
      <c r="AE41" s="26"/>
      <c r="AF41" s="26"/>
      <c r="AG41" s="3"/>
      <c r="AI41" s="26"/>
      <c r="AJ41" s="26"/>
      <c r="AK41" s="28" t="s">
        <v>28</v>
      </c>
      <c r="AL41" s="104">
        <f t="shared" si="99"/>
        <v>7256.9723076923092</v>
      </c>
      <c r="AM41" s="104">
        <f t="shared" ref="AM41" si="103">AM12/AM27</f>
        <v>7256.9723076923092</v>
      </c>
      <c r="AN41" s="25">
        <f t="shared" si="86"/>
        <v>0</v>
      </c>
      <c r="AO41" s="50">
        <f>AO12/AO27</f>
        <v>7916.333333333333</v>
      </c>
      <c r="AP41" s="50">
        <f t="shared" si="66"/>
        <v>-659.36102564102384</v>
      </c>
      <c r="AQ41" s="26"/>
      <c r="AR41" s="26"/>
      <c r="AS41" s="3"/>
      <c r="AT41" s="26"/>
      <c r="AU41" s="26"/>
      <c r="AV41" s="26"/>
      <c r="AW41" s="28" t="s">
        <v>28</v>
      </c>
      <c r="AX41" s="104">
        <f t="shared" si="97"/>
        <v>6771.2676190476186</v>
      </c>
      <c r="AY41" s="104">
        <f t="shared" si="97"/>
        <v>6771.2676190476186</v>
      </c>
      <c r="AZ41" s="25">
        <f t="shared" si="87"/>
        <v>0</v>
      </c>
      <c r="BA41" s="50">
        <f>BA12/BA27</f>
        <v>7631.9750000000004</v>
      </c>
      <c r="BB41" s="50">
        <f t="shared" si="68"/>
        <v>-860.70738095238175</v>
      </c>
      <c r="BC41" s="26"/>
      <c r="BD41" s="26"/>
      <c r="BE41" s="3"/>
      <c r="BF41" s="26"/>
      <c r="BG41" s="26"/>
      <c r="BH41" s="26"/>
      <c r="BI41" s="28" t="s">
        <v>28</v>
      </c>
      <c r="BJ41" s="104">
        <f t="shared" si="88"/>
        <v>5851.1076923076917</v>
      </c>
      <c r="BK41" s="104">
        <f t="shared" si="88"/>
        <v>5851.1076923076917</v>
      </c>
      <c r="BL41" s="24">
        <f t="shared" si="89"/>
        <v>0</v>
      </c>
      <c r="BM41" s="50">
        <f t="shared" si="90"/>
        <v>5553.9151851851848</v>
      </c>
      <c r="BN41" s="50">
        <f t="shared" si="70"/>
        <v>297.19250712250687</v>
      </c>
      <c r="BO41" s="26"/>
      <c r="BP41" s="26"/>
      <c r="BQ41" s="3"/>
      <c r="BR41" s="26"/>
      <c r="BS41" s="26"/>
      <c r="BT41" s="26"/>
      <c r="BU41" s="28" t="s">
        <v>28</v>
      </c>
      <c r="BV41" s="104" t="e">
        <f t="shared" ref="BV41:BW41" si="104">BV12/BV27</f>
        <v>#DIV/0!</v>
      </c>
      <c r="BW41" s="104" t="e">
        <f t="shared" si="104"/>
        <v>#DIV/0!</v>
      </c>
      <c r="BX41" s="24" t="e">
        <f t="shared" si="92"/>
        <v>#DIV/0!</v>
      </c>
      <c r="BY41" s="50" t="e">
        <f t="shared" si="93"/>
        <v>#DIV/0!</v>
      </c>
      <c r="BZ41" s="50" t="e">
        <f t="shared" si="72"/>
        <v>#DIV/0!</v>
      </c>
      <c r="CA41" s="26"/>
      <c r="CB41" s="26"/>
      <c r="CC41" s="3"/>
      <c r="CD41" s="26"/>
      <c r="CE41" s="26"/>
      <c r="CF41" s="26"/>
      <c r="CG41" s="28" t="s">
        <v>28</v>
      </c>
      <c r="CH41" s="104">
        <f t="shared" si="73"/>
        <v>9165.1803875968999</v>
      </c>
      <c r="CI41" s="24">
        <f t="shared" si="73"/>
        <v>9534.7441129032268</v>
      </c>
      <c r="CJ41" s="25">
        <f t="shared" si="81"/>
        <v>-369.56372530632689</v>
      </c>
      <c r="CK41" s="50">
        <f t="shared" si="77"/>
        <v>8879.126715328468</v>
      </c>
      <c r="CL41" s="50">
        <f t="shared" si="74"/>
        <v>286.05367226843191</v>
      </c>
      <c r="CM41" s="3"/>
      <c r="CN41" s="3"/>
      <c r="CO41" s="3"/>
      <c r="CP41" s="3"/>
      <c r="CQ41" s="3"/>
    </row>
    <row r="42" spans="1:95" s="8" customFormat="1" ht="18" customHeight="1" x14ac:dyDescent="0.2">
      <c r="A42" s="28" t="s">
        <v>29</v>
      </c>
      <c r="B42" s="24">
        <f t="shared" si="54"/>
        <v>4884.8625000000002</v>
      </c>
      <c r="C42" s="24">
        <f t="shared" si="54"/>
        <v>4884.8625000000002</v>
      </c>
      <c r="D42" s="25">
        <f t="shared" si="82"/>
        <v>0</v>
      </c>
      <c r="E42" s="50">
        <f t="shared" si="55"/>
        <v>11678.333666666667</v>
      </c>
      <c r="F42" s="50">
        <f t="shared" si="56"/>
        <v>-6793.4711666666672</v>
      </c>
      <c r="G42" s="26"/>
      <c r="H42" s="26"/>
      <c r="I42" s="3"/>
      <c r="J42" s="26"/>
      <c r="K42" s="26"/>
      <c r="L42" s="26"/>
      <c r="M42" s="28" t="s">
        <v>29</v>
      </c>
      <c r="N42" s="24">
        <f t="shared" si="57"/>
        <v>11745.88</v>
      </c>
      <c r="O42" s="24">
        <f t="shared" si="57"/>
        <v>11745.88</v>
      </c>
      <c r="P42" s="25">
        <f t="shared" si="83"/>
        <v>0</v>
      </c>
      <c r="Q42" s="50">
        <f t="shared" si="58"/>
        <v>8368.1290322580644</v>
      </c>
      <c r="R42" s="50">
        <f t="shared" si="59"/>
        <v>3377.7509677419348</v>
      </c>
      <c r="S42" s="26"/>
      <c r="T42" s="26"/>
      <c r="U42" s="3"/>
      <c r="V42" s="26"/>
      <c r="W42" s="26"/>
      <c r="X42" s="26"/>
      <c r="Y42" s="28" t="s">
        <v>29</v>
      </c>
      <c r="Z42" s="24">
        <f t="shared" si="102"/>
        <v>12442.346101364521</v>
      </c>
      <c r="AA42" s="24">
        <f t="shared" si="102"/>
        <v>12442.346101364521</v>
      </c>
      <c r="AB42" s="25">
        <f t="shared" si="84"/>
        <v>0</v>
      </c>
      <c r="AC42" s="50">
        <f t="shared" si="61"/>
        <v>10038.855666666666</v>
      </c>
      <c r="AD42" s="50">
        <f t="shared" si="62"/>
        <v>2403.4904346978547</v>
      </c>
      <c r="AE42" s="26"/>
      <c r="AF42" s="26"/>
      <c r="AG42" s="3"/>
      <c r="AI42" s="26"/>
      <c r="AJ42" s="26"/>
      <c r="AK42" s="28" t="s">
        <v>29</v>
      </c>
      <c r="AL42" s="104">
        <f t="shared" si="99"/>
        <v>6294.8919387755095</v>
      </c>
      <c r="AM42" s="104">
        <f t="shared" ref="AM42" si="105">AM13/AM28</f>
        <v>6294.8919387755095</v>
      </c>
      <c r="AN42" s="25">
        <f t="shared" si="86"/>
        <v>0</v>
      </c>
      <c r="AO42" s="50">
        <f>AO13/AO28</f>
        <v>6552.3229032258068</v>
      </c>
      <c r="AP42" s="50">
        <f t="shared" si="66"/>
        <v>-257.43096445029732</v>
      </c>
      <c r="AQ42" s="26"/>
      <c r="AR42" s="26"/>
      <c r="AS42" s="3"/>
      <c r="AT42" s="26"/>
      <c r="AU42" s="26"/>
      <c r="AV42" s="26"/>
      <c r="AW42" s="28" t="s">
        <v>29</v>
      </c>
      <c r="AX42" s="104">
        <f t="shared" si="97"/>
        <v>6828.2521428571426</v>
      </c>
      <c r="AY42" s="104">
        <f t="shared" si="97"/>
        <v>6347.7765217391297</v>
      </c>
      <c r="AZ42" s="25">
        <f t="shared" si="87"/>
        <v>480.4756211180129</v>
      </c>
      <c r="BA42" s="50">
        <f>BA13/BA28</f>
        <v>7633.4119354838704</v>
      </c>
      <c r="BB42" s="50">
        <f t="shared" si="68"/>
        <v>-805.15979262672772</v>
      </c>
      <c r="BC42" s="26"/>
      <c r="BD42" s="26"/>
      <c r="BE42" s="3"/>
      <c r="BF42" s="26"/>
      <c r="BG42" s="26"/>
      <c r="BH42" s="26"/>
      <c r="BI42" s="28" t="s">
        <v>29</v>
      </c>
      <c r="BJ42" s="104">
        <f t="shared" si="88"/>
        <v>5922.0300000000007</v>
      </c>
      <c r="BK42" s="104">
        <f t="shared" si="88"/>
        <v>5922.0300000000007</v>
      </c>
      <c r="BL42" s="24">
        <f t="shared" si="89"/>
        <v>0</v>
      </c>
      <c r="BM42" s="50">
        <f t="shared" si="90"/>
        <v>5392.1680000000006</v>
      </c>
      <c r="BN42" s="50">
        <f t="shared" si="70"/>
        <v>529.86200000000008</v>
      </c>
      <c r="BO42" s="26"/>
      <c r="BP42" s="26"/>
      <c r="BQ42" s="3"/>
      <c r="BR42" s="26"/>
      <c r="BS42" s="26"/>
      <c r="BT42" s="26"/>
      <c r="BU42" s="28" t="s">
        <v>29</v>
      </c>
      <c r="BV42" s="104">
        <f t="shared" ref="BV42:BW42" si="106">BV13/BV28</f>
        <v>4950</v>
      </c>
      <c r="BW42" s="104" t="e">
        <f t="shared" si="106"/>
        <v>#DIV/0!</v>
      </c>
      <c r="BX42" s="24" t="e">
        <f t="shared" si="92"/>
        <v>#DIV/0!</v>
      </c>
      <c r="BY42" s="50" t="e">
        <f t="shared" si="93"/>
        <v>#DIV/0!</v>
      </c>
      <c r="BZ42" s="50" t="e">
        <f t="shared" si="72"/>
        <v>#DIV/0!</v>
      </c>
      <c r="CA42" s="26"/>
      <c r="CB42" s="26"/>
      <c r="CC42" s="3"/>
      <c r="CD42" s="26"/>
      <c r="CE42" s="26"/>
      <c r="CF42" s="26"/>
      <c r="CG42" s="28" t="s">
        <v>29</v>
      </c>
      <c r="CH42" s="104">
        <f t="shared" si="73"/>
        <v>7529.5740190097895</v>
      </c>
      <c r="CI42" s="24">
        <f t="shared" si="73"/>
        <v>7753.6695613133543</v>
      </c>
      <c r="CJ42" s="25">
        <f t="shared" si="81"/>
        <v>-224.0955423035648</v>
      </c>
      <c r="CK42" s="50">
        <f t="shared" si="77"/>
        <v>8345.4475280898878</v>
      </c>
      <c r="CL42" s="50">
        <f t="shared" si="74"/>
        <v>-815.8735090800983</v>
      </c>
      <c r="CM42" s="3"/>
      <c r="CN42" s="3"/>
      <c r="CO42" s="3"/>
      <c r="CP42" s="3"/>
      <c r="CQ42" s="3"/>
    </row>
    <row r="43" spans="1:95" s="8" customFormat="1" ht="18" customHeight="1" x14ac:dyDescent="0.2">
      <c r="A43" s="48" t="s">
        <v>30</v>
      </c>
      <c r="B43" s="49">
        <f t="shared" si="54"/>
        <v>11659.625999999998</v>
      </c>
      <c r="C43" s="49">
        <f t="shared" si="54"/>
        <v>11659.625999999998</v>
      </c>
      <c r="D43" s="49">
        <f t="shared" si="82"/>
        <v>0</v>
      </c>
      <c r="E43" s="51">
        <f t="shared" si="55"/>
        <v>11300.463333333333</v>
      </c>
      <c r="F43" s="51">
        <f t="shared" si="56"/>
        <v>359.16266666666525</v>
      </c>
      <c r="G43" s="26"/>
      <c r="H43" s="26"/>
      <c r="I43" s="3"/>
      <c r="J43" s="26"/>
      <c r="K43" s="26"/>
      <c r="L43" s="26"/>
      <c r="M43" s="48" t="s">
        <v>30</v>
      </c>
      <c r="N43" s="24">
        <f t="shared" si="57"/>
        <v>11319.847647058821</v>
      </c>
      <c r="O43" s="24">
        <f t="shared" si="57"/>
        <v>11319.847647058821</v>
      </c>
      <c r="P43" s="49">
        <f t="shared" si="83"/>
        <v>0</v>
      </c>
      <c r="Q43" s="51">
        <f t="shared" si="58"/>
        <v>7789.5559999999996</v>
      </c>
      <c r="R43" s="51">
        <f t="shared" si="59"/>
        <v>3530.2916470588216</v>
      </c>
      <c r="S43" s="26"/>
      <c r="T43" s="26"/>
      <c r="U43" s="3"/>
      <c r="V43" s="26"/>
      <c r="W43" s="26"/>
      <c r="X43" s="26"/>
      <c r="Y43" s="48" t="s">
        <v>30</v>
      </c>
      <c r="Z43" s="24">
        <f t="shared" si="102"/>
        <v>12296.490588235296</v>
      </c>
      <c r="AA43" s="24">
        <f t="shared" si="102"/>
        <v>12296.490588235296</v>
      </c>
      <c r="AB43" s="49">
        <f t="shared" si="84"/>
        <v>0</v>
      </c>
      <c r="AC43" s="51">
        <f t="shared" si="61"/>
        <v>10515.656086956522</v>
      </c>
      <c r="AD43" s="51">
        <f t="shared" si="62"/>
        <v>1780.834501278774</v>
      </c>
      <c r="AE43" s="26"/>
      <c r="AF43" s="26"/>
      <c r="AG43" s="3"/>
      <c r="AI43" s="26"/>
      <c r="AJ43" s="26"/>
      <c r="AK43" s="48" t="s">
        <v>30</v>
      </c>
      <c r="AL43" s="104">
        <f t="shared" si="99"/>
        <v>6452.7465384615389</v>
      </c>
      <c r="AM43" s="104">
        <f t="shared" ref="AM43" si="107">AM14/AM29</f>
        <v>6452.7465384615389</v>
      </c>
      <c r="AN43" s="49">
        <f t="shared" si="86"/>
        <v>0</v>
      </c>
      <c r="AO43" s="51">
        <f>AO14/AO29</f>
        <v>5456.8740740740741</v>
      </c>
      <c r="AP43" s="51">
        <f t="shared" si="66"/>
        <v>995.87246438746479</v>
      </c>
      <c r="AQ43" s="26"/>
      <c r="AR43" s="26"/>
      <c r="AS43" s="3"/>
      <c r="AT43" s="26"/>
      <c r="AU43" s="26"/>
      <c r="AV43" s="26"/>
      <c r="AW43" s="48" t="s">
        <v>30</v>
      </c>
      <c r="AX43" s="107">
        <v>0</v>
      </c>
      <c r="AY43" s="107">
        <v>0</v>
      </c>
      <c r="AZ43" s="49">
        <f t="shared" si="87"/>
        <v>0</v>
      </c>
      <c r="BA43" s="51">
        <f>BA14/BA29</f>
        <v>7480</v>
      </c>
      <c r="BB43" s="51">
        <f t="shared" si="68"/>
        <v>-7480</v>
      </c>
      <c r="BC43" s="26"/>
      <c r="BD43" s="26"/>
      <c r="BE43" s="3"/>
      <c r="BF43" s="26"/>
      <c r="BG43" s="26"/>
      <c r="BH43" s="26"/>
      <c r="BI43" s="48" t="s">
        <v>30</v>
      </c>
      <c r="BJ43" s="104">
        <f t="shared" si="88"/>
        <v>5189.8733333333339</v>
      </c>
      <c r="BK43" s="104">
        <f t="shared" si="88"/>
        <v>5189.8733333333339</v>
      </c>
      <c r="BL43" s="49">
        <f t="shared" si="89"/>
        <v>0</v>
      </c>
      <c r="BM43" s="51">
        <f t="shared" si="90"/>
        <v>5236.9920000000002</v>
      </c>
      <c r="BN43" s="51">
        <f t="shared" si="70"/>
        <v>-47.118666666666286</v>
      </c>
      <c r="BO43" s="26"/>
      <c r="BP43" s="26"/>
      <c r="BQ43" s="3"/>
      <c r="BR43" s="26"/>
      <c r="BS43" s="26"/>
      <c r="BT43" s="26"/>
      <c r="BU43" s="48" t="s">
        <v>30</v>
      </c>
      <c r="BV43" s="104">
        <f t="shared" ref="BV43:BW43" si="108">BV14/BV29</f>
        <v>4950</v>
      </c>
      <c r="BW43" s="104" t="e">
        <f t="shared" si="108"/>
        <v>#DIV/0!</v>
      </c>
      <c r="BX43" s="49" t="e">
        <f t="shared" si="92"/>
        <v>#DIV/0!</v>
      </c>
      <c r="BY43" s="51" t="e">
        <f t="shared" si="93"/>
        <v>#DIV/0!</v>
      </c>
      <c r="BZ43" s="51" t="e">
        <f t="shared" si="72"/>
        <v>#DIV/0!</v>
      </c>
      <c r="CA43" s="26"/>
      <c r="CB43" s="26"/>
      <c r="CC43" s="3"/>
      <c r="CD43" s="26"/>
      <c r="CE43" s="26"/>
      <c r="CF43" s="26"/>
      <c r="CG43" s="48" t="s">
        <v>30</v>
      </c>
      <c r="CH43" s="107">
        <f t="shared" si="73"/>
        <v>8640.5690833333319</v>
      </c>
      <c r="CI43" s="49">
        <f t="shared" si="73"/>
        <v>9515.652474226803</v>
      </c>
      <c r="CJ43" s="49">
        <f t="shared" si="81"/>
        <v>-875.08339089347101</v>
      </c>
      <c r="CK43" s="51">
        <f t="shared" si="77"/>
        <v>8018.5530769230772</v>
      </c>
      <c r="CL43" s="51">
        <f t="shared" si="74"/>
        <v>622.0160064102547</v>
      </c>
      <c r="CM43" s="3"/>
      <c r="CN43" s="3"/>
      <c r="CO43" s="3"/>
      <c r="CP43" s="3"/>
      <c r="CQ43" s="3"/>
    </row>
    <row r="44" spans="1:95" x14ac:dyDescent="0.2">
      <c r="A44" s="78"/>
      <c r="B44" s="80"/>
      <c r="C44" s="80"/>
      <c r="D44" s="78"/>
      <c r="E44" s="80"/>
      <c r="F44" s="80"/>
      <c r="G44" s="3"/>
      <c r="H44" s="3"/>
      <c r="J44" s="3"/>
      <c r="K44" s="3"/>
      <c r="L44" s="3"/>
      <c r="M44" s="78"/>
      <c r="N44" s="79"/>
      <c r="O44" s="79"/>
      <c r="P44" s="78"/>
      <c r="Q44" s="78"/>
      <c r="R44" s="78"/>
      <c r="Y44" s="78"/>
      <c r="Z44" s="78"/>
      <c r="AA44" s="78"/>
      <c r="AB44" s="78"/>
      <c r="AC44" s="78"/>
      <c r="AD44" s="78"/>
      <c r="AK44" s="78"/>
      <c r="AL44" s="78"/>
      <c r="AM44" s="78"/>
      <c r="AN44" s="78"/>
      <c r="AO44" s="78"/>
      <c r="AP44" s="78"/>
      <c r="AW44" s="78"/>
      <c r="AX44" s="78"/>
      <c r="AY44" s="78"/>
      <c r="AZ44" s="78"/>
      <c r="BA44" s="78"/>
      <c r="BB44" s="78"/>
      <c r="BI44" s="78"/>
      <c r="BJ44" s="78"/>
      <c r="BK44" s="78"/>
      <c r="BL44" s="78"/>
      <c r="BM44" s="78"/>
      <c r="BN44" s="78"/>
      <c r="BU44" s="78"/>
      <c r="BV44" s="78"/>
      <c r="BW44" s="78"/>
      <c r="BX44" s="78"/>
      <c r="BY44" s="78"/>
      <c r="BZ44" s="78"/>
      <c r="CG44" s="78"/>
      <c r="CH44" s="78"/>
      <c r="CI44" s="78"/>
      <c r="CJ44" s="78"/>
      <c r="CK44" s="78"/>
      <c r="CL44" s="78"/>
    </row>
  </sheetData>
  <mergeCells count="32">
    <mergeCell ref="BU1:CE1"/>
    <mergeCell ref="BU16:BZ16"/>
    <mergeCell ref="CA16:CE16"/>
    <mergeCell ref="BU30:BZ30"/>
    <mergeCell ref="CG1:CQ1"/>
    <mergeCell ref="A16:F16"/>
    <mergeCell ref="G16:K16"/>
    <mergeCell ref="M16:R16"/>
    <mergeCell ref="S16:W16"/>
    <mergeCell ref="Y16:AD16"/>
    <mergeCell ref="A1:K1"/>
    <mergeCell ref="M1:W1"/>
    <mergeCell ref="CM16:CQ16"/>
    <mergeCell ref="Y1:AI1"/>
    <mergeCell ref="AK1:AU1"/>
    <mergeCell ref="AW1:BG1"/>
    <mergeCell ref="BI1:BS1"/>
    <mergeCell ref="AE16:AI16"/>
    <mergeCell ref="AK16:AP16"/>
    <mergeCell ref="AQ16:AU16"/>
    <mergeCell ref="BI30:BN30"/>
    <mergeCell ref="CG30:CL30"/>
    <mergeCell ref="BC16:BG16"/>
    <mergeCell ref="BI16:BN16"/>
    <mergeCell ref="A30:F30"/>
    <mergeCell ref="M30:R30"/>
    <mergeCell ref="Y30:AD30"/>
    <mergeCell ref="AK30:AP30"/>
    <mergeCell ref="AW30:BB30"/>
    <mergeCell ref="CG16:CL16"/>
    <mergeCell ref="AW16:BB16"/>
    <mergeCell ref="BO16:BS16"/>
  </mergeCells>
  <conditionalFormatting sqref="D1 F1 I1 K1:L1 P1 R1 U1 W1:X1 AB1 AD1 AG1 AI1:AJ1 AN1 AP1 AS1 AU1:AV1 AZ1 BB1 BE1 BG1:BH1 BL1 BN1 BQ1 BS1:BT1 CJ1 CL1 CO1 CQ1 F3:F16 I3:I16 K3:L16 R3:R16 U3:U16 W3:X16 AD3:AD16 AG3:AG16 AI3:AJ16 AP3:AP16 AS3:AS16 AU3:AV16 BB3:BB16 BE3:BE16 BG3:BH16 BN3:BN16 BQ3:BQ16 BS3:BT16 CL3:CL16 CO3:CO16 CQ3:CQ16 CJ6:CJ16 D7:D16 P7:P16 AB7:AB16 AN7:AN16 AZ7:AZ16 BL7:BL16 F18:F30 K18:L30 R18:R30 W18:X30 AD18:AD30 AI18:AJ30 AP18:AP30 AU18:AV30 BB18:BB30 BG18:BH30 BN18:BN30 BS18:BT30 CL18:CL30 CQ18:CQ30 CJ21:CJ30 CO21:CO30 D22:D30 I22:I30 P22:P30 U22:U30 AB22:AB30 AG22:AG30 AN22:AN30 AS22:AS30 AZ22:AZ30 BE22:BE30 BL22:BL30 BQ22:BQ30 F32:F1048576 I32:I1048576 K32:L1048576 R32:R1048576 U32:U1048576 W32:X1048576 AD32:AD1048576 AG32:AG1048576 AI32:AJ1048576 AP32:AP1048576 AS32:AS1048576 AU32:AV1048576 BB32:BB1048576 BE32:BE1048576 BG32:BH1048576 BN32:BN1048576 BQ32:BQ1048576 BS32:BT1048576 CL32:CL1048576 CO32:CO1048576 CQ32:CQ1048576 CJ35:CJ1048576 D36:D1048576 P36:P1048576 AB36:AB1048576 AN36:AN1048576 AZ36:AZ1048576 BL36:BL1048576 BX1 BZ1 CC1 CE1:CF1 BZ3:BZ16 CC3:CC16 CE3:CF16 BX7:BX16 BZ18:BZ30 CE18:CF30 BX22:BX30 CC22:CC30 BZ32:BZ1048576 CC32:CC1048576 CE32:CF1048576 BX36:BX1048576">
    <cfRule type="cellIs" dxfId="28" priority="1" operator="lessThan">
      <formula>-0.0009</formula>
    </cfRule>
    <cfRule type="cellIs" dxfId="27" priority="2" operator="greaterThan">
      <formula>0.0009</formula>
    </cfRule>
  </conditionalFormatting>
  <pageMargins left="0.25" right="0.25" top="0.75" bottom="0.75" header="0.3" footer="0.3"/>
  <pageSetup paperSize="8" scale="22" orientation="landscape" horizontalDpi="0" verticalDpi="0"/>
  <ignoredErrors>
    <ignoredError sqref="BO22:BQ29 BR19:BR27 CG15:CQ16 CH35:CJ43 BL36:BL43 BC22:BE29 BF19:BF26 AZ41:AZ42 AZ15 AQ22:AT29 AN15 AL32:AL34 AE22:AG29 AH19:AH27 AB15 AB36:AB41 S16:W16 P15 P36:P43 A15:B16 D36:D41 A29 A28 D28:K28 D29:K29 D42:D44 AB42:AB43 BL15 D15:K16 AN36:AN43 A18:A27 A17 D22:K27 D17 I17 S22:W29 U17 CG21 CG17 CJ17 CG32:CI32 CG31 CJ31 CO17 AL38 AL40:AL43 E18:H19 J18:K19 S18:T19 V18:W19 AE18:AF19 AQ19:AR19 AT19 BC18:BD19 BO18:BP19 CG4 CL4:CQ4 CG19 CL19 CP18:CQ19 CH33:CI33 CL32:CQ32 CM31:CQ31 E20:H20 J20:K20 S20:T20 V20:W20 AQ20:AR20 AT20 BC20:BD20 BO20:BP20 CG5 CL5:CQ5 CG20 CP20:CQ20 CL20 CH34:CI34 AE20:AF20 E21:H21 J21:K21 S21:T21 V21:W21 AE21:AF21 AQ21:AR21 AT21 BC21:BD21 BO21:BP21 CG3 CL3:CQ3 CG6:CG14 CJ6:CJ14 CL6:CQ12 CG18 CL18 CL14:CQ14 CL13:CN13 CQ13 CG24 CG22 CO22:CQ22 CG23 CO23:CQ23 CG26 CG25 CO25:CQ25 CG30:CQ30 CG27 CO27:CQ27 CG28 CO28:CQ28 CO21:CQ21 CO24:CQ24 CO26:CQ26 CG29 CO29:CQ29 CM23:CM26 CN23:CN26 CJ21 CJ24 CJ22 CJ23 CJ26 CJ25 CJ27 CJ28 CJ29 CL21 CL24 CL22 CL23 CL26 CL25 CL27 CL28 CL29 CM19:CN21" formula="1"/>
    <ignoredError sqref="CL42:CL4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9D89-DC59-FA45-9B55-E37B55F4E78A}">
  <dimension ref="A1:K88"/>
  <sheetViews>
    <sheetView topLeftCell="A23" zoomScaleNormal="100" workbookViewId="0">
      <selection activeCell="D62" sqref="D62"/>
    </sheetView>
  </sheetViews>
  <sheetFormatPr baseColWidth="10" defaultRowHeight="16" x14ac:dyDescent="0.2"/>
  <cols>
    <col min="1" max="1" width="8.83203125" customWidth="1"/>
    <col min="12" max="12" width="8.83203125" customWidth="1"/>
    <col min="13" max="22" width="10.83203125" customWidth="1"/>
  </cols>
  <sheetData>
    <row r="1" spans="1:11" ht="28" customHeight="1" thickBot="1" x14ac:dyDescent="0.25">
      <c r="A1" s="111" t="s">
        <v>54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</row>
    <row r="2" spans="1:11" ht="32" customHeight="1" x14ac:dyDescent="0.2">
      <c r="A2" s="68"/>
      <c r="B2" s="71" t="s">
        <v>58</v>
      </c>
      <c r="C2" s="71" t="s">
        <v>53</v>
      </c>
      <c r="D2" s="77" t="s">
        <v>0</v>
      </c>
      <c r="E2" s="20" t="s">
        <v>48</v>
      </c>
      <c r="F2" s="21" t="s">
        <v>47</v>
      </c>
      <c r="G2" s="22"/>
      <c r="H2" s="22"/>
      <c r="I2" s="22"/>
      <c r="J2" s="22"/>
      <c r="K2" s="61"/>
    </row>
    <row r="3" spans="1:11" x14ac:dyDescent="0.2">
      <c r="A3" s="28" t="s">
        <v>37</v>
      </c>
      <c r="B3" s="24">
        <v>14250</v>
      </c>
      <c r="C3" s="24">
        <v>14250</v>
      </c>
      <c r="D3" s="24">
        <f t="shared" ref="D3:D15" si="0">B3-C3</f>
        <v>0</v>
      </c>
      <c r="E3" s="36">
        <v>55111.46</v>
      </c>
      <c r="F3" s="50">
        <f t="shared" ref="F3:F15" si="1">B3-E3</f>
        <v>-40861.46</v>
      </c>
      <c r="G3" s="26"/>
      <c r="H3" s="26"/>
      <c r="I3" s="26"/>
      <c r="J3" s="26"/>
      <c r="K3" s="62"/>
    </row>
    <row r="4" spans="1:11" x14ac:dyDescent="0.2">
      <c r="A4" s="28" t="s">
        <v>38</v>
      </c>
      <c r="B4" s="24">
        <v>0</v>
      </c>
      <c r="C4" s="24">
        <v>0</v>
      </c>
      <c r="D4" s="24">
        <f t="shared" si="0"/>
        <v>0</v>
      </c>
      <c r="E4" s="36">
        <v>0</v>
      </c>
      <c r="F4" s="50">
        <f t="shared" si="1"/>
        <v>0</v>
      </c>
      <c r="G4" s="26"/>
      <c r="H4" s="26"/>
      <c r="I4" s="26"/>
      <c r="J4" s="26"/>
      <c r="K4" s="62"/>
    </row>
    <row r="5" spans="1:11" x14ac:dyDescent="0.2">
      <c r="A5" s="28" t="s">
        <v>39</v>
      </c>
      <c r="B5" s="24">
        <v>0</v>
      </c>
      <c r="C5" s="24">
        <v>0</v>
      </c>
      <c r="D5" s="24">
        <f t="shared" si="0"/>
        <v>0</v>
      </c>
      <c r="E5" s="36">
        <v>0</v>
      </c>
      <c r="F5" s="50">
        <f t="shared" si="1"/>
        <v>0</v>
      </c>
      <c r="G5" s="26"/>
      <c r="H5" s="26"/>
      <c r="I5" s="26"/>
      <c r="J5" s="26"/>
      <c r="K5" s="62"/>
    </row>
    <row r="6" spans="1:11" x14ac:dyDescent="0.2">
      <c r="A6" s="28" t="s">
        <v>40</v>
      </c>
      <c r="B6" s="24">
        <v>32746.5</v>
      </c>
      <c r="C6" s="24">
        <v>32746.5</v>
      </c>
      <c r="D6" s="24">
        <f t="shared" si="0"/>
        <v>0</v>
      </c>
      <c r="E6" s="36">
        <v>19827.240000000002</v>
      </c>
      <c r="F6" s="50">
        <f t="shared" si="1"/>
        <v>12919.259999999998</v>
      </c>
      <c r="G6" s="26"/>
      <c r="H6" s="26"/>
      <c r="I6" s="26"/>
      <c r="J6" s="26"/>
      <c r="K6" s="62"/>
    </row>
    <row r="7" spans="1:11" x14ac:dyDescent="0.2">
      <c r="A7" s="28" t="s">
        <v>41</v>
      </c>
      <c r="B7" s="24">
        <v>47978.02</v>
      </c>
      <c r="C7" s="24">
        <v>47978.02</v>
      </c>
      <c r="D7" s="24">
        <f t="shared" si="0"/>
        <v>0</v>
      </c>
      <c r="E7" s="36">
        <v>0</v>
      </c>
      <c r="F7" s="50">
        <f t="shared" si="1"/>
        <v>47978.02</v>
      </c>
      <c r="G7" s="26"/>
      <c r="H7" s="26"/>
      <c r="I7" s="26"/>
      <c r="J7" s="26"/>
      <c r="K7" s="62"/>
    </row>
    <row r="8" spans="1:11" x14ac:dyDescent="0.2">
      <c r="A8" s="28" t="s">
        <v>42</v>
      </c>
      <c r="B8" s="24">
        <v>41451.5</v>
      </c>
      <c r="C8" s="24">
        <v>41451.5</v>
      </c>
      <c r="D8" s="24">
        <f t="shared" si="0"/>
        <v>0</v>
      </c>
      <c r="E8" s="36">
        <v>0</v>
      </c>
      <c r="F8" s="50">
        <f t="shared" si="1"/>
        <v>41451.5</v>
      </c>
      <c r="G8" s="26"/>
      <c r="H8" s="26"/>
      <c r="I8" s="26"/>
      <c r="J8" s="26"/>
      <c r="K8" s="62"/>
    </row>
    <row r="9" spans="1:11" x14ac:dyDescent="0.2">
      <c r="A9" s="28" t="s">
        <v>43</v>
      </c>
      <c r="B9" s="24">
        <v>0</v>
      </c>
      <c r="C9" s="24">
        <v>0</v>
      </c>
      <c r="D9" s="24">
        <f t="shared" si="0"/>
        <v>0</v>
      </c>
      <c r="E9" s="36">
        <v>71165.009999999995</v>
      </c>
      <c r="F9" s="50">
        <f t="shared" si="1"/>
        <v>-71165.009999999995</v>
      </c>
      <c r="G9" s="26"/>
      <c r="H9" s="26"/>
      <c r="I9" s="26"/>
      <c r="J9" s="26"/>
      <c r="K9" s="62"/>
    </row>
    <row r="10" spans="1:11" x14ac:dyDescent="0.2">
      <c r="A10" s="28" t="s">
        <v>44</v>
      </c>
      <c r="B10" s="24">
        <v>0</v>
      </c>
      <c r="C10" s="24">
        <v>0</v>
      </c>
      <c r="D10" s="24">
        <f t="shared" si="0"/>
        <v>0</v>
      </c>
      <c r="E10" s="36">
        <v>0</v>
      </c>
      <c r="F10" s="50">
        <f t="shared" si="1"/>
        <v>0</v>
      </c>
      <c r="G10" s="26"/>
      <c r="H10" s="26"/>
      <c r="I10" s="26"/>
      <c r="J10" s="26"/>
      <c r="K10" s="62"/>
    </row>
    <row r="11" spans="1:11" x14ac:dyDescent="0.2">
      <c r="A11" s="28" t="s">
        <v>45</v>
      </c>
      <c r="B11" s="24">
        <v>25760</v>
      </c>
      <c r="C11" s="24">
        <v>25760</v>
      </c>
      <c r="D11" s="24">
        <f t="shared" si="0"/>
        <v>0</v>
      </c>
      <c r="E11" s="36">
        <v>0</v>
      </c>
      <c r="F11" s="50">
        <f t="shared" si="1"/>
        <v>25760</v>
      </c>
      <c r="G11" s="26"/>
      <c r="H11" s="26"/>
      <c r="I11" s="26"/>
      <c r="J11" s="26"/>
      <c r="K11" s="62"/>
    </row>
    <row r="12" spans="1:11" x14ac:dyDescent="0.2">
      <c r="A12" s="28" t="s">
        <v>46</v>
      </c>
      <c r="B12" s="24">
        <v>210435</v>
      </c>
      <c r="C12" s="24">
        <v>210435</v>
      </c>
      <c r="D12" s="24">
        <f t="shared" si="0"/>
        <v>0</v>
      </c>
      <c r="E12" s="36">
        <v>174200</v>
      </c>
      <c r="F12" s="50">
        <f t="shared" si="1"/>
        <v>36235</v>
      </c>
      <c r="G12" s="26"/>
      <c r="H12" s="26"/>
      <c r="I12" s="26"/>
      <c r="J12" s="26"/>
      <c r="K12" s="62"/>
    </row>
    <row r="13" spans="1:11" x14ac:dyDescent="0.2">
      <c r="A13" s="28" t="s">
        <v>17</v>
      </c>
      <c r="B13" s="24">
        <v>13995.5</v>
      </c>
      <c r="C13" s="24">
        <v>13995.5</v>
      </c>
      <c r="D13" s="24">
        <f t="shared" si="0"/>
        <v>0</v>
      </c>
      <c r="E13" s="36">
        <v>80174.34</v>
      </c>
      <c r="F13" s="50">
        <f t="shared" si="1"/>
        <v>-66178.84</v>
      </c>
      <c r="G13" s="26"/>
      <c r="H13" s="26"/>
      <c r="I13" s="26"/>
      <c r="J13" s="26"/>
      <c r="K13" s="62"/>
    </row>
    <row r="14" spans="1:11" x14ac:dyDescent="0.2">
      <c r="A14" s="28" t="s">
        <v>18</v>
      </c>
      <c r="B14" s="24">
        <v>0</v>
      </c>
      <c r="C14" s="24">
        <v>0</v>
      </c>
      <c r="D14" s="49">
        <f t="shared" si="0"/>
        <v>0</v>
      </c>
      <c r="E14" s="36">
        <v>0</v>
      </c>
      <c r="F14" s="50">
        <f t="shared" si="1"/>
        <v>0</v>
      </c>
      <c r="G14" s="26"/>
      <c r="H14" s="26"/>
      <c r="I14" s="26"/>
      <c r="J14" s="26"/>
      <c r="K14" s="62"/>
    </row>
    <row r="15" spans="1:11" ht="17" thickBot="1" x14ac:dyDescent="0.25">
      <c r="A15" s="69" t="s">
        <v>6</v>
      </c>
      <c r="B15" s="38">
        <f>SUM(B3:B14)</f>
        <v>386616.52</v>
      </c>
      <c r="C15" s="38">
        <f>SUM(C3:C14)</f>
        <v>386616.52</v>
      </c>
      <c r="D15" s="38">
        <f t="shared" si="0"/>
        <v>0</v>
      </c>
      <c r="E15" s="39">
        <f>SUM(E3:E14)</f>
        <v>400478.04999999993</v>
      </c>
      <c r="F15" s="54">
        <f t="shared" si="1"/>
        <v>-13861.529999999912</v>
      </c>
      <c r="G15" s="32"/>
      <c r="H15" s="32"/>
      <c r="I15" s="32"/>
      <c r="J15" s="32"/>
      <c r="K15" s="63"/>
    </row>
    <row r="16" spans="1:11" ht="25" customHeight="1" thickBot="1" x14ac:dyDescent="0.25">
      <c r="A16" s="108" t="s">
        <v>2</v>
      </c>
      <c r="B16" s="109"/>
      <c r="C16" s="109"/>
      <c r="D16" s="109"/>
      <c r="E16" s="109"/>
      <c r="F16" s="110"/>
      <c r="G16" s="108" t="s">
        <v>4</v>
      </c>
      <c r="H16" s="109"/>
      <c r="I16" s="109"/>
      <c r="J16" s="109"/>
      <c r="K16" s="110"/>
    </row>
    <row r="17" spans="1:11" ht="32" customHeight="1" x14ac:dyDescent="0.2">
      <c r="A17" s="60"/>
      <c r="B17" s="71" t="s">
        <v>58</v>
      </c>
      <c r="C17" s="71" t="s">
        <v>53</v>
      </c>
      <c r="D17" s="77" t="s">
        <v>0</v>
      </c>
      <c r="E17" s="20" t="s">
        <v>48</v>
      </c>
      <c r="F17" s="21" t="s">
        <v>47</v>
      </c>
      <c r="G17" s="71" t="s">
        <v>58</v>
      </c>
      <c r="H17" s="71" t="s">
        <v>53</v>
      </c>
      <c r="I17" s="77" t="s">
        <v>0</v>
      </c>
      <c r="J17" s="20" t="s">
        <v>48</v>
      </c>
      <c r="K17" s="64" t="s">
        <v>47</v>
      </c>
    </row>
    <row r="18" spans="1:11" x14ac:dyDescent="0.2">
      <c r="A18" s="28" t="s">
        <v>37</v>
      </c>
      <c r="B18" s="40">
        <v>2</v>
      </c>
      <c r="C18" s="40">
        <v>2</v>
      </c>
      <c r="D18" s="24">
        <f t="shared" ref="D18:D29" si="2">B18-C18</f>
        <v>0</v>
      </c>
      <c r="E18" s="41">
        <v>7</v>
      </c>
      <c r="F18" s="44">
        <f t="shared" ref="F18:F29" si="3">B18-E18</f>
        <v>-5</v>
      </c>
      <c r="G18" s="42">
        <f>B18/31</f>
        <v>6.4516129032258063E-2</v>
      </c>
      <c r="H18" s="42">
        <f>C18/31</f>
        <v>6.4516129032258063E-2</v>
      </c>
      <c r="I18" s="84">
        <f t="shared" ref="I18:I29" si="4">G18-H18</f>
        <v>0</v>
      </c>
      <c r="J18" s="45">
        <f>E18/31</f>
        <v>0.22580645161290322</v>
      </c>
      <c r="K18" s="65">
        <f t="shared" ref="K18:K29" si="5">G18-J18</f>
        <v>-0.16129032258064516</v>
      </c>
    </row>
    <row r="19" spans="1:11" x14ac:dyDescent="0.2">
      <c r="A19" s="28" t="s">
        <v>38</v>
      </c>
      <c r="B19" s="40">
        <v>0</v>
      </c>
      <c r="C19" s="40">
        <v>0</v>
      </c>
      <c r="D19" s="24">
        <f t="shared" si="2"/>
        <v>0</v>
      </c>
      <c r="E19" s="41">
        <v>0</v>
      </c>
      <c r="F19" s="44">
        <f t="shared" si="3"/>
        <v>0</v>
      </c>
      <c r="G19" s="42">
        <f>B19/30</f>
        <v>0</v>
      </c>
      <c r="H19" s="42">
        <f>C19/30</f>
        <v>0</v>
      </c>
      <c r="I19" s="84">
        <f t="shared" si="4"/>
        <v>0</v>
      </c>
      <c r="J19" s="45">
        <f>E19/30</f>
        <v>0</v>
      </c>
      <c r="K19" s="65">
        <f t="shared" si="5"/>
        <v>0</v>
      </c>
    </row>
    <row r="20" spans="1:11" x14ac:dyDescent="0.2">
      <c r="A20" s="28" t="s">
        <v>39</v>
      </c>
      <c r="B20" s="40">
        <v>0</v>
      </c>
      <c r="C20" s="40">
        <v>0</v>
      </c>
      <c r="D20" s="24">
        <f t="shared" si="2"/>
        <v>0</v>
      </c>
      <c r="E20" s="41">
        <v>0</v>
      </c>
      <c r="F20" s="44">
        <f t="shared" si="3"/>
        <v>0</v>
      </c>
      <c r="G20" s="42">
        <f>B20/31</f>
        <v>0</v>
      </c>
      <c r="H20" s="42">
        <f>C20/31</f>
        <v>0</v>
      </c>
      <c r="I20" s="84">
        <f t="shared" si="4"/>
        <v>0</v>
      </c>
      <c r="J20" s="45">
        <f>E20/31</f>
        <v>0</v>
      </c>
      <c r="K20" s="65">
        <f t="shared" si="5"/>
        <v>0</v>
      </c>
    </row>
    <row r="21" spans="1:11" x14ac:dyDescent="0.2">
      <c r="A21" s="28" t="s">
        <v>40</v>
      </c>
      <c r="B21" s="40">
        <v>3</v>
      </c>
      <c r="C21" s="40">
        <v>3</v>
      </c>
      <c r="D21" s="24">
        <f t="shared" si="2"/>
        <v>0</v>
      </c>
      <c r="E21" s="41">
        <v>3</v>
      </c>
      <c r="F21" s="44">
        <f t="shared" si="3"/>
        <v>0</v>
      </c>
      <c r="G21" s="42">
        <f>B21/30</f>
        <v>0.1</v>
      </c>
      <c r="H21" s="42">
        <f>C21/30</f>
        <v>0.1</v>
      </c>
      <c r="I21" s="84">
        <f t="shared" si="4"/>
        <v>0</v>
      </c>
      <c r="J21" s="45">
        <f>E21/30</f>
        <v>0.1</v>
      </c>
      <c r="K21" s="65">
        <f t="shared" si="5"/>
        <v>0</v>
      </c>
    </row>
    <row r="22" spans="1:11" x14ac:dyDescent="0.2">
      <c r="A22" s="28" t="s">
        <v>41</v>
      </c>
      <c r="B22" s="40">
        <v>10</v>
      </c>
      <c r="C22" s="40">
        <v>10</v>
      </c>
      <c r="D22" s="24">
        <f t="shared" si="2"/>
        <v>0</v>
      </c>
      <c r="E22" s="41">
        <v>4</v>
      </c>
      <c r="F22" s="44">
        <f t="shared" si="3"/>
        <v>6</v>
      </c>
      <c r="G22" s="42">
        <f>B22/31</f>
        <v>0.32258064516129031</v>
      </c>
      <c r="H22" s="42">
        <f>C22/31</f>
        <v>0.32258064516129031</v>
      </c>
      <c r="I22" s="84">
        <f t="shared" si="4"/>
        <v>0</v>
      </c>
      <c r="J22" s="45">
        <f>E22/31</f>
        <v>0.12903225806451613</v>
      </c>
      <c r="K22" s="65">
        <f t="shared" si="5"/>
        <v>0.19354838709677419</v>
      </c>
    </row>
    <row r="23" spans="1:11" x14ac:dyDescent="0.2">
      <c r="A23" s="28" t="s">
        <v>42</v>
      </c>
      <c r="B23" s="40">
        <v>5</v>
      </c>
      <c r="C23" s="40">
        <v>5</v>
      </c>
      <c r="D23" s="24">
        <f t="shared" si="2"/>
        <v>0</v>
      </c>
      <c r="E23" s="41">
        <v>0</v>
      </c>
      <c r="F23" s="44">
        <f t="shared" si="3"/>
        <v>5</v>
      </c>
      <c r="G23" s="42">
        <f>B23/31</f>
        <v>0.16129032258064516</v>
      </c>
      <c r="H23" s="42">
        <f>C23/31</f>
        <v>0.16129032258064516</v>
      </c>
      <c r="I23" s="84">
        <f t="shared" si="4"/>
        <v>0</v>
      </c>
      <c r="J23" s="45">
        <f>E23/31</f>
        <v>0</v>
      </c>
      <c r="K23" s="65">
        <f t="shared" si="5"/>
        <v>0.16129032258064516</v>
      </c>
    </row>
    <row r="24" spans="1:11" x14ac:dyDescent="0.2">
      <c r="A24" s="28" t="s">
        <v>43</v>
      </c>
      <c r="B24" s="40">
        <v>0</v>
      </c>
      <c r="C24" s="40">
        <v>0</v>
      </c>
      <c r="D24" s="24">
        <f t="shared" si="2"/>
        <v>0</v>
      </c>
      <c r="E24" s="41">
        <v>10</v>
      </c>
      <c r="F24" s="44">
        <f t="shared" si="3"/>
        <v>-10</v>
      </c>
      <c r="G24" s="42">
        <f>B24/30</f>
        <v>0</v>
      </c>
      <c r="H24" s="42">
        <f>C24/30</f>
        <v>0</v>
      </c>
      <c r="I24" s="84">
        <f t="shared" si="4"/>
        <v>0</v>
      </c>
      <c r="J24" s="45">
        <f>E24/30</f>
        <v>0.33333333333333331</v>
      </c>
      <c r="K24" s="65">
        <f t="shared" si="5"/>
        <v>-0.33333333333333331</v>
      </c>
    </row>
    <row r="25" spans="1:11" x14ac:dyDescent="0.2">
      <c r="A25" s="28" t="s">
        <v>44</v>
      </c>
      <c r="B25" s="40">
        <v>0</v>
      </c>
      <c r="C25" s="40">
        <v>0</v>
      </c>
      <c r="D25" s="24">
        <f t="shared" si="2"/>
        <v>0</v>
      </c>
      <c r="E25" s="41">
        <v>2</v>
      </c>
      <c r="F25" s="44">
        <f t="shared" si="3"/>
        <v>-2</v>
      </c>
      <c r="G25" s="42">
        <f>B25/31</f>
        <v>0</v>
      </c>
      <c r="H25" s="42">
        <f>C25/31</f>
        <v>0</v>
      </c>
      <c r="I25" s="84">
        <f t="shared" si="4"/>
        <v>0</v>
      </c>
      <c r="J25" s="45">
        <f>E25/31</f>
        <v>6.4516129032258063E-2</v>
      </c>
      <c r="K25" s="65">
        <f t="shared" si="5"/>
        <v>-6.4516129032258063E-2</v>
      </c>
    </row>
    <row r="26" spans="1:11" x14ac:dyDescent="0.2">
      <c r="A26" s="28" t="s">
        <v>45</v>
      </c>
      <c r="B26" s="40">
        <v>2</v>
      </c>
      <c r="C26" s="40">
        <v>2</v>
      </c>
      <c r="D26" s="24">
        <f t="shared" si="2"/>
        <v>0</v>
      </c>
      <c r="E26" s="41">
        <v>0</v>
      </c>
      <c r="F26" s="44">
        <f t="shared" si="3"/>
        <v>2</v>
      </c>
      <c r="G26" s="42">
        <f>B26/30</f>
        <v>6.6666666666666666E-2</v>
      </c>
      <c r="H26" s="42">
        <f>C26/30</f>
        <v>6.6666666666666666E-2</v>
      </c>
      <c r="I26" s="84">
        <f t="shared" si="4"/>
        <v>0</v>
      </c>
      <c r="J26" s="45">
        <f>E26/30</f>
        <v>0</v>
      </c>
      <c r="K26" s="65">
        <f t="shared" si="5"/>
        <v>6.6666666666666666E-2</v>
      </c>
    </row>
    <row r="27" spans="1:11" x14ac:dyDescent="0.2">
      <c r="A27" s="28" t="s">
        <v>46</v>
      </c>
      <c r="B27" s="40">
        <v>14</v>
      </c>
      <c r="C27" s="40">
        <v>14</v>
      </c>
      <c r="D27" s="24">
        <f t="shared" si="2"/>
        <v>0</v>
      </c>
      <c r="E27" s="41">
        <v>16</v>
      </c>
      <c r="F27" s="44">
        <f t="shared" si="3"/>
        <v>-2</v>
      </c>
      <c r="G27" s="42">
        <f>B27/31</f>
        <v>0.45161290322580644</v>
      </c>
      <c r="H27" s="42">
        <f>C27/31</f>
        <v>0.45161290322580644</v>
      </c>
      <c r="I27" s="84">
        <f t="shared" si="4"/>
        <v>0</v>
      </c>
      <c r="J27" s="45">
        <f>E27/31</f>
        <v>0.5161290322580645</v>
      </c>
      <c r="K27" s="65">
        <f t="shared" si="5"/>
        <v>-6.4516129032258063E-2</v>
      </c>
    </row>
    <row r="28" spans="1:11" x14ac:dyDescent="0.2">
      <c r="A28" s="28" t="s">
        <v>17</v>
      </c>
      <c r="B28" s="40">
        <v>1</v>
      </c>
      <c r="C28" s="40">
        <v>1</v>
      </c>
      <c r="D28" s="24">
        <f t="shared" si="2"/>
        <v>0</v>
      </c>
      <c r="E28" s="41">
        <v>7</v>
      </c>
      <c r="F28" s="44">
        <f t="shared" si="3"/>
        <v>-6</v>
      </c>
      <c r="G28" s="42">
        <f>B28/31</f>
        <v>3.2258064516129031E-2</v>
      </c>
      <c r="H28" s="42">
        <f>C28/31</f>
        <v>3.2258064516129031E-2</v>
      </c>
      <c r="I28" s="84">
        <f t="shared" si="4"/>
        <v>0</v>
      </c>
      <c r="J28" s="45">
        <f>E28/31</f>
        <v>0.22580645161290322</v>
      </c>
      <c r="K28" s="65">
        <f t="shared" si="5"/>
        <v>-0.19354838709677419</v>
      </c>
    </row>
    <row r="29" spans="1:11" ht="17" thickBot="1" x14ac:dyDescent="0.25">
      <c r="A29" s="28" t="s">
        <v>18</v>
      </c>
      <c r="B29" s="40">
        <v>0</v>
      </c>
      <c r="C29" s="40">
        <v>0</v>
      </c>
      <c r="D29" s="49">
        <f t="shared" si="2"/>
        <v>0</v>
      </c>
      <c r="E29" s="41">
        <v>0</v>
      </c>
      <c r="F29" s="44">
        <f t="shared" si="3"/>
        <v>0</v>
      </c>
      <c r="G29" s="46">
        <f>B29/28</f>
        <v>0</v>
      </c>
      <c r="H29" s="46">
        <f>C29/28</f>
        <v>0</v>
      </c>
      <c r="I29" s="85">
        <f t="shared" si="4"/>
        <v>0</v>
      </c>
      <c r="J29" s="47">
        <f>E29/28</f>
        <v>0</v>
      </c>
      <c r="K29" s="66">
        <f t="shared" si="5"/>
        <v>0</v>
      </c>
    </row>
    <row r="30" spans="1:11" ht="25" customHeight="1" thickBot="1" x14ac:dyDescent="0.25">
      <c r="A30" s="108" t="s">
        <v>3</v>
      </c>
      <c r="B30" s="109"/>
      <c r="C30" s="109"/>
      <c r="D30" s="109"/>
      <c r="E30" s="109"/>
      <c r="F30" s="110"/>
      <c r="G30" s="17"/>
      <c r="H30" s="17"/>
      <c r="I30" s="17"/>
      <c r="J30" s="17"/>
      <c r="K30" s="67"/>
    </row>
    <row r="31" spans="1:11" ht="32" customHeight="1" x14ac:dyDescent="0.2">
      <c r="A31" s="60"/>
      <c r="B31" s="71" t="s">
        <v>58</v>
      </c>
      <c r="C31" s="71" t="s">
        <v>53</v>
      </c>
      <c r="D31" s="77" t="s">
        <v>0</v>
      </c>
      <c r="E31" s="20" t="s">
        <v>48</v>
      </c>
      <c r="F31" s="21" t="s">
        <v>47</v>
      </c>
      <c r="G31" s="26"/>
      <c r="H31" s="26"/>
      <c r="I31" s="26"/>
      <c r="J31" s="26"/>
      <c r="K31" s="62"/>
    </row>
    <row r="32" spans="1:11" x14ac:dyDescent="0.2">
      <c r="A32" s="70" t="s">
        <v>37</v>
      </c>
      <c r="B32" s="24">
        <f>B3/B18</f>
        <v>7125</v>
      </c>
      <c r="C32" s="24">
        <f>C3/C18</f>
        <v>7125</v>
      </c>
      <c r="D32" s="24">
        <f t="shared" ref="D32:D43" si="6">B32-C32</f>
        <v>0</v>
      </c>
      <c r="E32" s="50">
        <f>E3/E18</f>
        <v>7873.0657142857144</v>
      </c>
      <c r="F32" s="50">
        <f t="shared" ref="F32:F43" si="7">B32-E32</f>
        <v>-748.06571428571442</v>
      </c>
      <c r="G32" s="26"/>
      <c r="H32" s="26"/>
      <c r="I32" s="26"/>
      <c r="J32" s="26"/>
      <c r="K32" s="62"/>
    </row>
    <row r="33" spans="1:11" x14ac:dyDescent="0.2">
      <c r="A33" s="28" t="s">
        <v>38</v>
      </c>
      <c r="B33" s="24">
        <v>0</v>
      </c>
      <c r="C33" s="24">
        <v>0</v>
      </c>
      <c r="D33" s="24">
        <f t="shared" si="6"/>
        <v>0</v>
      </c>
      <c r="E33" s="50">
        <v>0</v>
      </c>
      <c r="F33" s="50">
        <f t="shared" si="7"/>
        <v>0</v>
      </c>
      <c r="G33" s="26"/>
      <c r="H33" s="26"/>
      <c r="I33" s="26"/>
      <c r="J33" s="26"/>
      <c r="K33" s="62"/>
    </row>
    <row r="34" spans="1:11" x14ac:dyDescent="0.2">
      <c r="A34" s="28" t="s">
        <v>39</v>
      </c>
      <c r="B34" s="24">
        <v>0</v>
      </c>
      <c r="C34" s="24">
        <v>0</v>
      </c>
      <c r="D34" s="24">
        <f t="shared" si="6"/>
        <v>0</v>
      </c>
      <c r="E34" s="50">
        <v>0</v>
      </c>
      <c r="F34" s="50">
        <f t="shared" si="7"/>
        <v>0</v>
      </c>
      <c r="G34" s="26"/>
      <c r="H34" s="26"/>
      <c r="I34" s="26"/>
      <c r="J34" s="26"/>
      <c r="K34" s="62"/>
    </row>
    <row r="35" spans="1:11" x14ac:dyDescent="0.2">
      <c r="A35" s="28" t="s">
        <v>40</v>
      </c>
      <c r="B35" s="24">
        <f t="shared" ref="B35:C37" si="8">B6/B21</f>
        <v>10915.5</v>
      </c>
      <c r="C35" s="24">
        <f t="shared" si="8"/>
        <v>10915.5</v>
      </c>
      <c r="D35" s="24">
        <f t="shared" si="6"/>
        <v>0</v>
      </c>
      <c r="E35" s="50">
        <f>E6/E21</f>
        <v>6609.0800000000008</v>
      </c>
      <c r="F35" s="50">
        <f t="shared" si="7"/>
        <v>4306.4199999999992</v>
      </c>
      <c r="G35" s="26"/>
      <c r="H35" s="26"/>
      <c r="I35" s="26"/>
      <c r="J35" s="26"/>
      <c r="K35" s="62"/>
    </row>
    <row r="36" spans="1:11" x14ac:dyDescent="0.2">
      <c r="A36" s="28" t="s">
        <v>41</v>
      </c>
      <c r="B36" s="24">
        <f t="shared" si="8"/>
        <v>4797.8019999999997</v>
      </c>
      <c r="C36" s="24">
        <f t="shared" si="8"/>
        <v>4797.8019999999997</v>
      </c>
      <c r="D36" s="24">
        <f t="shared" si="6"/>
        <v>0</v>
      </c>
      <c r="E36" s="50">
        <f>E7/E22</f>
        <v>0</v>
      </c>
      <c r="F36" s="50">
        <f t="shared" si="7"/>
        <v>4797.8019999999997</v>
      </c>
      <c r="G36" s="26"/>
      <c r="H36" s="26"/>
      <c r="I36" s="26"/>
      <c r="J36" s="26"/>
      <c r="K36" s="62"/>
    </row>
    <row r="37" spans="1:11" x14ac:dyDescent="0.2">
      <c r="A37" s="28" t="s">
        <v>42</v>
      </c>
      <c r="B37" s="24">
        <f t="shared" si="8"/>
        <v>8290.2999999999993</v>
      </c>
      <c r="C37" s="24">
        <f t="shared" si="8"/>
        <v>8290.2999999999993</v>
      </c>
      <c r="D37" s="24">
        <f t="shared" si="6"/>
        <v>0</v>
      </c>
      <c r="E37" s="50">
        <v>0</v>
      </c>
      <c r="F37" s="50">
        <f t="shared" si="7"/>
        <v>8290.2999999999993</v>
      </c>
      <c r="G37" s="26"/>
      <c r="H37" s="26"/>
      <c r="I37" s="26"/>
      <c r="J37" s="26"/>
      <c r="K37" s="62"/>
    </row>
    <row r="38" spans="1:11" x14ac:dyDescent="0.2">
      <c r="A38" s="28" t="s">
        <v>43</v>
      </c>
      <c r="B38" s="24">
        <v>0</v>
      </c>
      <c r="C38" s="24">
        <v>0</v>
      </c>
      <c r="D38" s="24">
        <f t="shared" si="6"/>
        <v>0</v>
      </c>
      <c r="E38" s="50">
        <f>E9/E24</f>
        <v>7116.5009999999993</v>
      </c>
      <c r="F38" s="50">
        <f t="shared" si="7"/>
        <v>-7116.5009999999993</v>
      </c>
      <c r="G38" s="26"/>
      <c r="H38" s="26"/>
      <c r="I38" s="26"/>
      <c r="J38" s="26"/>
      <c r="K38" s="62"/>
    </row>
    <row r="39" spans="1:11" x14ac:dyDescent="0.2">
      <c r="A39" s="28" t="s">
        <v>44</v>
      </c>
      <c r="B39" s="24">
        <v>0</v>
      </c>
      <c r="C39" s="24">
        <v>0</v>
      </c>
      <c r="D39" s="24">
        <f t="shared" si="6"/>
        <v>0</v>
      </c>
      <c r="E39" s="50">
        <f>E10/E25</f>
        <v>0</v>
      </c>
      <c r="F39" s="50">
        <f t="shared" si="7"/>
        <v>0</v>
      </c>
      <c r="G39" s="26"/>
      <c r="H39" s="26"/>
      <c r="I39" s="26"/>
      <c r="J39" s="26"/>
      <c r="K39" s="62"/>
    </row>
    <row r="40" spans="1:11" x14ac:dyDescent="0.2">
      <c r="A40" s="28" t="s">
        <v>45</v>
      </c>
      <c r="B40" s="24">
        <f t="shared" ref="B40:C42" si="9">B11/B26</f>
        <v>12880</v>
      </c>
      <c r="C40" s="24">
        <f t="shared" si="9"/>
        <v>12880</v>
      </c>
      <c r="D40" s="24">
        <f t="shared" si="6"/>
        <v>0</v>
      </c>
      <c r="E40" s="50">
        <v>0</v>
      </c>
      <c r="F40" s="50">
        <f t="shared" si="7"/>
        <v>12880</v>
      </c>
      <c r="G40" s="26"/>
      <c r="H40" s="26"/>
      <c r="I40" s="26"/>
      <c r="J40" s="26"/>
      <c r="K40" s="62"/>
    </row>
    <row r="41" spans="1:11" x14ac:dyDescent="0.2">
      <c r="A41" s="28" t="s">
        <v>46</v>
      </c>
      <c r="B41" s="24">
        <f t="shared" si="9"/>
        <v>15031.071428571429</v>
      </c>
      <c r="C41" s="24">
        <f t="shared" si="9"/>
        <v>15031.071428571429</v>
      </c>
      <c r="D41" s="24">
        <f t="shared" si="6"/>
        <v>0</v>
      </c>
      <c r="E41" s="50">
        <f>E12/E27</f>
        <v>10887.5</v>
      </c>
      <c r="F41" s="50">
        <f t="shared" si="7"/>
        <v>4143.5714285714294</v>
      </c>
      <c r="G41" s="26"/>
      <c r="H41" s="26"/>
      <c r="I41" s="26"/>
      <c r="J41" s="26"/>
      <c r="K41" s="62"/>
    </row>
    <row r="42" spans="1:11" x14ac:dyDescent="0.2">
      <c r="A42" s="28" t="s">
        <v>17</v>
      </c>
      <c r="B42" s="24">
        <f t="shared" si="9"/>
        <v>13995.5</v>
      </c>
      <c r="C42" s="24">
        <f t="shared" si="9"/>
        <v>13995.5</v>
      </c>
      <c r="D42" s="24">
        <f t="shared" si="6"/>
        <v>0</v>
      </c>
      <c r="E42" s="50">
        <f>E13/E28</f>
        <v>11453.477142857142</v>
      </c>
      <c r="F42" s="50">
        <f t="shared" si="7"/>
        <v>2542.0228571428579</v>
      </c>
      <c r="G42" s="26"/>
      <c r="H42" s="26"/>
      <c r="I42" s="26"/>
      <c r="J42" s="26"/>
      <c r="K42" s="62"/>
    </row>
    <row r="43" spans="1:11" x14ac:dyDescent="0.2">
      <c r="A43" s="48" t="s">
        <v>18</v>
      </c>
      <c r="B43" s="49">
        <v>0</v>
      </c>
      <c r="C43" s="49">
        <v>0</v>
      </c>
      <c r="D43" s="49">
        <f t="shared" si="6"/>
        <v>0</v>
      </c>
      <c r="E43" s="51">
        <v>0</v>
      </c>
      <c r="F43" s="51">
        <f t="shared" si="7"/>
        <v>0</v>
      </c>
      <c r="G43" s="26"/>
      <c r="H43" s="26"/>
      <c r="I43" s="26"/>
      <c r="J43" s="26"/>
      <c r="K43" s="62"/>
    </row>
    <row r="88" spans="1:6" x14ac:dyDescent="0.2">
      <c r="A88" s="78"/>
      <c r="B88" s="78"/>
      <c r="C88" s="78"/>
      <c r="D88" s="78"/>
      <c r="E88" s="78"/>
      <c r="F88" s="78"/>
    </row>
  </sheetData>
  <mergeCells count="4">
    <mergeCell ref="A1:K1"/>
    <mergeCell ref="A16:F16"/>
    <mergeCell ref="G16:K16"/>
    <mergeCell ref="A30:F30"/>
  </mergeCells>
  <conditionalFormatting sqref="D3:D14">
    <cfRule type="cellIs" dxfId="26" priority="15" operator="lessThan">
      <formula>-0.009</formula>
    </cfRule>
    <cfRule type="cellIs" dxfId="25" priority="16" operator="greaterThan">
      <formula>0.009</formula>
    </cfRule>
  </conditionalFormatting>
  <conditionalFormatting sqref="D18:D29">
    <cfRule type="cellIs" dxfId="24" priority="13" operator="lessThan">
      <formula>-0.009</formula>
    </cfRule>
    <cfRule type="cellIs" dxfId="23" priority="14" operator="greaterThan">
      <formula>0.009</formula>
    </cfRule>
  </conditionalFormatting>
  <conditionalFormatting sqref="D32:D43">
    <cfRule type="cellIs" dxfId="22" priority="11" operator="lessThan">
      <formula>-0.009</formula>
    </cfRule>
    <cfRule type="cellIs" dxfId="21" priority="12" operator="greaterThan">
      <formula>0.009</formula>
    </cfRule>
  </conditionalFormatting>
  <conditionalFormatting sqref="F3:F15 F18:F29 F32:F43">
    <cfRule type="cellIs" dxfId="20" priority="27" operator="lessThan">
      <formula>0</formula>
    </cfRule>
    <cfRule type="cellIs" dxfId="19" priority="28" operator="greaterThan">
      <formula>0</formula>
    </cfRule>
  </conditionalFormatting>
  <conditionalFormatting sqref="F3:F15 F18:F29 K18:K29 F32:F43">
    <cfRule type="cellIs" dxfId="18" priority="26" operator="equal">
      <formula>0</formula>
    </cfRule>
  </conditionalFormatting>
  <conditionalFormatting sqref="I18:I29">
    <cfRule type="cellIs" dxfId="17" priority="9" operator="lessThan">
      <formula>-0.009</formula>
    </cfRule>
    <cfRule type="cellIs" dxfId="16" priority="10" operator="greaterThan">
      <formula>0.009</formula>
    </cfRule>
  </conditionalFormatting>
  <conditionalFormatting sqref="K18:K29">
    <cfRule type="cellIs" dxfId="15" priority="24" operator="lessThan">
      <formula>-0.009</formula>
    </cfRule>
    <cfRule type="cellIs" dxfId="14" priority="25" operator="greaterThan">
      <formula>0.009</formula>
    </cfRule>
  </conditionalFormatting>
  <pageMargins left="0.7" right="0.7" top="0.75" bottom="0.75" header="0.3" footer="0.3"/>
  <ignoredErrors>
    <ignoredError sqref="J19:J26 G19:G26 H18:I29 D32:D42 D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8AB9-ABB4-C54C-AC0C-D55CAA268292}">
  <dimension ref="A1:K43"/>
  <sheetViews>
    <sheetView tabSelected="1" workbookViewId="0">
      <selection sqref="A1:K1"/>
    </sheetView>
  </sheetViews>
  <sheetFormatPr baseColWidth="10" defaultRowHeight="16" x14ac:dyDescent="0.2"/>
  <cols>
    <col min="1" max="1" width="8.83203125" customWidth="1"/>
    <col min="4" max="4" width="8.83203125" customWidth="1"/>
    <col min="9" max="9" width="8.83203125" customWidth="1"/>
  </cols>
  <sheetData>
    <row r="1" spans="1:11" ht="28" customHeight="1" thickBot="1" x14ac:dyDescent="0.25">
      <c r="A1" s="111" t="s">
        <v>55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</row>
    <row r="2" spans="1:11" ht="32" customHeight="1" x14ac:dyDescent="0.2">
      <c r="A2" s="68"/>
      <c r="B2" s="71" t="s">
        <v>80</v>
      </c>
      <c r="C2" s="71" t="s">
        <v>73</v>
      </c>
      <c r="D2" s="77" t="s">
        <v>0</v>
      </c>
      <c r="E2" s="20" t="s">
        <v>1</v>
      </c>
      <c r="F2" s="21" t="s">
        <v>5</v>
      </c>
      <c r="G2" s="22"/>
      <c r="H2" s="22"/>
      <c r="I2" s="22"/>
      <c r="J2" s="22"/>
      <c r="K2" s="61"/>
    </row>
    <row r="3" spans="1:11" x14ac:dyDescent="0.2">
      <c r="A3" s="28" t="s">
        <v>19</v>
      </c>
      <c r="B3" s="24">
        <v>11594</v>
      </c>
      <c r="C3" s="24">
        <v>11594</v>
      </c>
      <c r="D3" s="24" t="s">
        <v>50</v>
      </c>
      <c r="E3" s="36">
        <f>'2025-6 WP'!B3</f>
        <v>14250</v>
      </c>
      <c r="F3" s="50">
        <f t="shared" ref="F3:F15" si="0">B3-E3</f>
        <v>-2656</v>
      </c>
      <c r="G3" s="26"/>
      <c r="H3" s="26"/>
      <c r="I3" s="26"/>
      <c r="J3" s="26"/>
      <c r="K3" s="62"/>
    </row>
    <row r="4" spans="1:11" x14ac:dyDescent="0.2">
      <c r="A4" s="28" t="s">
        <v>20</v>
      </c>
      <c r="B4" s="24">
        <v>46377.48</v>
      </c>
      <c r="C4" s="24">
        <v>46377.48</v>
      </c>
      <c r="D4" s="24" t="s">
        <v>50</v>
      </c>
      <c r="E4" s="36">
        <f>'2025-6 WP'!B4</f>
        <v>0</v>
      </c>
      <c r="F4" s="50">
        <f t="shared" si="0"/>
        <v>46377.48</v>
      </c>
      <c r="G4" s="26"/>
      <c r="H4" s="26"/>
      <c r="I4" s="26"/>
      <c r="J4" s="26"/>
      <c r="K4" s="62"/>
    </row>
    <row r="5" spans="1:11" x14ac:dyDescent="0.2">
      <c r="A5" s="28" t="s">
        <v>21</v>
      </c>
      <c r="B5" s="24">
        <v>0</v>
      </c>
      <c r="C5" s="24">
        <v>0</v>
      </c>
      <c r="D5" s="24" t="s">
        <v>50</v>
      </c>
      <c r="E5" s="36">
        <f>'2025-6 WP'!B5</f>
        <v>0</v>
      </c>
      <c r="F5" s="50">
        <f t="shared" si="0"/>
        <v>0</v>
      </c>
      <c r="G5" s="26"/>
      <c r="H5" s="26"/>
      <c r="I5" s="26"/>
      <c r="J5" s="26"/>
      <c r="K5" s="62"/>
    </row>
    <row r="6" spans="1:11" x14ac:dyDescent="0.2">
      <c r="A6" s="28" t="s">
        <v>23</v>
      </c>
      <c r="B6" s="24">
        <v>0</v>
      </c>
      <c r="C6" s="24">
        <v>0</v>
      </c>
      <c r="D6" s="24" t="s">
        <v>50</v>
      </c>
      <c r="E6" s="36">
        <f>'2025-6 WP'!B6</f>
        <v>32746.5</v>
      </c>
      <c r="F6" s="50">
        <f t="shared" si="0"/>
        <v>-32746.5</v>
      </c>
      <c r="G6" s="26"/>
      <c r="H6" s="26"/>
      <c r="I6" s="26"/>
      <c r="J6" s="26"/>
      <c r="K6" s="62"/>
    </row>
    <row r="7" spans="1:11" x14ac:dyDescent="0.2">
      <c r="A7" s="28" t="s">
        <v>22</v>
      </c>
      <c r="B7" s="24">
        <v>0</v>
      </c>
      <c r="C7" s="24">
        <v>0</v>
      </c>
      <c r="D7" s="24">
        <f t="shared" ref="D7:D15" si="1">B7-C7</f>
        <v>0</v>
      </c>
      <c r="E7" s="36">
        <f>'2025-6 WP'!B7</f>
        <v>47978.02</v>
      </c>
      <c r="F7" s="50">
        <f t="shared" si="0"/>
        <v>-47978.02</v>
      </c>
      <c r="G7" s="26"/>
      <c r="H7" s="26"/>
      <c r="I7" s="26"/>
      <c r="J7" s="26"/>
      <c r="K7" s="62"/>
    </row>
    <row r="8" spans="1:11" x14ac:dyDescent="0.2">
      <c r="A8" s="28" t="s">
        <v>24</v>
      </c>
      <c r="B8" s="24">
        <v>0</v>
      </c>
      <c r="C8" s="24">
        <v>0</v>
      </c>
      <c r="D8" s="24">
        <f t="shared" si="1"/>
        <v>0</v>
      </c>
      <c r="E8" s="36">
        <f>'2025-6 WP'!B8</f>
        <v>41451.5</v>
      </c>
      <c r="F8" s="50">
        <f t="shared" si="0"/>
        <v>-41451.5</v>
      </c>
      <c r="G8" s="26"/>
      <c r="H8" s="26"/>
      <c r="I8" s="26"/>
      <c r="J8" s="26"/>
      <c r="K8" s="62"/>
    </row>
    <row r="9" spans="1:11" x14ac:dyDescent="0.2">
      <c r="A9" s="28" t="s">
        <v>25</v>
      </c>
      <c r="B9" s="24">
        <v>0</v>
      </c>
      <c r="C9" s="24">
        <v>0</v>
      </c>
      <c r="D9" s="24">
        <f t="shared" si="1"/>
        <v>0</v>
      </c>
      <c r="E9" s="36">
        <f>'2025-6 WP'!B9</f>
        <v>0</v>
      </c>
      <c r="F9" s="50">
        <f t="shared" si="0"/>
        <v>0</v>
      </c>
      <c r="G9" s="26"/>
      <c r="H9" s="26"/>
      <c r="I9" s="26"/>
      <c r="J9" s="26"/>
      <c r="K9" s="62"/>
    </row>
    <row r="10" spans="1:11" x14ac:dyDescent="0.2">
      <c r="A10" s="28" t="s">
        <v>26</v>
      </c>
      <c r="B10" s="24">
        <v>0</v>
      </c>
      <c r="C10" s="24">
        <v>0</v>
      </c>
      <c r="D10" s="24">
        <f t="shared" si="1"/>
        <v>0</v>
      </c>
      <c r="E10" s="36">
        <f>'2025-6 WP'!B10</f>
        <v>0</v>
      </c>
      <c r="F10" s="50">
        <f t="shared" si="0"/>
        <v>0</v>
      </c>
      <c r="G10" s="26"/>
      <c r="H10" s="26"/>
      <c r="I10" s="26"/>
      <c r="J10" s="26"/>
      <c r="K10" s="62"/>
    </row>
    <row r="11" spans="1:11" x14ac:dyDescent="0.2">
      <c r="A11" s="28" t="s">
        <v>27</v>
      </c>
      <c r="B11" s="24">
        <v>0</v>
      </c>
      <c r="C11" s="24">
        <v>0</v>
      </c>
      <c r="D11" s="24">
        <f t="shared" si="1"/>
        <v>0</v>
      </c>
      <c r="E11" s="36">
        <f>'2025-6 WP'!B11</f>
        <v>25760</v>
      </c>
      <c r="F11" s="50">
        <f t="shared" si="0"/>
        <v>-25760</v>
      </c>
      <c r="G11" s="26"/>
      <c r="H11" s="26"/>
      <c r="I11" s="26"/>
      <c r="J11" s="26"/>
      <c r="K11" s="62"/>
    </row>
    <row r="12" spans="1:11" x14ac:dyDescent="0.2">
      <c r="A12" s="28" t="s">
        <v>28</v>
      </c>
      <c r="B12" s="24">
        <v>238855</v>
      </c>
      <c r="C12" s="24">
        <v>238855</v>
      </c>
      <c r="D12" s="24">
        <f t="shared" si="1"/>
        <v>0</v>
      </c>
      <c r="E12" s="36">
        <f>'2025-6 WP'!B12</f>
        <v>210435</v>
      </c>
      <c r="F12" s="50">
        <f t="shared" si="0"/>
        <v>28420</v>
      </c>
      <c r="G12" s="26"/>
      <c r="H12" s="26"/>
      <c r="I12" s="26"/>
      <c r="J12" s="26"/>
      <c r="K12" s="62"/>
    </row>
    <row r="13" spans="1:11" x14ac:dyDescent="0.2">
      <c r="A13" s="28" t="s">
        <v>29</v>
      </c>
      <c r="B13" s="24">
        <v>44400</v>
      </c>
      <c r="C13" s="24">
        <v>44400</v>
      </c>
      <c r="D13" s="24">
        <f t="shared" si="1"/>
        <v>0</v>
      </c>
      <c r="E13" s="36">
        <f>'2025-6 WP'!B13</f>
        <v>13995.5</v>
      </c>
      <c r="F13" s="50">
        <f t="shared" si="0"/>
        <v>30404.5</v>
      </c>
      <c r="G13" s="26"/>
      <c r="H13" s="26"/>
      <c r="I13" s="26"/>
      <c r="J13" s="26"/>
      <c r="K13" s="62"/>
    </row>
    <row r="14" spans="1:11" x14ac:dyDescent="0.2">
      <c r="A14" s="28" t="s">
        <v>30</v>
      </c>
      <c r="B14" s="24">
        <v>0</v>
      </c>
      <c r="C14" s="24">
        <v>0</v>
      </c>
      <c r="D14" s="49">
        <f t="shared" si="1"/>
        <v>0</v>
      </c>
      <c r="E14" s="36">
        <f>'2025-6 WP'!B14</f>
        <v>0</v>
      </c>
      <c r="F14" s="50">
        <f t="shared" si="0"/>
        <v>0</v>
      </c>
      <c r="G14" s="26"/>
      <c r="H14" s="26"/>
      <c r="I14" s="26"/>
      <c r="J14" s="26"/>
      <c r="K14" s="62"/>
    </row>
    <row r="15" spans="1:11" ht="17" thickBot="1" x14ac:dyDescent="0.25">
      <c r="A15" s="69" t="s">
        <v>6</v>
      </c>
      <c r="B15" s="38">
        <f>SUM(B3:B14)</f>
        <v>341226.48</v>
      </c>
      <c r="C15" s="38">
        <f>SUM(C3:C14)</f>
        <v>341226.48</v>
      </c>
      <c r="D15" s="38">
        <f t="shared" si="1"/>
        <v>0</v>
      </c>
      <c r="E15" s="39">
        <f>SUM(E3:E14)</f>
        <v>386616.52</v>
      </c>
      <c r="F15" s="54">
        <f t="shared" si="0"/>
        <v>-45390.040000000037</v>
      </c>
      <c r="G15" s="32"/>
      <c r="H15" s="32"/>
      <c r="I15" s="32"/>
      <c r="J15" s="32"/>
      <c r="K15" s="63"/>
    </row>
    <row r="16" spans="1:11" ht="25" customHeight="1" thickBot="1" x14ac:dyDescent="0.25">
      <c r="A16" s="108" t="s">
        <v>2</v>
      </c>
      <c r="B16" s="109"/>
      <c r="C16" s="109"/>
      <c r="D16" s="109"/>
      <c r="E16" s="109"/>
      <c r="F16" s="110"/>
      <c r="G16" s="108" t="s">
        <v>4</v>
      </c>
      <c r="H16" s="109"/>
      <c r="I16" s="109"/>
      <c r="J16" s="109"/>
      <c r="K16" s="110"/>
    </row>
    <row r="17" spans="1:11" ht="32" customHeight="1" x14ac:dyDescent="0.2">
      <c r="A17" s="60"/>
      <c r="B17" s="71" t="s">
        <v>80</v>
      </c>
      <c r="C17" s="71" t="s">
        <v>73</v>
      </c>
      <c r="D17" s="77" t="s">
        <v>0</v>
      </c>
      <c r="E17" s="20" t="s">
        <v>1</v>
      </c>
      <c r="F17" s="21" t="s">
        <v>5</v>
      </c>
      <c r="G17" s="71" t="s">
        <v>80</v>
      </c>
      <c r="H17" s="71" t="s">
        <v>73</v>
      </c>
      <c r="I17" s="77" t="s">
        <v>0</v>
      </c>
      <c r="J17" s="20" t="s">
        <v>1</v>
      </c>
      <c r="K17" s="64" t="s">
        <v>5</v>
      </c>
    </row>
    <row r="18" spans="1:11" x14ac:dyDescent="0.2">
      <c r="A18" s="28" t="s">
        <v>19</v>
      </c>
      <c r="B18" s="40">
        <v>1</v>
      </c>
      <c r="C18" s="40">
        <v>1</v>
      </c>
      <c r="D18" s="24" t="s">
        <v>50</v>
      </c>
      <c r="E18" s="41">
        <f>'2025-6 WP'!B18</f>
        <v>2</v>
      </c>
      <c r="F18" s="44">
        <f t="shared" ref="F18:F29" si="2">B18-E18</f>
        <v>-1</v>
      </c>
      <c r="G18" s="42">
        <f>B18/31</f>
        <v>3.2258064516129031E-2</v>
      </c>
      <c r="H18" s="42">
        <f>C18/31</f>
        <v>3.2258064516129031E-2</v>
      </c>
      <c r="I18" s="24" t="s">
        <v>50</v>
      </c>
      <c r="J18" s="45">
        <f>E18/31</f>
        <v>6.4516129032258063E-2</v>
      </c>
      <c r="K18" s="65">
        <f t="shared" ref="K18:K29" si="3">G18-J18</f>
        <v>-3.2258064516129031E-2</v>
      </c>
    </row>
    <row r="19" spans="1:11" x14ac:dyDescent="0.2">
      <c r="A19" s="28" t="s">
        <v>20</v>
      </c>
      <c r="B19" s="40">
        <v>4</v>
      </c>
      <c r="C19" s="40">
        <v>4</v>
      </c>
      <c r="D19" s="24" t="s">
        <v>50</v>
      </c>
      <c r="E19" s="41">
        <f>'2025-6 WP'!B19</f>
        <v>0</v>
      </c>
      <c r="F19" s="44">
        <f t="shared" si="2"/>
        <v>4</v>
      </c>
      <c r="G19" s="42">
        <f>B19/30</f>
        <v>0.13333333333333333</v>
      </c>
      <c r="H19" s="42">
        <f>C19/30</f>
        <v>0.13333333333333333</v>
      </c>
      <c r="I19" s="24" t="s">
        <v>50</v>
      </c>
      <c r="J19" s="45">
        <f>E19/30</f>
        <v>0</v>
      </c>
      <c r="K19" s="65">
        <f t="shared" si="3"/>
        <v>0.13333333333333333</v>
      </c>
    </row>
    <row r="20" spans="1:11" x14ac:dyDescent="0.2">
      <c r="A20" s="28" t="s">
        <v>21</v>
      </c>
      <c r="B20" s="40">
        <v>0</v>
      </c>
      <c r="C20" s="40">
        <v>0</v>
      </c>
      <c r="D20" s="24" t="s">
        <v>50</v>
      </c>
      <c r="E20" s="41">
        <f>'2025-6 WP'!B20</f>
        <v>0</v>
      </c>
      <c r="F20" s="44">
        <f t="shared" si="2"/>
        <v>0</v>
      </c>
      <c r="G20" s="42">
        <f>B20/31</f>
        <v>0</v>
      </c>
      <c r="H20" s="42">
        <f>C20/31</f>
        <v>0</v>
      </c>
      <c r="I20" s="24" t="s">
        <v>50</v>
      </c>
      <c r="J20" s="45">
        <f>E20/31</f>
        <v>0</v>
      </c>
      <c r="K20" s="65">
        <f t="shared" si="3"/>
        <v>0</v>
      </c>
    </row>
    <row r="21" spans="1:11" x14ac:dyDescent="0.2">
      <c r="A21" s="28" t="s">
        <v>23</v>
      </c>
      <c r="B21" s="40">
        <v>0</v>
      </c>
      <c r="C21" s="40">
        <v>0</v>
      </c>
      <c r="D21" s="24" t="s">
        <v>50</v>
      </c>
      <c r="E21" s="41">
        <f>'2025-6 WP'!B21</f>
        <v>3</v>
      </c>
      <c r="F21" s="44">
        <f t="shared" si="2"/>
        <v>-3</v>
      </c>
      <c r="G21" s="42">
        <f>B21/30</f>
        <v>0</v>
      </c>
      <c r="H21" s="42">
        <f>C21/30</f>
        <v>0</v>
      </c>
      <c r="I21" s="24" t="s">
        <v>50</v>
      </c>
      <c r="J21" s="45">
        <f>E21/30</f>
        <v>0.1</v>
      </c>
      <c r="K21" s="65">
        <f t="shared" si="3"/>
        <v>-0.1</v>
      </c>
    </row>
    <row r="22" spans="1:11" x14ac:dyDescent="0.2">
      <c r="A22" s="28" t="s">
        <v>22</v>
      </c>
      <c r="B22" s="40">
        <v>4</v>
      </c>
      <c r="C22" s="40">
        <v>4</v>
      </c>
      <c r="D22" s="24">
        <f t="shared" ref="D22:D29" si="4">B22-C22</f>
        <v>0</v>
      </c>
      <c r="E22" s="41">
        <f>'2025-6 WP'!B22</f>
        <v>10</v>
      </c>
      <c r="F22" s="44">
        <f t="shared" si="2"/>
        <v>-6</v>
      </c>
      <c r="G22" s="42">
        <f>B22/31</f>
        <v>0.12903225806451613</v>
      </c>
      <c r="H22" s="42">
        <f>C22/31</f>
        <v>0.12903225806451613</v>
      </c>
      <c r="I22" s="84">
        <f t="shared" ref="I22:I29" si="5">G22-H22</f>
        <v>0</v>
      </c>
      <c r="J22" s="45">
        <f>E22/31</f>
        <v>0.32258064516129031</v>
      </c>
      <c r="K22" s="65">
        <f t="shared" si="3"/>
        <v>-0.19354838709677419</v>
      </c>
    </row>
    <row r="23" spans="1:11" x14ac:dyDescent="0.2">
      <c r="A23" s="28" t="s">
        <v>24</v>
      </c>
      <c r="B23" s="40">
        <v>0</v>
      </c>
      <c r="C23" s="40">
        <v>0</v>
      </c>
      <c r="D23" s="24">
        <f t="shared" si="4"/>
        <v>0</v>
      </c>
      <c r="E23" s="41">
        <f>'2025-6 WP'!B23</f>
        <v>5</v>
      </c>
      <c r="F23" s="44">
        <f t="shared" si="2"/>
        <v>-5</v>
      </c>
      <c r="G23" s="42">
        <f>B23/31</f>
        <v>0</v>
      </c>
      <c r="H23" s="42">
        <f>C23/31</f>
        <v>0</v>
      </c>
      <c r="I23" s="84">
        <f t="shared" si="5"/>
        <v>0</v>
      </c>
      <c r="J23" s="45">
        <f>E23/31</f>
        <v>0.16129032258064516</v>
      </c>
      <c r="K23" s="65">
        <f t="shared" si="3"/>
        <v>-0.16129032258064516</v>
      </c>
    </row>
    <row r="24" spans="1:11" x14ac:dyDescent="0.2">
      <c r="A24" s="28" t="s">
        <v>25</v>
      </c>
      <c r="B24" s="40">
        <v>0</v>
      </c>
      <c r="C24" s="40">
        <v>0</v>
      </c>
      <c r="D24" s="24">
        <f t="shared" si="4"/>
        <v>0</v>
      </c>
      <c r="E24" s="41">
        <f>'2025-6 WP'!B24</f>
        <v>0</v>
      </c>
      <c r="F24" s="44">
        <f t="shared" si="2"/>
        <v>0</v>
      </c>
      <c r="G24" s="42">
        <f>B24/30</f>
        <v>0</v>
      </c>
      <c r="H24" s="42">
        <f>C24/30</f>
        <v>0</v>
      </c>
      <c r="I24" s="84">
        <f t="shared" si="5"/>
        <v>0</v>
      </c>
      <c r="J24" s="45">
        <f>E24/30</f>
        <v>0</v>
      </c>
      <c r="K24" s="65">
        <f t="shared" si="3"/>
        <v>0</v>
      </c>
    </row>
    <row r="25" spans="1:11" x14ac:dyDescent="0.2">
      <c r="A25" s="28" t="s">
        <v>26</v>
      </c>
      <c r="B25" s="40">
        <v>0</v>
      </c>
      <c r="C25" s="40">
        <v>0</v>
      </c>
      <c r="D25" s="24">
        <f t="shared" si="4"/>
        <v>0</v>
      </c>
      <c r="E25" s="41">
        <f>'2025-6 WP'!B25</f>
        <v>0</v>
      </c>
      <c r="F25" s="44">
        <f t="shared" si="2"/>
        <v>0</v>
      </c>
      <c r="G25" s="42">
        <f>B25/31</f>
        <v>0</v>
      </c>
      <c r="H25" s="42">
        <f>C25/31</f>
        <v>0</v>
      </c>
      <c r="I25" s="84">
        <f t="shared" si="5"/>
        <v>0</v>
      </c>
      <c r="J25" s="45">
        <f>E25/31</f>
        <v>0</v>
      </c>
      <c r="K25" s="65">
        <f t="shared" si="3"/>
        <v>0</v>
      </c>
    </row>
    <row r="26" spans="1:11" x14ac:dyDescent="0.2">
      <c r="A26" s="28" t="s">
        <v>27</v>
      </c>
      <c r="B26" s="40">
        <v>0</v>
      </c>
      <c r="C26" s="40">
        <v>0</v>
      </c>
      <c r="D26" s="24">
        <f t="shared" si="4"/>
        <v>0</v>
      </c>
      <c r="E26" s="41">
        <f>'2025-6 WP'!B26</f>
        <v>2</v>
      </c>
      <c r="F26" s="44">
        <f t="shared" si="2"/>
        <v>-2</v>
      </c>
      <c r="G26" s="42">
        <f>B26/30</f>
        <v>0</v>
      </c>
      <c r="H26" s="42">
        <f>C26/30</f>
        <v>0</v>
      </c>
      <c r="I26" s="84">
        <f t="shared" si="5"/>
        <v>0</v>
      </c>
      <c r="J26" s="45">
        <f>E26/30</f>
        <v>6.6666666666666666E-2</v>
      </c>
      <c r="K26" s="65">
        <f t="shared" si="3"/>
        <v>-6.6666666666666666E-2</v>
      </c>
    </row>
    <row r="27" spans="1:11" x14ac:dyDescent="0.2">
      <c r="A27" s="28" t="s">
        <v>28</v>
      </c>
      <c r="B27" s="40">
        <v>22</v>
      </c>
      <c r="C27" s="40">
        <v>22</v>
      </c>
      <c r="D27" s="24">
        <f t="shared" si="4"/>
        <v>0</v>
      </c>
      <c r="E27" s="41">
        <f>'2025-6 WP'!B27</f>
        <v>14</v>
      </c>
      <c r="F27" s="44">
        <f t="shared" si="2"/>
        <v>8</v>
      </c>
      <c r="G27" s="42">
        <f>B27/31</f>
        <v>0.70967741935483875</v>
      </c>
      <c r="H27" s="42">
        <f>C27/31</f>
        <v>0.70967741935483875</v>
      </c>
      <c r="I27" s="84">
        <f t="shared" si="5"/>
        <v>0</v>
      </c>
      <c r="J27" s="45">
        <f>E27/31</f>
        <v>0.45161290322580644</v>
      </c>
      <c r="K27" s="65">
        <f t="shared" si="3"/>
        <v>0.25806451612903231</v>
      </c>
    </row>
    <row r="28" spans="1:11" x14ac:dyDescent="0.2">
      <c r="A28" s="28" t="s">
        <v>29</v>
      </c>
      <c r="B28" s="40">
        <v>4</v>
      </c>
      <c r="C28" s="40">
        <v>4</v>
      </c>
      <c r="D28" s="24">
        <f t="shared" si="4"/>
        <v>0</v>
      </c>
      <c r="E28" s="41">
        <f>'2025-6 WP'!B28</f>
        <v>1</v>
      </c>
      <c r="F28" s="44">
        <f t="shared" si="2"/>
        <v>3</v>
      </c>
      <c r="G28" s="42">
        <f>B28/31</f>
        <v>0.12903225806451613</v>
      </c>
      <c r="H28" s="42">
        <f>C28/31</f>
        <v>0.12903225806451613</v>
      </c>
      <c r="I28" s="84">
        <f t="shared" si="5"/>
        <v>0</v>
      </c>
      <c r="J28" s="45">
        <f>E28/31</f>
        <v>3.2258064516129031E-2</v>
      </c>
      <c r="K28" s="65">
        <f t="shared" si="3"/>
        <v>9.6774193548387094E-2</v>
      </c>
    </row>
    <row r="29" spans="1:11" ht="17" thickBot="1" x14ac:dyDescent="0.25">
      <c r="A29" s="28" t="s">
        <v>30</v>
      </c>
      <c r="B29" s="40">
        <v>0</v>
      </c>
      <c r="C29" s="40">
        <v>0</v>
      </c>
      <c r="D29" s="49">
        <f t="shared" si="4"/>
        <v>0</v>
      </c>
      <c r="E29" s="41">
        <f>'2025-6 WP'!B29</f>
        <v>0</v>
      </c>
      <c r="F29" s="44">
        <f t="shared" si="2"/>
        <v>0</v>
      </c>
      <c r="G29" s="46">
        <f>B29/28</f>
        <v>0</v>
      </c>
      <c r="H29" s="46">
        <f>C29/28</f>
        <v>0</v>
      </c>
      <c r="I29" s="85">
        <f t="shared" si="5"/>
        <v>0</v>
      </c>
      <c r="J29" s="47">
        <f>E29/28</f>
        <v>0</v>
      </c>
      <c r="K29" s="66">
        <f t="shared" si="3"/>
        <v>0</v>
      </c>
    </row>
    <row r="30" spans="1:11" ht="25" customHeight="1" thickBot="1" x14ac:dyDescent="0.25">
      <c r="A30" s="108" t="s">
        <v>3</v>
      </c>
      <c r="B30" s="109"/>
      <c r="C30" s="109"/>
      <c r="D30" s="109"/>
      <c r="E30" s="109"/>
      <c r="F30" s="110"/>
      <c r="G30" s="82"/>
      <c r="H30" s="82"/>
      <c r="I30" s="82"/>
      <c r="J30" s="82"/>
      <c r="K30" s="83"/>
    </row>
    <row r="31" spans="1:11" ht="32" customHeight="1" x14ac:dyDescent="0.2">
      <c r="A31" s="60"/>
      <c r="B31" s="71" t="s">
        <v>80</v>
      </c>
      <c r="C31" s="71" t="s">
        <v>73</v>
      </c>
      <c r="D31" s="77" t="s">
        <v>0</v>
      </c>
      <c r="E31" s="20" t="s">
        <v>1</v>
      </c>
      <c r="F31" s="21" t="s">
        <v>5</v>
      </c>
      <c r="G31" s="26"/>
      <c r="H31" s="26"/>
      <c r="I31" s="26"/>
      <c r="J31" s="26"/>
      <c r="K31" s="62"/>
    </row>
    <row r="32" spans="1:11" x14ac:dyDescent="0.2">
      <c r="A32" s="28" t="s">
        <v>19</v>
      </c>
      <c r="B32" s="24">
        <f t="shared" ref="B32:C33" si="6">B3/B18</f>
        <v>11594</v>
      </c>
      <c r="C32" s="24">
        <f t="shared" ref="C32" si="7">C3/C18</f>
        <v>11594</v>
      </c>
      <c r="D32" s="24" t="s">
        <v>50</v>
      </c>
      <c r="E32" s="50">
        <f>E3/E18</f>
        <v>7125</v>
      </c>
      <c r="F32" s="50">
        <f t="shared" ref="F32:F43" si="8">B32-E32</f>
        <v>4469</v>
      </c>
      <c r="G32" s="26"/>
      <c r="H32" s="26"/>
      <c r="I32" s="26"/>
      <c r="J32" s="26"/>
      <c r="K32" s="62"/>
    </row>
    <row r="33" spans="1:11" x14ac:dyDescent="0.2">
      <c r="A33" s="28" t="s">
        <v>20</v>
      </c>
      <c r="B33" s="24">
        <f t="shared" si="6"/>
        <v>11594.37</v>
      </c>
      <c r="C33" s="24">
        <f t="shared" ref="C33" si="9">C4/C19</f>
        <v>11594.37</v>
      </c>
      <c r="D33" s="24" t="s">
        <v>50</v>
      </c>
      <c r="E33" s="50">
        <v>0</v>
      </c>
      <c r="F33" s="50">
        <f t="shared" si="8"/>
        <v>11594.37</v>
      </c>
      <c r="G33" s="26"/>
      <c r="H33" s="26"/>
      <c r="I33" s="26"/>
      <c r="J33" s="26"/>
      <c r="K33" s="62"/>
    </row>
    <row r="34" spans="1:11" x14ac:dyDescent="0.2">
      <c r="A34" s="28" t="s">
        <v>21</v>
      </c>
      <c r="B34" s="24">
        <v>0</v>
      </c>
      <c r="C34" s="24">
        <v>0</v>
      </c>
      <c r="D34" s="24" t="s">
        <v>50</v>
      </c>
      <c r="E34" s="50">
        <v>0</v>
      </c>
      <c r="F34" s="50">
        <f t="shared" si="8"/>
        <v>0</v>
      </c>
      <c r="G34" s="26"/>
      <c r="H34" s="26"/>
      <c r="I34" s="26"/>
      <c r="J34" s="26"/>
      <c r="K34" s="62"/>
    </row>
    <row r="35" spans="1:11" x14ac:dyDescent="0.2">
      <c r="A35" s="28" t="s">
        <v>23</v>
      </c>
      <c r="B35" s="24">
        <v>0</v>
      </c>
      <c r="C35" s="24">
        <v>0</v>
      </c>
      <c r="D35" s="24" t="s">
        <v>50</v>
      </c>
      <c r="E35" s="50">
        <f>E6/E21</f>
        <v>10915.5</v>
      </c>
      <c r="F35" s="50">
        <f t="shared" si="8"/>
        <v>-10915.5</v>
      </c>
      <c r="G35" s="26"/>
      <c r="H35" s="26"/>
      <c r="I35" s="26"/>
      <c r="J35" s="26"/>
      <c r="K35" s="62"/>
    </row>
    <row r="36" spans="1:11" x14ac:dyDescent="0.2">
      <c r="A36" s="28" t="s">
        <v>22</v>
      </c>
      <c r="B36" s="24">
        <v>0</v>
      </c>
      <c r="C36" s="24">
        <v>0</v>
      </c>
      <c r="D36" s="24">
        <f t="shared" ref="D36:D43" si="10">B36-C36</f>
        <v>0</v>
      </c>
      <c r="E36" s="50">
        <f>E7/E22</f>
        <v>4797.8019999999997</v>
      </c>
      <c r="F36" s="50">
        <f t="shared" si="8"/>
        <v>-4797.8019999999997</v>
      </c>
      <c r="G36" s="26"/>
      <c r="H36" s="26"/>
      <c r="I36" s="26"/>
      <c r="J36" s="26"/>
      <c r="K36" s="62"/>
    </row>
    <row r="37" spans="1:11" x14ac:dyDescent="0.2">
      <c r="A37" s="28" t="s">
        <v>24</v>
      </c>
      <c r="B37" s="24">
        <v>0</v>
      </c>
      <c r="C37" s="24">
        <v>0</v>
      </c>
      <c r="D37" s="24">
        <f t="shared" si="10"/>
        <v>0</v>
      </c>
      <c r="E37" s="50">
        <f>E8/E23</f>
        <v>8290.2999999999993</v>
      </c>
      <c r="F37" s="50">
        <f t="shared" si="8"/>
        <v>-8290.2999999999993</v>
      </c>
      <c r="G37" s="26"/>
      <c r="H37" s="26"/>
      <c r="I37" s="26"/>
      <c r="J37" s="26"/>
      <c r="K37" s="62"/>
    </row>
    <row r="38" spans="1:11" x14ac:dyDescent="0.2">
      <c r="A38" s="28" t="s">
        <v>25</v>
      </c>
      <c r="B38" s="24">
        <v>0</v>
      </c>
      <c r="C38" s="24">
        <v>0</v>
      </c>
      <c r="D38" s="24">
        <f t="shared" si="10"/>
        <v>0</v>
      </c>
      <c r="E38" s="50">
        <v>0</v>
      </c>
      <c r="F38" s="50">
        <f t="shared" si="8"/>
        <v>0</v>
      </c>
      <c r="G38" s="26"/>
      <c r="H38" s="26"/>
      <c r="I38" s="26"/>
      <c r="J38" s="26"/>
      <c r="K38" s="62"/>
    </row>
    <row r="39" spans="1:11" x14ac:dyDescent="0.2">
      <c r="A39" s="28" t="s">
        <v>26</v>
      </c>
      <c r="B39" s="24">
        <v>0</v>
      </c>
      <c r="C39" s="24">
        <v>0</v>
      </c>
      <c r="D39" s="24">
        <f t="shared" si="10"/>
        <v>0</v>
      </c>
      <c r="E39" s="50">
        <v>0</v>
      </c>
      <c r="F39" s="50">
        <f t="shared" si="8"/>
        <v>0</v>
      </c>
      <c r="G39" s="26"/>
      <c r="H39" s="26"/>
      <c r="I39" s="26"/>
      <c r="J39" s="26"/>
      <c r="K39" s="62"/>
    </row>
    <row r="40" spans="1:11" x14ac:dyDescent="0.2">
      <c r="A40" s="28" t="s">
        <v>27</v>
      </c>
      <c r="B40" s="24">
        <v>0</v>
      </c>
      <c r="C40" s="24">
        <v>0</v>
      </c>
      <c r="D40" s="24">
        <f t="shared" si="10"/>
        <v>0</v>
      </c>
      <c r="E40" s="50">
        <f>E11/E26</f>
        <v>12880</v>
      </c>
      <c r="F40" s="50">
        <f t="shared" si="8"/>
        <v>-12880</v>
      </c>
      <c r="G40" s="26"/>
      <c r="H40" s="26"/>
      <c r="I40" s="26"/>
      <c r="J40" s="26"/>
      <c r="K40" s="62"/>
    </row>
    <row r="41" spans="1:11" x14ac:dyDescent="0.2">
      <c r="A41" s="28" t="s">
        <v>28</v>
      </c>
      <c r="B41" s="24">
        <f>B12/B27</f>
        <v>10857.045454545454</v>
      </c>
      <c r="C41" s="24">
        <f>C12/C27</f>
        <v>10857.045454545454</v>
      </c>
      <c r="D41" s="24">
        <f t="shared" si="10"/>
        <v>0</v>
      </c>
      <c r="E41" s="50">
        <f>E12/E27</f>
        <v>15031.071428571429</v>
      </c>
      <c r="F41" s="50">
        <f t="shared" si="8"/>
        <v>-4174.0259740259753</v>
      </c>
      <c r="G41" s="26"/>
      <c r="H41" s="26"/>
      <c r="I41" s="26"/>
      <c r="J41" s="26"/>
      <c r="K41" s="62"/>
    </row>
    <row r="42" spans="1:11" x14ac:dyDescent="0.2">
      <c r="A42" s="28" t="s">
        <v>29</v>
      </c>
      <c r="B42" s="24">
        <f>B13/B28</f>
        <v>11100</v>
      </c>
      <c r="C42" s="24">
        <f>C13/C28</f>
        <v>11100</v>
      </c>
      <c r="D42" s="24">
        <f t="shared" si="10"/>
        <v>0</v>
      </c>
      <c r="E42" s="50">
        <f>E13/E28</f>
        <v>13995.5</v>
      </c>
      <c r="F42" s="50">
        <f t="shared" si="8"/>
        <v>-2895.5</v>
      </c>
      <c r="G42" s="26"/>
      <c r="H42" s="26"/>
      <c r="I42" s="26"/>
      <c r="J42" s="26"/>
      <c r="K42" s="62"/>
    </row>
    <row r="43" spans="1:11" x14ac:dyDescent="0.2">
      <c r="A43" s="48" t="s">
        <v>30</v>
      </c>
      <c r="B43" s="49">
        <v>0</v>
      </c>
      <c r="C43" s="49">
        <v>0</v>
      </c>
      <c r="D43" s="49">
        <f t="shared" si="10"/>
        <v>0</v>
      </c>
      <c r="E43" s="51">
        <v>0</v>
      </c>
      <c r="F43" s="51">
        <f t="shared" si="8"/>
        <v>0</v>
      </c>
      <c r="G43" s="26"/>
      <c r="H43" s="26"/>
      <c r="I43" s="26"/>
      <c r="J43" s="26"/>
      <c r="K43" s="62"/>
    </row>
  </sheetData>
  <mergeCells count="4">
    <mergeCell ref="A16:F16"/>
    <mergeCell ref="G16:K16"/>
    <mergeCell ref="A30:F30"/>
    <mergeCell ref="A1:K1"/>
  </mergeCells>
  <conditionalFormatting sqref="D7:D14">
    <cfRule type="cellIs" dxfId="13" priority="8" operator="lessThan">
      <formula>-0.009</formula>
    </cfRule>
    <cfRule type="cellIs" dxfId="12" priority="9" operator="greaterThan">
      <formula>0.009</formula>
    </cfRule>
  </conditionalFormatting>
  <conditionalFormatting sqref="D15">
    <cfRule type="cellIs" dxfId="11" priority="1" operator="lessThan">
      <formula>0.009</formula>
    </cfRule>
  </conditionalFormatting>
  <conditionalFormatting sqref="D22:D29">
    <cfRule type="cellIs" dxfId="10" priority="6" operator="lessThan">
      <formula>-0.009</formula>
    </cfRule>
    <cfRule type="cellIs" dxfId="9" priority="7" operator="greaterThan">
      <formula>0.009</formula>
    </cfRule>
  </conditionalFormatting>
  <conditionalFormatting sqref="D36:D43">
    <cfRule type="cellIs" dxfId="8" priority="4" operator="lessThan">
      <formula>-0.009</formula>
    </cfRule>
    <cfRule type="cellIs" dxfId="7" priority="5" operator="greaterThan">
      <formula>0.009</formula>
    </cfRule>
  </conditionalFormatting>
  <conditionalFormatting sqref="F3:F15 F18:F29 F32:F43">
    <cfRule type="cellIs" dxfId="6" priority="13" operator="lessThan">
      <formula>0</formula>
    </cfRule>
    <cfRule type="cellIs" dxfId="5" priority="14" operator="greaterThan">
      <formula>0</formula>
    </cfRule>
  </conditionalFormatting>
  <conditionalFormatting sqref="F3:F15 F18:F29 K18:K29 F32:F43">
    <cfRule type="cellIs" dxfId="4" priority="12" operator="equal">
      <formula>0</formula>
    </cfRule>
  </conditionalFormatting>
  <conditionalFormatting sqref="I22:I29">
    <cfRule type="cellIs" dxfId="3" priority="2" operator="lessThan">
      <formula>-0.009</formula>
    </cfRule>
    <cfRule type="cellIs" dxfId="2" priority="3" operator="greaterThan">
      <formula>0.009</formula>
    </cfRule>
  </conditionalFormatting>
  <conditionalFormatting sqref="K18:K29">
    <cfRule type="cellIs" dxfId="1" priority="10" operator="lessThan">
      <formula>-0.009</formula>
    </cfRule>
    <cfRule type="cellIs" dxfId="0" priority="11" operator="greaterThan">
      <formula>0.009</formula>
    </cfRule>
  </conditionalFormatting>
  <pageMargins left="0.25" right="0.25" top="0.75" bottom="0.75" header="0.3" footer="0.3"/>
  <pageSetup paperSize="8" orientation="landscape" horizontalDpi="0" verticalDpi="0"/>
  <ignoredErrors>
    <ignoredError sqref="D41:D42 G19:H26 J19:J26 I22:I26 I27:I29 D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Overall</vt:lpstr>
      <vt:lpstr>2025-6 F</vt:lpstr>
      <vt:lpstr>2026-7 F</vt:lpstr>
      <vt:lpstr>2025-6 WP</vt:lpstr>
      <vt:lpstr>2026-7 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2026-04-20T07:19:10Z</cp:lastPrinted>
  <dcterms:created xsi:type="dcterms:W3CDTF">2025-04-03T10:02:25Z</dcterms:created>
  <dcterms:modified xsi:type="dcterms:W3CDTF">2026-08-13T11:20:55Z</dcterms:modified>
</cp:coreProperties>
</file>