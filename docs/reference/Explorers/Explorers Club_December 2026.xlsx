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B3F69334-748A-9E42-B50C-8C78679614A5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report" sheetId="1" r:id="rId1"/>
  </sheets>
  <definedNames>
    <definedName name="_xlnm._FilterDatabase" localSheetId="0" hidden="1">report!$A$3:$AA$34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6" i="1" l="1"/>
  <c r="N36" i="1"/>
  <c r="M36" i="1"/>
  <c r="L36" i="1"/>
  <c r="K36" i="1"/>
</calcChain>
</file>

<file path=xl/sharedStrings.xml><?xml version="1.0" encoding="utf-8"?>
<sst xmlns="http://schemas.openxmlformats.org/spreadsheetml/2006/main" count="391" uniqueCount="84">
  <si>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</si>
  <si>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</si>
  <si>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</si>
  <si>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</si>
  <si>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</si>
  <si>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</si>
  <si>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</si>
  <si>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</si>
  <si>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</si>
  <si>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</si>
  <si>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</si>
  <si>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</si>
  <si>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</si>
  <si>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</si>
  <si>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</si>
  <si>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</si>
  <si>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</si>
  <si>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</si>
  <si>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</si>
  <si>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</si>
  <si>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</si>
  <si>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</si>
  <si>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</si>
  <si>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</si>
  <si>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</si>
  <si>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</si>
  <si>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</si>
  <si>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Jo</t>
  </si>
  <si>
    <t>Explorers Club</t>
  </si>
  <si>
    <t>The Pink House</t>
  </si>
  <si>
    <t/>
  </si>
  <si>
    <t>Own Booking</t>
  </si>
  <si>
    <t>Unavailable</t>
  </si>
  <si>
    <t>The Pink House - 5 Berg Str: Self-catering</t>
  </si>
  <si>
    <t>ZAR</t>
  </si>
  <si>
    <t>Emma Pinkerton</t>
  </si>
  <si>
    <t>Kumbuk House</t>
  </si>
  <si>
    <t>Online Booking</t>
  </si>
  <si>
    <t>Booking.com</t>
  </si>
  <si>
    <t>Waiting for Deposit</t>
  </si>
  <si>
    <t>Kumbuk House - 7 Cabriere Str: Self-catering</t>
  </si>
  <si>
    <t>Andrea Eatherly</t>
  </si>
  <si>
    <t>Cartology Travel</t>
  </si>
  <si>
    <t>Tockie's Cottage</t>
  </si>
  <si>
    <t>Confirmed</t>
  </si>
  <si>
    <t>Tockie's Cottage - 11 Berg Str: Self-catering</t>
  </si>
  <si>
    <t>Monique Van Gils</t>
  </si>
  <si>
    <t>Cook's Cottage</t>
  </si>
  <si>
    <t>Cook's Cottage - 35A Van Wijk Str: Self-catering</t>
  </si>
  <si>
    <t>Jessica Hebbert</t>
  </si>
  <si>
    <t>Tugela</t>
  </si>
  <si>
    <t>Tugela - 5 Wilhelmina Str: Self-catering</t>
  </si>
  <si>
    <t>Fiona Fellowes</t>
  </si>
  <si>
    <t>Paid</t>
  </si>
  <si>
    <t>Tom Priday</t>
  </si>
  <si>
    <t>Owner</t>
  </si>
  <si>
    <t>The Library</t>
  </si>
  <si>
    <t>The Library - 16 Wilhelmina Str: Self-catering</t>
  </si>
  <si>
    <t>Stephanie Mueller</t>
  </si>
  <si>
    <t>Expedia///Hotels.com///Travelo</t>
  </si>
  <si>
    <t>James Chiswell</t>
  </si>
  <si>
    <t>direct</t>
  </si>
  <si>
    <t>Explorers Club - 18 Wilhelmina St: Self-catering</t>
  </si>
  <si>
    <t>Belinda Mortimer</t>
  </si>
  <si>
    <t>Dave Hill</t>
  </si>
  <si>
    <t>Ale Ordorica</t>
  </si>
  <si>
    <t>Nina Wittig-Luchtenberg</t>
  </si>
  <si>
    <t>Jodie Owen</t>
  </si>
  <si>
    <t>Andreas Bauer</t>
  </si>
  <si>
    <t>Beth Roberts</t>
  </si>
  <si>
    <t>Hush Private Travel</t>
  </si>
  <si>
    <t>Wubbo Aukes</t>
  </si>
  <si>
    <t>Leanne Lewis</t>
  </si>
  <si>
    <t>Marina Melrose</t>
  </si>
  <si>
    <t>Charlotte Preston</t>
  </si>
  <si>
    <t>Louisa Brewin</t>
  </si>
  <si>
    <t>Staff clean</t>
  </si>
  <si>
    <t>Flekser Wayne</t>
  </si>
  <si>
    <t>Katja Markowsky</t>
  </si>
  <si>
    <t>Joaquin Oseguera</t>
  </si>
  <si>
    <t>Ola Trege</t>
  </si>
  <si>
    <t>Own web site</t>
  </si>
  <si>
    <t>Mark Howell</t>
  </si>
  <si>
    <t>Bookings Report from 01/12/2026 to 31/12/2026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</si>
</sst>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"/>
  <sheetViews>
    <sheetView tabSelected="1" workbookViewId="0"/>
  </sheetViews>
  <sheetFormatPr baseColWidth="10" defaultColWidth="8.83203125" defaultRowHeight="15" x14ac:dyDescent="0.2"/>
  <cols>
    <col min="1" max="1" width="10.6640625" bestFit="1" customWidth="1"/>
    <col min="2" max="2" width="11.6640625" bestFit="1" customWidth="1"/>
    <col min="3" max="3" width="10.1640625" bestFit="1" customWidth="1"/>
    <col min="4" max="4" width="20.1640625" bestFit="1" customWidth="1"/>
    <col min="5" max="5" width="16.33203125" bestFit="1" customWidth="1"/>
    <col min="6" max="6" width="20.1640625" bestFit="1" customWidth="1"/>
    <col min="7" max="7" width="6.6640625" bestFit="1" customWidth="1"/>
    <col min="8" max="8" width="8.5" bestFit="1" customWidth="1"/>
    <col min="9" max="9" width="9" bestFit="1" customWidth="1"/>
    <col min="10" max="10" width="6.83203125" bestFit="1" customWidth="1"/>
    <col min="11" max="11" width="11.33203125" bestFit="1" customWidth="1"/>
    <col min="12" max="12" width="11.6640625" bestFit="1" customWidth="1"/>
    <col min="13" max="13" width="11.33203125" bestFit="1" customWidth="1"/>
    <col min="14" max="14" width="6.6640625" bestFit="1" customWidth="1"/>
    <col min="15" max="15" width="14" bestFit="1" customWidth="1"/>
    <col min="16" max="16" width="10.6640625" bestFit="1" customWidth="1"/>
    <col min="17" max="17" width="10.83203125" bestFit="1" customWidth="1"/>
    <col min="18" max="19" width="12.83203125" bestFit="1" customWidth="1"/>
    <col min="20" max="20" width="9.83203125" bestFit="1" customWidth="1"/>
    <col min="21" max="21" width="25" bestFit="1" customWidth="1"/>
    <col min="22" max="22" width="13" bestFit="1" customWidth="1"/>
    <col min="23" max="23" width="16" bestFit="1" customWidth="1"/>
    <col min="24" max="24" width="12" bestFit="1" customWidth="1"/>
    <col min="25" max="25" width="38.6640625" bestFit="1" customWidth="1"/>
    <col min="26" max="26" width="9" bestFit="1" customWidth="1"/>
    <col min="27" max="27" width="14.1640625" bestFit="1" customWidth="1"/>
  </cols>
  <sheetData>
    <row r="1" spans="1:27" x14ac:dyDescent="0.2">
      <c r="A1" s="1" t="s">
        <v>83</v>
      </c>
    </row>
    <row r="3" spans="1:27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1:27" x14ac:dyDescent="0.2">
      <c r="A4">
        <v>1011</v>
      </c>
      <c r="B4" s="3">
        <v>46307</v>
      </c>
      <c r="C4" s="3">
        <v>46361</v>
      </c>
      <c r="D4" t="s">
        <v>27</v>
      </c>
      <c r="E4" t="s">
        <v>28</v>
      </c>
      <c r="F4" t="s">
        <v>27</v>
      </c>
      <c r="G4">
        <v>0</v>
      </c>
      <c r="H4">
        <v>0</v>
      </c>
      <c r="I4" s="2">
        <v>0</v>
      </c>
      <c r="J4">
        <v>5</v>
      </c>
      <c r="K4" s="2">
        <v>0</v>
      </c>
      <c r="L4" s="2">
        <v>0</v>
      </c>
      <c r="M4" s="2">
        <v>0</v>
      </c>
      <c r="N4" s="2">
        <v>0</v>
      </c>
      <c r="O4" t="s">
        <v>29</v>
      </c>
      <c r="P4">
        <v>641</v>
      </c>
      <c r="Q4" t="s">
        <v>30</v>
      </c>
      <c r="R4" t="s">
        <v>30</v>
      </c>
      <c r="S4" t="s">
        <v>31</v>
      </c>
      <c r="T4">
        <v>117697217</v>
      </c>
      <c r="U4" t="s">
        <v>30</v>
      </c>
      <c r="V4" s="4">
        <v>46099.345011574071</v>
      </c>
      <c r="W4" t="s">
        <v>32</v>
      </c>
      <c r="X4" s="2">
        <v>0</v>
      </c>
      <c r="Y4" t="s">
        <v>33</v>
      </c>
      <c r="Z4" t="s">
        <v>34</v>
      </c>
      <c r="AA4" t="s">
        <v>30</v>
      </c>
    </row>
    <row r="5" spans="1:27" x14ac:dyDescent="0.2">
      <c r="A5">
        <v>923</v>
      </c>
      <c r="B5" s="3">
        <v>46357</v>
      </c>
      <c r="C5" s="3">
        <v>46363</v>
      </c>
      <c r="D5" t="s">
        <v>35</v>
      </c>
      <c r="E5" t="s">
        <v>30</v>
      </c>
      <c r="F5" t="s">
        <v>35</v>
      </c>
      <c r="G5">
        <v>4</v>
      </c>
      <c r="H5">
        <v>0</v>
      </c>
      <c r="I5" s="2">
        <v>5561.7</v>
      </c>
      <c r="J5">
        <v>7</v>
      </c>
      <c r="K5" s="2">
        <v>38931.9</v>
      </c>
      <c r="L5" s="2">
        <v>5839.7849999999999</v>
      </c>
      <c r="M5" s="2">
        <v>33092.115000000005</v>
      </c>
      <c r="N5" s="2">
        <v>0</v>
      </c>
      <c r="O5" t="s">
        <v>36</v>
      </c>
      <c r="P5">
        <v>867</v>
      </c>
      <c r="Q5" t="s">
        <v>30</v>
      </c>
      <c r="R5" t="s">
        <v>30</v>
      </c>
      <c r="S5" t="s">
        <v>37</v>
      </c>
      <c r="T5">
        <v>116552641</v>
      </c>
      <c r="U5" t="s">
        <v>38</v>
      </c>
      <c r="V5" s="4">
        <v>46061.736770833333</v>
      </c>
      <c r="W5" t="s">
        <v>39</v>
      </c>
      <c r="X5" s="2">
        <v>0</v>
      </c>
      <c r="Y5" t="s">
        <v>40</v>
      </c>
      <c r="Z5" t="s">
        <v>34</v>
      </c>
      <c r="AA5" t="s">
        <v>30</v>
      </c>
    </row>
    <row r="6" spans="1:27" x14ac:dyDescent="0.2">
      <c r="A6">
        <v>1023</v>
      </c>
      <c r="B6" s="3">
        <v>46357</v>
      </c>
      <c r="C6" s="3">
        <v>46359</v>
      </c>
      <c r="D6" t="s">
        <v>41</v>
      </c>
      <c r="E6" t="s">
        <v>42</v>
      </c>
      <c r="F6" t="s">
        <v>41</v>
      </c>
      <c r="G6">
        <v>4</v>
      </c>
      <c r="H6">
        <v>0</v>
      </c>
      <c r="I6" s="2">
        <v>6715</v>
      </c>
      <c r="J6">
        <v>3</v>
      </c>
      <c r="K6" s="2">
        <v>20145</v>
      </c>
      <c r="L6" s="2">
        <v>0</v>
      </c>
      <c r="M6" s="2">
        <v>20145</v>
      </c>
      <c r="N6" s="2">
        <v>0</v>
      </c>
      <c r="O6" t="s">
        <v>43</v>
      </c>
      <c r="P6">
        <v>952</v>
      </c>
      <c r="Q6" t="s">
        <v>30</v>
      </c>
      <c r="R6">
        <v>254</v>
      </c>
      <c r="S6" t="s">
        <v>31</v>
      </c>
      <c r="T6">
        <v>117770100</v>
      </c>
      <c r="U6" t="s">
        <v>30</v>
      </c>
      <c r="V6" s="4">
        <v>46101.386956018519</v>
      </c>
      <c r="W6" t="s">
        <v>44</v>
      </c>
      <c r="X6" s="2">
        <v>10072.5</v>
      </c>
      <c r="Y6" t="s">
        <v>45</v>
      </c>
      <c r="Z6" t="s">
        <v>34</v>
      </c>
      <c r="AA6" t="s">
        <v>30</v>
      </c>
    </row>
    <row r="7" spans="1:27" x14ac:dyDescent="0.2">
      <c r="A7">
        <v>936</v>
      </c>
      <c r="B7" s="3">
        <v>46358</v>
      </c>
      <c r="C7" s="3">
        <v>46360</v>
      </c>
      <c r="D7" t="s">
        <v>46</v>
      </c>
      <c r="E7" t="s">
        <v>30</v>
      </c>
      <c r="F7" t="s">
        <v>46</v>
      </c>
      <c r="G7">
        <v>3</v>
      </c>
      <c r="H7">
        <v>0</v>
      </c>
      <c r="I7" s="2">
        <v>5148.3599999999997</v>
      </c>
      <c r="J7">
        <v>3</v>
      </c>
      <c r="K7" s="2">
        <v>15445.079999999998</v>
      </c>
      <c r="L7" s="2">
        <v>2316.7619999999997</v>
      </c>
      <c r="M7" s="2">
        <v>13128.317999999999</v>
      </c>
      <c r="N7" s="2">
        <v>0</v>
      </c>
      <c r="O7" t="s">
        <v>47</v>
      </c>
      <c r="P7">
        <v>881</v>
      </c>
      <c r="Q7" t="s">
        <v>30</v>
      </c>
      <c r="R7" t="s">
        <v>30</v>
      </c>
      <c r="S7" t="s">
        <v>37</v>
      </c>
      <c r="T7">
        <v>116651610</v>
      </c>
      <c r="U7" t="s">
        <v>38</v>
      </c>
      <c r="V7" s="4">
        <v>46064.554513888892</v>
      </c>
      <c r="W7" t="s">
        <v>39</v>
      </c>
      <c r="X7" s="2">
        <v>0</v>
      </c>
      <c r="Y7" t="s">
        <v>48</v>
      </c>
      <c r="Z7" t="s">
        <v>34</v>
      </c>
      <c r="AA7" t="s">
        <v>30</v>
      </c>
    </row>
    <row r="8" spans="1:27" x14ac:dyDescent="0.2">
      <c r="A8">
        <v>1124</v>
      </c>
      <c r="B8" s="3">
        <v>46360</v>
      </c>
      <c r="C8" s="3">
        <v>46361</v>
      </c>
      <c r="D8" t="s">
        <v>49</v>
      </c>
      <c r="E8" t="s">
        <v>30</v>
      </c>
      <c r="F8" t="s">
        <v>49</v>
      </c>
      <c r="G8">
        <v>4</v>
      </c>
      <c r="H8">
        <v>0</v>
      </c>
      <c r="I8" s="2">
        <v>12449.5</v>
      </c>
      <c r="J8">
        <v>2</v>
      </c>
      <c r="K8" s="2">
        <v>24899</v>
      </c>
      <c r="L8" s="2">
        <v>3734.85</v>
      </c>
      <c r="M8" s="2">
        <v>21164.15</v>
      </c>
      <c r="N8" s="2">
        <v>0</v>
      </c>
      <c r="O8" t="s">
        <v>50</v>
      </c>
      <c r="P8">
        <v>1052</v>
      </c>
      <c r="Q8" t="s">
        <v>30</v>
      </c>
      <c r="R8" t="s">
        <v>30</v>
      </c>
      <c r="S8" t="s">
        <v>37</v>
      </c>
      <c r="T8">
        <v>120509438</v>
      </c>
      <c r="U8" t="s">
        <v>38</v>
      </c>
      <c r="V8" s="4">
        <v>46209.652326388888</v>
      </c>
      <c r="W8" t="s">
        <v>39</v>
      </c>
      <c r="X8" s="2">
        <v>0</v>
      </c>
      <c r="Y8" t="s">
        <v>51</v>
      </c>
      <c r="Z8" t="s">
        <v>34</v>
      </c>
      <c r="AA8" t="s">
        <v>30</v>
      </c>
    </row>
    <row r="9" spans="1:27" x14ac:dyDescent="0.2">
      <c r="A9">
        <v>992</v>
      </c>
      <c r="B9" s="3">
        <v>46361</v>
      </c>
      <c r="C9" s="3">
        <v>46364</v>
      </c>
      <c r="D9" t="s">
        <v>52</v>
      </c>
      <c r="E9" t="s">
        <v>30</v>
      </c>
      <c r="F9" t="s">
        <v>52</v>
      </c>
      <c r="G9">
        <v>2</v>
      </c>
      <c r="H9">
        <v>0</v>
      </c>
      <c r="I9" s="2">
        <v>5990.25</v>
      </c>
      <c r="J9">
        <v>4</v>
      </c>
      <c r="K9" s="2">
        <v>23961</v>
      </c>
      <c r="L9" s="2">
        <v>0</v>
      </c>
      <c r="M9" s="2">
        <v>23961</v>
      </c>
      <c r="N9" s="2">
        <v>0</v>
      </c>
      <c r="O9" t="s">
        <v>43</v>
      </c>
      <c r="P9">
        <v>933</v>
      </c>
      <c r="Q9" t="s">
        <v>30</v>
      </c>
      <c r="R9">
        <v>244</v>
      </c>
      <c r="S9" t="s">
        <v>31</v>
      </c>
      <c r="T9">
        <v>117438626</v>
      </c>
      <c r="U9" t="s">
        <v>30</v>
      </c>
      <c r="V9" s="4">
        <v>46090.517881944441</v>
      </c>
      <c r="W9" t="s">
        <v>53</v>
      </c>
      <c r="X9" s="2">
        <v>23961</v>
      </c>
      <c r="Y9" t="s">
        <v>45</v>
      </c>
      <c r="Z9" t="s">
        <v>34</v>
      </c>
      <c r="AA9" t="s">
        <v>30</v>
      </c>
    </row>
    <row r="10" spans="1:27" x14ac:dyDescent="0.2">
      <c r="A10">
        <v>834</v>
      </c>
      <c r="B10" s="3">
        <v>46361</v>
      </c>
      <c r="C10" s="3">
        <v>46365</v>
      </c>
      <c r="D10" t="s">
        <v>54</v>
      </c>
      <c r="E10" t="s">
        <v>55</v>
      </c>
      <c r="F10" t="s">
        <v>54</v>
      </c>
      <c r="G10">
        <v>2</v>
      </c>
      <c r="H10">
        <v>0</v>
      </c>
      <c r="I10" s="2">
        <v>0</v>
      </c>
      <c r="J10">
        <v>5</v>
      </c>
      <c r="K10" s="2">
        <v>0</v>
      </c>
      <c r="L10" s="2">
        <v>0</v>
      </c>
      <c r="M10" s="2">
        <v>0</v>
      </c>
      <c r="N10" s="2">
        <v>0</v>
      </c>
      <c r="O10" t="s">
        <v>56</v>
      </c>
      <c r="P10">
        <v>56</v>
      </c>
      <c r="Q10" t="s">
        <v>30</v>
      </c>
      <c r="R10" t="s">
        <v>30</v>
      </c>
      <c r="S10" t="s">
        <v>31</v>
      </c>
      <c r="T10">
        <v>115115508</v>
      </c>
      <c r="U10" t="s">
        <v>30</v>
      </c>
      <c r="V10" s="4">
        <v>46008.648576388892</v>
      </c>
      <c r="W10" t="s">
        <v>32</v>
      </c>
      <c r="X10" s="2">
        <v>0</v>
      </c>
      <c r="Y10" t="s">
        <v>57</v>
      </c>
      <c r="Z10" t="s">
        <v>34</v>
      </c>
      <c r="AA10" t="s">
        <v>30</v>
      </c>
    </row>
    <row r="11" spans="1:27" x14ac:dyDescent="0.2">
      <c r="A11">
        <v>1039</v>
      </c>
      <c r="B11" s="3">
        <v>46362</v>
      </c>
      <c r="C11" s="3">
        <v>46363</v>
      </c>
      <c r="D11" t="s">
        <v>58</v>
      </c>
      <c r="E11" t="s">
        <v>30</v>
      </c>
      <c r="F11" t="s">
        <v>58</v>
      </c>
      <c r="G11">
        <v>5</v>
      </c>
      <c r="H11">
        <v>0</v>
      </c>
      <c r="I11" s="2">
        <v>11208.01</v>
      </c>
      <c r="J11">
        <v>2</v>
      </c>
      <c r="K11" s="2">
        <v>22416.02</v>
      </c>
      <c r="L11" s="2">
        <v>0</v>
      </c>
      <c r="M11" s="2">
        <v>22416.02</v>
      </c>
      <c r="N11" s="2">
        <v>0</v>
      </c>
      <c r="O11" t="s">
        <v>50</v>
      </c>
      <c r="P11">
        <v>968</v>
      </c>
      <c r="Q11" t="s">
        <v>30</v>
      </c>
      <c r="R11" t="s">
        <v>30</v>
      </c>
      <c r="S11" t="s">
        <v>37</v>
      </c>
      <c r="T11">
        <v>118151704</v>
      </c>
      <c r="U11" t="s">
        <v>59</v>
      </c>
      <c r="V11" s="4">
        <v>46114.921747685185</v>
      </c>
      <c r="W11" t="s">
        <v>39</v>
      </c>
      <c r="X11" s="2">
        <v>0</v>
      </c>
      <c r="Y11" t="s">
        <v>51</v>
      </c>
      <c r="Z11" t="s">
        <v>34</v>
      </c>
      <c r="AA11" t="s">
        <v>30</v>
      </c>
    </row>
    <row r="12" spans="1:27" x14ac:dyDescent="0.2">
      <c r="A12">
        <v>875</v>
      </c>
      <c r="B12" s="3">
        <v>46363</v>
      </c>
      <c r="C12" s="3">
        <v>46367</v>
      </c>
      <c r="D12" t="s">
        <v>60</v>
      </c>
      <c r="E12" t="s">
        <v>30</v>
      </c>
      <c r="F12" t="s">
        <v>60</v>
      </c>
      <c r="G12">
        <v>4</v>
      </c>
      <c r="H12">
        <v>2</v>
      </c>
      <c r="I12" s="2">
        <v>11781.817999999999</v>
      </c>
      <c r="J12">
        <v>5</v>
      </c>
      <c r="K12" s="2">
        <v>58909.09</v>
      </c>
      <c r="L12" s="2">
        <v>11781.817999999999</v>
      </c>
      <c r="M12" s="2">
        <v>47127.271999999997</v>
      </c>
      <c r="N12" s="2">
        <v>0</v>
      </c>
      <c r="O12" t="s">
        <v>28</v>
      </c>
      <c r="P12">
        <v>817</v>
      </c>
      <c r="Q12" t="s">
        <v>30</v>
      </c>
      <c r="R12">
        <v>235</v>
      </c>
      <c r="S12" t="s">
        <v>31</v>
      </c>
      <c r="T12">
        <v>115846625</v>
      </c>
      <c r="U12" t="s">
        <v>61</v>
      </c>
      <c r="V12" s="4">
        <v>46038.928819444445</v>
      </c>
      <c r="W12" t="s">
        <v>53</v>
      </c>
      <c r="X12" s="2">
        <v>58909.09</v>
      </c>
      <c r="Y12" t="s">
        <v>62</v>
      </c>
      <c r="Z12" t="s">
        <v>34</v>
      </c>
      <c r="AA12" t="s">
        <v>30</v>
      </c>
    </row>
    <row r="13" spans="1:27" x14ac:dyDescent="0.2">
      <c r="A13">
        <v>958</v>
      </c>
      <c r="B13" s="3">
        <v>46366</v>
      </c>
      <c r="C13" s="3">
        <v>46369</v>
      </c>
      <c r="D13" t="s">
        <v>63</v>
      </c>
      <c r="E13" t="s">
        <v>30</v>
      </c>
      <c r="F13" t="s">
        <v>63</v>
      </c>
      <c r="G13">
        <v>6</v>
      </c>
      <c r="H13">
        <v>0</v>
      </c>
      <c r="I13" s="2">
        <v>10825.65</v>
      </c>
      <c r="J13">
        <v>4</v>
      </c>
      <c r="K13" s="2">
        <v>43302.6</v>
      </c>
      <c r="L13" s="2">
        <v>6495.3899999999994</v>
      </c>
      <c r="M13" s="2">
        <v>36807.21</v>
      </c>
      <c r="N13" s="2">
        <v>0</v>
      </c>
      <c r="O13" t="s">
        <v>50</v>
      </c>
      <c r="P13">
        <v>902</v>
      </c>
      <c r="Q13" t="s">
        <v>30</v>
      </c>
      <c r="R13" t="s">
        <v>30</v>
      </c>
      <c r="S13" t="s">
        <v>37</v>
      </c>
      <c r="T13">
        <v>116964686</v>
      </c>
      <c r="U13" t="s">
        <v>38</v>
      </c>
      <c r="V13" s="4">
        <v>46074.654490740744</v>
      </c>
      <c r="W13" t="s">
        <v>39</v>
      </c>
      <c r="X13" s="2">
        <v>0</v>
      </c>
      <c r="Y13" t="s">
        <v>51</v>
      </c>
      <c r="Z13" t="s">
        <v>34</v>
      </c>
      <c r="AA13" t="s">
        <v>30</v>
      </c>
    </row>
    <row r="14" spans="1:27" x14ac:dyDescent="0.2">
      <c r="A14">
        <v>1000</v>
      </c>
      <c r="B14" s="3">
        <v>46368</v>
      </c>
      <c r="C14" s="3">
        <v>46372</v>
      </c>
      <c r="D14" t="s">
        <v>64</v>
      </c>
      <c r="E14" t="s">
        <v>30</v>
      </c>
      <c r="F14" t="s">
        <v>64</v>
      </c>
      <c r="G14">
        <v>2</v>
      </c>
      <c r="H14">
        <v>0</v>
      </c>
      <c r="I14" s="2">
        <v>8047.19</v>
      </c>
      <c r="J14">
        <v>5</v>
      </c>
      <c r="K14" s="2">
        <v>40235.949999999997</v>
      </c>
      <c r="L14" s="2">
        <v>6035.392499999999</v>
      </c>
      <c r="M14" s="2">
        <v>34200.557499999995</v>
      </c>
      <c r="N14" s="2">
        <v>0</v>
      </c>
      <c r="O14" t="s">
        <v>43</v>
      </c>
      <c r="P14">
        <v>939</v>
      </c>
      <c r="Q14" t="s">
        <v>30</v>
      </c>
      <c r="R14" t="s">
        <v>30</v>
      </c>
      <c r="S14" t="s">
        <v>37</v>
      </c>
      <c r="T14">
        <v>117527722</v>
      </c>
      <c r="U14" t="s">
        <v>38</v>
      </c>
      <c r="V14" s="4">
        <v>46092.94431712963</v>
      </c>
      <c r="W14" t="s">
        <v>39</v>
      </c>
      <c r="X14" s="2">
        <v>0</v>
      </c>
      <c r="Y14" t="s">
        <v>45</v>
      </c>
      <c r="Z14" t="s">
        <v>34</v>
      </c>
      <c r="AA14" t="s">
        <v>30</v>
      </c>
    </row>
    <row r="15" spans="1:27" x14ac:dyDescent="0.2">
      <c r="A15">
        <v>1078</v>
      </c>
      <c r="B15" s="3">
        <v>46368</v>
      </c>
      <c r="C15" s="3">
        <v>46375</v>
      </c>
      <c r="D15" t="s">
        <v>65</v>
      </c>
      <c r="E15" t="s">
        <v>30</v>
      </c>
      <c r="F15" t="s">
        <v>65</v>
      </c>
      <c r="G15">
        <v>4</v>
      </c>
      <c r="H15">
        <v>0</v>
      </c>
      <c r="I15" s="2">
        <v>12509.775</v>
      </c>
      <c r="J15">
        <v>8</v>
      </c>
      <c r="K15" s="2">
        <v>100078.2</v>
      </c>
      <c r="L15" s="2">
        <v>0</v>
      </c>
      <c r="M15" s="2">
        <v>100078.2</v>
      </c>
      <c r="N15" s="2">
        <v>0</v>
      </c>
      <c r="O15" t="s">
        <v>56</v>
      </c>
      <c r="P15">
        <v>71</v>
      </c>
      <c r="Q15" t="s">
        <v>30</v>
      </c>
      <c r="R15">
        <v>59</v>
      </c>
      <c r="S15" t="s">
        <v>31</v>
      </c>
      <c r="T15">
        <v>119375149</v>
      </c>
      <c r="U15" t="s">
        <v>30</v>
      </c>
      <c r="V15" s="4">
        <v>46162.614340277774</v>
      </c>
      <c r="W15" t="s">
        <v>39</v>
      </c>
      <c r="X15" s="2">
        <v>0</v>
      </c>
      <c r="Y15" t="s">
        <v>57</v>
      </c>
      <c r="Z15" t="s">
        <v>34</v>
      </c>
      <c r="AA15" t="s">
        <v>30</v>
      </c>
    </row>
    <row r="16" spans="1:27" x14ac:dyDescent="0.2">
      <c r="A16">
        <v>1012</v>
      </c>
      <c r="B16" s="3">
        <v>46369</v>
      </c>
      <c r="C16" s="3">
        <v>46382</v>
      </c>
      <c r="D16" t="s">
        <v>27</v>
      </c>
      <c r="E16" t="s">
        <v>28</v>
      </c>
      <c r="F16" t="s">
        <v>27</v>
      </c>
      <c r="G16">
        <v>2</v>
      </c>
      <c r="H16">
        <v>0</v>
      </c>
      <c r="I16" s="2">
        <v>0</v>
      </c>
      <c r="J16">
        <v>14</v>
      </c>
      <c r="K16" s="2">
        <v>0</v>
      </c>
      <c r="L16" s="2">
        <v>0</v>
      </c>
      <c r="M16" s="2">
        <v>0</v>
      </c>
      <c r="N16" s="2">
        <v>0</v>
      </c>
      <c r="O16" t="s">
        <v>29</v>
      </c>
      <c r="P16">
        <v>641</v>
      </c>
      <c r="Q16" t="s">
        <v>30</v>
      </c>
      <c r="R16" t="s">
        <v>30</v>
      </c>
      <c r="S16" t="s">
        <v>31</v>
      </c>
      <c r="T16">
        <v>117697406</v>
      </c>
      <c r="U16" t="s">
        <v>30</v>
      </c>
      <c r="V16" s="4">
        <v>46099.349074074074</v>
      </c>
      <c r="W16" t="s">
        <v>32</v>
      </c>
      <c r="X16" s="2">
        <v>0</v>
      </c>
      <c r="Y16" t="s">
        <v>33</v>
      </c>
      <c r="Z16" t="s">
        <v>34</v>
      </c>
      <c r="AA16" t="s">
        <v>30</v>
      </c>
    </row>
    <row r="17" spans="1:27" x14ac:dyDescent="0.2">
      <c r="A17">
        <v>1077</v>
      </c>
      <c r="B17" s="3">
        <v>46370</v>
      </c>
      <c r="C17" s="3">
        <v>46372</v>
      </c>
      <c r="D17" t="s">
        <v>66</v>
      </c>
      <c r="E17" t="s">
        <v>30</v>
      </c>
      <c r="F17" t="s">
        <v>66</v>
      </c>
      <c r="G17">
        <v>4</v>
      </c>
      <c r="H17">
        <v>0</v>
      </c>
      <c r="I17" s="2">
        <v>7189.6699999999992</v>
      </c>
      <c r="J17">
        <v>3</v>
      </c>
      <c r="K17" s="2">
        <v>21569.01</v>
      </c>
      <c r="L17" s="2">
        <v>0</v>
      </c>
      <c r="M17" s="2">
        <v>21569.01</v>
      </c>
      <c r="N17" s="2">
        <v>0</v>
      </c>
      <c r="O17" t="s">
        <v>36</v>
      </c>
      <c r="P17">
        <v>1002</v>
      </c>
      <c r="Q17" t="s">
        <v>30</v>
      </c>
      <c r="R17" t="s">
        <v>30</v>
      </c>
      <c r="S17" t="s">
        <v>37</v>
      </c>
      <c r="T17">
        <v>119370156</v>
      </c>
      <c r="U17" t="s">
        <v>59</v>
      </c>
      <c r="V17" s="4">
        <v>46162.541006944448</v>
      </c>
      <c r="W17" t="s">
        <v>39</v>
      </c>
      <c r="X17" s="2">
        <v>0</v>
      </c>
      <c r="Y17" t="s">
        <v>40</v>
      </c>
      <c r="Z17" t="s">
        <v>34</v>
      </c>
      <c r="AA17" t="s">
        <v>30</v>
      </c>
    </row>
    <row r="18" spans="1:27" x14ac:dyDescent="0.2">
      <c r="A18">
        <v>1029</v>
      </c>
      <c r="B18" s="3">
        <v>46371</v>
      </c>
      <c r="C18" s="3">
        <v>46375</v>
      </c>
      <c r="D18" t="s">
        <v>67</v>
      </c>
      <c r="E18" t="s">
        <v>30</v>
      </c>
      <c r="F18" t="s">
        <v>67</v>
      </c>
      <c r="G18">
        <v>2</v>
      </c>
      <c r="H18">
        <v>1</v>
      </c>
      <c r="I18" s="2">
        <v>9141.2999999999993</v>
      </c>
      <c r="J18">
        <v>5</v>
      </c>
      <c r="K18" s="2">
        <v>45706.5</v>
      </c>
      <c r="L18" s="2">
        <v>9141.3000000000011</v>
      </c>
      <c r="M18" s="2">
        <v>36565.199999999997</v>
      </c>
      <c r="N18" s="2">
        <v>0</v>
      </c>
      <c r="O18" t="s">
        <v>28</v>
      </c>
      <c r="P18">
        <v>958</v>
      </c>
      <c r="Q18" t="s">
        <v>30</v>
      </c>
      <c r="R18">
        <v>257</v>
      </c>
      <c r="S18" t="s">
        <v>31</v>
      </c>
      <c r="T18">
        <v>117943410</v>
      </c>
      <c r="U18" t="s">
        <v>61</v>
      </c>
      <c r="V18" s="4">
        <v>46107.462395833332</v>
      </c>
      <c r="W18" t="s">
        <v>39</v>
      </c>
      <c r="X18" s="2">
        <v>0</v>
      </c>
      <c r="Y18" t="s">
        <v>62</v>
      </c>
      <c r="Z18" t="s">
        <v>34</v>
      </c>
      <c r="AA18" t="s">
        <v>30</v>
      </c>
    </row>
    <row r="19" spans="1:27" x14ac:dyDescent="0.2">
      <c r="A19">
        <v>820</v>
      </c>
      <c r="B19" s="3">
        <v>46372</v>
      </c>
      <c r="C19" s="3">
        <v>46376</v>
      </c>
      <c r="D19" t="s">
        <v>68</v>
      </c>
      <c r="E19" t="s">
        <v>30</v>
      </c>
      <c r="F19" t="s">
        <v>68</v>
      </c>
      <c r="G19">
        <v>5</v>
      </c>
      <c r="H19">
        <v>0</v>
      </c>
      <c r="I19" s="2">
        <v>12670.2</v>
      </c>
      <c r="J19">
        <v>5</v>
      </c>
      <c r="K19" s="2">
        <v>63351</v>
      </c>
      <c r="L19" s="2">
        <v>9502.65</v>
      </c>
      <c r="M19" s="2">
        <v>53848.35</v>
      </c>
      <c r="N19" s="2">
        <v>0</v>
      </c>
      <c r="O19" t="s">
        <v>50</v>
      </c>
      <c r="P19">
        <v>765</v>
      </c>
      <c r="Q19" t="s">
        <v>30</v>
      </c>
      <c r="R19" t="s">
        <v>30</v>
      </c>
      <c r="S19" t="s">
        <v>37</v>
      </c>
      <c r="T19">
        <v>114850018</v>
      </c>
      <c r="U19" t="s">
        <v>38</v>
      </c>
      <c r="V19" s="4">
        <v>45998.637662037036</v>
      </c>
      <c r="W19" t="s">
        <v>39</v>
      </c>
      <c r="X19" s="2">
        <v>0</v>
      </c>
      <c r="Y19" t="s">
        <v>51</v>
      </c>
      <c r="Z19" t="s">
        <v>34</v>
      </c>
      <c r="AA19" t="s">
        <v>30</v>
      </c>
    </row>
    <row r="20" spans="1:27" x14ac:dyDescent="0.2">
      <c r="A20">
        <v>1026</v>
      </c>
      <c r="B20" s="3">
        <v>46374</v>
      </c>
      <c r="C20" s="3">
        <v>46379</v>
      </c>
      <c r="D20" t="s">
        <v>69</v>
      </c>
      <c r="E20" t="s">
        <v>70</v>
      </c>
      <c r="F20" t="s">
        <v>69</v>
      </c>
      <c r="G20">
        <v>2</v>
      </c>
      <c r="H20">
        <v>1</v>
      </c>
      <c r="I20" s="2">
        <v>7392</v>
      </c>
      <c r="J20">
        <v>6</v>
      </c>
      <c r="K20" s="2">
        <v>44352</v>
      </c>
      <c r="L20" s="2">
        <v>0</v>
      </c>
      <c r="M20" s="2">
        <v>44352</v>
      </c>
      <c r="N20" s="2">
        <v>0</v>
      </c>
      <c r="O20" t="s">
        <v>43</v>
      </c>
      <c r="P20">
        <v>578</v>
      </c>
      <c r="Q20" t="s">
        <v>30</v>
      </c>
      <c r="R20">
        <v>186</v>
      </c>
      <c r="S20" t="s">
        <v>31</v>
      </c>
      <c r="T20">
        <v>117837980</v>
      </c>
      <c r="U20" t="s">
        <v>30</v>
      </c>
      <c r="V20" s="4">
        <v>46104.431886574072</v>
      </c>
      <c r="W20" t="s">
        <v>53</v>
      </c>
      <c r="X20" s="2">
        <v>44352</v>
      </c>
      <c r="Y20" t="s">
        <v>45</v>
      </c>
      <c r="Z20" t="s">
        <v>34</v>
      </c>
      <c r="AA20" t="s">
        <v>30</v>
      </c>
    </row>
    <row r="21" spans="1:27" x14ac:dyDescent="0.2">
      <c r="A21">
        <v>845</v>
      </c>
      <c r="B21" s="3">
        <v>46376</v>
      </c>
      <c r="C21" s="3">
        <v>46383</v>
      </c>
      <c r="D21" t="s">
        <v>71</v>
      </c>
      <c r="E21" t="s">
        <v>30</v>
      </c>
      <c r="F21" t="s">
        <v>71</v>
      </c>
      <c r="G21">
        <v>6</v>
      </c>
      <c r="H21">
        <v>0</v>
      </c>
      <c r="I21" s="2">
        <v>14016.87</v>
      </c>
      <c r="J21">
        <v>8</v>
      </c>
      <c r="K21" s="2">
        <v>112134.96</v>
      </c>
      <c r="L21" s="2">
        <v>16820.243999999999</v>
      </c>
      <c r="M21" s="2">
        <v>95314.716000000015</v>
      </c>
      <c r="N21" s="2">
        <v>0</v>
      </c>
      <c r="O21" t="s">
        <v>56</v>
      </c>
      <c r="P21">
        <v>789</v>
      </c>
      <c r="Q21" t="s">
        <v>30</v>
      </c>
      <c r="R21" t="s">
        <v>30</v>
      </c>
      <c r="S21" t="s">
        <v>37</v>
      </c>
      <c r="T21">
        <v>115361402</v>
      </c>
      <c r="U21" t="s">
        <v>38</v>
      </c>
      <c r="V21" s="4">
        <v>46021.618043981478</v>
      </c>
      <c r="W21" t="s">
        <v>39</v>
      </c>
      <c r="X21" s="2">
        <v>0</v>
      </c>
      <c r="Y21" t="s">
        <v>57</v>
      </c>
      <c r="Z21" t="s">
        <v>34</v>
      </c>
      <c r="AA21" t="s">
        <v>30</v>
      </c>
    </row>
    <row r="22" spans="1:27" x14ac:dyDescent="0.2">
      <c r="A22">
        <v>749</v>
      </c>
      <c r="B22" s="3">
        <v>46376</v>
      </c>
      <c r="C22" s="3">
        <v>46385</v>
      </c>
      <c r="D22" t="s">
        <v>72</v>
      </c>
      <c r="E22" t="s">
        <v>30</v>
      </c>
      <c r="F22" t="s">
        <v>72</v>
      </c>
      <c r="G22">
        <v>4</v>
      </c>
      <c r="H22">
        <v>3</v>
      </c>
      <c r="I22" s="2">
        <v>11187.23</v>
      </c>
      <c r="J22">
        <v>10</v>
      </c>
      <c r="K22" s="2">
        <v>111872.29999999999</v>
      </c>
      <c r="L22" s="2">
        <v>16780.844999999998</v>
      </c>
      <c r="M22" s="2">
        <v>95091.454999999987</v>
      </c>
      <c r="N22" s="2">
        <v>0</v>
      </c>
      <c r="O22" t="s">
        <v>28</v>
      </c>
      <c r="P22">
        <v>703</v>
      </c>
      <c r="Q22" t="s">
        <v>30</v>
      </c>
      <c r="R22" t="s">
        <v>30</v>
      </c>
      <c r="S22" t="s">
        <v>37</v>
      </c>
      <c r="T22">
        <v>112639062</v>
      </c>
      <c r="U22" t="s">
        <v>38</v>
      </c>
      <c r="V22" s="4">
        <v>45931.535821759258</v>
      </c>
      <c r="W22" t="s">
        <v>39</v>
      </c>
      <c r="X22" s="2">
        <v>0</v>
      </c>
      <c r="Y22" t="s">
        <v>62</v>
      </c>
      <c r="Z22" t="s">
        <v>34</v>
      </c>
      <c r="AA22" t="s">
        <v>30</v>
      </c>
    </row>
    <row r="23" spans="1:27" x14ac:dyDescent="0.2">
      <c r="A23">
        <v>853</v>
      </c>
      <c r="B23" s="3">
        <v>46377</v>
      </c>
      <c r="C23" s="3">
        <v>46381</v>
      </c>
      <c r="D23" t="s">
        <v>73</v>
      </c>
      <c r="E23" t="s">
        <v>30</v>
      </c>
      <c r="F23" t="s">
        <v>73</v>
      </c>
      <c r="G23">
        <v>6</v>
      </c>
      <c r="H23">
        <v>0</v>
      </c>
      <c r="I23" s="2">
        <v>11403.18</v>
      </c>
      <c r="J23">
        <v>5</v>
      </c>
      <c r="K23" s="2">
        <v>57015.9</v>
      </c>
      <c r="L23" s="2">
        <v>8552.3850000000002</v>
      </c>
      <c r="M23" s="2">
        <v>48463.514999999999</v>
      </c>
      <c r="N23" s="2">
        <v>0</v>
      </c>
      <c r="O23" t="s">
        <v>50</v>
      </c>
      <c r="P23">
        <v>797</v>
      </c>
      <c r="Q23" t="s">
        <v>30</v>
      </c>
      <c r="R23" t="s">
        <v>30</v>
      </c>
      <c r="S23" t="s">
        <v>37</v>
      </c>
      <c r="T23">
        <v>115488440</v>
      </c>
      <c r="U23" t="s">
        <v>38</v>
      </c>
      <c r="V23" s="4">
        <v>46027.716053240743</v>
      </c>
      <c r="W23" t="s">
        <v>39</v>
      </c>
      <c r="X23" s="2">
        <v>0</v>
      </c>
      <c r="Y23" t="s">
        <v>51</v>
      </c>
      <c r="Z23" t="s">
        <v>34</v>
      </c>
      <c r="AA23" t="s">
        <v>30</v>
      </c>
    </row>
    <row r="24" spans="1:27" x14ac:dyDescent="0.2">
      <c r="A24">
        <v>868</v>
      </c>
      <c r="B24" s="3">
        <v>46377</v>
      </c>
      <c r="C24" s="3">
        <v>46382</v>
      </c>
      <c r="D24" t="s">
        <v>74</v>
      </c>
      <c r="E24" t="s">
        <v>30</v>
      </c>
      <c r="F24" t="s">
        <v>74</v>
      </c>
      <c r="G24">
        <v>2</v>
      </c>
      <c r="H24">
        <v>2</v>
      </c>
      <c r="I24" s="2">
        <v>6430.5099999999993</v>
      </c>
      <c r="J24">
        <v>6</v>
      </c>
      <c r="K24" s="2">
        <v>38583.06</v>
      </c>
      <c r="L24" s="2">
        <v>5787.4589999999998</v>
      </c>
      <c r="M24" s="2">
        <v>32795.600999999995</v>
      </c>
      <c r="N24" s="2">
        <v>0</v>
      </c>
      <c r="O24" t="s">
        <v>36</v>
      </c>
      <c r="P24">
        <v>810</v>
      </c>
      <c r="Q24" t="s">
        <v>30</v>
      </c>
      <c r="R24" t="s">
        <v>30</v>
      </c>
      <c r="S24" t="s">
        <v>37</v>
      </c>
      <c r="T24">
        <v>115810678</v>
      </c>
      <c r="U24" t="s">
        <v>38</v>
      </c>
      <c r="V24" s="4">
        <v>46038.03597222222</v>
      </c>
      <c r="W24" t="s">
        <v>39</v>
      </c>
      <c r="X24" s="2">
        <v>0</v>
      </c>
      <c r="Y24" t="s">
        <v>40</v>
      </c>
      <c r="Z24" t="s">
        <v>34</v>
      </c>
      <c r="AA24" t="s">
        <v>30</v>
      </c>
    </row>
    <row r="25" spans="1:27" x14ac:dyDescent="0.2">
      <c r="A25">
        <v>930</v>
      </c>
      <c r="B25" s="3">
        <v>46377</v>
      </c>
      <c r="C25" s="3">
        <v>46383</v>
      </c>
      <c r="D25" t="s">
        <v>75</v>
      </c>
      <c r="E25" t="s">
        <v>30</v>
      </c>
      <c r="F25" t="s">
        <v>75</v>
      </c>
      <c r="G25">
        <v>2</v>
      </c>
      <c r="H25">
        <v>2</v>
      </c>
      <c r="I25" s="2">
        <v>5697.54</v>
      </c>
      <c r="J25">
        <v>7</v>
      </c>
      <c r="K25" s="2">
        <v>39882.78</v>
      </c>
      <c r="L25" s="2">
        <v>5982.4169999999995</v>
      </c>
      <c r="M25" s="2">
        <v>33900.362999999998</v>
      </c>
      <c r="N25" s="2">
        <v>0</v>
      </c>
      <c r="O25" t="s">
        <v>47</v>
      </c>
      <c r="P25">
        <v>874</v>
      </c>
      <c r="Q25" t="s">
        <v>30</v>
      </c>
      <c r="R25" t="s">
        <v>30</v>
      </c>
      <c r="S25" t="s">
        <v>37</v>
      </c>
      <c r="T25">
        <v>116613043</v>
      </c>
      <c r="U25" t="s">
        <v>38</v>
      </c>
      <c r="V25" s="4">
        <v>46063.525127314817</v>
      </c>
      <c r="W25" t="s">
        <v>39</v>
      </c>
      <c r="X25" s="2">
        <v>0</v>
      </c>
      <c r="Y25" t="s">
        <v>48</v>
      </c>
      <c r="Z25" t="s">
        <v>34</v>
      </c>
      <c r="AA25" t="s">
        <v>30</v>
      </c>
    </row>
    <row r="26" spans="1:27" x14ac:dyDescent="0.2">
      <c r="A26">
        <v>946</v>
      </c>
      <c r="B26" s="3">
        <v>46380</v>
      </c>
      <c r="C26" s="3">
        <v>46380</v>
      </c>
      <c r="D26" t="s">
        <v>76</v>
      </c>
      <c r="E26" t="s">
        <v>30</v>
      </c>
      <c r="F26" t="s">
        <v>76</v>
      </c>
      <c r="G26">
        <v>2</v>
      </c>
      <c r="H26">
        <v>0</v>
      </c>
      <c r="I26" s="2">
        <v>7781.4</v>
      </c>
      <c r="J26">
        <v>1</v>
      </c>
      <c r="K26" s="2">
        <v>7781.4</v>
      </c>
      <c r="L26" s="2">
        <v>0</v>
      </c>
      <c r="M26" s="2">
        <v>7781.4</v>
      </c>
      <c r="N26" s="2">
        <v>0</v>
      </c>
      <c r="O26" t="s">
        <v>43</v>
      </c>
      <c r="P26">
        <v>890</v>
      </c>
      <c r="Q26" t="s">
        <v>30</v>
      </c>
      <c r="R26" t="s">
        <v>30</v>
      </c>
      <c r="S26" t="s">
        <v>31</v>
      </c>
      <c r="T26">
        <v>116780264</v>
      </c>
      <c r="U26" t="s">
        <v>30</v>
      </c>
      <c r="V26" s="4">
        <v>46069.355879629627</v>
      </c>
      <c r="W26" t="s">
        <v>39</v>
      </c>
      <c r="X26" s="2">
        <v>0</v>
      </c>
      <c r="Y26" t="s">
        <v>45</v>
      </c>
      <c r="Z26" t="s">
        <v>34</v>
      </c>
      <c r="AA26" t="s">
        <v>30</v>
      </c>
    </row>
    <row r="27" spans="1:27" x14ac:dyDescent="0.2">
      <c r="A27">
        <v>945</v>
      </c>
      <c r="B27" s="3">
        <v>46381</v>
      </c>
      <c r="C27" s="3">
        <v>46389</v>
      </c>
      <c r="D27" t="s">
        <v>77</v>
      </c>
      <c r="E27" t="s">
        <v>30</v>
      </c>
      <c r="F27" t="s">
        <v>77</v>
      </c>
      <c r="G27">
        <v>4</v>
      </c>
      <c r="H27">
        <v>0</v>
      </c>
      <c r="I27" s="2">
        <v>7457.9900000000007</v>
      </c>
      <c r="J27">
        <v>7</v>
      </c>
      <c r="K27" s="2">
        <v>52205.930000000008</v>
      </c>
      <c r="L27" s="2">
        <v>7830.8895000000011</v>
      </c>
      <c r="M27" s="2">
        <v>44375.040500000003</v>
      </c>
      <c r="N27" s="2">
        <v>0</v>
      </c>
      <c r="O27" t="s">
        <v>43</v>
      </c>
      <c r="P27">
        <v>889</v>
      </c>
      <c r="Q27" t="s">
        <v>30</v>
      </c>
      <c r="R27" t="s">
        <v>30</v>
      </c>
      <c r="S27" t="s">
        <v>37</v>
      </c>
      <c r="T27">
        <v>116777833</v>
      </c>
      <c r="U27" t="s">
        <v>38</v>
      </c>
      <c r="V27" s="4">
        <v>46069.057129629633</v>
      </c>
      <c r="W27" t="s">
        <v>39</v>
      </c>
      <c r="X27" s="2">
        <v>0</v>
      </c>
      <c r="Y27" t="s">
        <v>45</v>
      </c>
      <c r="Z27" t="s">
        <v>34</v>
      </c>
      <c r="AA27" t="s">
        <v>30</v>
      </c>
    </row>
    <row r="28" spans="1:27" x14ac:dyDescent="0.2">
      <c r="A28">
        <v>1067</v>
      </c>
      <c r="B28" s="3">
        <v>46383</v>
      </c>
      <c r="C28" s="3">
        <v>46389</v>
      </c>
      <c r="D28" t="s">
        <v>78</v>
      </c>
      <c r="E28" t="s">
        <v>30</v>
      </c>
      <c r="F28" t="s">
        <v>78</v>
      </c>
      <c r="G28">
        <v>2</v>
      </c>
      <c r="H28">
        <v>0</v>
      </c>
      <c r="I28" s="2">
        <v>8622.5300000000007</v>
      </c>
      <c r="J28">
        <v>5</v>
      </c>
      <c r="K28" s="2">
        <v>43112.65</v>
      </c>
      <c r="L28" s="2">
        <v>6466.8975</v>
      </c>
      <c r="M28" s="2">
        <v>36645.752500000002</v>
      </c>
      <c r="N28" s="2">
        <v>0</v>
      </c>
      <c r="O28" t="s">
        <v>36</v>
      </c>
      <c r="P28">
        <v>992</v>
      </c>
      <c r="Q28" t="s">
        <v>30</v>
      </c>
      <c r="R28" t="s">
        <v>30</v>
      </c>
      <c r="S28" t="s">
        <v>37</v>
      </c>
      <c r="T28">
        <v>118909734</v>
      </c>
      <c r="U28" t="s">
        <v>38</v>
      </c>
      <c r="V28" s="4">
        <v>46146.423738425925</v>
      </c>
      <c r="W28" t="s">
        <v>39</v>
      </c>
      <c r="X28" s="2">
        <v>0</v>
      </c>
      <c r="Y28" t="s">
        <v>40</v>
      </c>
      <c r="Z28" t="s">
        <v>34</v>
      </c>
      <c r="AA28" t="s">
        <v>30</v>
      </c>
    </row>
    <row r="29" spans="1:27" x14ac:dyDescent="0.2">
      <c r="A29">
        <v>914</v>
      </c>
      <c r="B29" s="3">
        <v>46384</v>
      </c>
      <c r="C29" s="3">
        <v>46388</v>
      </c>
      <c r="D29" t="s">
        <v>79</v>
      </c>
      <c r="E29" t="s">
        <v>30</v>
      </c>
      <c r="F29" t="s">
        <v>79</v>
      </c>
      <c r="G29">
        <v>6</v>
      </c>
      <c r="H29">
        <v>0</v>
      </c>
      <c r="I29" s="2">
        <v>12670.2</v>
      </c>
      <c r="J29">
        <v>4</v>
      </c>
      <c r="K29" s="2">
        <v>50680.800000000003</v>
      </c>
      <c r="L29" s="2">
        <v>7602.12</v>
      </c>
      <c r="M29" s="2">
        <v>43078.68</v>
      </c>
      <c r="N29" s="2">
        <v>0</v>
      </c>
      <c r="O29" t="s">
        <v>50</v>
      </c>
      <c r="P29">
        <v>858</v>
      </c>
      <c r="Q29" t="s">
        <v>30</v>
      </c>
      <c r="R29" t="s">
        <v>30</v>
      </c>
      <c r="S29" t="s">
        <v>37</v>
      </c>
      <c r="T29">
        <v>116378339</v>
      </c>
      <c r="U29" t="s">
        <v>38</v>
      </c>
      <c r="V29" s="4">
        <v>46055.83084490741</v>
      </c>
      <c r="W29" t="s">
        <v>39</v>
      </c>
      <c r="X29" s="2">
        <v>0</v>
      </c>
      <c r="Y29" t="s">
        <v>51</v>
      </c>
      <c r="Z29" t="s">
        <v>34</v>
      </c>
      <c r="AA29" t="s">
        <v>30</v>
      </c>
    </row>
    <row r="30" spans="1:27" x14ac:dyDescent="0.2">
      <c r="A30">
        <v>1016</v>
      </c>
      <c r="B30" s="3">
        <v>46384</v>
      </c>
      <c r="C30" s="3">
        <v>46395</v>
      </c>
      <c r="D30" t="s">
        <v>69</v>
      </c>
      <c r="E30" t="s">
        <v>70</v>
      </c>
      <c r="F30" t="s">
        <v>69</v>
      </c>
      <c r="G30">
        <v>2</v>
      </c>
      <c r="H30">
        <v>2</v>
      </c>
      <c r="I30" s="2">
        <v>0</v>
      </c>
      <c r="J30">
        <v>4</v>
      </c>
      <c r="K30" s="2">
        <v>0</v>
      </c>
      <c r="L30" s="2">
        <v>0</v>
      </c>
      <c r="M30" s="2">
        <v>0</v>
      </c>
      <c r="N30" s="2">
        <v>0</v>
      </c>
      <c r="O30" t="s">
        <v>29</v>
      </c>
      <c r="P30">
        <v>1039</v>
      </c>
      <c r="Q30" t="s">
        <v>30</v>
      </c>
      <c r="R30" t="s">
        <v>30</v>
      </c>
      <c r="S30" t="s">
        <v>31</v>
      </c>
      <c r="T30">
        <v>117712604</v>
      </c>
      <c r="U30" t="s">
        <v>30</v>
      </c>
      <c r="V30" s="4">
        <v>46099.541979166665</v>
      </c>
      <c r="W30" t="s">
        <v>32</v>
      </c>
      <c r="X30" s="2">
        <v>0</v>
      </c>
      <c r="Y30" t="s">
        <v>33</v>
      </c>
      <c r="Z30" t="s">
        <v>34</v>
      </c>
      <c r="AA30" t="s">
        <v>30</v>
      </c>
    </row>
    <row r="31" spans="1:27" x14ac:dyDescent="0.2">
      <c r="A31">
        <v>1018</v>
      </c>
      <c r="B31" s="3">
        <v>46384</v>
      </c>
      <c r="C31" s="3">
        <v>46395</v>
      </c>
      <c r="D31" t="s">
        <v>65</v>
      </c>
      <c r="E31" t="s">
        <v>30</v>
      </c>
      <c r="F31" t="s">
        <v>65</v>
      </c>
      <c r="G31">
        <v>6</v>
      </c>
      <c r="H31">
        <v>0</v>
      </c>
      <c r="I31" s="2">
        <v>14754.6</v>
      </c>
      <c r="J31">
        <v>4</v>
      </c>
      <c r="K31" s="2">
        <v>59018.400000000001</v>
      </c>
      <c r="L31" s="2">
        <v>0</v>
      </c>
      <c r="M31" s="2">
        <v>59018.400000000001</v>
      </c>
      <c r="N31" s="2">
        <v>0</v>
      </c>
      <c r="O31" t="s">
        <v>56</v>
      </c>
      <c r="P31">
        <v>947</v>
      </c>
      <c r="Q31" t="s">
        <v>30</v>
      </c>
      <c r="R31">
        <v>273</v>
      </c>
      <c r="S31" t="s">
        <v>31</v>
      </c>
      <c r="T31">
        <v>117738402</v>
      </c>
      <c r="U31" t="s">
        <v>30</v>
      </c>
      <c r="V31" s="4">
        <v>46100.432175925926</v>
      </c>
      <c r="W31" t="s">
        <v>44</v>
      </c>
      <c r="X31" s="2">
        <v>88527.6</v>
      </c>
      <c r="Y31" t="s">
        <v>57</v>
      </c>
      <c r="Z31" t="s">
        <v>34</v>
      </c>
      <c r="AA31" t="s">
        <v>30</v>
      </c>
    </row>
    <row r="32" spans="1:27" x14ac:dyDescent="0.2">
      <c r="A32">
        <v>1027</v>
      </c>
      <c r="B32" s="3">
        <v>46385</v>
      </c>
      <c r="C32" s="3">
        <v>46386</v>
      </c>
      <c r="D32" t="s">
        <v>80</v>
      </c>
      <c r="E32" t="s">
        <v>30</v>
      </c>
      <c r="F32" t="s">
        <v>80</v>
      </c>
      <c r="G32">
        <v>4</v>
      </c>
      <c r="H32">
        <v>0</v>
      </c>
      <c r="I32" s="2">
        <v>7722</v>
      </c>
      <c r="J32">
        <v>2</v>
      </c>
      <c r="K32" s="2">
        <v>15444</v>
      </c>
      <c r="L32" s="2">
        <v>0</v>
      </c>
      <c r="M32" s="2">
        <v>15444</v>
      </c>
      <c r="N32" s="2">
        <v>0</v>
      </c>
      <c r="O32" t="s">
        <v>47</v>
      </c>
      <c r="P32">
        <v>956</v>
      </c>
      <c r="Q32" t="s">
        <v>30</v>
      </c>
      <c r="R32">
        <v>255</v>
      </c>
      <c r="S32" t="s">
        <v>31</v>
      </c>
      <c r="T32">
        <v>117867731</v>
      </c>
      <c r="U32" t="s">
        <v>30</v>
      </c>
      <c r="V32" s="4">
        <v>46105.336122685185</v>
      </c>
      <c r="W32" t="s">
        <v>53</v>
      </c>
      <c r="X32" s="2">
        <v>23166</v>
      </c>
      <c r="Y32" t="s">
        <v>48</v>
      </c>
      <c r="Z32" t="s">
        <v>34</v>
      </c>
      <c r="AA32" t="s">
        <v>30</v>
      </c>
    </row>
    <row r="33" spans="1:27" x14ac:dyDescent="0.2">
      <c r="A33">
        <v>1019</v>
      </c>
      <c r="B33" s="3">
        <v>46386</v>
      </c>
      <c r="C33" s="3">
        <v>46395</v>
      </c>
      <c r="D33" t="s">
        <v>65</v>
      </c>
      <c r="E33" t="s">
        <v>30</v>
      </c>
      <c r="F33" t="s">
        <v>65</v>
      </c>
      <c r="G33">
        <v>6</v>
      </c>
      <c r="H33">
        <v>0</v>
      </c>
      <c r="I33" s="2">
        <v>12990.6</v>
      </c>
      <c r="J33">
        <v>2</v>
      </c>
      <c r="K33" s="2">
        <v>25981.200000000001</v>
      </c>
      <c r="L33" s="2">
        <v>0</v>
      </c>
      <c r="M33" s="2">
        <v>25981.200000000001</v>
      </c>
      <c r="N33" s="2">
        <v>0</v>
      </c>
      <c r="O33" t="s">
        <v>28</v>
      </c>
      <c r="P33">
        <v>948</v>
      </c>
      <c r="Q33" t="s">
        <v>30</v>
      </c>
      <c r="R33">
        <v>274</v>
      </c>
      <c r="S33" t="s">
        <v>31</v>
      </c>
      <c r="T33">
        <v>117738487</v>
      </c>
      <c r="U33" t="s">
        <v>81</v>
      </c>
      <c r="V33" s="4">
        <v>46100.433344907404</v>
      </c>
      <c r="W33" t="s">
        <v>44</v>
      </c>
      <c r="X33" s="2">
        <v>64953</v>
      </c>
      <c r="Y33" t="s">
        <v>62</v>
      </c>
      <c r="Z33" t="s">
        <v>34</v>
      </c>
      <c r="AA33" t="s">
        <v>30</v>
      </c>
    </row>
    <row r="34" spans="1:27" x14ac:dyDescent="0.2">
      <c r="A34">
        <v>911</v>
      </c>
      <c r="B34" s="3">
        <v>46387</v>
      </c>
      <c r="C34" s="3">
        <v>46393</v>
      </c>
      <c r="D34" t="s">
        <v>82</v>
      </c>
      <c r="E34" t="s">
        <v>30</v>
      </c>
      <c r="F34" t="s">
        <v>82</v>
      </c>
      <c r="G34">
        <v>2</v>
      </c>
      <c r="H34">
        <v>0</v>
      </c>
      <c r="I34" s="2">
        <v>5292.54</v>
      </c>
      <c r="J34">
        <v>1</v>
      </c>
      <c r="K34" s="2">
        <v>5292.54</v>
      </c>
      <c r="L34" s="2">
        <v>793.88099999999997</v>
      </c>
      <c r="M34" s="2">
        <v>4498.6589999999997</v>
      </c>
      <c r="N34" s="2">
        <v>0</v>
      </c>
      <c r="O34" t="s">
        <v>47</v>
      </c>
      <c r="P34">
        <v>855</v>
      </c>
      <c r="Q34" t="s">
        <v>30</v>
      </c>
      <c r="R34" t="s">
        <v>30</v>
      </c>
      <c r="S34" t="s">
        <v>37</v>
      </c>
      <c r="T34">
        <v>116334889</v>
      </c>
      <c r="U34" t="s">
        <v>38</v>
      </c>
      <c r="V34" s="4">
        <v>46054.649942129632</v>
      </c>
      <c r="W34" t="s">
        <v>39</v>
      </c>
      <c r="X34" s="2">
        <v>0</v>
      </c>
      <c r="Y34" t="s">
        <v>48</v>
      </c>
      <c r="Z34" t="s">
        <v>34</v>
      </c>
      <c r="AA34" t="s">
        <v>30</v>
      </c>
    </row>
    <row r="36" spans="1:27" x14ac:dyDescent="0.2">
      <c r="K36" s="2">
        <f>SUBTOTAL(9,K4:K34)</f>
        <v>1182308.27</v>
      </c>
      <c r="L36" s="2">
        <f>SUBTOTAL(9,L4:L34)</f>
        <v>131465.08550000002</v>
      </c>
      <c r="M36" s="2">
        <f>SUBTOTAL(9,M4:M34)</f>
        <v>1050843.1845</v>
      </c>
      <c r="N36" s="2">
        <f>SUBTOTAL(9,N4:N34)</f>
        <v>0</v>
      </c>
      <c r="X36" s="2">
        <f>SUBTOTAL(9,X4:X34)</f>
        <v>313941.19</v>
      </c>
    </row>
  </sheetData>
  <autoFilter ref="A3:AA34" xr:uid="{00000000-0009-0000-0000-000000000000}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Carike Ligthelm</cp:lastModifiedBy>
  <dcterms:created xsi:type="dcterms:W3CDTF">2026-08-13T10:26:03Z</dcterms:created>
  <dcterms:modified xsi:type="dcterms:W3CDTF">2026-08-27T13:41:05Z</dcterms:modified>
</cp:coreProperties>
</file>