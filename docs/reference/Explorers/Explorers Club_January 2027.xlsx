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3E96880B-B440-7C4E-969D-35DE5336214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6" i="1" l="1"/>
  <c r="N36" i="1"/>
  <c r="M36" i="1"/>
  <c r="L36" i="1"/>
  <c r="K36" i="1"/>
</calcChain>
</file>

<file path=xl/sharedStrings.xml><?xml version="1.0" encoding="utf-8"?>
<sst xmlns="http://schemas.openxmlformats.org/spreadsheetml/2006/main" count="388" uniqueCount="90">
  <si>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</si>
  <si>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</si>
  <si>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</si>
  <si>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</si>
  <si>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</si>
  <si>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</si>
  <si>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</si>
  <si>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</si>
  <si>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</si>
  <si>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</si>
  <si>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</si>
  <si>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</si>
  <si>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</si>
  <si>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</si>
  <si>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</si>
  <si>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</si>
  <si>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</si>
  <si>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</si>
  <si>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</si>
  <si>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</si>
  <si>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</si>
  <si>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</si>
  <si>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</si>
  <si>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</si>
  <si>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</si>
  <si>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</si>
  <si>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</si>
  <si>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Flekser Wayne</t>
  </si>
  <si>
    <t/>
  </si>
  <si>
    <t>Tockie's Cottage</t>
  </si>
  <si>
    <t>Online Booking</t>
  </si>
  <si>
    <t>Booking.com</t>
  </si>
  <si>
    <t>Waiting for Deposit</t>
  </si>
  <si>
    <t>Tockie's Cottage - 11 Berg Str: Self-catering</t>
  </si>
  <si>
    <t>ZAR</t>
  </si>
  <si>
    <t>Katja Markowsky</t>
  </si>
  <si>
    <t>Kumbuk House</t>
  </si>
  <si>
    <t>Kumbuk House - 7 Cabriere Str: Self-catering</t>
  </si>
  <si>
    <t>Beth Roberts</t>
  </si>
  <si>
    <t>Hush Private Travel</t>
  </si>
  <si>
    <t>The Pink House</t>
  </si>
  <si>
    <t>Own Booking</t>
  </si>
  <si>
    <t>Unavailable</t>
  </si>
  <si>
    <t>The Pink House - 5 Berg Str: Self-catering</t>
  </si>
  <si>
    <t>Ale Ordorica</t>
  </si>
  <si>
    <t>The Library</t>
  </si>
  <si>
    <t>Confirmed</t>
  </si>
  <si>
    <t>The Library - 16 Wilhelmina Str: Self-catering</t>
  </si>
  <si>
    <t>Joaquin Oseguera</t>
  </si>
  <si>
    <t>Tugela</t>
  </si>
  <si>
    <t>Tugela - 5 Wilhelmina Str: Self-catering</t>
  </si>
  <si>
    <t>Explorers Club</t>
  </si>
  <si>
    <t>Own web site</t>
  </si>
  <si>
    <t>Explorers Club - 18 Wilhelmina St: Self-catering</t>
  </si>
  <si>
    <t>Mark Howell</t>
  </si>
  <si>
    <t>Cook's Cottage</t>
  </si>
  <si>
    <t>Cook's Cottage - 35A Van Wijk Str: Self-catering</t>
  </si>
  <si>
    <t>Tom Priday</t>
  </si>
  <si>
    <t>Thomas Petterssen</t>
  </si>
  <si>
    <t>Wyndham Sargeant</t>
  </si>
  <si>
    <t>Stanford - Coot Club</t>
  </si>
  <si>
    <t>Manual Rates</t>
  </si>
  <si>
    <t>Mike &amp; Maggie Butler</t>
  </si>
  <si>
    <t>Paid</t>
  </si>
  <si>
    <t>Rob &amp; Jane Nicol</t>
  </si>
  <si>
    <t>Claude Hargreave</t>
  </si>
  <si>
    <t>Provisional</t>
  </si>
  <si>
    <t>Johannes Van Heesewijk</t>
  </si>
  <si>
    <t>The Cockpit</t>
  </si>
  <si>
    <t>The Cockpit - 23 Cabriere Street: Bed &amp; Breakfast</t>
  </si>
  <si>
    <t>Jo</t>
  </si>
  <si>
    <t>Justin Atkinson</t>
  </si>
  <si>
    <t>Heather Morrison</t>
  </si>
  <si>
    <t>Will Hill</t>
  </si>
  <si>
    <t>Jean Torrington</t>
  </si>
  <si>
    <t>Safari Now</t>
  </si>
  <si>
    <t>Red Cederberg - Justin Bonello</t>
  </si>
  <si>
    <t>Justin &amp; Susie Atkinson</t>
  </si>
  <si>
    <t>La Gratitude, Hermanus</t>
  </si>
  <si>
    <t>Churchhaven - Slipway</t>
  </si>
  <si>
    <t>Bettina Fahnenbruck</t>
  </si>
  <si>
    <t>Tom Diver</t>
  </si>
  <si>
    <t>Lydia Horsnall</t>
  </si>
  <si>
    <t>WebView</t>
  </si>
  <si>
    <t>Helen Rayner</t>
  </si>
  <si>
    <t>Georgia Owen</t>
  </si>
  <si>
    <t>direct</t>
  </si>
  <si>
    <t>Douglas Sutherland</t>
  </si>
  <si>
    <t>Graham Mosedale</t>
  </si>
  <si>
    <t>Bookings Report from 01/01/2027 to 31/01/2027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</si>
</sst>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20" bestFit="1" customWidth="1"/>
    <col min="5" max="5" width="16.33203125" bestFit="1" customWidth="1"/>
    <col min="6" max="6" width="20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11.33203125" bestFit="1" customWidth="1"/>
    <col min="12" max="12" width="11.6640625" bestFit="1" customWidth="1"/>
    <col min="13" max="13" width="11.33203125" bestFit="1" customWidth="1"/>
    <col min="14" max="14" width="6.6640625" bestFit="1" customWidth="1"/>
    <col min="15" max="15" width="25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11.5" bestFit="1" customWidth="1"/>
    <col min="22" max="22" width="13" bestFit="1" customWidth="1"/>
    <col min="23" max="23" width="16" bestFit="1" customWidth="1"/>
    <col min="24" max="24" width="12" bestFit="1" customWidth="1"/>
    <col min="25" max="25" width="40.1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89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945</v>
      </c>
      <c r="B4" s="3">
        <v>46381</v>
      </c>
      <c r="C4" s="3">
        <v>46389</v>
      </c>
      <c r="D4" t="s">
        <v>27</v>
      </c>
      <c r="E4" t="s">
        <v>28</v>
      </c>
      <c r="F4" t="s">
        <v>27</v>
      </c>
      <c r="G4">
        <v>4</v>
      </c>
      <c r="H4">
        <v>0</v>
      </c>
      <c r="I4" s="2">
        <v>7457.99</v>
      </c>
      <c r="J4">
        <v>2</v>
      </c>
      <c r="K4" s="2">
        <v>14915.98</v>
      </c>
      <c r="L4" s="2">
        <v>2237.3969999999999</v>
      </c>
      <c r="M4" s="2">
        <v>12678.582999999999</v>
      </c>
      <c r="N4" s="2">
        <v>0</v>
      </c>
      <c r="O4" t="s">
        <v>29</v>
      </c>
      <c r="P4">
        <v>889</v>
      </c>
      <c r="Q4" t="s">
        <v>28</v>
      </c>
      <c r="R4" t="s">
        <v>28</v>
      </c>
      <c r="S4" t="s">
        <v>30</v>
      </c>
      <c r="T4">
        <v>116777833</v>
      </c>
      <c r="U4" t="s">
        <v>31</v>
      </c>
      <c r="V4" s="4">
        <v>46069.057129629633</v>
      </c>
      <c r="W4" t="s">
        <v>32</v>
      </c>
      <c r="X4" s="2">
        <v>0</v>
      </c>
      <c r="Y4" t="s">
        <v>33</v>
      </c>
      <c r="Z4" t="s">
        <v>34</v>
      </c>
      <c r="AA4" t="s">
        <v>28</v>
      </c>
    </row>
    <row r="5" spans="1:27" x14ac:dyDescent="0.2">
      <c r="A5">
        <v>1067</v>
      </c>
      <c r="B5" s="3">
        <v>46383</v>
      </c>
      <c r="C5" s="3">
        <v>46389</v>
      </c>
      <c r="D5" t="s">
        <v>35</v>
      </c>
      <c r="E5" t="s">
        <v>28</v>
      </c>
      <c r="F5" t="s">
        <v>35</v>
      </c>
      <c r="G5">
        <v>2</v>
      </c>
      <c r="H5">
        <v>0</v>
      </c>
      <c r="I5" s="2">
        <v>8622.5300000000007</v>
      </c>
      <c r="J5">
        <v>2</v>
      </c>
      <c r="K5" s="2">
        <v>17245.060000000001</v>
      </c>
      <c r="L5" s="2">
        <v>2586.759</v>
      </c>
      <c r="M5" s="2">
        <v>14658.301000000001</v>
      </c>
      <c r="N5" s="2">
        <v>0</v>
      </c>
      <c r="O5" t="s">
        <v>36</v>
      </c>
      <c r="P5">
        <v>992</v>
      </c>
      <c r="Q5" t="s">
        <v>28</v>
      </c>
      <c r="R5" t="s">
        <v>28</v>
      </c>
      <c r="S5" t="s">
        <v>30</v>
      </c>
      <c r="T5">
        <v>118909734</v>
      </c>
      <c r="U5" t="s">
        <v>31</v>
      </c>
      <c r="V5" s="4">
        <v>46146.423738425925</v>
      </c>
      <c r="W5" t="s">
        <v>32</v>
      </c>
      <c r="X5" s="2">
        <v>0</v>
      </c>
      <c r="Y5" t="s">
        <v>37</v>
      </c>
      <c r="Z5" t="s">
        <v>34</v>
      </c>
      <c r="AA5" t="s">
        <v>28</v>
      </c>
    </row>
    <row r="6" spans="1:27" x14ac:dyDescent="0.2">
      <c r="A6">
        <v>1016</v>
      </c>
      <c r="B6" s="3">
        <v>46384</v>
      </c>
      <c r="C6" s="3">
        <v>46395</v>
      </c>
      <c r="D6" t="s">
        <v>38</v>
      </c>
      <c r="E6" t="s">
        <v>39</v>
      </c>
      <c r="F6" t="s">
        <v>38</v>
      </c>
      <c r="G6">
        <v>2</v>
      </c>
      <c r="H6">
        <v>2</v>
      </c>
      <c r="I6" s="2">
        <v>0</v>
      </c>
      <c r="J6">
        <v>8</v>
      </c>
      <c r="K6" s="2">
        <v>0</v>
      </c>
      <c r="L6" s="2">
        <v>0</v>
      </c>
      <c r="M6" s="2">
        <v>0</v>
      </c>
      <c r="N6" s="2">
        <v>0</v>
      </c>
      <c r="O6" t="s">
        <v>40</v>
      </c>
      <c r="P6">
        <v>1039</v>
      </c>
      <c r="Q6" t="s">
        <v>28</v>
      </c>
      <c r="R6" t="s">
        <v>28</v>
      </c>
      <c r="S6" t="s">
        <v>41</v>
      </c>
      <c r="T6">
        <v>117712604</v>
      </c>
      <c r="U6" t="s">
        <v>28</v>
      </c>
      <c r="V6" s="4">
        <v>46099.541979166665</v>
      </c>
      <c r="W6" t="s">
        <v>42</v>
      </c>
      <c r="X6" s="2">
        <v>0</v>
      </c>
      <c r="Y6" t="s">
        <v>43</v>
      </c>
      <c r="Z6" t="s">
        <v>34</v>
      </c>
      <c r="AA6" t="s">
        <v>28</v>
      </c>
    </row>
    <row r="7" spans="1:27" x14ac:dyDescent="0.2">
      <c r="A7">
        <v>1018</v>
      </c>
      <c r="B7" s="3">
        <v>46384</v>
      </c>
      <c r="C7" s="3">
        <v>46395</v>
      </c>
      <c r="D7" t="s">
        <v>44</v>
      </c>
      <c r="E7" t="s">
        <v>28</v>
      </c>
      <c r="F7" t="s">
        <v>44</v>
      </c>
      <c r="G7">
        <v>6</v>
      </c>
      <c r="H7">
        <v>0</v>
      </c>
      <c r="I7" s="2">
        <v>14754.6</v>
      </c>
      <c r="J7">
        <v>8</v>
      </c>
      <c r="K7" s="2">
        <v>118036.8</v>
      </c>
      <c r="L7" s="2">
        <v>0</v>
      </c>
      <c r="M7" s="2">
        <v>118036.8</v>
      </c>
      <c r="N7" s="2">
        <v>0</v>
      </c>
      <c r="O7" t="s">
        <v>45</v>
      </c>
      <c r="P7">
        <v>947</v>
      </c>
      <c r="Q7" t="s">
        <v>28</v>
      </c>
      <c r="R7">
        <v>273</v>
      </c>
      <c r="S7" t="s">
        <v>41</v>
      </c>
      <c r="T7">
        <v>117738402</v>
      </c>
      <c r="U7" t="s">
        <v>28</v>
      </c>
      <c r="V7" s="4">
        <v>46100.432175925926</v>
      </c>
      <c r="W7" t="s">
        <v>46</v>
      </c>
      <c r="X7" s="2">
        <v>88527.6</v>
      </c>
      <c r="Y7" t="s">
        <v>47</v>
      </c>
      <c r="Z7" t="s">
        <v>34</v>
      </c>
      <c r="AA7" t="s">
        <v>28</v>
      </c>
    </row>
    <row r="8" spans="1:27" x14ac:dyDescent="0.2">
      <c r="A8">
        <v>914</v>
      </c>
      <c r="B8" s="3">
        <v>46384</v>
      </c>
      <c r="C8" s="3">
        <v>46388</v>
      </c>
      <c r="D8" t="s">
        <v>48</v>
      </c>
      <c r="E8" t="s">
        <v>28</v>
      </c>
      <c r="F8" t="s">
        <v>48</v>
      </c>
      <c r="G8">
        <v>6</v>
      </c>
      <c r="H8">
        <v>0</v>
      </c>
      <c r="I8" s="2">
        <v>12670.2</v>
      </c>
      <c r="J8">
        <v>1</v>
      </c>
      <c r="K8" s="2">
        <v>12670.2</v>
      </c>
      <c r="L8" s="2">
        <v>1900.53</v>
      </c>
      <c r="M8" s="2">
        <v>10769.67</v>
      </c>
      <c r="N8" s="2">
        <v>0</v>
      </c>
      <c r="O8" t="s">
        <v>49</v>
      </c>
      <c r="P8">
        <v>858</v>
      </c>
      <c r="Q8" t="s">
        <v>28</v>
      </c>
      <c r="R8" t="s">
        <v>28</v>
      </c>
      <c r="S8" t="s">
        <v>30</v>
      </c>
      <c r="T8">
        <v>116378339</v>
      </c>
      <c r="U8" t="s">
        <v>31</v>
      </c>
      <c r="V8" s="4">
        <v>46055.83084490741</v>
      </c>
      <c r="W8" t="s">
        <v>32</v>
      </c>
      <c r="X8" s="2">
        <v>0</v>
      </c>
      <c r="Y8" t="s">
        <v>50</v>
      </c>
      <c r="Z8" t="s">
        <v>34</v>
      </c>
      <c r="AA8" t="s">
        <v>28</v>
      </c>
    </row>
    <row r="9" spans="1:27" x14ac:dyDescent="0.2">
      <c r="A9">
        <v>1019</v>
      </c>
      <c r="B9" s="3">
        <v>46386</v>
      </c>
      <c r="C9" s="3">
        <v>46395</v>
      </c>
      <c r="D9" t="s">
        <v>44</v>
      </c>
      <c r="E9" t="s">
        <v>28</v>
      </c>
      <c r="F9" t="s">
        <v>44</v>
      </c>
      <c r="G9">
        <v>6</v>
      </c>
      <c r="H9">
        <v>0</v>
      </c>
      <c r="I9" s="2">
        <v>12990.6</v>
      </c>
      <c r="J9">
        <v>8</v>
      </c>
      <c r="K9" s="2">
        <v>103924.8</v>
      </c>
      <c r="L9" s="2">
        <v>0</v>
      </c>
      <c r="M9" s="2">
        <v>103924.8</v>
      </c>
      <c r="N9" s="2">
        <v>0</v>
      </c>
      <c r="O9" t="s">
        <v>51</v>
      </c>
      <c r="P9">
        <v>948</v>
      </c>
      <c r="Q9" t="s">
        <v>28</v>
      </c>
      <c r="R9">
        <v>274</v>
      </c>
      <c r="S9" t="s">
        <v>41</v>
      </c>
      <c r="T9">
        <v>117738487</v>
      </c>
      <c r="U9" t="s">
        <v>52</v>
      </c>
      <c r="V9" s="4">
        <v>46100.433344907404</v>
      </c>
      <c r="W9" t="s">
        <v>46</v>
      </c>
      <c r="X9" s="2">
        <v>64953</v>
      </c>
      <c r="Y9" t="s">
        <v>53</v>
      </c>
      <c r="Z9" t="s">
        <v>34</v>
      </c>
      <c r="AA9" t="s">
        <v>28</v>
      </c>
    </row>
    <row r="10" spans="1:27" x14ac:dyDescent="0.2">
      <c r="A10">
        <v>911</v>
      </c>
      <c r="B10" s="3">
        <v>46387</v>
      </c>
      <c r="C10" s="3">
        <v>46393</v>
      </c>
      <c r="D10" t="s">
        <v>54</v>
      </c>
      <c r="E10" t="s">
        <v>28</v>
      </c>
      <c r="F10" t="s">
        <v>54</v>
      </c>
      <c r="G10">
        <v>2</v>
      </c>
      <c r="H10">
        <v>0</v>
      </c>
      <c r="I10" s="2">
        <v>5292.54</v>
      </c>
      <c r="J10">
        <v>6</v>
      </c>
      <c r="K10" s="2">
        <v>31755.239999999998</v>
      </c>
      <c r="L10" s="2">
        <v>4763.2859999999991</v>
      </c>
      <c r="M10" s="2">
        <v>26991.953999999998</v>
      </c>
      <c r="N10" s="2">
        <v>0</v>
      </c>
      <c r="O10" t="s">
        <v>55</v>
      </c>
      <c r="P10">
        <v>855</v>
      </c>
      <c r="Q10" t="s">
        <v>28</v>
      </c>
      <c r="R10" t="s">
        <v>28</v>
      </c>
      <c r="S10" t="s">
        <v>30</v>
      </c>
      <c r="T10">
        <v>116334889</v>
      </c>
      <c r="U10" t="s">
        <v>31</v>
      </c>
      <c r="V10" s="4">
        <v>46054.649942129632</v>
      </c>
      <c r="W10" t="s">
        <v>32</v>
      </c>
      <c r="X10" s="2">
        <v>0</v>
      </c>
      <c r="Y10" t="s">
        <v>56</v>
      </c>
      <c r="Z10" t="s">
        <v>34</v>
      </c>
      <c r="AA10" t="s">
        <v>28</v>
      </c>
    </row>
    <row r="11" spans="1:27" x14ac:dyDescent="0.2">
      <c r="A11">
        <v>986</v>
      </c>
      <c r="B11" s="3">
        <v>46389</v>
      </c>
      <c r="C11" s="3">
        <v>46394</v>
      </c>
      <c r="D11" t="s">
        <v>57</v>
      </c>
      <c r="E11" t="s">
        <v>28</v>
      </c>
      <c r="F11" t="s">
        <v>57</v>
      </c>
      <c r="G11">
        <v>4</v>
      </c>
      <c r="H11">
        <v>0</v>
      </c>
      <c r="I11" s="2">
        <v>11262</v>
      </c>
      <c r="J11">
        <v>6</v>
      </c>
      <c r="K11" s="2">
        <v>67572</v>
      </c>
      <c r="L11" s="2">
        <v>0</v>
      </c>
      <c r="M11" s="2">
        <v>67572</v>
      </c>
      <c r="N11" s="2">
        <v>0</v>
      </c>
      <c r="O11" t="s">
        <v>49</v>
      </c>
      <c r="P11">
        <v>914</v>
      </c>
      <c r="Q11" t="s">
        <v>28</v>
      </c>
      <c r="R11" t="s">
        <v>28</v>
      </c>
      <c r="S11" t="s">
        <v>41</v>
      </c>
      <c r="T11">
        <v>117375089</v>
      </c>
      <c r="U11" t="s">
        <v>28</v>
      </c>
      <c r="V11" s="4">
        <v>46087.597233796296</v>
      </c>
      <c r="W11" t="s">
        <v>42</v>
      </c>
      <c r="X11" s="2">
        <v>0</v>
      </c>
      <c r="Y11" t="s">
        <v>50</v>
      </c>
      <c r="Z11" t="s">
        <v>34</v>
      </c>
      <c r="AA11" t="s">
        <v>28</v>
      </c>
    </row>
    <row r="12" spans="1:27" x14ac:dyDescent="0.2">
      <c r="A12">
        <v>890</v>
      </c>
      <c r="B12" s="3">
        <v>46390</v>
      </c>
      <c r="C12" s="3">
        <v>46396</v>
      </c>
      <c r="D12" t="s">
        <v>58</v>
      </c>
      <c r="E12" t="s">
        <v>28</v>
      </c>
      <c r="F12" t="s">
        <v>58</v>
      </c>
      <c r="G12">
        <v>2</v>
      </c>
      <c r="H12">
        <v>0</v>
      </c>
      <c r="I12" s="2">
        <v>7270</v>
      </c>
      <c r="J12">
        <v>7</v>
      </c>
      <c r="K12" s="2">
        <v>50890</v>
      </c>
      <c r="L12" s="2">
        <v>0</v>
      </c>
      <c r="M12" s="2">
        <v>50890</v>
      </c>
      <c r="N12" s="2">
        <v>0</v>
      </c>
      <c r="O12" t="s">
        <v>36</v>
      </c>
      <c r="P12">
        <v>1</v>
      </c>
      <c r="Q12" t="s">
        <v>28</v>
      </c>
      <c r="R12">
        <v>127</v>
      </c>
      <c r="S12" t="s">
        <v>41</v>
      </c>
      <c r="T12">
        <v>116063122</v>
      </c>
      <c r="U12" t="s">
        <v>28</v>
      </c>
      <c r="V12" s="4">
        <v>46045.470497685186</v>
      </c>
      <c r="W12" t="s">
        <v>32</v>
      </c>
      <c r="X12" s="2">
        <v>0</v>
      </c>
      <c r="Y12" t="s">
        <v>37</v>
      </c>
      <c r="Z12" t="s">
        <v>34</v>
      </c>
      <c r="AA12" t="s">
        <v>28</v>
      </c>
    </row>
    <row r="13" spans="1:27" x14ac:dyDescent="0.2">
      <c r="A13">
        <v>918</v>
      </c>
      <c r="B13" s="3">
        <v>46391</v>
      </c>
      <c r="C13" s="3">
        <v>46394</v>
      </c>
      <c r="D13" t="s">
        <v>59</v>
      </c>
      <c r="E13" t="s">
        <v>28</v>
      </c>
      <c r="F13" t="s">
        <v>59</v>
      </c>
      <c r="G13">
        <v>2</v>
      </c>
      <c r="H13">
        <v>0</v>
      </c>
      <c r="I13" s="2">
        <v>11000</v>
      </c>
      <c r="J13">
        <v>4</v>
      </c>
      <c r="K13" s="2">
        <v>44000</v>
      </c>
      <c r="L13" s="2">
        <v>0</v>
      </c>
      <c r="M13" s="2">
        <v>44000</v>
      </c>
      <c r="N13" s="2">
        <v>0</v>
      </c>
      <c r="O13" t="s">
        <v>60</v>
      </c>
      <c r="P13">
        <v>862</v>
      </c>
      <c r="Q13" t="s">
        <v>28</v>
      </c>
      <c r="R13" t="s">
        <v>28</v>
      </c>
      <c r="S13" t="s">
        <v>41</v>
      </c>
      <c r="T13">
        <v>116422134</v>
      </c>
      <c r="U13" t="s">
        <v>28</v>
      </c>
      <c r="V13" s="4">
        <v>46057.356550925928</v>
      </c>
      <c r="W13" t="s">
        <v>32</v>
      </c>
      <c r="X13" s="2">
        <v>0</v>
      </c>
      <c r="Y13" t="s">
        <v>61</v>
      </c>
      <c r="Z13" t="s">
        <v>34</v>
      </c>
      <c r="AA13" t="s">
        <v>28</v>
      </c>
    </row>
    <row r="14" spans="1:27" x14ac:dyDescent="0.2">
      <c r="A14">
        <v>1001</v>
      </c>
      <c r="B14" s="3">
        <v>46393</v>
      </c>
      <c r="C14" s="3">
        <v>46420</v>
      </c>
      <c r="D14" t="s">
        <v>62</v>
      </c>
      <c r="E14" t="s">
        <v>28</v>
      </c>
      <c r="F14" t="s">
        <v>62</v>
      </c>
      <c r="G14">
        <v>2</v>
      </c>
      <c r="H14">
        <v>0</v>
      </c>
      <c r="I14" s="2">
        <v>6205.4228571428566</v>
      </c>
      <c r="J14">
        <v>26</v>
      </c>
      <c r="K14" s="2">
        <v>161340.99428571426</v>
      </c>
      <c r="L14" s="2">
        <v>0</v>
      </c>
      <c r="M14" s="2">
        <v>161340.99428571426</v>
      </c>
      <c r="N14" s="2">
        <v>0</v>
      </c>
      <c r="O14" t="s">
        <v>29</v>
      </c>
      <c r="P14">
        <v>84</v>
      </c>
      <c r="Q14" t="s">
        <v>28</v>
      </c>
      <c r="R14">
        <v>77</v>
      </c>
      <c r="S14" t="s">
        <v>41</v>
      </c>
      <c r="T14">
        <v>117539839</v>
      </c>
      <c r="U14" t="s">
        <v>28</v>
      </c>
      <c r="V14" s="4">
        <v>46093.479664351849</v>
      </c>
      <c r="W14" t="s">
        <v>63</v>
      </c>
      <c r="X14" s="2">
        <v>173751.84</v>
      </c>
      <c r="Y14" t="s">
        <v>33</v>
      </c>
      <c r="Z14" t="s">
        <v>34</v>
      </c>
      <c r="AA14" t="s">
        <v>28</v>
      </c>
    </row>
    <row r="15" spans="1:27" x14ac:dyDescent="0.2">
      <c r="A15">
        <v>1102</v>
      </c>
      <c r="B15" s="3">
        <v>46394</v>
      </c>
      <c r="C15" s="3">
        <v>46401</v>
      </c>
      <c r="D15" t="s">
        <v>64</v>
      </c>
      <c r="E15" t="s">
        <v>28</v>
      </c>
      <c r="F15" t="s">
        <v>64</v>
      </c>
      <c r="G15">
        <v>2</v>
      </c>
      <c r="H15">
        <v>0</v>
      </c>
      <c r="I15" s="2">
        <v>5880.6</v>
      </c>
      <c r="J15">
        <v>8</v>
      </c>
      <c r="K15" s="2">
        <v>47044.800000000003</v>
      </c>
      <c r="L15" s="2">
        <v>0</v>
      </c>
      <c r="M15" s="2">
        <v>47044.800000000003</v>
      </c>
      <c r="N15" s="2">
        <v>0</v>
      </c>
      <c r="O15" t="s">
        <v>55</v>
      </c>
      <c r="P15">
        <v>1027</v>
      </c>
      <c r="Q15" t="s">
        <v>28</v>
      </c>
      <c r="R15">
        <v>281</v>
      </c>
      <c r="S15" t="s">
        <v>41</v>
      </c>
      <c r="T15">
        <v>119875217</v>
      </c>
      <c r="U15" t="s">
        <v>28</v>
      </c>
      <c r="V15" s="4">
        <v>46183.496377314812</v>
      </c>
      <c r="W15" t="s">
        <v>46</v>
      </c>
      <c r="X15" s="2">
        <v>23336.04</v>
      </c>
      <c r="Y15" t="s">
        <v>56</v>
      </c>
      <c r="Z15" t="s">
        <v>34</v>
      </c>
      <c r="AA15" t="s">
        <v>28</v>
      </c>
    </row>
    <row r="16" spans="1:27" x14ac:dyDescent="0.2">
      <c r="A16">
        <v>425</v>
      </c>
      <c r="B16" s="3">
        <v>46395</v>
      </c>
      <c r="C16" s="3">
        <v>46410</v>
      </c>
      <c r="D16" t="s">
        <v>65</v>
      </c>
      <c r="E16" t="s">
        <v>28</v>
      </c>
      <c r="F16" t="s">
        <v>65</v>
      </c>
      <c r="G16">
        <v>2</v>
      </c>
      <c r="H16">
        <v>0</v>
      </c>
      <c r="I16" s="2">
        <v>0</v>
      </c>
      <c r="J16">
        <v>16</v>
      </c>
      <c r="K16" s="2">
        <v>0</v>
      </c>
      <c r="L16" s="2">
        <v>0</v>
      </c>
      <c r="M16" s="2">
        <v>0</v>
      </c>
      <c r="N16" s="2">
        <v>0</v>
      </c>
      <c r="O16" t="s">
        <v>49</v>
      </c>
      <c r="P16">
        <v>417</v>
      </c>
      <c r="Q16" t="s">
        <v>28</v>
      </c>
      <c r="R16" t="s">
        <v>28</v>
      </c>
      <c r="S16" t="s">
        <v>41</v>
      </c>
      <c r="T16">
        <v>106148067</v>
      </c>
      <c r="U16" t="s">
        <v>28</v>
      </c>
      <c r="V16" s="4">
        <v>45719.584166666667</v>
      </c>
      <c r="W16" t="s">
        <v>66</v>
      </c>
      <c r="X16" s="2">
        <v>0</v>
      </c>
      <c r="Y16" t="s">
        <v>50</v>
      </c>
      <c r="Z16" t="s">
        <v>34</v>
      </c>
      <c r="AA16" t="s">
        <v>28</v>
      </c>
    </row>
    <row r="17" spans="1:27" x14ac:dyDescent="0.2">
      <c r="A17">
        <v>1147</v>
      </c>
      <c r="B17" s="3">
        <v>46395</v>
      </c>
      <c r="C17" s="3">
        <v>46409</v>
      </c>
      <c r="D17" t="s">
        <v>67</v>
      </c>
      <c r="E17" t="s">
        <v>28</v>
      </c>
      <c r="F17" t="s">
        <v>67</v>
      </c>
      <c r="G17">
        <v>2</v>
      </c>
      <c r="H17">
        <v>0</v>
      </c>
      <c r="I17" s="2">
        <v>4950</v>
      </c>
      <c r="J17">
        <v>15</v>
      </c>
      <c r="K17" s="2">
        <v>74250</v>
      </c>
      <c r="L17" s="2">
        <v>0</v>
      </c>
      <c r="M17" s="2">
        <v>74250</v>
      </c>
      <c r="N17" s="2">
        <v>0</v>
      </c>
      <c r="O17" t="s">
        <v>68</v>
      </c>
      <c r="P17">
        <v>1081</v>
      </c>
      <c r="Q17" t="s">
        <v>28</v>
      </c>
      <c r="R17">
        <v>304</v>
      </c>
      <c r="S17" t="s">
        <v>41</v>
      </c>
      <c r="T17">
        <v>121128737</v>
      </c>
      <c r="U17" t="s">
        <v>28</v>
      </c>
      <c r="V17" s="4">
        <v>46232.572789351849</v>
      </c>
      <c r="W17" t="s">
        <v>46</v>
      </c>
      <c r="X17" s="2">
        <v>37125</v>
      </c>
      <c r="Y17" t="s">
        <v>69</v>
      </c>
      <c r="Z17" t="s">
        <v>34</v>
      </c>
      <c r="AA17" t="s">
        <v>28</v>
      </c>
    </row>
    <row r="18" spans="1:27" x14ac:dyDescent="0.2">
      <c r="A18">
        <v>1013</v>
      </c>
      <c r="B18" s="3">
        <v>46396</v>
      </c>
      <c r="C18" s="3">
        <v>46739</v>
      </c>
      <c r="D18" t="s">
        <v>70</v>
      </c>
      <c r="E18" t="s">
        <v>51</v>
      </c>
      <c r="F18" t="s">
        <v>70</v>
      </c>
      <c r="G18">
        <v>2</v>
      </c>
      <c r="H18">
        <v>0</v>
      </c>
      <c r="I18" s="2">
        <v>0</v>
      </c>
      <c r="J18">
        <v>23</v>
      </c>
      <c r="K18" s="2">
        <v>0</v>
      </c>
      <c r="L18" s="2">
        <v>0</v>
      </c>
      <c r="M18" s="2">
        <v>0</v>
      </c>
      <c r="N18" s="2">
        <v>0</v>
      </c>
      <c r="O18" t="s">
        <v>40</v>
      </c>
      <c r="P18">
        <v>641</v>
      </c>
      <c r="Q18" t="s">
        <v>28</v>
      </c>
      <c r="R18" t="s">
        <v>28</v>
      </c>
      <c r="S18" t="s">
        <v>41</v>
      </c>
      <c r="T18">
        <v>117697470</v>
      </c>
      <c r="U18" t="s">
        <v>28</v>
      </c>
      <c r="V18" s="4">
        <v>46099.350370370368</v>
      </c>
      <c r="W18" t="s">
        <v>42</v>
      </c>
      <c r="X18" s="2">
        <v>0</v>
      </c>
      <c r="Y18" t="s">
        <v>43</v>
      </c>
      <c r="Z18" t="s">
        <v>34</v>
      </c>
      <c r="AA18" t="s">
        <v>28</v>
      </c>
    </row>
    <row r="19" spans="1:27" x14ac:dyDescent="0.2">
      <c r="A19">
        <v>1125</v>
      </c>
      <c r="B19" s="3">
        <v>46396</v>
      </c>
      <c r="C19" s="3">
        <v>46399</v>
      </c>
      <c r="D19" t="s">
        <v>71</v>
      </c>
      <c r="E19" t="s">
        <v>28</v>
      </c>
      <c r="F19" t="s">
        <v>71</v>
      </c>
      <c r="G19">
        <v>6</v>
      </c>
      <c r="H19">
        <v>0</v>
      </c>
      <c r="I19" s="2">
        <v>28800</v>
      </c>
      <c r="J19">
        <v>4</v>
      </c>
      <c r="K19" s="2">
        <v>115200</v>
      </c>
      <c r="L19" s="2">
        <v>0</v>
      </c>
      <c r="M19" s="2">
        <v>115200</v>
      </c>
      <c r="N19" s="2">
        <v>0</v>
      </c>
      <c r="O19" t="s">
        <v>60</v>
      </c>
      <c r="P19">
        <v>1053</v>
      </c>
      <c r="Q19" t="s">
        <v>28</v>
      </c>
      <c r="R19">
        <v>295</v>
      </c>
      <c r="S19" t="s">
        <v>41</v>
      </c>
      <c r="T19">
        <v>120539340</v>
      </c>
      <c r="U19" t="s">
        <v>28</v>
      </c>
      <c r="V19" s="4">
        <v>46210.592824074076</v>
      </c>
      <c r="W19" t="s">
        <v>46</v>
      </c>
      <c r="X19" s="2">
        <v>57600</v>
      </c>
      <c r="Y19" t="s">
        <v>61</v>
      </c>
      <c r="Z19" t="s">
        <v>34</v>
      </c>
      <c r="AA19" t="s">
        <v>28</v>
      </c>
    </row>
    <row r="20" spans="1:27" x14ac:dyDescent="0.2">
      <c r="A20">
        <v>1084</v>
      </c>
      <c r="B20" s="3">
        <v>46396</v>
      </c>
      <c r="C20" s="3">
        <v>46399</v>
      </c>
      <c r="D20" t="s">
        <v>72</v>
      </c>
      <c r="E20" t="s">
        <v>28</v>
      </c>
      <c r="F20" t="s">
        <v>72</v>
      </c>
      <c r="G20">
        <v>3</v>
      </c>
      <c r="H20">
        <v>0</v>
      </c>
      <c r="I20" s="2">
        <v>11868</v>
      </c>
      <c r="J20">
        <v>4</v>
      </c>
      <c r="K20" s="2">
        <v>47472</v>
      </c>
      <c r="L20" s="2">
        <v>0</v>
      </c>
      <c r="M20" s="2">
        <v>47472</v>
      </c>
      <c r="N20" s="2">
        <v>0</v>
      </c>
      <c r="O20" t="s">
        <v>45</v>
      </c>
      <c r="P20">
        <v>1009</v>
      </c>
      <c r="Q20" t="s">
        <v>28</v>
      </c>
      <c r="R20">
        <v>287</v>
      </c>
      <c r="S20" t="s">
        <v>41</v>
      </c>
      <c r="T20">
        <v>119506699</v>
      </c>
      <c r="U20" t="s">
        <v>28</v>
      </c>
      <c r="V20" s="4">
        <v>46168.47315972222</v>
      </c>
      <c r="W20" t="s">
        <v>66</v>
      </c>
      <c r="X20" s="2">
        <v>0</v>
      </c>
      <c r="Y20" t="s">
        <v>47</v>
      </c>
      <c r="Z20" t="s">
        <v>34</v>
      </c>
      <c r="AA20" t="s">
        <v>28</v>
      </c>
    </row>
    <row r="21" spans="1:27" x14ac:dyDescent="0.2">
      <c r="A21">
        <v>1154</v>
      </c>
      <c r="B21" s="3">
        <v>46397</v>
      </c>
      <c r="C21" s="3">
        <v>46401</v>
      </c>
      <c r="D21" t="s">
        <v>73</v>
      </c>
      <c r="E21" t="s">
        <v>28</v>
      </c>
      <c r="F21" t="s">
        <v>73</v>
      </c>
      <c r="G21">
        <v>2</v>
      </c>
      <c r="H21">
        <v>2</v>
      </c>
      <c r="I21" s="2">
        <v>9038.4399999999987</v>
      </c>
      <c r="J21">
        <v>5</v>
      </c>
      <c r="K21" s="2">
        <v>45192.2</v>
      </c>
      <c r="L21" s="2">
        <v>6778.829999999999</v>
      </c>
      <c r="M21" s="2">
        <v>38413.369999999995</v>
      </c>
      <c r="N21" s="2">
        <v>0</v>
      </c>
      <c r="O21" t="s">
        <v>36</v>
      </c>
      <c r="P21">
        <v>1088</v>
      </c>
      <c r="Q21" t="s">
        <v>28</v>
      </c>
      <c r="R21" t="s">
        <v>28</v>
      </c>
      <c r="S21" t="s">
        <v>30</v>
      </c>
      <c r="T21">
        <v>121366591</v>
      </c>
      <c r="U21" t="s">
        <v>31</v>
      </c>
      <c r="V21" s="4">
        <v>46240.588576388887</v>
      </c>
      <c r="W21" t="s">
        <v>32</v>
      </c>
      <c r="X21" s="2">
        <v>0</v>
      </c>
      <c r="Y21" t="s">
        <v>37</v>
      </c>
      <c r="Z21" t="s">
        <v>34</v>
      </c>
      <c r="AA21" t="s">
        <v>28</v>
      </c>
    </row>
    <row r="22" spans="1:27" x14ac:dyDescent="0.2">
      <c r="A22">
        <v>966</v>
      </c>
      <c r="B22" s="3">
        <v>46398</v>
      </c>
      <c r="C22" s="3">
        <v>46399</v>
      </c>
      <c r="D22" t="s">
        <v>74</v>
      </c>
      <c r="E22" t="s">
        <v>28</v>
      </c>
      <c r="F22" t="s">
        <v>74</v>
      </c>
      <c r="G22">
        <v>5</v>
      </c>
      <c r="H22">
        <v>1</v>
      </c>
      <c r="I22" s="2">
        <v>13665</v>
      </c>
      <c r="J22">
        <v>2</v>
      </c>
      <c r="K22" s="2">
        <v>27330</v>
      </c>
      <c r="L22" s="2">
        <v>0</v>
      </c>
      <c r="M22" s="2">
        <v>27330</v>
      </c>
      <c r="N22" s="2">
        <v>0</v>
      </c>
      <c r="O22" t="s">
        <v>51</v>
      </c>
      <c r="P22">
        <v>910</v>
      </c>
      <c r="Q22" t="s">
        <v>28</v>
      </c>
      <c r="R22" t="s">
        <v>28</v>
      </c>
      <c r="S22" t="s">
        <v>41</v>
      </c>
      <c r="T22">
        <v>117067370</v>
      </c>
      <c r="U22" t="s">
        <v>75</v>
      </c>
      <c r="V22" s="4">
        <v>46078.382418981484</v>
      </c>
      <c r="W22" t="s">
        <v>46</v>
      </c>
      <c r="X22" s="2">
        <v>10706.55</v>
      </c>
      <c r="Y22" t="s">
        <v>53</v>
      </c>
      <c r="Z22" t="s">
        <v>34</v>
      </c>
      <c r="AA22" t="s">
        <v>28</v>
      </c>
    </row>
    <row r="23" spans="1:27" x14ac:dyDescent="0.2">
      <c r="A23">
        <v>1086</v>
      </c>
      <c r="B23" s="3">
        <v>46400</v>
      </c>
      <c r="C23" s="3">
        <v>46402</v>
      </c>
      <c r="D23" t="s">
        <v>72</v>
      </c>
      <c r="E23" t="s">
        <v>28</v>
      </c>
      <c r="F23" t="s">
        <v>72</v>
      </c>
      <c r="G23">
        <v>3</v>
      </c>
      <c r="H23">
        <v>0</v>
      </c>
      <c r="I23" s="2">
        <v>0</v>
      </c>
      <c r="J23">
        <v>3</v>
      </c>
      <c r="K23" s="2">
        <v>0</v>
      </c>
      <c r="L23" s="2">
        <v>0</v>
      </c>
      <c r="M23" s="2">
        <v>0</v>
      </c>
      <c r="N23" s="2">
        <v>0</v>
      </c>
      <c r="O23" t="s">
        <v>76</v>
      </c>
      <c r="P23">
        <v>1011</v>
      </c>
      <c r="Q23" t="s">
        <v>28</v>
      </c>
      <c r="R23" t="s">
        <v>28</v>
      </c>
      <c r="S23" t="s">
        <v>41</v>
      </c>
      <c r="T23">
        <v>119507419</v>
      </c>
      <c r="U23" t="s">
        <v>28</v>
      </c>
      <c r="V23" s="4">
        <v>46168.486342592594</v>
      </c>
      <c r="W23" t="s">
        <v>66</v>
      </c>
      <c r="X23" s="2">
        <v>0</v>
      </c>
      <c r="Y23" t="s">
        <v>61</v>
      </c>
      <c r="Z23" t="s">
        <v>34</v>
      </c>
      <c r="AA23" t="s">
        <v>28</v>
      </c>
    </row>
    <row r="24" spans="1:27" x14ac:dyDescent="0.2">
      <c r="A24">
        <v>1135</v>
      </c>
      <c r="B24" s="3">
        <v>46400</v>
      </c>
      <c r="C24" s="3">
        <v>46402</v>
      </c>
      <c r="D24" t="s">
        <v>77</v>
      </c>
      <c r="E24" t="s">
        <v>28</v>
      </c>
      <c r="F24" t="s">
        <v>77</v>
      </c>
      <c r="G24">
        <v>6</v>
      </c>
      <c r="H24">
        <v>0</v>
      </c>
      <c r="I24" s="2">
        <v>16665</v>
      </c>
      <c r="J24">
        <v>3</v>
      </c>
      <c r="K24" s="2">
        <v>49995</v>
      </c>
      <c r="L24" s="2">
        <v>0</v>
      </c>
      <c r="M24" s="2">
        <v>49995</v>
      </c>
      <c r="N24" s="2">
        <v>0</v>
      </c>
      <c r="O24" t="s">
        <v>78</v>
      </c>
      <c r="P24">
        <v>1042</v>
      </c>
      <c r="Q24" t="s">
        <v>28</v>
      </c>
      <c r="R24">
        <v>294</v>
      </c>
      <c r="S24" t="s">
        <v>41</v>
      </c>
      <c r="T24">
        <v>120719866</v>
      </c>
      <c r="U24" t="s">
        <v>28</v>
      </c>
      <c r="V24" s="4">
        <v>46217.528344907405</v>
      </c>
      <c r="W24" t="s">
        <v>32</v>
      </c>
      <c r="X24" s="2">
        <v>58987.5</v>
      </c>
      <c r="Y24" t="s">
        <v>61</v>
      </c>
      <c r="Z24" t="s">
        <v>34</v>
      </c>
      <c r="AA24" t="s">
        <v>28</v>
      </c>
    </row>
    <row r="25" spans="1:27" x14ac:dyDescent="0.2">
      <c r="A25">
        <v>1087</v>
      </c>
      <c r="B25" s="3">
        <v>46403</v>
      </c>
      <c r="C25" s="3">
        <v>46406</v>
      </c>
      <c r="D25" t="s">
        <v>72</v>
      </c>
      <c r="E25" t="s">
        <v>28</v>
      </c>
      <c r="F25" t="s">
        <v>72</v>
      </c>
      <c r="G25">
        <v>3</v>
      </c>
      <c r="H25">
        <v>0</v>
      </c>
      <c r="I25" s="2">
        <v>0</v>
      </c>
      <c r="J25">
        <v>4</v>
      </c>
      <c r="K25" s="2">
        <v>0</v>
      </c>
      <c r="L25" s="2">
        <v>0</v>
      </c>
      <c r="M25" s="2">
        <v>0</v>
      </c>
      <c r="N25" s="2">
        <v>0</v>
      </c>
      <c r="O25" t="s">
        <v>79</v>
      </c>
      <c r="P25">
        <v>1012</v>
      </c>
      <c r="Q25" t="s">
        <v>28</v>
      </c>
      <c r="R25" t="s">
        <v>28</v>
      </c>
      <c r="S25" t="s">
        <v>41</v>
      </c>
      <c r="T25">
        <v>119507457</v>
      </c>
      <c r="U25" t="s">
        <v>28</v>
      </c>
      <c r="V25" s="4">
        <v>46168.487002314818</v>
      </c>
      <c r="W25" t="s">
        <v>66</v>
      </c>
      <c r="X25" s="2">
        <v>0</v>
      </c>
      <c r="Y25" t="s">
        <v>61</v>
      </c>
      <c r="Z25" t="s">
        <v>34</v>
      </c>
      <c r="AA25" t="s">
        <v>28</v>
      </c>
    </row>
    <row r="26" spans="1:27" x14ac:dyDescent="0.2">
      <c r="A26">
        <v>1114</v>
      </c>
      <c r="B26" s="3">
        <v>46403</v>
      </c>
      <c r="C26" s="3">
        <v>46408</v>
      </c>
      <c r="D26" t="s">
        <v>77</v>
      </c>
      <c r="E26" t="s">
        <v>28</v>
      </c>
      <c r="F26" t="s">
        <v>77</v>
      </c>
      <c r="G26">
        <v>2</v>
      </c>
      <c r="H26">
        <v>0</v>
      </c>
      <c r="I26" s="2">
        <v>11330</v>
      </c>
      <c r="J26">
        <v>6</v>
      </c>
      <c r="K26" s="2">
        <v>67980</v>
      </c>
      <c r="L26" s="2">
        <v>0</v>
      </c>
      <c r="M26" s="2">
        <v>67980</v>
      </c>
      <c r="N26" s="2">
        <v>0</v>
      </c>
      <c r="O26" t="s">
        <v>45</v>
      </c>
      <c r="P26">
        <v>1042</v>
      </c>
      <c r="Q26" t="s">
        <v>28</v>
      </c>
      <c r="R26">
        <v>294</v>
      </c>
      <c r="S26" t="s">
        <v>41</v>
      </c>
      <c r="T26">
        <v>120193304</v>
      </c>
      <c r="U26" t="s">
        <v>28</v>
      </c>
      <c r="V26" s="4">
        <v>46196.95857638889</v>
      </c>
      <c r="W26" t="s">
        <v>46</v>
      </c>
      <c r="X26" s="2">
        <v>0</v>
      </c>
      <c r="Y26" t="s">
        <v>47</v>
      </c>
      <c r="Z26" t="s">
        <v>34</v>
      </c>
      <c r="AA26" t="s">
        <v>28</v>
      </c>
    </row>
    <row r="27" spans="1:27" x14ac:dyDescent="0.2">
      <c r="A27">
        <v>932</v>
      </c>
      <c r="B27" s="3">
        <v>46403</v>
      </c>
      <c r="C27" s="3">
        <v>46416</v>
      </c>
      <c r="D27" t="s">
        <v>80</v>
      </c>
      <c r="E27" t="s">
        <v>28</v>
      </c>
      <c r="F27" t="s">
        <v>80</v>
      </c>
      <c r="G27">
        <v>2</v>
      </c>
      <c r="H27">
        <v>0</v>
      </c>
      <c r="I27" s="2">
        <v>5561.7</v>
      </c>
      <c r="J27">
        <v>14</v>
      </c>
      <c r="K27" s="2">
        <v>77863.8</v>
      </c>
      <c r="L27" s="2">
        <v>11679.57</v>
      </c>
      <c r="M27" s="2">
        <v>66184.23000000001</v>
      </c>
      <c r="N27" s="2">
        <v>0</v>
      </c>
      <c r="O27" t="s">
        <v>36</v>
      </c>
      <c r="P27">
        <v>876</v>
      </c>
      <c r="Q27" t="s">
        <v>28</v>
      </c>
      <c r="R27" t="s">
        <v>28</v>
      </c>
      <c r="S27" t="s">
        <v>30</v>
      </c>
      <c r="T27">
        <v>116626145</v>
      </c>
      <c r="U27" t="s">
        <v>31</v>
      </c>
      <c r="V27" s="4">
        <v>46063.690648148149</v>
      </c>
      <c r="W27" t="s">
        <v>32</v>
      </c>
      <c r="X27" s="2">
        <v>0</v>
      </c>
      <c r="Y27" t="s">
        <v>37</v>
      </c>
      <c r="Z27" t="s">
        <v>34</v>
      </c>
      <c r="AA27" t="s">
        <v>28</v>
      </c>
    </row>
    <row r="28" spans="1:27" x14ac:dyDescent="0.2">
      <c r="A28">
        <v>1063</v>
      </c>
      <c r="B28" s="3">
        <v>46405</v>
      </c>
      <c r="C28" s="3">
        <v>46406</v>
      </c>
      <c r="D28" t="s">
        <v>81</v>
      </c>
      <c r="E28" t="s">
        <v>28</v>
      </c>
      <c r="F28" t="s">
        <v>81</v>
      </c>
      <c r="G28">
        <v>4</v>
      </c>
      <c r="H28">
        <v>2</v>
      </c>
      <c r="I28" s="2">
        <v>7643.25</v>
      </c>
      <c r="J28">
        <v>2</v>
      </c>
      <c r="K28" s="2">
        <v>15286.5</v>
      </c>
      <c r="L28" s="2">
        <v>2292.9749999999999</v>
      </c>
      <c r="M28" s="2">
        <v>12993.525</v>
      </c>
      <c r="N28" s="2">
        <v>0</v>
      </c>
      <c r="O28" t="s">
        <v>55</v>
      </c>
      <c r="P28">
        <v>989</v>
      </c>
      <c r="Q28" t="s">
        <v>28</v>
      </c>
      <c r="R28" t="s">
        <v>28</v>
      </c>
      <c r="S28" t="s">
        <v>30</v>
      </c>
      <c r="T28">
        <v>118762513</v>
      </c>
      <c r="U28" t="s">
        <v>31</v>
      </c>
      <c r="V28" s="4">
        <v>46139.983402777776</v>
      </c>
      <c r="W28" t="s">
        <v>32</v>
      </c>
      <c r="X28" s="2">
        <v>0</v>
      </c>
      <c r="Y28" t="s">
        <v>56</v>
      </c>
      <c r="Z28" t="s">
        <v>34</v>
      </c>
      <c r="AA28" t="s">
        <v>28</v>
      </c>
    </row>
    <row r="29" spans="1:27" x14ac:dyDescent="0.2">
      <c r="A29">
        <v>1085</v>
      </c>
      <c r="B29" s="3">
        <v>46410</v>
      </c>
      <c r="C29" s="3">
        <v>46413</v>
      </c>
      <c r="D29" t="s">
        <v>72</v>
      </c>
      <c r="E29" t="s">
        <v>28</v>
      </c>
      <c r="F29" t="s">
        <v>72</v>
      </c>
      <c r="G29">
        <v>2</v>
      </c>
      <c r="H29">
        <v>0</v>
      </c>
      <c r="I29" s="2">
        <v>10050.299999999999</v>
      </c>
      <c r="J29">
        <v>4</v>
      </c>
      <c r="K29" s="2">
        <v>40201.199999999997</v>
      </c>
      <c r="L29" s="2">
        <v>0</v>
      </c>
      <c r="M29" s="2">
        <v>40201.199999999997</v>
      </c>
      <c r="N29" s="2">
        <v>0</v>
      </c>
      <c r="O29" t="s">
        <v>45</v>
      </c>
      <c r="P29">
        <v>1010</v>
      </c>
      <c r="Q29" t="s">
        <v>28</v>
      </c>
      <c r="R29" t="s">
        <v>28</v>
      </c>
      <c r="S29" t="s">
        <v>41</v>
      </c>
      <c r="T29">
        <v>119506778</v>
      </c>
      <c r="U29" t="s">
        <v>28</v>
      </c>
      <c r="V29" s="4">
        <v>46168.474872685183</v>
      </c>
      <c r="W29" t="s">
        <v>66</v>
      </c>
      <c r="X29" s="2">
        <v>0</v>
      </c>
      <c r="Y29" t="s">
        <v>47</v>
      </c>
      <c r="Z29" t="s">
        <v>34</v>
      </c>
      <c r="AA29" t="s">
        <v>28</v>
      </c>
    </row>
    <row r="30" spans="1:27" x14ac:dyDescent="0.2">
      <c r="A30">
        <v>1043</v>
      </c>
      <c r="B30" s="3">
        <v>46411</v>
      </c>
      <c r="C30" s="3">
        <v>46412</v>
      </c>
      <c r="D30" t="s">
        <v>82</v>
      </c>
      <c r="E30" t="s">
        <v>28</v>
      </c>
      <c r="F30" t="s">
        <v>82</v>
      </c>
      <c r="G30">
        <v>6</v>
      </c>
      <c r="H30">
        <v>0</v>
      </c>
      <c r="I30" s="2">
        <v>12028.5</v>
      </c>
      <c r="J30">
        <v>2</v>
      </c>
      <c r="K30" s="2">
        <v>24057</v>
      </c>
      <c r="L30" s="2">
        <v>0</v>
      </c>
      <c r="M30" s="2">
        <v>24057</v>
      </c>
      <c r="N30" s="2">
        <v>0</v>
      </c>
      <c r="O30" t="s">
        <v>49</v>
      </c>
      <c r="P30">
        <v>972</v>
      </c>
      <c r="Q30" t="s">
        <v>28</v>
      </c>
      <c r="R30">
        <v>260</v>
      </c>
      <c r="S30" t="s">
        <v>30</v>
      </c>
      <c r="T30">
        <v>118327929</v>
      </c>
      <c r="U30" t="s">
        <v>83</v>
      </c>
      <c r="V30" s="4">
        <v>46122.618738425925</v>
      </c>
      <c r="W30" t="s">
        <v>63</v>
      </c>
      <c r="X30" s="2">
        <v>24057</v>
      </c>
      <c r="Y30" t="s">
        <v>50</v>
      </c>
      <c r="Z30" t="s">
        <v>34</v>
      </c>
      <c r="AA30" t="s">
        <v>28</v>
      </c>
    </row>
    <row r="31" spans="1:27" x14ac:dyDescent="0.2">
      <c r="A31">
        <v>955</v>
      </c>
      <c r="B31" s="3">
        <v>46414</v>
      </c>
      <c r="C31" s="3">
        <v>46415</v>
      </c>
      <c r="D31" t="s">
        <v>84</v>
      </c>
      <c r="E31" t="s">
        <v>28</v>
      </c>
      <c r="F31" t="s">
        <v>84</v>
      </c>
      <c r="G31">
        <v>4</v>
      </c>
      <c r="H31">
        <v>0</v>
      </c>
      <c r="I31" s="2">
        <v>6255</v>
      </c>
      <c r="J31">
        <v>2</v>
      </c>
      <c r="K31" s="2">
        <v>12510</v>
      </c>
      <c r="L31" s="2">
        <v>1876.5</v>
      </c>
      <c r="M31" s="2">
        <v>10633.5</v>
      </c>
      <c r="N31" s="2">
        <v>0</v>
      </c>
      <c r="O31" t="s">
        <v>55</v>
      </c>
      <c r="P31">
        <v>899</v>
      </c>
      <c r="Q31" t="s">
        <v>28</v>
      </c>
      <c r="R31" t="s">
        <v>28</v>
      </c>
      <c r="S31" t="s">
        <v>30</v>
      </c>
      <c r="T31">
        <v>116912481</v>
      </c>
      <c r="U31" t="s">
        <v>31</v>
      </c>
      <c r="V31" s="4">
        <v>46072.733020833337</v>
      </c>
      <c r="W31" t="s">
        <v>32</v>
      </c>
      <c r="X31" s="2">
        <v>0</v>
      </c>
      <c r="Y31" t="s">
        <v>56</v>
      </c>
      <c r="Z31" t="s">
        <v>34</v>
      </c>
      <c r="AA31" t="s">
        <v>28</v>
      </c>
    </row>
    <row r="32" spans="1:27" x14ac:dyDescent="0.2">
      <c r="A32">
        <v>1146</v>
      </c>
      <c r="B32" s="3">
        <v>46414</v>
      </c>
      <c r="C32" s="3">
        <v>46418</v>
      </c>
      <c r="D32" t="s">
        <v>85</v>
      </c>
      <c r="E32" t="s">
        <v>28</v>
      </c>
      <c r="F32" t="s">
        <v>85</v>
      </c>
      <c r="G32">
        <v>2</v>
      </c>
      <c r="H32">
        <v>2</v>
      </c>
      <c r="I32" s="2">
        <v>8986.68</v>
      </c>
      <c r="J32">
        <v>5</v>
      </c>
      <c r="K32" s="2">
        <v>44933.4</v>
      </c>
      <c r="L32" s="2">
        <v>0</v>
      </c>
      <c r="M32" s="2">
        <v>44933.4</v>
      </c>
      <c r="N32" s="2">
        <v>500</v>
      </c>
      <c r="O32" t="s">
        <v>51</v>
      </c>
      <c r="P32">
        <v>1080</v>
      </c>
      <c r="Q32" t="s">
        <v>28</v>
      </c>
      <c r="R32">
        <v>303</v>
      </c>
      <c r="S32" t="s">
        <v>41</v>
      </c>
      <c r="T32">
        <v>121082467</v>
      </c>
      <c r="U32" t="s">
        <v>86</v>
      </c>
      <c r="V32" s="4">
        <v>46231.427708333336</v>
      </c>
      <c r="W32" t="s">
        <v>46</v>
      </c>
      <c r="X32" s="2">
        <v>22716.7</v>
      </c>
      <c r="Y32" t="s">
        <v>53</v>
      </c>
      <c r="Z32" t="s">
        <v>34</v>
      </c>
      <c r="AA32" t="s">
        <v>28</v>
      </c>
    </row>
    <row r="33" spans="1:27" x14ac:dyDescent="0.2">
      <c r="A33">
        <v>888</v>
      </c>
      <c r="B33" s="3">
        <v>46414</v>
      </c>
      <c r="C33" s="3">
        <v>46432</v>
      </c>
      <c r="D33" t="s">
        <v>87</v>
      </c>
      <c r="E33" t="s">
        <v>28</v>
      </c>
      <c r="F33" t="s">
        <v>87</v>
      </c>
      <c r="G33">
        <v>3</v>
      </c>
      <c r="H33">
        <v>0</v>
      </c>
      <c r="I33" s="2">
        <v>12450.668421052633</v>
      </c>
      <c r="J33">
        <v>5</v>
      </c>
      <c r="K33" s="2">
        <v>62253.34210526316</v>
      </c>
      <c r="L33" s="2">
        <v>0</v>
      </c>
      <c r="M33" s="2">
        <v>62253.34210526316</v>
      </c>
      <c r="N33" s="2">
        <v>0</v>
      </c>
      <c r="O33" t="s">
        <v>45</v>
      </c>
      <c r="P33">
        <v>829</v>
      </c>
      <c r="Q33" t="s">
        <v>28</v>
      </c>
      <c r="R33" t="s">
        <v>28</v>
      </c>
      <c r="S33" t="s">
        <v>41</v>
      </c>
      <c r="T33">
        <v>115987370</v>
      </c>
      <c r="U33" t="s">
        <v>28</v>
      </c>
      <c r="V33" s="4">
        <v>46043.485972222225</v>
      </c>
      <c r="W33" t="s">
        <v>66</v>
      </c>
      <c r="X33" s="2">
        <v>0</v>
      </c>
      <c r="Y33" t="s">
        <v>47</v>
      </c>
      <c r="Z33" t="s">
        <v>34</v>
      </c>
      <c r="AA33" t="s">
        <v>28</v>
      </c>
    </row>
    <row r="34" spans="1:27" x14ac:dyDescent="0.2">
      <c r="A34">
        <v>907</v>
      </c>
      <c r="B34" s="3">
        <v>46416</v>
      </c>
      <c r="C34" s="3">
        <v>46422</v>
      </c>
      <c r="D34" t="s">
        <v>88</v>
      </c>
      <c r="E34" t="s">
        <v>28</v>
      </c>
      <c r="F34" t="s">
        <v>88</v>
      </c>
      <c r="G34">
        <v>4</v>
      </c>
      <c r="H34">
        <v>0</v>
      </c>
      <c r="I34" s="2">
        <v>10825.65</v>
      </c>
      <c r="J34">
        <v>3</v>
      </c>
      <c r="K34" s="2">
        <v>32476.949999999997</v>
      </c>
      <c r="L34" s="2">
        <v>4871.5424999999996</v>
      </c>
      <c r="M34" s="2">
        <v>27605.407499999998</v>
      </c>
      <c r="N34" s="2">
        <v>0</v>
      </c>
      <c r="O34" t="s">
        <v>49</v>
      </c>
      <c r="P34">
        <v>851</v>
      </c>
      <c r="Q34" t="s">
        <v>28</v>
      </c>
      <c r="R34" t="s">
        <v>28</v>
      </c>
      <c r="S34" t="s">
        <v>30</v>
      </c>
      <c r="T34">
        <v>116296209</v>
      </c>
      <c r="U34" t="s">
        <v>31</v>
      </c>
      <c r="V34" s="4">
        <v>46052.65662037037</v>
      </c>
      <c r="W34" t="s">
        <v>32</v>
      </c>
      <c r="X34" s="2">
        <v>0</v>
      </c>
      <c r="Y34" t="s">
        <v>50</v>
      </c>
      <c r="Z34" t="s">
        <v>34</v>
      </c>
      <c r="AA34" t="s">
        <v>28</v>
      </c>
    </row>
    <row r="36" spans="1:27" x14ac:dyDescent="0.2">
      <c r="K36" s="2">
        <f>SUBTOTAL(9,K4:K34)</f>
        <v>1406397.2663909774</v>
      </c>
      <c r="L36" s="2">
        <f>SUBTOTAL(9,L4:L34)</f>
        <v>38987.38949999999</v>
      </c>
      <c r="M36" s="2">
        <f>SUBTOTAL(9,M4:M34)</f>
        <v>1367409.8768909771</v>
      </c>
      <c r="N36" s="2">
        <f>SUBTOTAL(9,N4:N34)</f>
        <v>500</v>
      </c>
      <c r="X36" s="2">
        <f>SUBTOTAL(9,X4:X34)</f>
        <v>561761.23</v>
      </c>
    </row>
  </sheetData>
  <autoFilter ref="A3:AA34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2026-08-13T10:26:09Z</dcterms:created>
  <dcterms:modified xsi:type="dcterms:W3CDTF">2026-08-27T13:40:51Z</dcterms:modified>
</cp:coreProperties>
</file>