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loudStorage/Dropbox-CHEETAHPLAINS/Carike Ligthelm/Roomsonline 2024:6/55 on Main/Revenue Reports | 55/2026/"/>
    </mc:Choice>
  </mc:AlternateContent>
  <xr:revisionPtr revIDLastSave="0" documentId="13_ncr:1_{BF3D84E9-0F75-EE4D-A465-100CF59ACD94}" xr6:coauthVersionLast="47" xr6:coauthVersionMax="47" xr10:uidLastSave="{00000000-0000-0000-0000-000000000000}"/>
  <bookViews>
    <workbookView xWindow="16800" yWindow="500" windowWidth="16800" windowHeight="20500" xr2:uid="{529B9ECD-34EE-5444-862A-AF4A04B83C61}"/>
  </bookViews>
  <sheets>
    <sheet name="OTB" sheetId="1" r:id="rId1"/>
    <sheet name="Sheet2" sheetId="7" r:id="rId2"/>
    <sheet name="YOY" sheetId="2" r:id="rId3"/>
    <sheet name="Sheet1" sheetId="6" r:id="rId4"/>
    <sheet name="Fin Yea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D19" i="1"/>
  <c r="D9" i="1"/>
  <c r="C28" i="1"/>
  <c r="C27" i="1"/>
  <c r="C26" i="1"/>
  <c r="C25" i="1"/>
  <c r="C24" i="1"/>
  <c r="C23" i="1"/>
  <c r="C22" i="1"/>
  <c r="C10" i="1"/>
  <c r="B26" i="1"/>
  <c r="C53" i="7" s="1"/>
  <c r="E27" i="1"/>
  <c r="B27" i="1"/>
  <c r="J18" i="1"/>
  <c r="H18" i="1"/>
  <c r="G18" i="1"/>
  <c r="F18" i="1"/>
  <c r="D18" i="1"/>
  <c r="J8" i="1"/>
  <c r="G8" i="1"/>
  <c r="F8" i="1"/>
  <c r="D8" i="1"/>
  <c r="C19" i="7"/>
  <c r="C17" i="7"/>
  <c r="C15" i="7"/>
  <c r="C13" i="7"/>
  <c r="C11" i="7"/>
  <c r="C23" i="7"/>
  <c r="B9" i="7"/>
  <c r="C21" i="7"/>
  <c r="B8" i="7"/>
  <c r="C20" i="7"/>
  <c r="D7" i="7"/>
  <c r="C7" i="7"/>
  <c r="B7" i="7"/>
  <c r="B6" i="7"/>
  <c r="B5" i="7"/>
  <c r="B4" i="7"/>
  <c r="B3" i="7"/>
  <c r="J9" i="1"/>
  <c r="J3" i="1"/>
  <c r="J4" i="1"/>
  <c r="J5" i="1"/>
  <c r="J6" i="1"/>
  <c r="J7" i="1"/>
  <c r="B28" i="1"/>
  <c r="D28" i="1" s="1"/>
  <c r="E26" i="1"/>
  <c r="J19" i="1"/>
  <c r="G19" i="1"/>
  <c r="I19" i="1" s="1"/>
  <c r="J17" i="1"/>
  <c r="H17" i="1"/>
  <c r="G17" i="1"/>
  <c r="F17" i="1"/>
  <c r="D17" i="1"/>
  <c r="G7" i="1"/>
  <c r="F7" i="1"/>
  <c r="D7" i="1"/>
  <c r="R15" i="6"/>
  <c r="Q15" i="6"/>
  <c r="O15" i="6"/>
  <c r="N15" i="6"/>
  <c r="M15" i="6"/>
  <c r="M4" i="6"/>
  <c r="P4" i="6"/>
  <c r="M5" i="6"/>
  <c r="O5" i="6"/>
  <c r="P5" i="6"/>
  <c r="M6" i="6"/>
  <c r="P6" i="6"/>
  <c r="R6" i="6"/>
  <c r="M7" i="6"/>
  <c r="N7" i="6"/>
  <c r="O7" i="6"/>
  <c r="P7" i="6"/>
  <c r="Q7" i="6"/>
  <c r="R7" i="6"/>
  <c r="M8" i="6"/>
  <c r="P8" i="6"/>
  <c r="R8" i="6"/>
  <c r="M9" i="6"/>
  <c r="O9" i="6"/>
  <c r="P9" i="6"/>
  <c r="M10" i="6"/>
  <c r="P10" i="6"/>
  <c r="M11" i="6"/>
  <c r="N11" i="6"/>
  <c r="O11" i="6"/>
  <c r="P11" i="6"/>
  <c r="Q11" i="6"/>
  <c r="R11" i="6"/>
  <c r="M12" i="6"/>
  <c r="O12" i="6"/>
  <c r="P12" i="6"/>
  <c r="R12" i="6"/>
  <c r="M13" i="6"/>
  <c r="N13" i="6"/>
  <c r="O13" i="6"/>
  <c r="P13" i="6"/>
  <c r="Q13" i="6"/>
  <c r="R13" i="6"/>
  <c r="M14" i="6"/>
  <c r="O14" i="6"/>
  <c r="P14" i="6"/>
  <c r="R14" i="6"/>
  <c r="R3" i="6"/>
  <c r="Q3" i="6"/>
  <c r="P3" i="6"/>
  <c r="O3" i="6"/>
  <c r="N3" i="6"/>
  <c r="M3" i="6"/>
  <c r="E34" i="6"/>
  <c r="E35" i="6"/>
  <c r="E33" i="6"/>
  <c r="C34" i="6"/>
  <c r="J29" i="6"/>
  <c r="J19" i="6"/>
  <c r="J20" i="6"/>
  <c r="J21" i="6"/>
  <c r="J22" i="6"/>
  <c r="J23" i="6"/>
  <c r="J24" i="6"/>
  <c r="J25" i="6"/>
  <c r="J26" i="6"/>
  <c r="J27" i="6"/>
  <c r="J28" i="6"/>
  <c r="G19" i="6"/>
  <c r="H19" i="6"/>
  <c r="G20" i="6"/>
  <c r="H20" i="6"/>
  <c r="G21" i="6"/>
  <c r="H21" i="6"/>
  <c r="G22" i="6"/>
  <c r="H22" i="6"/>
  <c r="G23" i="6"/>
  <c r="H23" i="6"/>
  <c r="G24" i="6"/>
  <c r="H24" i="6"/>
  <c r="G25" i="6"/>
  <c r="H25" i="6"/>
  <c r="G26" i="6"/>
  <c r="H26" i="6"/>
  <c r="G27" i="6"/>
  <c r="H27" i="6"/>
  <c r="G28" i="6"/>
  <c r="H28" i="6"/>
  <c r="G29" i="6"/>
  <c r="H29" i="6"/>
  <c r="J18" i="6"/>
  <c r="H18" i="6"/>
  <c r="G18" i="6"/>
  <c r="E5" i="6"/>
  <c r="F43" i="6"/>
  <c r="C43" i="6"/>
  <c r="B43" i="6"/>
  <c r="F42" i="6"/>
  <c r="C42" i="6"/>
  <c r="B42" i="6"/>
  <c r="F41" i="6"/>
  <c r="C41" i="6"/>
  <c r="B41" i="6"/>
  <c r="F40" i="6"/>
  <c r="C40" i="6"/>
  <c r="B40" i="6"/>
  <c r="F39" i="6"/>
  <c r="C39" i="6"/>
  <c r="B39" i="6"/>
  <c r="F38" i="6"/>
  <c r="C38" i="6"/>
  <c r="B38" i="6"/>
  <c r="F37" i="6"/>
  <c r="C37" i="6"/>
  <c r="B37" i="6"/>
  <c r="F36" i="6"/>
  <c r="C36" i="6"/>
  <c r="B36" i="6"/>
  <c r="F35" i="6"/>
  <c r="C35" i="6"/>
  <c r="B35" i="6"/>
  <c r="F34" i="6"/>
  <c r="B34" i="6"/>
  <c r="F33" i="6"/>
  <c r="C33" i="6"/>
  <c r="B33" i="6"/>
  <c r="F32" i="6"/>
  <c r="C32" i="6"/>
  <c r="B32" i="6"/>
  <c r="F29" i="6"/>
  <c r="D29" i="6"/>
  <c r="F28" i="6"/>
  <c r="D28" i="6"/>
  <c r="F27" i="6"/>
  <c r="D27" i="6"/>
  <c r="F26" i="6"/>
  <c r="D26" i="6"/>
  <c r="F25" i="6"/>
  <c r="D25" i="6"/>
  <c r="F24" i="6"/>
  <c r="D24" i="6"/>
  <c r="F23" i="6"/>
  <c r="D23" i="6"/>
  <c r="F22" i="6"/>
  <c r="D22" i="6"/>
  <c r="F21" i="6"/>
  <c r="D21" i="6"/>
  <c r="F20" i="6"/>
  <c r="D20" i="6"/>
  <c r="F19" i="6"/>
  <c r="D19" i="6"/>
  <c r="F18" i="6"/>
  <c r="D18" i="6"/>
  <c r="F15" i="6"/>
  <c r="C15" i="6"/>
  <c r="B15" i="6"/>
  <c r="H14" i="6"/>
  <c r="G14" i="6"/>
  <c r="E14" i="6"/>
  <c r="D14" i="6"/>
  <c r="H13" i="6"/>
  <c r="G13" i="6"/>
  <c r="E13" i="6"/>
  <c r="D13" i="6"/>
  <c r="H12" i="6"/>
  <c r="G12" i="6"/>
  <c r="E12" i="6"/>
  <c r="D12" i="6"/>
  <c r="H11" i="6"/>
  <c r="G11" i="6"/>
  <c r="E11" i="6"/>
  <c r="D11" i="6"/>
  <c r="H10" i="6"/>
  <c r="G10" i="6"/>
  <c r="E10" i="6"/>
  <c r="D10" i="6"/>
  <c r="H9" i="6"/>
  <c r="G9" i="6"/>
  <c r="E9" i="6"/>
  <c r="D9" i="6"/>
  <c r="H8" i="6"/>
  <c r="G8" i="6"/>
  <c r="E8" i="6"/>
  <c r="D8" i="6"/>
  <c r="H7" i="6"/>
  <c r="G7" i="6"/>
  <c r="E7" i="6"/>
  <c r="D7" i="6"/>
  <c r="H6" i="6"/>
  <c r="G6" i="6"/>
  <c r="E6" i="6"/>
  <c r="D6" i="6"/>
  <c r="H5" i="6"/>
  <c r="G5" i="6"/>
  <c r="D5" i="6"/>
  <c r="H4" i="6"/>
  <c r="G4" i="6"/>
  <c r="E4" i="6"/>
  <c r="D4" i="6"/>
  <c r="H3" i="6"/>
  <c r="G3" i="6"/>
  <c r="E3" i="6"/>
  <c r="D3" i="6"/>
  <c r="H32" i="2"/>
  <c r="J56" i="2"/>
  <c r="I56" i="2"/>
  <c r="J55" i="2"/>
  <c r="I55" i="2"/>
  <c r="J54" i="2"/>
  <c r="I54" i="2"/>
  <c r="J53" i="2"/>
  <c r="I53" i="2"/>
  <c r="J52" i="2"/>
  <c r="I52" i="2"/>
  <c r="J51" i="2"/>
  <c r="I51" i="2"/>
  <c r="J50" i="2"/>
  <c r="I50" i="2"/>
  <c r="J49" i="2"/>
  <c r="I49" i="2"/>
  <c r="J48" i="2"/>
  <c r="I48" i="2"/>
  <c r="J47" i="2"/>
  <c r="I47" i="2"/>
  <c r="J46" i="2"/>
  <c r="I46" i="2"/>
  <c r="J45" i="2"/>
  <c r="I45" i="2"/>
  <c r="J44" i="2"/>
  <c r="I44" i="2"/>
  <c r="J42" i="2"/>
  <c r="I42" i="2"/>
  <c r="J41" i="2"/>
  <c r="I41" i="2"/>
  <c r="J40" i="2"/>
  <c r="I40" i="2"/>
  <c r="J39" i="2"/>
  <c r="I39" i="2"/>
  <c r="J38" i="2"/>
  <c r="I38" i="2"/>
  <c r="J37" i="2"/>
  <c r="I37" i="2"/>
  <c r="J36" i="2"/>
  <c r="I36" i="2"/>
  <c r="J35" i="2"/>
  <c r="I35" i="2"/>
  <c r="J34" i="2"/>
  <c r="I34" i="2"/>
  <c r="J33" i="2"/>
  <c r="I33" i="2"/>
  <c r="J32" i="2"/>
  <c r="I32" i="2"/>
  <c r="J31" i="2"/>
  <c r="I31" i="2"/>
  <c r="J30" i="2"/>
  <c r="I30" i="2"/>
  <c r="J28" i="2"/>
  <c r="I28" i="2"/>
  <c r="J27" i="2"/>
  <c r="I27" i="2"/>
  <c r="J26" i="2"/>
  <c r="I26" i="2"/>
  <c r="J25" i="2"/>
  <c r="I25" i="2"/>
  <c r="J24" i="2"/>
  <c r="I24" i="2"/>
  <c r="J23" i="2"/>
  <c r="I23" i="2"/>
  <c r="J22" i="2"/>
  <c r="I22" i="2"/>
  <c r="J21" i="2"/>
  <c r="I21" i="2"/>
  <c r="J20" i="2"/>
  <c r="I20" i="2"/>
  <c r="J19" i="2"/>
  <c r="I19" i="2"/>
  <c r="J18" i="2"/>
  <c r="I18" i="2"/>
  <c r="J17" i="2"/>
  <c r="I17" i="2"/>
  <c r="J16" i="2"/>
  <c r="I16" i="2"/>
  <c r="J14" i="2"/>
  <c r="J3" i="2"/>
  <c r="J4" i="2"/>
  <c r="J5" i="2"/>
  <c r="J6" i="2"/>
  <c r="J7" i="2"/>
  <c r="J8" i="2"/>
  <c r="J9" i="2"/>
  <c r="J10" i="2"/>
  <c r="J11" i="2"/>
  <c r="J12" i="2"/>
  <c r="J13" i="2"/>
  <c r="J2" i="2"/>
  <c r="I14" i="2"/>
  <c r="I3" i="2"/>
  <c r="I4" i="2"/>
  <c r="I5" i="2"/>
  <c r="I6" i="2"/>
  <c r="I7" i="2"/>
  <c r="I8" i="2"/>
  <c r="I9" i="2"/>
  <c r="I10" i="2"/>
  <c r="I11" i="2"/>
  <c r="I12" i="2"/>
  <c r="I13" i="2"/>
  <c r="I2" i="2"/>
  <c r="G55" i="2"/>
  <c r="G54" i="2"/>
  <c r="G53" i="2"/>
  <c r="G52" i="2"/>
  <c r="G51" i="2"/>
  <c r="G50" i="2"/>
  <c r="G49" i="2"/>
  <c r="G48" i="2"/>
  <c r="G47" i="2"/>
  <c r="G46" i="2"/>
  <c r="G45" i="2"/>
  <c r="G44" i="2"/>
  <c r="G41" i="2"/>
  <c r="G40" i="2"/>
  <c r="G39" i="2"/>
  <c r="G38" i="2"/>
  <c r="G37" i="2"/>
  <c r="G36" i="2"/>
  <c r="G35" i="2"/>
  <c r="G34" i="2"/>
  <c r="G33" i="2"/>
  <c r="G32" i="2"/>
  <c r="G31" i="2"/>
  <c r="G30" i="2"/>
  <c r="G28" i="2"/>
  <c r="G14" i="2"/>
  <c r="E25" i="1"/>
  <c r="B25" i="1"/>
  <c r="J16" i="1"/>
  <c r="H16" i="1"/>
  <c r="G16" i="1"/>
  <c r="F16" i="1"/>
  <c r="D16" i="1"/>
  <c r="G6" i="1"/>
  <c r="H6" i="1" s="1"/>
  <c r="F6" i="1"/>
  <c r="D6" i="1"/>
  <c r="D19" i="7" l="1"/>
  <c r="D20" i="7"/>
  <c r="E19" i="7"/>
  <c r="G27" i="1"/>
  <c r="F27" i="1"/>
  <c r="D27" i="1"/>
  <c r="K18" i="1"/>
  <c r="I18" i="1"/>
  <c r="K8" i="1"/>
  <c r="H8" i="1"/>
  <c r="C35" i="7"/>
  <c r="E20" i="7"/>
  <c r="C36" i="7"/>
  <c r="C52" i="7"/>
  <c r="C55" i="7"/>
  <c r="C51" i="7"/>
  <c r="D9" i="7"/>
  <c r="C9" i="7"/>
  <c r="C22" i="7"/>
  <c r="E21" i="7"/>
  <c r="C40" i="7"/>
  <c r="C39" i="7"/>
  <c r="D21" i="7"/>
  <c r="D8" i="7"/>
  <c r="C54" i="7"/>
  <c r="C37" i="7"/>
  <c r="C38" i="7"/>
  <c r="C8" i="7"/>
  <c r="K6" i="1"/>
  <c r="K7" i="1"/>
  <c r="G25" i="1"/>
  <c r="G26" i="1"/>
  <c r="F26" i="1"/>
  <c r="F25" i="1"/>
  <c r="D26" i="1"/>
  <c r="I17" i="1"/>
  <c r="K17" i="1"/>
  <c r="H7" i="1"/>
  <c r="N14" i="6"/>
  <c r="Q4" i="6"/>
  <c r="N5" i="6"/>
  <c r="Q5" i="6"/>
  <c r="Q9" i="6"/>
  <c r="O10" i="6"/>
  <c r="R10" i="6"/>
  <c r="Q14" i="6"/>
  <c r="N4" i="6"/>
  <c r="R5" i="6"/>
  <c r="O6" i="6"/>
  <c r="N8" i="6"/>
  <c r="N9" i="6"/>
  <c r="N10" i="6"/>
  <c r="N12" i="6"/>
  <c r="Q12" i="6"/>
  <c r="O4" i="6"/>
  <c r="R4" i="6"/>
  <c r="N6" i="6"/>
  <c r="Q6" i="6"/>
  <c r="O8" i="6"/>
  <c r="Q8" i="6"/>
  <c r="R9" i="6"/>
  <c r="Q10" i="6"/>
  <c r="P15" i="6"/>
  <c r="I28" i="6"/>
  <c r="G41" i="6"/>
  <c r="H39" i="6"/>
  <c r="H43" i="6"/>
  <c r="G43" i="6"/>
  <c r="D43" i="6"/>
  <c r="G42" i="6"/>
  <c r="E42" i="6"/>
  <c r="D42" i="6"/>
  <c r="E41" i="6"/>
  <c r="D41" i="6"/>
  <c r="H40" i="6"/>
  <c r="G40" i="6"/>
  <c r="E40" i="6"/>
  <c r="D40" i="6"/>
  <c r="G39" i="6"/>
  <c r="E39" i="6"/>
  <c r="D39" i="6"/>
  <c r="H38" i="6"/>
  <c r="E38" i="6"/>
  <c r="D38" i="6"/>
  <c r="H37" i="6"/>
  <c r="E37" i="6"/>
  <c r="D37" i="6"/>
  <c r="H36" i="6"/>
  <c r="G36" i="6"/>
  <c r="E36" i="6"/>
  <c r="D36" i="6"/>
  <c r="H35" i="6"/>
  <c r="D35" i="6"/>
  <c r="H34" i="6"/>
  <c r="D33" i="6"/>
  <c r="H32" i="6"/>
  <c r="D32" i="6"/>
  <c r="K28" i="6"/>
  <c r="K22" i="6"/>
  <c r="K20" i="6"/>
  <c r="K19" i="6"/>
  <c r="K18" i="6"/>
  <c r="I18" i="6"/>
  <c r="K27" i="6"/>
  <c r="I27" i="6"/>
  <c r="K26" i="6"/>
  <c r="I26" i="6"/>
  <c r="I24" i="6"/>
  <c r="I20" i="6"/>
  <c r="I19" i="6"/>
  <c r="G15" i="6"/>
  <c r="G35" i="6"/>
  <c r="G34" i="6"/>
  <c r="D34" i="6"/>
  <c r="H33" i="6"/>
  <c r="G33" i="6"/>
  <c r="G32" i="6"/>
  <c r="E32" i="6"/>
  <c r="K29" i="6"/>
  <c r="I29" i="6"/>
  <c r="K25" i="6"/>
  <c r="I25" i="6"/>
  <c r="K24" i="6"/>
  <c r="K23" i="6"/>
  <c r="I23" i="6"/>
  <c r="I22" i="6"/>
  <c r="K21" i="6"/>
  <c r="I21" i="6"/>
  <c r="H15" i="6"/>
  <c r="E15" i="6"/>
  <c r="D15" i="6"/>
  <c r="G37" i="6"/>
  <c r="E43" i="6"/>
  <c r="H42" i="6"/>
  <c r="G38" i="6"/>
  <c r="H41" i="6"/>
  <c r="G56" i="2"/>
  <c r="G42" i="2"/>
  <c r="I16" i="1"/>
  <c r="K16" i="1"/>
  <c r="D25" i="1"/>
  <c r="D54" i="7" l="1"/>
  <c r="E54" i="7"/>
  <c r="E52" i="7"/>
  <c r="D52" i="7"/>
  <c r="E39" i="7"/>
  <c r="D39" i="7"/>
  <c r="D55" i="7"/>
  <c r="E55" i="7"/>
  <c r="E53" i="7"/>
  <c r="D53" i="7"/>
  <c r="D37" i="7"/>
  <c r="E37" i="7"/>
  <c r="D38" i="7"/>
  <c r="E38" i="7"/>
  <c r="E22" i="7"/>
  <c r="D22" i="7"/>
  <c r="D35" i="7"/>
  <c r="E35" i="7"/>
  <c r="E36" i="7"/>
  <c r="D36" i="7"/>
  <c r="E51" i="7"/>
  <c r="D51" i="7"/>
  <c r="C43" i="7"/>
  <c r="C44" i="7"/>
  <c r="E24" i="1"/>
  <c r="B24" i="1"/>
  <c r="J15" i="1"/>
  <c r="H15" i="1"/>
  <c r="G15" i="1"/>
  <c r="I15" i="1" s="1"/>
  <c r="F15" i="1"/>
  <c r="D15" i="1"/>
  <c r="G5" i="1"/>
  <c r="C18" i="7" s="1"/>
  <c r="F5" i="1"/>
  <c r="D5" i="1"/>
  <c r="J14" i="1"/>
  <c r="H14" i="1"/>
  <c r="G14" i="1"/>
  <c r="F14" i="1"/>
  <c r="D14" i="1"/>
  <c r="E23" i="1"/>
  <c r="B23" i="1"/>
  <c r="G4" i="1"/>
  <c r="C16" i="7" s="1"/>
  <c r="F4" i="1"/>
  <c r="D4" i="1"/>
  <c r="E22" i="1"/>
  <c r="B22" i="1"/>
  <c r="J13" i="1"/>
  <c r="H13" i="1"/>
  <c r="G13" i="1"/>
  <c r="F13" i="1"/>
  <c r="D13" i="1"/>
  <c r="G3" i="1"/>
  <c r="C14" i="7" s="1"/>
  <c r="F3" i="1"/>
  <c r="D3" i="1"/>
  <c r="D3" i="7"/>
  <c r="C12" i="7"/>
  <c r="E28" i="1"/>
  <c r="C56" i="7" s="1"/>
  <c r="G21" i="5"/>
  <c r="G20" i="5"/>
  <c r="G19" i="5"/>
  <c r="G18" i="5"/>
  <c r="F19" i="5"/>
  <c r="H19" i="5" s="1"/>
  <c r="F18" i="5"/>
  <c r="H18" i="5" s="1"/>
  <c r="F29" i="5"/>
  <c r="F28" i="5"/>
  <c r="F27" i="5"/>
  <c r="F26" i="5"/>
  <c r="F25" i="5"/>
  <c r="F24" i="5"/>
  <c r="F23" i="5"/>
  <c r="H23" i="5" s="1"/>
  <c r="F22" i="5"/>
  <c r="H22" i="5" s="1"/>
  <c r="F21" i="5"/>
  <c r="H21" i="5" s="1"/>
  <c r="F20" i="5"/>
  <c r="G28" i="5"/>
  <c r="G26" i="5"/>
  <c r="G23" i="5"/>
  <c r="G29" i="5"/>
  <c r="G27" i="5"/>
  <c r="G25" i="5"/>
  <c r="G24" i="5"/>
  <c r="G22" i="5"/>
  <c r="D29" i="5"/>
  <c r="D24" i="5"/>
  <c r="D20" i="5"/>
  <c r="D21" i="5"/>
  <c r="D22" i="5"/>
  <c r="D23" i="5"/>
  <c r="D25" i="5"/>
  <c r="D26" i="5"/>
  <c r="D27" i="5"/>
  <c r="D28" i="5"/>
  <c r="D19" i="5"/>
  <c r="D18" i="5"/>
  <c r="C50" i="7" l="1"/>
  <c r="C49" i="7"/>
  <c r="C34" i="7"/>
  <c r="C33" i="7"/>
  <c r="E17" i="7"/>
  <c r="D17" i="7"/>
  <c r="D6" i="7"/>
  <c r="C6" i="7"/>
  <c r="C32" i="7"/>
  <c r="C31" i="7"/>
  <c r="C48" i="7"/>
  <c r="C47" i="7"/>
  <c r="E15" i="7"/>
  <c r="D15" i="7"/>
  <c r="C5" i="7"/>
  <c r="D5" i="7"/>
  <c r="C46" i="7"/>
  <c r="C45" i="7"/>
  <c r="C29" i="7"/>
  <c r="C30" i="7"/>
  <c r="D13" i="7"/>
  <c r="E13" i="7"/>
  <c r="C4" i="7"/>
  <c r="D4" i="7"/>
  <c r="C3" i="7"/>
  <c r="E11" i="7"/>
  <c r="D11" i="7"/>
  <c r="C27" i="7"/>
  <c r="C28" i="7"/>
  <c r="H5" i="1"/>
  <c r="K5" i="1"/>
  <c r="H4" i="1"/>
  <c r="K4" i="1"/>
  <c r="H3" i="1"/>
  <c r="K3" i="1"/>
  <c r="G28" i="1"/>
  <c r="F28" i="1"/>
  <c r="G24" i="1"/>
  <c r="F24" i="1"/>
  <c r="F23" i="1"/>
  <c r="G23" i="1"/>
  <c r="F22" i="1"/>
  <c r="G22" i="1"/>
  <c r="D24" i="1"/>
  <c r="K15" i="1"/>
  <c r="K14" i="1"/>
  <c r="I14" i="1"/>
  <c r="D23" i="1"/>
  <c r="I13" i="1"/>
  <c r="K13" i="1"/>
  <c r="D22" i="1"/>
  <c r="H27" i="5"/>
  <c r="H26" i="5"/>
  <c r="H28" i="5"/>
  <c r="H29" i="5"/>
  <c r="H20" i="5"/>
  <c r="H25" i="5"/>
  <c r="H24" i="5"/>
  <c r="C33" i="5"/>
  <c r="C34" i="5"/>
  <c r="C35" i="5"/>
  <c r="C36" i="5"/>
  <c r="C37" i="5"/>
  <c r="C38" i="5"/>
  <c r="C39" i="5"/>
  <c r="C40" i="5"/>
  <c r="C41" i="5"/>
  <c r="C42" i="5"/>
  <c r="C43" i="5"/>
  <c r="C32" i="5"/>
  <c r="B33" i="5"/>
  <c r="B34" i="5"/>
  <c r="B35" i="5"/>
  <c r="B36" i="5"/>
  <c r="B37" i="5"/>
  <c r="B38" i="5"/>
  <c r="B39" i="5"/>
  <c r="B40" i="5"/>
  <c r="B41" i="5"/>
  <c r="B42" i="5"/>
  <c r="E42" i="5" s="1"/>
  <c r="B43" i="5"/>
  <c r="B32" i="5"/>
  <c r="F4" i="5"/>
  <c r="F5" i="5"/>
  <c r="F6" i="5"/>
  <c r="F7" i="5"/>
  <c r="F8" i="5"/>
  <c r="F9" i="5"/>
  <c r="F10" i="5"/>
  <c r="F11" i="5"/>
  <c r="G11" i="5" s="1"/>
  <c r="F12" i="5"/>
  <c r="F13" i="5"/>
  <c r="F14" i="5"/>
  <c r="G14" i="5" s="1"/>
  <c r="F3" i="5"/>
  <c r="E4" i="5"/>
  <c r="E5" i="5"/>
  <c r="E6" i="5"/>
  <c r="E7" i="5"/>
  <c r="E8" i="5"/>
  <c r="E9" i="5"/>
  <c r="E10" i="5"/>
  <c r="E11" i="5"/>
  <c r="E12" i="5"/>
  <c r="E13" i="5"/>
  <c r="E14" i="5"/>
  <c r="E3" i="5"/>
  <c r="D14" i="5"/>
  <c r="D13" i="5"/>
  <c r="D12" i="5"/>
  <c r="D11" i="5"/>
  <c r="D10" i="5"/>
  <c r="D9" i="5"/>
  <c r="D8" i="5"/>
  <c r="D7" i="5"/>
  <c r="D6" i="5"/>
  <c r="D5" i="5"/>
  <c r="D4" i="5"/>
  <c r="D3" i="5"/>
  <c r="C15" i="5"/>
  <c r="B15" i="5"/>
  <c r="E33" i="7" l="1"/>
  <c r="D33" i="7"/>
  <c r="D44" i="7"/>
  <c r="E44" i="7"/>
  <c r="E18" i="7"/>
  <c r="D18" i="7"/>
  <c r="E16" i="7"/>
  <c r="D16" i="7"/>
  <c r="E14" i="7"/>
  <c r="D14" i="7"/>
  <c r="D56" i="7"/>
  <c r="E56" i="7"/>
  <c r="E50" i="7"/>
  <c r="D50" i="7"/>
  <c r="D48" i="7"/>
  <c r="E48" i="7"/>
  <c r="D46" i="7"/>
  <c r="E46" i="7"/>
  <c r="E49" i="7"/>
  <c r="D49" i="7"/>
  <c r="E34" i="7"/>
  <c r="D34" i="7"/>
  <c r="D32" i="7"/>
  <c r="E32" i="7"/>
  <c r="E43" i="7"/>
  <c r="D43" i="7"/>
  <c r="D31" i="7"/>
  <c r="E31" i="7"/>
  <c r="E47" i="7"/>
  <c r="D47" i="7"/>
  <c r="D29" i="7"/>
  <c r="E29" i="7"/>
  <c r="D30" i="7"/>
  <c r="E30" i="7"/>
  <c r="E45" i="7"/>
  <c r="D45" i="7"/>
  <c r="D27" i="7"/>
  <c r="E27" i="7"/>
  <c r="D12" i="7"/>
  <c r="E12" i="7"/>
  <c r="D28" i="7"/>
  <c r="E28" i="7"/>
  <c r="H3" i="5"/>
  <c r="G3" i="5"/>
  <c r="H7" i="5"/>
  <c r="G7" i="5"/>
  <c r="H13" i="5"/>
  <c r="G13" i="5"/>
  <c r="H5" i="5"/>
  <c r="G5" i="5"/>
  <c r="H6" i="5"/>
  <c r="G6" i="5"/>
  <c r="H12" i="5"/>
  <c r="G12" i="5"/>
  <c r="H4" i="5"/>
  <c r="G4" i="5"/>
  <c r="H10" i="5"/>
  <c r="G10" i="5"/>
  <c r="D38" i="5"/>
  <c r="H9" i="5"/>
  <c r="G9" i="5"/>
  <c r="H8" i="5"/>
  <c r="G8" i="5"/>
  <c r="D40" i="5"/>
  <c r="D39" i="5"/>
  <c r="D37" i="5"/>
  <c r="D36" i="5"/>
  <c r="E32" i="5"/>
  <c r="E43" i="5"/>
  <c r="E35" i="5"/>
  <c r="D42" i="5"/>
  <c r="E34" i="5"/>
  <c r="E41" i="5"/>
  <c r="D33" i="5"/>
  <c r="E39" i="5"/>
  <c r="D41" i="5"/>
  <c r="E40" i="5"/>
  <c r="D34" i="5"/>
  <c r="D32" i="5"/>
  <c r="E38" i="5"/>
  <c r="E37" i="5"/>
  <c r="E33" i="5"/>
  <c r="D43" i="5"/>
  <c r="D35" i="5"/>
  <c r="E36" i="5"/>
  <c r="H14" i="5"/>
  <c r="H11" i="5"/>
  <c r="E15" i="5"/>
  <c r="D15" i="5"/>
  <c r="F15" i="5"/>
  <c r="H15" i="5" s="1"/>
  <c r="G15" i="5" l="1"/>
  <c r="H33" i="2"/>
  <c r="H31" i="2"/>
  <c r="H30" i="2"/>
  <c r="H55" i="2"/>
  <c r="H54" i="2"/>
  <c r="H53" i="2"/>
  <c r="H52" i="2"/>
  <c r="H51" i="2"/>
  <c r="H50" i="2"/>
  <c r="H49" i="2"/>
  <c r="H48" i="2"/>
  <c r="H47" i="2"/>
  <c r="H46" i="2"/>
  <c r="H45" i="2"/>
  <c r="H44" i="2"/>
  <c r="H41" i="2"/>
  <c r="H40" i="2"/>
  <c r="H39" i="2"/>
  <c r="H38" i="2"/>
  <c r="H37" i="2"/>
  <c r="H36" i="2"/>
  <c r="H35" i="2"/>
  <c r="H34" i="2"/>
  <c r="H28" i="2"/>
  <c r="H14" i="2"/>
  <c r="H42" i="2" l="1"/>
  <c r="H56" i="2"/>
  <c r="B14" i="2"/>
  <c r="C14" i="2"/>
  <c r="D14" i="2"/>
  <c r="E14" i="2"/>
  <c r="F14" i="2"/>
  <c r="B28" i="2"/>
  <c r="C28" i="2"/>
  <c r="D28" i="2"/>
  <c r="E28" i="2"/>
  <c r="F28" i="2"/>
  <c r="B30" i="2"/>
  <c r="C30" i="2"/>
  <c r="D30" i="2"/>
  <c r="E30" i="2"/>
  <c r="F30" i="2"/>
  <c r="B31" i="2"/>
  <c r="C31" i="2"/>
  <c r="D31" i="2"/>
  <c r="E31" i="2"/>
  <c r="F31" i="2"/>
  <c r="B32" i="2"/>
  <c r="C32" i="2"/>
  <c r="D32" i="2"/>
  <c r="E32" i="2"/>
  <c r="F32" i="2"/>
  <c r="B33" i="2"/>
  <c r="C33" i="2"/>
  <c r="D33" i="2"/>
  <c r="E33" i="2"/>
  <c r="F33" i="2"/>
  <c r="B34" i="2"/>
  <c r="C34" i="2"/>
  <c r="D34" i="2"/>
  <c r="E34" i="2"/>
  <c r="F34" i="2"/>
  <c r="B35" i="2"/>
  <c r="C35" i="2"/>
  <c r="D35" i="2"/>
  <c r="E35" i="2"/>
  <c r="F35" i="2"/>
  <c r="B36" i="2"/>
  <c r="C36" i="2"/>
  <c r="D36" i="2"/>
  <c r="E36" i="2"/>
  <c r="F36" i="2"/>
  <c r="B37" i="2"/>
  <c r="C37" i="2"/>
  <c r="D37" i="2"/>
  <c r="E37" i="2"/>
  <c r="F37" i="2"/>
  <c r="B38" i="2"/>
  <c r="C38" i="2"/>
  <c r="D38" i="2"/>
  <c r="E38" i="2"/>
  <c r="F38" i="2"/>
  <c r="B39" i="2"/>
  <c r="C39" i="2"/>
  <c r="D39" i="2"/>
  <c r="E39" i="2"/>
  <c r="F39" i="2"/>
  <c r="B40" i="2"/>
  <c r="C40" i="2"/>
  <c r="D40" i="2"/>
  <c r="E40" i="2"/>
  <c r="F40" i="2"/>
  <c r="B41" i="2"/>
  <c r="C41" i="2"/>
  <c r="D41" i="2"/>
  <c r="E41" i="2"/>
  <c r="F41" i="2"/>
  <c r="B44" i="2"/>
  <c r="C44" i="2"/>
  <c r="D44" i="2"/>
  <c r="E44" i="2"/>
  <c r="F44" i="2"/>
  <c r="B45" i="2"/>
  <c r="C45" i="2"/>
  <c r="D45" i="2"/>
  <c r="E45" i="2"/>
  <c r="F45" i="2"/>
  <c r="B46" i="2"/>
  <c r="C46" i="2"/>
  <c r="D46" i="2"/>
  <c r="E46" i="2"/>
  <c r="F46" i="2"/>
  <c r="C47" i="2"/>
  <c r="D47" i="2"/>
  <c r="E47" i="2"/>
  <c r="F47" i="2"/>
  <c r="C48" i="2"/>
  <c r="D48" i="2"/>
  <c r="E48" i="2"/>
  <c r="F48" i="2"/>
  <c r="C49" i="2"/>
  <c r="D49" i="2"/>
  <c r="E49" i="2"/>
  <c r="F49" i="2"/>
  <c r="C50" i="2"/>
  <c r="D50" i="2"/>
  <c r="E50" i="2"/>
  <c r="F50" i="2"/>
  <c r="B51" i="2"/>
  <c r="C51" i="2"/>
  <c r="D51" i="2"/>
  <c r="E51" i="2"/>
  <c r="F51" i="2"/>
  <c r="B52" i="2"/>
  <c r="C52" i="2"/>
  <c r="D52" i="2"/>
  <c r="E52" i="2"/>
  <c r="F52" i="2"/>
  <c r="B53" i="2"/>
  <c r="C53" i="2"/>
  <c r="D53" i="2"/>
  <c r="E53" i="2"/>
  <c r="F53" i="2"/>
  <c r="B54" i="2"/>
  <c r="C54" i="2"/>
  <c r="D54" i="2"/>
  <c r="E54" i="2"/>
  <c r="F54" i="2"/>
  <c r="B55" i="2"/>
  <c r="C55" i="2"/>
  <c r="D55" i="2"/>
  <c r="E55" i="2"/>
  <c r="F55" i="2"/>
  <c r="G9" i="1"/>
  <c r="C24" i="7" s="1"/>
  <c r="K9" i="1" l="1"/>
  <c r="E56" i="2"/>
  <c r="B56" i="2"/>
  <c r="F42" i="2"/>
  <c r="B42" i="2"/>
  <c r="C42" i="2"/>
  <c r="C56" i="2"/>
  <c r="D42" i="2"/>
  <c r="D56" i="2"/>
  <c r="F56" i="2"/>
  <c r="K19" i="1"/>
  <c r="E42" i="2"/>
  <c r="E40" i="7" l="1"/>
  <c r="D40" i="7"/>
  <c r="F19" i="1"/>
  <c r="G10" i="1" l="1"/>
  <c r="E10" i="1"/>
  <c r="B10" i="1"/>
  <c r="H9" i="1"/>
  <c r="F9" i="1"/>
  <c r="E24" i="7" l="1"/>
  <c r="D24" i="7"/>
  <c r="E23" i="7"/>
  <c r="D23" i="7"/>
  <c r="K10" i="1"/>
  <c r="J10" i="1"/>
  <c r="H10" i="1"/>
  <c r="D10" i="1"/>
  <c r="F10" i="1"/>
</calcChain>
</file>

<file path=xl/sharedStrings.xml><?xml version="1.0" encoding="utf-8"?>
<sst xmlns="http://schemas.openxmlformats.org/spreadsheetml/2006/main" count="384" uniqueCount="92">
  <si>
    <t>Variance</t>
  </si>
  <si>
    <t>Last Year Actual</t>
  </si>
  <si>
    <t>OTB vs Target</t>
  </si>
  <si>
    <t>Aug</t>
  </si>
  <si>
    <t>Sept</t>
  </si>
  <si>
    <t>Room Nights</t>
  </si>
  <si>
    <t>ADR</t>
  </si>
  <si>
    <t>Occupancy</t>
  </si>
  <si>
    <t>OTB vs LY</t>
  </si>
  <si>
    <t>TOTAL</t>
  </si>
  <si>
    <t>13 Rooms</t>
  </si>
  <si>
    <t>28 = 364</t>
  </si>
  <si>
    <t>30 = 390</t>
  </si>
  <si>
    <t>31 = 403</t>
  </si>
  <si>
    <t>15 Rooms</t>
  </si>
  <si>
    <t>Current</t>
  </si>
  <si>
    <t>28 = 420</t>
  </si>
  <si>
    <t>29 = 435</t>
  </si>
  <si>
    <t>30 = 450</t>
  </si>
  <si>
    <t>31 = 465</t>
  </si>
  <si>
    <t>31 = 310</t>
  </si>
  <si>
    <t>30 = 300</t>
  </si>
  <si>
    <t>29 = 377</t>
  </si>
  <si>
    <t>29 = 290</t>
  </si>
  <si>
    <t>28 = 280</t>
  </si>
  <si>
    <t>Unitl May 2024</t>
  </si>
  <si>
    <t>Until Oct 2023</t>
  </si>
  <si>
    <t>10 Rooms</t>
  </si>
  <si>
    <t>Dec</t>
  </si>
  <si>
    <t>Nov</t>
  </si>
  <si>
    <t>Oct</t>
  </si>
  <si>
    <t>Jul</t>
  </si>
  <si>
    <t>Jun</t>
  </si>
  <si>
    <t>May</t>
  </si>
  <si>
    <t>Apr</t>
  </si>
  <si>
    <t>Mar</t>
  </si>
  <si>
    <t>Feb</t>
  </si>
  <si>
    <t>Jan</t>
  </si>
  <si>
    <t>Revenue</t>
  </si>
  <si>
    <t>2025</t>
  </si>
  <si>
    <t>55 on Main Guest House &amp; Spa | Financial Year</t>
  </si>
  <si>
    <t>Target (+10%)</t>
  </si>
  <si>
    <t>2025 vs 2024</t>
  </si>
  <si>
    <t>2025 vs Target</t>
  </si>
  <si>
    <t>Sep</t>
  </si>
  <si>
    <t>1 - fumigate</t>
  </si>
  <si>
    <t>2 - block</t>
  </si>
  <si>
    <t>4 - avail to Navy</t>
  </si>
  <si>
    <t>1 - fogging</t>
  </si>
  <si>
    <t>3 - block</t>
  </si>
  <si>
    <t>24 - block</t>
  </si>
  <si>
    <t>1 - block</t>
  </si>
  <si>
    <t>3 - Nicky</t>
  </si>
  <si>
    <t>1 - socials</t>
  </si>
  <si>
    <t>2 - video</t>
  </si>
  <si>
    <t>10 (incl)</t>
  </si>
  <si>
    <t>Dr Tereblanche</t>
  </si>
  <si>
    <t>6 - block</t>
  </si>
  <si>
    <t>1 - Dr T (incl)</t>
  </si>
  <si>
    <t>8 - block</t>
  </si>
  <si>
    <t>1 - Solly (incl)</t>
  </si>
  <si>
    <t>2 - Dr T (incl)</t>
  </si>
  <si>
    <t>Until May 2024</t>
  </si>
  <si>
    <t>Excluded property, not guests</t>
  </si>
  <si>
    <t>11 - IN House</t>
  </si>
  <si>
    <t>2026</t>
  </si>
  <si>
    <t>2026 vs 2025</t>
  </si>
  <si>
    <t>TOTAL Avg</t>
  </si>
  <si>
    <t>7 Rooms</t>
  </si>
  <si>
    <t>28 = 196</t>
  </si>
  <si>
    <t>29 = 203</t>
  </si>
  <si>
    <t>30 = 210</t>
  </si>
  <si>
    <t>31 = 217</t>
  </si>
  <si>
    <t xml:space="preserve"> | YOY</t>
  </si>
  <si>
    <t>2025 Target</t>
  </si>
  <si>
    <t>2026 Target</t>
  </si>
  <si>
    <t>2026 vs Target</t>
  </si>
  <si>
    <t>OTB @ 30 Jun 2026</t>
  </si>
  <si>
    <t>OTB @ 15 Jul 2026</t>
  </si>
  <si>
    <t>Increase</t>
  </si>
  <si>
    <t>Decrease</t>
  </si>
  <si>
    <t>Target</t>
  </si>
  <si>
    <t>Occupancy %</t>
  </si>
  <si>
    <t>OTB</t>
  </si>
  <si>
    <t>LY</t>
  </si>
  <si>
    <t>Pick-up @ 15 Jul 2026</t>
  </si>
  <si>
    <t>Drop @ 15 Jul 2026</t>
  </si>
  <si>
    <t>Achieved @ 15 Jul 2026</t>
  </si>
  <si>
    <t>Trailing @ 15 Jul 2026</t>
  </si>
  <si>
    <t>OTB @ 31 Jul 2026</t>
  </si>
  <si>
    <t>OTB @ 14 Aug 2026</t>
  </si>
  <si>
    <t>55 on Main Guest House &amp; Spa | 14 August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</si>
</sst>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sz val="11"/>
      <color theme="1"/>
      <name val="Aptos Narrow"/>
      <family val="2"/>
      <scheme val="minor"/>
    </font>
    <font>
      <sz val="14"/>
      <color theme="1"/>
      <name val="Arial"/>
      <family val="2"/>
    </font>
    <font>
      <sz val="8"/>
      <name val="Aptos Narrow"/>
      <family val="2"/>
      <scheme val="minor"/>
    </font>
    <font>
      <sz val="11"/>
      <color rgb="FF00B050"/>
      <name val="Arial"/>
      <family val="2"/>
    </font>
    <font>
      <b/>
      <sz val="8"/>
      <color theme="1"/>
      <name val="Arial"/>
      <family val="2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DD9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BCFA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7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/>
    <xf numFmtId="1" fontId="9" fillId="0" borderId="12" xfId="0" applyNumberFormat="1" applyFont="1" applyBorder="1" applyAlignment="1">
      <alignment horizontal="center" vertical="center"/>
    </xf>
    <xf numFmtId="1" fontId="9" fillId="0" borderId="13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vertical="center"/>
    </xf>
    <xf numFmtId="2" fontId="7" fillId="0" borderId="18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0" fontId="7" fillId="0" borderId="19" xfId="0" applyFont="1" applyBorder="1" applyAlignment="1">
      <alignment vertical="center"/>
    </xf>
    <xf numFmtId="0" fontId="7" fillId="4" borderId="10" xfId="0" applyFont="1" applyFill="1" applyBorder="1" applyAlignment="1">
      <alignment horizontal="center" vertical="center"/>
    </xf>
    <xf numFmtId="2" fontId="7" fillId="4" borderId="10" xfId="0" applyNumberFormat="1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vertical="center"/>
    </xf>
    <xf numFmtId="9" fontId="9" fillId="0" borderId="12" xfId="1" applyFont="1" applyFill="1" applyBorder="1" applyAlignment="1">
      <alignment horizontal="center" vertical="center"/>
    </xf>
    <xf numFmtId="9" fontId="9" fillId="0" borderId="13" xfId="1" applyFont="1" applyFill="1" applyBorder="1" applyAlignment="1">
      <alignment horizontal="center" vertical="center"/>
    </xf>
    <xf numFmtId="10" fontId="7" fillId="0" borderId="15" xfId="0" applyNumberFormat="1" applyFont="1" applyBorder="1" applyAlignment="1">
      <alignment horizontal="center" vertical="center"/>
    </xf>
    <xf numFmtId="10" fontId="7" fillId="0" borderId="4" xfId="0" applyNumberFormat="1" applyFont="1" applyBorder="1" applyAlignment="1">
      <alignment horizontal="center" vertical="center"/>
    </xf>
    <xf numFmtId="10" fontId="7" fillId="0" borderId="18" xfId="0" applyNumberFormat="1" applyFont="1" applyBorder="1" applyAlignment="1">
      <alignment horizontal="center" vertical="center"/>
    </xf>
    <xf numFmtId="10" fontId="7" fillId="0" borderId="10" xfId="0" applyNumberFormat="1" applyFont="1" applyBorder="1" applyAlignment="1">
      <alignment horizontal="center" vertical="center"/>
    </xf>
    <xf numFmtId="10" fontId="7" fillId="4" borderId="10" xfId="0" applyNumberFormat="1" applyFont="1" applyFill="1" applyBorder="1" applyAlignment="1">
      <alignment horizontal="center" vertical="center"/>
    </xf>
    <xf numFmtId="1" fontId="9" fillId="0" borderId="12" xfId="1" applyNumberFormat="1" applyFont="1" applyFill="1" applyBorder="1" applyAlignment="1">
      <alignment horizontal="center" vertical="center"/>
    </xf>
    <xf numFmtId="1" fontId="9" fillId="0" borderId="13" xfId="1" applyNumberFormat="1" applyFont="1" applyFill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18" xfId="0" applyNumberFormat="1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" fontId="7" fillId="4" borderId="10" xfId="0" applyNumberFormat="1" applyFont="1" applyFill="1" applyBorder="1" applyAlignment="1">
      <alignment horizontal="center" vertical="center"/>
    </xf>
    <xf numFmtId="3" fontId="9" fillId="0" borderId="12" xfId="0" applyNumberFormat="1" applyFont="1" applyBorder="1" applyAlignment="1">
      <alignment horizontal="center" vertical="center"/>
    </xf>
    <xf numFmtId="3" fontId="9" fillId="0" borderId="13" xfId="0" applyNumberFormat="1" applyFont="1" applyBorder="1" applyAlignment="1">
      <alignment horizontal="center" vertical="center"/>
    </xf>
    <xf numFmtId="3" fontId="7" fillId="0" borderId="15" xfId="0" applyNumberFormat="1" applyFont="1" applyBorder="1" applyAlignment="1">
      <alignment horizontal="center" vertical="center"/>
    </xf>
    <xf numFmtId="3" fontId="7" fillId="0" borderId="4" xfId="0" applyNumberFormat="1" applyFont="1" applyBorder="1" applyAlignment="1">
      <alignment horizontal="center" vertical="center"/>
    </xf>
    <xf numFmtId="3" fontId="7" fillId="0" borderId="18" xfId="0" applyNumberFormat="1" applyFont="1" applyBorder="1" applyAlignment="1">
      <alignment horizontal="center" vertical="center"/>
    </xf>
    <xf numFmtId="3" fontId="7" fillId="0" borderId="10" xfId="0" applyNumberFormat="1" applyFont="1" applyBorder="1" applyAlignment="1">
      <alignment horizontal="center" vertical="center"/>
    </xf>
    <xf numFmtId="3" fontId="7" fillId="4" borderId="10" xfId="0" applyNumberFormat="1" applyFont="1" applyFill="1" applyBorder="1" applyAlignment="1">
      <alignment horizontal="center" vertical="center"/>
    </xf>
    <xf numFmtId="49" fontId="9" fillId="5" borderId="18" xfId="0" applyNumberFormat="1" applyFont="1" applyFill="1" applyBorder="1" applyAlignment="1">
      <alignment horizontal="center" vertical="center"/>
    </xf>
    <xf numFmtId="49" fontId="9" fillId="5" borderId="10" xfId="0" applyNumberFormat="1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vertical="center"/>
    </xf>
    <xf numFmtId="17" fontId="10" fillId="0" borderId="1" xfId="0" applyNumberFormat="1" applyFont="1" applyBorder="1" applyAlignment="1">
      <alignment horizontal="left" vertical="center"/>
    </xf>
    <xf numFmtId="17" fontId="10" fillId="0" borderId="2" xfId="0" applyNumberFormat="1" applyFont="1" applyBorder="1" applyAlignment="1">
      <alignment horizontal="left" vertical="center"/>
    </xf>
    <xf numFmtId="0" fontId="11" fillId="0" borderId="4" xfId="0" applyFont="1" applyBorder="1" applyAlignment="1">
      <alignment vertical="center"/>
    </xf>
    <xf numFmtId="3" fontId="10" fillId="0" borderId="1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/>
    </xf>
    <xf numFmtId="3" fontId="10" fillId="6" borderId="0" xfId="0" applyNumberFormat="1" applyFont="1" applyFill="1" applyAlignment="1">
      <alignment horizontal="center" vertical="center"/>
    </xf>
    <xf numFmtId="3" fontId="11" fillId="0" borderId="4" xfId="0" applyNumberFormat="1" applyFont="1" applyBorder="1" applyAlignment="1">
      <alignment horizontal="center" vertical="center"/>
    </xf>
    <xf numFmtId="3" fontId="11" fillId="2" borderId="5" xfId="0" applyNumberFormat="1" applyFont="1" applyFill="1" applyBorder="1" applyAlignment="1">
      <alignment horizontal="center" vertical="center"/>
    </xf>
    <xf numFmtId="3" fontId="11" fillId="6" borderId="5" xfId="0" applyNumberFormat="1" applyFont="1" applyFill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2" borderId="0" xfId="0" applyNumberFormat="1" applyFont="1" applyFill="1" applyAlignment="1">
      <alignment horizontal="center" vertical="center"/>
    </xf>
    <xf numFmtId="0" fontId="10" fillId="0" borderId="0" xfId="0" applyFont="1"/>
    <xf numFmtId="0" fontId="13" fillId="0" borderId="0" xfId="0" applyFont="1"/>
    <xf numFmtId="9" fontId="10" fillId="0" borderId="1" xfId="0" applyNumberFormat="1" applyFont="1" applyBorder="1" applyAlignment="1">
      <alignment horizontal="center" vertical="center"/>
    </xf>
    <xf numFmtId="9" fontId="10" fillId="2" borderId="0" xfId="0" applyNumberFormat="1" applyFont="1" applyFill="1" applyAlignment="1">
      <alignment horizontal="center" vertical="center"/>
    </xf>
    <xf numFmtId="9" fontId="10" fillId="0" borderId="2" xfId="0" applyNumberFormat="1" applyFont="1" applyBorder="1" applyAlignment="1">
      <alignment horizontal="center" vertical="center"/>
    </xf>
    <xf numFmtId="9" fontId="10" fillId="2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3" fontId="10" fillId="2" borderId="1" xfId="0" applyNumberFormat="1" applyFont="1" applyFill="1" applyBorder="1" applyAlignment="1">
      <alignment horizontal="center" vertical="center"/>
    </xf>
    <xf numFmtId="9" fontId="10" fillId="6" borderId="1" xfId="1" applyFont="1" applyFill="1" applyBorder="1" applyAlignment="1">
      <alignment horizontal="center" vertical="center"/>
    </xf>
    <xf numFmtId="3" fontId="10" fillId="2" borderId="2" xfId="0" applyNumberFormat="1" applyFont="1" applyFill="1" applyBorder="1" applyAlignment="1">
      <alignment horizontal="center" vertical="center"/>
    </xf>
    <xf numFmtId="9" fontId="10" fillId="6" borderId="2" xfId="1" applyFont="1" applyFill="1" applyBorder="1" applyAlignment="1">
      <alignment horizontal="center" vertical="center"/>
    </xf>
    <xf numFmtId="3" fontId="10" fillId="6" borderId="1" xfId="0" applyNumberFormat="1" applyFont="1" applyFill="1" applyBorder="1" applyAlignment="1">
      <alignment horizontal="center" vertical="center"/>
    </xf>
    <xf numFmtId="3" fontId="11" fillId="2" borderId="4" xfId="0" applyNumberFormat="1" applyFont="1" applyFill="1" applyBorder="1" applyAlignment="1">
      <alignment horizontal="center" vertical="center"/>
    </xf>
    <xf numFmtId="3" fontId="11" fillId="6" borderId="4" xfId="0" applyNumberFormat="1" applyFont="1" applyFill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center"/>
    </xf>
    <xf numFmtId="9" fontId="10" fillId="2" borderId="1" xfId="0" applyNumberFormat="1" applyFont="1" applyFill="1" applyBorder="1" applyAlignment="1">
      <alignment horizontal="center" vertical="center"/>
    </xf>
    <xf numFmtId="9" fontId="10" fillId="2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9" fontId="10" fillId="0" borderId="2" xfId="1" applyFont="1" applyBorder="1" applyAlignment="1">
      <alignment horizontal="center" vertical="center"/>
    </xf>
    <xf numFmtId="9" fontId="10" fillId="0" borderId="1" xfId="1" applyFont="1" applyBorder="1" applyAlignment="1">
      <alignment horizontal="center" vertical="center"/>
    </xf>
    <xf numFmtId="3" fontId="14" fillId="6" borderId="17" xfId="0" applyNumberFormat="1" applyFont="1" applyFill="1" applyBorder="1" applyAlignment="1">
      <alignment horizontal="center" vertical="center"/>
    </xf>
    <xf numFmtId="3" fontId="9" fillId="6" borderId="11" xfId="0" applyNumberFormat="1" applyFont="1" applyFill="1" applyBorder="1" applyAlignment="1">
      <alignment horizontal="center" vertical="center"/>
    </xf>
    <xf numFmtId="9" fontId="14" fillId="6" borderId="17" xfId="1" applyFont="1" applyFill="1" applyBorder="1" applyAlignment="1">
      <alignment horizontal="center" vertical="center"/>
    </xf>
    <xf numFmtId="9" fontId="9" fillId="6" borderId="11" xfId="1" applyFont="1" applyFill="1" applyBorder="1" applyAlignment="1">
      <alignment horizontal="center" vertical="center"/>
    </xf>
    <xf numFmtId="3" fontId="11" fillId="2" borderId="26" xfId="0" applyNumberFormat="1" applyFont="1" applyFill="1" applyBorder="1" applyAlignment="1">
      <alignment horizontal="center" vertical="center"/>
    </xf>
    <xf numFmtId="9" fontId="11" fillId="2" borderId="28" xfId="1" applyFont="1" applyFill="1" applyBorder="1" applyAlignment="1">
      <alignment horizontal="center" vertical="center"/>
    </xf>
    <xf numFmtId="9" fontId="10" fillId="2" borderId="1" xfId="1" applyFont="1" applyFill="1" applyBorder="1" applyAlignment="1">
      <alignment horizontal="center" vertical="center"/>
    </xf>
    <xf numFmtId="9" fontId="10" fillId="2" borderId="2" xfId="1" applyFont="1" applyFill="1" applyBorder="1" applyAlignment="1">
      <alignment horizontal="center" vertical="center"/>
    </xf>
    <xf numFmtId="3" fontId="10" fillId="6" borderId="4" xfId="0" applyNumberFormat="1" applyFont="1" applyFill="1" applyBorder="1" applyAlignment="1">
      <alignment horizontal="center" vertical="center"/>
    </xf>
    <xf numFmtId="9" fontId="11" fillId="6" borderId="4" xfId="1" applyFont="1" applyFill="1" applyBorder="1" applyAlignment="1">
      <alignment horizontal="center" vertical="center"/>
    </xf>
    <xf numFmtId="9" fontId="10" fillId="2" borderId="0" xfId="1" applyFont="1" applyFill="1" applyAlignment="1">
      <alignment horizontal="center" vertical="center"/>
    </xf>
    <xf numFmtId="17" fontId="10" fillId="0" borderId="4" xfId="0" applyNumberFormat="1" applyFont="1" applyBorder="1" applyAlignment="1">
      <alignment horizontal="left" vertical="center"/>
    </xf>
    <xf numFmtId="9" fontId="10" fillId="0" borderId="4" xfId="1" applyFont="1" applyFill="1" applyBorder="1" applyAlignment="1">
      <alignment horizontal="center" vertical="center"/>
    </xf>
    <xf numFmtId="9" fontId="10" fillId="0" borderId="1" xfId="1" applyFont="1" applyFill="1" applyBorder="1" applyAlignment="1">
      <alignment horizontal="center" vertical="center"/>
    </xf>
    <xf numFmtId="164" fontId="10" fillId="2" borderId="25" xfId="1" applyNumberFormat="1" applyFont="1" applyFill="1" applyBorder="1" applyAlignment="1">
      <alignment horizontal="center" vertical="center"/>
    </xf>
    <xf numFmtId="17" fontId="10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164" fontId="10" fillId="2" borderId="4" xfId="1" applyNumberFormat="1" applyFont="1" applyFill="1" applyBorder="1" applyAlignment="1">
      <alignment horizontal="center" vertical="center"/>
    </xf>
    <xf numFmtId="164" fontId="10" fillId="2" borderId="1" xfId="1" applyNumberFormat="1" applyFont="1" applyFill="1" applyBorder="1" applyAlignment="1">
      <alignment horizontal="center" vertical="center"/>
    </xf>
    <xf numFmtId="164" fontId="10" fillId="2" borderId="2" xfId="1" applyNumberFormat="1" applyFont="1" applyFill="1" applyBorder="1" applyAlignment="1">
      <alignment horizontal="center" vertical="center"/>
    </xf>
    <xf numFmtId="9" fontId="16" fillId="2" borderId="1" xfId="1" applyFont="1" applyFill="1" applyBorder="1" applyAlignment="1">
      <alignment horizontal="center" vertical="center"/>
    </xf>
    <xf numFmtId="9" fontId="10" fillId="2" borderId="20" xfId="1" applyFont="1" applyFill="1" applyBorder="1" applyAlignment="1">
      <alignment horizontal="center" vertical="center"/>
    </xf>
    <xf numFmtId="9" fontId="10" fillId="0" borderId="2" xfId="1" applyFont="1" applyFill="1" applyBorder="1" applyAlignment="1">
      <alignment horizontal="center" vertical="center"/>
    </xf>
    <xf numFmtId="9" fontId="10" fillId="2" borderId="4" xfId="1" applyFont="1" applyFill="1" applyBorder="1" applyAlignment="1">
      <alignment horizontal="center" vertical="center"/>
    </xf>
    <xf numFmtId="9" fontId="10" fillId="2" borderId="25" xfId="1" applyFont="1" applyFill="1" applyBorder="1" applyAlignment="1">
      <alignment horizontal="center" vertical="center"/>
    </xf>
    <xf numFmtId="3" fontId="11" fillId="0" borderId="26" xfId="0" applyNumberFormat="1" applyFont="1" applyBorder="1" applyAlignment="1">
      <alignment horizontal="center" vertical="center"/>
    </xf>
    <xf numFmtId="3" fontId="11" fillId="2" borderId="31" xfId="0" applyNumberFormat="1" applyFont="1" applyFill="1" applyBorder="1" applyAlignment="1">
      <alignment horizontal="center" vertical="center"/>
    </xf>
    <xf numFmtId="9" fontId="11" fillId="2" borderId="26" xfId="1" applyFont="1" applyFill="1" applyBorder="1" applyAlignment="1">
      <alignment horizontal="center" vertical="center"/>
    </xf>
    <xf numFmtId="9" fontId="11" fillId="2" borderId="32" xfId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2" borderId="33" xfId="0" applyFont="1" applyFill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1" fontId="10" fillId="0" borderId="4" xfId="0" applyNumberFormat="1" applyFont="1" applyBorder="1" applyAlignment="1">
      <alignment horizontal="center" vertical="center"/>
    </xf>
    <xf numFmtId="1" fontId="10" fillId="2" borderId="34" xfId="0" applyNumberFormat="1" applyFont="1" applyFill="1" applyBorder="1" applyAlignment="1">
      <alignment horizontal="center" vertical="center"/>
    </xf>
    <xf numFmtId="9" fontId="10" fillId="0" borderId="25" xfId="1" applyFont="1" applyBorder="1" applyAlignment="1">
      <alignment horizontal="center" vertical="center"/>
    </xf>
    <xf numFmtId="9" fontId="10" fillId="2" borderId="3" xfId="1" applyFont="1" applyFill="1" applyBorder="1" applyAlignment="1">
      <alignment horizontal="center" vertical="center"/>
    </xf>
    <xf numFmtId="3" fontId="10" fillId="0" borderId="4" xfId="0" applyNumberFormat="1" applyFont="1" applyBorder="1" applyAlignment="1">
      <alignment horizontal="center" vertical="center"/>
    </xf>
    <xf numFmtId="3" fontId="10" fillId="2" borderId="20" xfId="0" applyNumberFormat="1" applyFont="1" applyFill="1" applyBorder="1" applyAlignment="1">
      <alignment horizontal="center" vertical="center"/>
    </xf>
    <xf numFmtId="9" fontId="10" fillId="2" borderId="27" xfId="1" applyFont="1" applyFill="1" applyBorder="1" applyAlignment="1">
      <alignment horizontal="center" vertical="center"/>
    </xf>
    <xf numFmtId="9" fontId="11" fillId="2" borderId="4" xfId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8" fillId="0" borderId="0" xfId="0" applyFont="1"/>
    <xf numFmtId="0" fontId="17" fillId="0" borderId="9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7" fontId="20" fillId="0" borderId="1" xfId="0" applyNumberFormat="1" applyFont="1" applyBorder="1" applyAlignment="1">
      <alignment horizontal="left" vertical="center"/>
    </xf>
    <xf numFmtId="3" fontId="20" fillId="0" borderId="1" xfId="0" applyNumberFormat="1" applyFont="1" applyBorder="1" applyAlignment="1">
      <alignment horizontal="center" vertical="center"/>
    </xf>
    <xf numFmtId="3" fontId="20" fillId="2" borderId="0" xfId="0" applyNumberFormat="1" applyFont="1" applyFill="1" applyAlignment="1">
      <alignment horizontal="center" vertical="center"/>
    </xf>
    <xf numFmtId="3" fontId="20" fillId="2" borderId="1" xfId="0" applyNumberFormat="1" applyFont="1" applyFill="1" applyBorder="1" applyAlignment="1">
      <alignment horizontal="center" vertical="center"/>
    </xf>
    <xf numFmtId="3" fontId="20" fillId="6" borderId="0" xfId="0" applyNumberFormat="1" applyFont="1" applyFill="1" applyAlignment="1">
      <alignment horizontal="center" vertical="center"/>
    </xf>
    <xf numFmtId="3" fontId="20" fillId="6" borderId="1" xfId="0" applyNumberFormat="1" applyFont="1" applyFill="1" applyBorder="1" applyAlignment="1">
      <alignment horizontal="center" vertical="center"/>
    </xf>
    <xf numFmtId="9" fontId="20" fillId="2" borderId="1" xfId="1" applyFont="1" applyFill="1" applyBorder="1" applyAlignment="1">
      <alignment horizontal="center" vertical="center"/>
    </xf>
    <xf numFmtId="9" fontId="20" fillId="0" borderId="1" xfId="1" applyFont="1" applyBorder="1" applyAlignment="1">
      <alignment horizontal="center" vertical="center"/>
    </xf>
    <xf numFmtId="17" fontId="20" fillId="0" borderId="2" xfId="0" applyNumberFormat="1" applyFont="1" applyBorder="1" applyAlignment="1">
      <alignment horizontal="left" vertical="center"/>
    </xf>
    <xf numFmtId="3" fontId="20" fillId="0" borderId="2" xfId="0" applyNumberFormat="1" applyFont="1" applyBorder="1" applyAlignment="1">
      <alignment horizontal="center" vertical="center"/>
    </xf>
    <xf numFmtId="3" fontId="20" fillId="2" borderId="2" xfId="0" applyNumberFormat="1" applyFont="1" applyFill="1" applyBorder="1" applyAlignment="1">
      <alignment horizontal="center" vertical="center"/>
    </xf>
    <xf numFmtId="3" fontId="20" fillId="2" borderId="22" xfId="0" applyNumberFormat="1" applyFont="1" applyFill="1" applyBorder="1" applyAlignment="1">
      <alignment horizontal="center" vertical="center"/>
    </xf>
    <xf numFmtId="9" fontId="20" fillId="2" borderId="0" xfId="1" applyFont="1" applyFill="1" applyAlignment="1">
      <alignment horizontal="center" vertical="center"/>
    </xf>
    <xf numFmtId="17" fontId="20" fillId="0" borderId="35" xfId="0" applyNumberFormat="1" applyFont="1" applyBorder="1" applyAlignment="1">
      <alignment horizontal="left" vertical="center"/>
    </xf>
    <xf numFmtId="9" fontId="20" fillId="0" borderId="22" xfId="1" applyFont="1" applyBorder="1" applyAlignment="1">
      <alignment horizontal="center" vertical="center"/>
    </xf>
    <xf numFmtId="0" fontId="0" fillId="0" borderId="22" xfId="0" applyBorder="1"/>
    <xf numFmtId="17" fontId="20" fillId="0" borderId="20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 wrapText="1"/>
    </xf>
    <xf numFmtId="17" fontId="20" fillId="0" borderId="1" xfId="0" applyNumberFormat="1" applyFont="1" applyBorder="1" applyAlignment="1">
      <alignment vertical="center"/>
    </xf>
    <xf numFmtId="0" fontId="17" fillId="0" borderId="35" xfId="0" applyFont="1" applyBorder="1" applyAlignment="1">
      <alignment horizontal="center" vertical="center" wrapText="1"/>
    </xf>
    <xf numFmtId="3" fontId="20" fillId="0" borderId="35" xfId="0" applyNumberFormat="1" applyFont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17" fontId="20" fillId="0" borderId="1" xfId="0" applyNumberFormat="1" applyFont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center" vertical="center" wrapText="1"/>
    </xf>
    <xf numFmtId="0" fontId="11" fillId="6" borderId="27" xfId="0" applyFont="1" applyFill="1" applyBorder="1" applyAlignment="1">
      <alignment horizontal="center" vertical="center" wrapText="1"/>
    </xf>
  </cellXfs>
  <cellStyles count="2">
    <cellStyle name="Normal" xfId="0" builtinId="0"/>
    <cellStyle name="Per cent" xfId="1" builtinId="5"/>
  </cellStyles>
  <dxfs count="20"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mruColors>
      <color rgb="FFFFBCFA"/>
      <color rgb="FFF77FDB"/>
      <color rgb="FFDDD9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55 on Main | Revenue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OTB!$B$2</c:f>
              <c:strCache>
                <c:ptCount val="1"/>
                <c:pt idx="0">
                  <c:v>OTB @ 14 Aug 2026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OTB!$A$3:$A$9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OTB!$B$3:$B$9</c:f>
              <c:numCache>
                <c:formatCode>#,##0</c:formatCode>
                <c:ptCount val="7"/>
                <c:pt idx="0">
                  <c:v>121385.09</c:v>
                </c:pt>
                <c:pt idx="1">
                  <c:v>56761.109999999993</c:v>
                </c:pt>
                <c:pt idx="2">
                  <c:v>66051.820000000007</c:v>
                </c:pt>
                <c:pt idx="3">
                  <c:v>3223.8</c:v>
                </c:pt>
                <c:pt idx="4">
                  <c:v>44744.94</c:v>
                </c:pt>
                <c:pt idx="5">
                  <c:v>44744.94</c:v>
                </c:pt>
                <c:pt idx="6">
                  <c:v>45743.94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52-E24E-90C2-D91A3EE328FB}"/>
            </c:ext>
          </c:extLst>
        </c:ser>
        <c:ser>
          <c:idx val="1"/>
          <c:order val="1"/>
          <c:tx>
            <c:strRef>
              <c:f>OTB!$C$2</c:f>
              <c:strCache>
                <c:ptCount val="1"/>
                <c:pt idx="0">
                  <c:v>OTB @ 31 Jul 2026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OTB!$A$3:$A$9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OTB!$C$3:$C$9</c:f>
              <c:numCache>
                <c:formatCode>#,##0</c:formatCode>
                <c:ptCount val="7"/>
                <c:pt idx="0">
                  <c:v>121385.09</c:v>
                </c:pt>
                <c:pt idx="1">
                  <c:v>20635.13</c:v>
                </c:pt>
                <c:pt idx="2">
                  <c:v>62151.82</c:v>
                </c:pt>
                <c:pt idx="3">
                  <c:v>3223.8</c:v>
                </c:pt>
                <c:pt idx="4">
                  <c:v>4545.1400000000003</c:v>
                </c:pt>
                <c:pt idx="5">
                  <c:v>31244.940000000002</c:v>
                </c:pt>
                <c:pt idx="6">
                  <c:v>41243.94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52-E24E-90C2-D91A3EE328FB}"/>
            </c:ext>
          </c:extLst>
        </c:ser>
        <c:ser>
          <c:idx val="2"/>
          <c:order val="2"/>
          <c:tx>
            <c:strRef>
              <c:f>OTB!$D$2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OTB!$A$3:$A$9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OTB!$D$3:$D$9</c:f>
              <c:numCache>
                <c:formatCode>#,##0</c:formatCode>
                <c:ptCount val="7"/>
                <c:pt idx="0">
                  <c:v>0</c:v>
                </c:pt>
                <c:pt idx="1">
                  <c:v>36125.979999999996</c:v>
                </c:pt>
                <c:pt idx="2">
                  <c:v>3900.0000000000073</c:v>
                </c:pt>
                <c:pt idx="3">
                  <c:v>0</c:v>
                </c:pt>
                <c:pt idx="4">
                  <c:v>40199.800000000003</c:v>
                </c:pt>
                <c:pt idx="5">
                  <c:v>13500</c:v>
                </c:pt>
                <c:pt idx="6">
                  <c:v>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52-E24E-90C2-D91A3EE328FB}"/>
            </c:ext>
          </c:extLst>
        </c:ser>
        <c:ser>
          <c:idx val="3"/>
          <c:order val="3"/>
          <c:tx>
            <c:strRef>
              <c:f>OTB!$F$2</c:f>
              <c:strCache>
                <c:ptCount val="1"/>
                <c:pt idx="0">
                  <c:v>OTB vs LY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OTB!$A$3:$A$9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OTB!$F$3:$F$9</c:f>
              <c:numCache>
                <c:formatCode>#,##0</c:formatCode>
                <c:ptCount val="7"/>
                <c:pt idx="0">
                  <c:v>-55470.91</c:v>
                </c:pt>
                <c:pt idx="1">
                  <c:v>-169821.89</c:v>
                </c:pt>
                <c:pt idx="2">
                  <c:v>-181073.76545454544</c:v>
                </c:pt>
                <c:pt idx="3">
                  <c:v>-308768.9200000001</c:v>
                </c:pt>
                <c:pt idx="4">
                  <c:v>-321893.06</c:v>
                </c:pt>
                <c:pt idx="5">
                  <c:v>-340282.32000000012</c:v>
                </c:pt>
                <c:pt idx="6">
                  <c:v>-349079.56000000011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52-E24E-90C2-D91A3EE328FB}"/>
            </c:ext>
          </c:extLst>
        </c:ser>
        <c:ser>
          <c:idx val="4"/>
          <c:order val="4"/>
          <c:tx>
            <c:strRef>
              <c:f>OTB!$H$2</c:f>
              <c:strCache>
                <c:ptCount val="1"/>
                <c:pt idx="0">
                  <c:v>OTB vs Target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OTB!$A$3:$A$9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OTB!$H$3:$H$9</c:f>
              <c:numCache>
                <c:formatCode>#,##0</c:formatCode>
                <c:ptCount val="7"/>
                <c:pt idx="0">
                  <c:v>-73156.510000000009</c:v>
                </c:pt>
                <c:pt idx="1">
                  <c:v>-192480.19000000003</c:v>
                </c:pt>
                <c:pt idx="2">
                  <c:v>-205786.32400000002</c:v>
                </c:pt>
                <c:pt idx="3">
                  <c:v>-339968.19200000016</c:v>
                </c:pt>
                <c:pt idx="4">
                  <c:v>-358556.86000000004</c:v>
                </c:pt>
                <c:pt idx="5">
                  <c:v>-378785.04600000015</c:v>
                </c:pt>
                <c:pt idx="6">
                  <c:v>-388561.91000000015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52-E24E-90C2-D91A3EE32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9063951"/>
        <c:axId val="859421887"/>
      </c:barChart>
      <c:catAx>
        <c:axId val="120906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421887"/>
        <c:crosses val="autoZero"/>
        <c:auto val="1"/>
        <c:lblAlgn val="ctr"/>
        <c:lblOffset val="100"/>
        <c:noMultiLvlLbl val="0"/>
      </c:catAx>
      <c:valAx>
        <c:axId val="85942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06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55 on Main | Occupancy %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8.9227710172592067E-2"/>
          <c:y val="0.14718253968253969"/>
          <c:w val="0.8829945120496302"/>
          <c:h val="0.718753593300837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OTB!$G$12</c:f>
              <c:strCache>
                <c:ptCount val="1"/>
                <c:pt idx="0">
                  <c:v>OTB @ 14 Aug 2026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OTB!$A$13:$A$19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OTB!$G$13:$G$19</c:f>
              <c:numCache>
                <c:formatCode>0%</c:formatCode>
                <c:ptCount val="7"/>
                <c:pt idx="0">
                  <c:v>0.24516129032258063</c:v>
                </c:pt>
                <c:pt idx="1">
                  <c:v>0.11182795698924732</c:v>
                </c:pt>
                <c:pt idx="2">
                  <c:v>0.13555555555555557</c:v>
                </c:pt>
                <c:pt idx="3">
                  <c:v>4.3010752688172043E-3</c:v>
                </c:pt>
                <c:pt idx="4">
                  <c:v>5.1111111111111114E-2</c:v>
                </c:pt>
                <c:pt idx="5">
                  <c:v>4.9462365591397849E-2</c:v>
                </c:pt>
                <c:pt idx="6">
                  <c:v>4.5161290322580643E-2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D-2D4B-8A72-D39F46B0159B}"/>
            </c:ext>
          </c:extLst>
        </c:ser>
        <c:ser>
          <c:idx val="1"/>
          <c:order val="1"/>
          <c:tx>
            <c:strRef>
              <c:f>OTB!$H$12</c:f>
              <c:strCache>
                <c:ptCount val="1"/>
                <c:pt idx="0">
                  <c:v>OTB @ 31 Jul 2026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OTB!$A$13:$A$19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OTB!$H$13:$H$19</c:f>
              <c:numCache>
                <c:formatCode>0%</c:formatCode>
                <c:ptCount val="7"/>
                <c:pt idx="0">
                  <c:v>0.24516129032258063</c:v>
                </c:pt>
                <c:pt idx="1">
                  <c:v>3.4408602150537634E-2</c:v>
                </c:pt>
                <c:pt idx="2">
                  <c:v>0.12888888888888889</c:v>
                </c:pt>
                <c:pt idx="3">
                  <c:v>4.3010752688172043E-3</c:v>
                </c:pt>
                <c:pt idx="4">
                  <c:v>4.4444444444444444E-3</c:v>
                </c:pt>
                <c:pt idx="5">
                  <c:v>3.0107526881720432E-2</c:v>
                </c:pt>
                <c:pt idx="6">
                  <c:v>3.870967741935484E-2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0D-2D4B-8A72-D39F46B0159B}"/>
            </c:ext>
          </c:extLst>
        </c:ser>
        <c:ser>
          <c:idx val="2"/>
          <c:order val="2"/>
          <c:tx>
            <c:strRef>
              <c:f>OTB!$I$12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OTB!$A$13:$A$19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OTB!$I$13:$I$19</c:f>
              <c:numCache>
                <c:formatCode>0%</c:formatCode>
                <c:ptCount val="7"/>
                <c:pt idx="0">
                  <c:v>0</c:v>
                </c:pt>
                <c:pt idx="1">
                  <c:v>7.7419354838709681E-2</c:v>
                </c:pt>
                <c:pt idx="2">
                  <c:v>6.6666666666666818E-3</c:v>
                </c:pt>
                <c:pt idx="3">
                  <c:v>0</c:v>
                </c:pt>
                <c:pt idx="4">
                  <c:v>4.6666666666666669E-2</c:v>
                </c:pt>
                <c:pt idx="5">
                  <c:v>1.9354838709677417E-2</c:v>
                </c:pt>
                <c:pt idx="6">
                  <c:v>6.4516129032258021E-3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0D-2D4B-8A72-D39F46B0159B}"/>
            </c:ext>
          </c:extLst>
        </c:ser>
        <c:ser>
          <c:idx val="3"/>
          <c:order val="3"/>
          <c:tx>
            <c:strRef>
              <c:f>OTB!$J$12</c:f>
              <c:strCache>
                <c:ptCount val="1"/>
                <c:pt idx="0">
                  <c:v>Last Year Actual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OTB!$A$13:$A$19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OTB!$J$13:$J$19</c:f>
              <c:numCache>
                <c:formatCode>0%</c:formatCode>
                <c:ptCount val="7"/>
                <c:pt idx="0">
                  <c:v>0.40860215053763443</c:v>
                </c:pt>
                <c:pt idx="1">
                  <c:v>0.4838709677419355</c:v>
                </c:pt>
                <c:pt idx="2">
                  <c:v>0.5755555555555556</c:v>
                </c:pt>
                <c:pt idx="3">
                  <c:v>0.66881720430107527</c:v>
                </c:pt>
                <c:pt idx="4">
                  <c:v>0.86</c:v>
                </c:pt>
                <c:pt idx="5">
                  <c:v>0.64301075268817209</c:v>
                </c:pt>
                <c:pt idx="6">
                  <c:v>0.67741935483870963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0D-2D4B-8A72-D39F46B0159B}"/>
            </c:ext>
          </c:extLst>
        </c:ser>
        <c:ser>
          <c:idx val="4"/>
          <c:order val="4"/>
          <c:tx>
            <c:strRef>
              <c:f>OTB!$K$12</c:f>
              <c:strCache>
                <c:ptCount val="1"/>
                <c:pt idx="0">
                  <c:v>OTB vs LY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OTB!$A$13:$A$19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OTB!$K$13:$K$19</c:f>
              <c:numCache>
                <c:formatCode>0%</c:formatCode>
                <c:ptCount val="7"/>
                <c:pt idx="0">
                  <c:v>-0.1634408602150538</c:v>
                </c:pt>
                <c:pt idx="1">
                  <c:v>-0.3720430107526882</c:v>
                </c:pt>
                <c:pt idx="2">
                  <c:v>-0.44000000000000006</c:v>
                </c:pt>
                <c:pt idx="3">
                  <c:v>-0.6645161290322581</c:v>
                </c:pt>
                <c:pt idx="4">
                  <c:v>-0.80888888888888888</c:v>
                </c:pt>
                <c:pt idx="5">
                  <c:v>-0.59354838709677427</c:v>
                </c:pt>
                <c:pt idx="6">
                  <c:v>-0.63225806451612898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0D-2D4B-8A72-D39F46B01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0057423"/>
        <c:axId val="842674623"/>
      </c:barChart>
      <c:catAx>
        <c:axId val="115005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674623"/>
        <c:crosses val="autoZero"/>
        <c:auto val="1"/>
        <c:lblAlgn val="ctr"/>
        <c:lblOffset val="100"/>
        <c:noMultiLvlLbl val="0"/>
      </c:catAx>
      <c:valAx>
        <c:axId val="84267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5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70707070707072E-3"/>
          <c:y val="0.9092257217847769"/>
          <c:w val="0.99292929292929288"/>
          <c:h val="6.69647544056992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55 on Main | Average Daily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OTB!$B$21</c:f>
              <c:strCache>
                <c:ptCount val="1"/>
                <c:pt idx="0">
                  <c:v>OTB @ 14 Aug 2026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OTB!$A$22:$A$28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OTB!$B$22:$B$28</c:f>
              <c:numCache>
                <c:formatCode>#,##0</c:formatCode>
                <c:ptCount val="7"/>
                <c:pt idx="0">
                  <c:v>1064.7814912280701</c:v>
                </c:pt>
                <c:pt idx="1">
                  <c:v>1091.5598076923075</c:v>
                </c:pt>
                <c:pt idx="2">
                  <c:v>1082.8167213114755</c:v>
                </c:pt>
                <c:pt idx="3">
                  <c:v>1611.9</c:v>
                </c:pt>
                <c:pt idx="4">
                  <c:v>1945.4321739130435</c:v>
                </c:pt>
                <c:pt idx="5">
                  <c:v>1945.4321739130435</c:v>
                </c:pt>
                <c:pt idx="6">
                  <c:v>2178.2828571428572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09-DB43-9039-0DD2C1E2C971}"/>
            </c:ext>
          </c:extLst>
        </c:ser>
        <c:ser>
          <c:idx val="1"/>
          <c:order val="1"/>
          <c:tx>
            <c:strRef>
              <c:f>OTB!$C$21</c:f>
              <c:strCache>
                <c:ptCount val="1"/>
                <c:pt idx="0">
                  <c:v>OTB @ 31 Jul 2026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OTB!$A$22:$A$28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OTB!$C$22:$C$28</c:f>
              <c:numCache>
                <c:formatCode>#,##0</c:formatCode>
                <c:ptCount val="7"/>
                <c:pt idx="0">
                  <c:v>1064.7814912280701</c:v>
                </c:pt>
                <c:pt idx="1">
                  <c:v>1289.6956250000001</c:v>
                </c:pt>
                <c:pt idx="2">
                  <c:v>1071.5831034482758</c:v>
                </c:pt>
                <c:pt idx="3">
                  <c:v>1611.9</c:v>
                </c:pt>
                <c:pt idx="4">
                  <c:v>2272.5700000000002</c:v>
                </c:pt>
                <c:pt idx="5">
                  <c:v>2231.7814285714289</c:v>
                </c:pt>
                <c:pt idx="6">
                  <c:v>2291.33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09-DB43-9039-0DD2C1E2C971}"/>
            </c:ext>
          </c:extLst>
        </c:ser>
        <c:ser>
          <c:idx val="2"/>
          <c:order val="2"/>
          <c:tx>
            <c:strRef>
              <c:f>OTB!$D$21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OTB!$A$22:$A$28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OTB!$D$22:$D$28</c:f>
              <c:numCache>
                <c:formatCode>#,##0</c:formatCode>
                <c:ptCount val="7"/>
                <c:pt idx="0">
                  <c:v>0</c:v>
                </c:pt>
                <c:pt idx="1">
                  <c:v>-198.13581730769261</c:v>
                </c:pt>
                <c:pt idx="2">
                  <c:v>11.233617863199697</c:v>
                </c:pt>
                <c:pt idx="3">
                  <c:v>0</c:v>
                </c:pt>
                <c:pt idx="4">
                  <c:v>-327.13782608695669</c:v>
                </c:pt>
                <c:pt idx="5">
                  <c:v>-286.34925465838546</c:v>
                </c:pt>
                <c:pt idx="6">
                  <c:v>-113.04714285714272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09-DB43-9039-0DD2C1E2C971}"/>
            </c:ext>
          </c:extLst>
        </c:ser>
        <c:ser>
          <c:idx val="3"/>
          <c:order val="3"/>
          <c:tx>
            <c:strRef>
              <c:f>OTB!$E$21</c:f>
              <c:strCache>
                <c:ptCount val="1"/>
                <c:pt idx="0">
                  <c:v>Last Year Actual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OTB!$A$22:$A$28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OTB!$E$22:$E$28</c:f>
              <c:numCache>
                <c:formatCode>#,##0</c:formatCode>
                <c:ptCount val="7"/>
                <c:pt idx="0">
                  <c:v>930.82105263157894</c:v>
                </c:pt>
                <c:pt idx="1">
                  <c:v>1007.0355555555556</c:v>
                </c:pt>
                <c:pt idx="2">
                  <c:v>954.15283959283954</c:v>
                </c:pt>
                <c:pt idx="3">
                  <c:v>1003.192025723473</c:v>
                </c:pt>
                <c:pt idx="4">
                  <c:v>947.38501291989667</c:v>
                </c:pt>
                <c:pt idx="5">
                  <c:v>1287.716588628763</c:v>
                </c:pt>
                <c:pt idx="6">
                  <c:v>1253.4079365079369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09-DB43-9039-0DD2C1E2C971}"/>
            </c:ext>
          </c:extLst>
        </c:ser>
        <c:ser>
          <c:idx val="4"/>
          <c:order val="4"/>
          <c:tx>
            <c:strRef>
              <c:f>OTB!$F$21</c:f>
              <c:strCache>
                <c:ptCount val="1"/>
                <c:pt idx="0">
                  <c:v>OTB vs LY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OTB!$A$22:$A$28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OTB!$G$22:$G$28</c:f>
              <c:numCache>
                <c:formatCode>0%</c:formatCode>
                <c:ptCount val="7"/>
                <c:pt idx="0">
                  <c:v>0.14391642541578073</c:v>
                </c:pt>
                <c:pt idx="1">
                  <c:v>8.3933731704360776E-2</c:v>
                </c:pt>
                <c:pt idx="2">
                  <c:v>0.13484619694004157</c:v>
                </c:pt>
                <c:pt idx="3">
                  <c:v>0.60677114517287412</c:v>
                </c:pt>
                <c:pt idx="4">
                  <c:v>1.0534757752997448</c:v>
                </c:pt>
                <c:pt idx="5">
                  <c:v>0.51076113415969504</c:v>
                </c:pt>
                <c:pt idx="6">
                  <c:v>0.73788819561145624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09-DB43-9039-0DD2C1E2C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605984"/>
        <c:axId val="39660432"/>
      </c:barChart>
      <c:catAx>
        <c:axId val="3960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60432"/>
        <c:crosses val="autoZero"/>
        <c:auto val="1"/>
        <c:lblAlgn val="ctr"/>
        <c:lblOffset val="100"/>
        <c:noMultiLvlLbl val="0"/>
      </c:catAx>
      <c:valAx>
        <c:axId val="3966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0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9797979797979799E-2"/>
          <c:y val="0.90443288338957628"/>
          <c:w val="0.9555555555555556"/>
          <c:h val="7.17575928008998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Sheet2!$B$2</c:f>
              <c:strCache>
                <c:ptCount val="1"/>
                <c:pt idx="0">
                  <c:v>OTB @ 30 Jun 2026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Sheet2!$A$3:$A$9</c:f>
              <c:strCache>
                <c:ptCount val="7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Sept</c:v>
                </c:pt>
                <c:pt idx="4">
                  <c:v>Oct</c:v>
                </c:pt>
                <c:pt idx="5">
                  <c:v>Nov</c:v>
                </c:pt>
                <c:pt idx="6">
                  <c:v>Dec</c:v>
                </c:pt>
              </c:strCache>
            </c:strRef>
          </c:cat>
          <c:val>
            <c:numRef>
              <c:f>Sheet2!$B$3:$B$9</c:f>
              <c:numCache>
                <c:formatCode>#,##0</c:formatCode>
                <c:ptCount val="7"/>
                <c:pt idx="0">
                  <c:v>0</c:v>
                </c:pt>
                <c:pt idx="1">
                  <c:v>121385.09</c:v>
                </c:pt>
                <c:pt idx="2">
                  <c:v>20635.13</c:v>
                </c:pt>
                <c:pt idx="3">
                  <c:v>62151.82</c:v>
                </c:pt>
                <c:pt idx="4">
                  <c:v>3223.8</c:v>
                </c:pt>
                <c:pt idx="5">
                  <c:v>4545.1400000000003</c:v>
                </c:pt>
                <c:pt idx="6">
                  <c:v>41243.94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79-4240-8D0C-1FA97A826F46}"/>
            </c:ext>
          </c:extLst>
        </c:ser>
        <c:ser>
          <c:idx val="1"/>
          <c:order val="1"/>
          <c:tx>
            <c:strRef>
              <c:f>Sheet2!$C$2</c:f>
              <c:strCache>
                <c:ptCount val="1"/>
                <c:pt idx="0">
                  <c:v>Pick-up @ 15 Jul 2026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Sheet2!$A$3:$A$9</c:f>
              <c:strCache>
                <c:ptCount val="7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Sept</c:v>
                </c:pt>
                <c:pt idx="4">
                  <c:v>Oct</c:v>
                </c:pt>
                <c:pt idx="5">
                  <c:v>Nov</c:v>
                </c:pt>
                <c:pt idx="6">
                  <c:v>Dec</c:v>
                </c:pt>
              </c:strCache>
            </c:strRef>
          </c:cat>
          <c:val>
            <c:numRef>
              <c:f>Sheet2!$C$3:$C$9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36125.979999999996</c:v>
                </c:pt>
                <c:pt idx="3">
                  <c:v>3900.0000000000073</c:v>
                </c:pt>
                <c:pt idx="4">
                  <c:v>0</c:v>
                </c:pt>
                <c:pt idx="5">
                  <c:v>40199.800000000003</c:v>
                </c:pt>
                <c:pt idx="6">
                  <c:v>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79-4240-8D0C-1FA97A826F46}"/>
            </c:ext>
          </c:extLst>
        </c:ser>
        <c:ser>
          <c:idx val="2"/>
          <c:order val="2"/>
          <c:tx>
            <c:strRef>
              <c:f>Sheet2!$D$2</c:f>
              <c:strCache>
                <c:ptCount val="1"/>
                <c:pt idx="0">
                  <c:v>Drop @ 15 Jul 2026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Sheet2!$A$3:$A$9</c:f>
              <c:strCache>
                <c:ptCount val="7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Sept</c:v>
                </c:pt>
                <c:pt idx="4">
                  <c:v>Oct</c:v>
                </c:pt>
                <c:pt idx="5">
                  <c:v>Nov</c:v>
                </c:pt>
                <c:pt idx="6">
                  <c:v>Dec</c:v>
                </c:pt>
              </c:strCache>
            </c:strRef>
          </c:cat>
          <c:val>
            <c:numRef>
              <c:f>Sheet2!$D$3:$D$9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79-4240-8D0C-1FA97A826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422112"/>
        <c:axId val="505270272"/>
      </c:barChart>
      <c:catAx>
        <c:axId val="20342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270272"/>
        <c:crosses val="autoZero"/>
        <c:auto val="1"/>
        <c:lblAlgn val="ctr"/>
        <c:lblOffset val="100"/>
        <c:noMultiLvlLbl val="0"/>
      </c:catAx>
      <c:valAx>
        <c:axId val="50527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2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Sheet2!$C$10</c:f>
              <c:strCache>
                <c:ptCount val="1"/>
                <c:pt idx="0">
                  <c:v>OTB @ 30 Jun 2026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multiLvlStrRef>
              <c:f>Sheet2!$A$11:$B$24</c:f>
              <c:multiLvlStrCache>
                <c:ptCount val="14"/>
                <c:lvl>
                  <c:pt idx="0">
                    <c:v>LY</c:v>
                  </c:pt>
                  <c:pt idx="1">
                    <c:v>Target</c:v>
                  </c:pt>
                  <c:pt idx="2">
                    <c:v>LY</c:v>
                  </c:pt>
                  <c:pt idx="3">
                    <c:v>Target</c:v>
                  </c:pt>
                  <c:pt idx="4">
                    <c:v>LY</c:v>
                  </c:pt>
                  <c:pt idx="5">
                    <c:v>Target</c:v>
                  </c:pt>
                  <c:pt idx="6">
                    <c:v>LY</c:v>
                  </c:pt>
                  <c:pt idx="7">
                    <c:v>Target</c:v>
                  </c:pt>
                  <c:pt idx="8">
                    <c:v>LY</c:v>
                  </c:pt>
                  <c:pt idx="9">
                    <c:v>Target</c:v>
                  </c:pt>
                  <c:pt idx="10">
                    <c:v>LY</c:v>
                  </c:pt>
                  <c:pt idx="11">
                    <c:v>Target</c:v>
                  </c:pt>
                  <c:pt idx="12">
                    <c:v>LY</c:v>
                  </c:pt>
                  <c:pt idx="13">
                    <c:v>Target</c:v>
                  </c:pt>
                </c:lvl>
                <c:lvl>
                  <c:pt idx="0">
                    <c:v>Jun</c:v>
                  </c:pt>
                  <c:pt idx="2">
                    <c:v>Jul</c:v>
                  </c:pt>
                  <c:pt idx="4">
                    <c:v>Aug</c:v>
                  </c:pt>
                  <c:pt idx="6">
                    <c:v>Sep</c:v>
                  </c:pt>
                  <c:pt idx="8">
                    <c:v>Oct</c:v>
                  </c:pt>
                  <c:pt idx="10">
                    <c:v>Nov</c:v>
                  </c:pt>
                  <c:pt idx="12">
                    <c:v>Dec</c:v>
                  </c:pt>
                </c:lvl>
              </c:multiLvlStrCache>
            </c:multiLvlStrRef>
          </c:cat>
          <c:val>
            <c:numRef>
              <c:f>Sheet2!$C$11:$C$24</c:f>
              <c:numCache>
                <c:formatCode>#,##0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176856</c:v>
                </c:pt>
                <c:pt idx="3">
                  <c:v>194541.6</c:v>
                </c:pt>
                <c:pt idx="4">
                  <c:v>226583</c:v>
                </c:pt>
                <c:pt idx="5">
                  <c:v>249241.30000000002</c:v>
                </c:pt>
                <c:pt idx="6">
                  <c:v>247125.58545454545</c:v>
                </c:pt>
                <c:pt idx="7">
                  <c:v>271838.14400000003</c:v>
                </c:pt>
                <c:pt idx="8">
                  <c:v>311992.72000000009</c:v>
                </c:pt>
                <c:pt idx="9">
                  <c:v>343191.99200000014</c:v>
                </c:pt>
                <c:pt idx="10">
                  <c:v>366638</c:v>
                </c:pt>
                <c:pt idx="11">
                  <c:v>403301.80000000005</c:v>
                </c:pt>
                <c:pt idx="12">
                  <c:v>394823.50000000012</c:v>
                </c:pt>
                <c:pt idx="13">
                  <c:v>434305.85000000015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0C-CE46-85B5-1E7FD1CC07AD}"/>
            </c:ext>
          </c:extLst>
        </c:ser>
        <c:ser>
          <c:idx val="1"/>
          <c:order val="1"/>
          <c:tx>
            <c:strRef>
              <c:f>Sheet2!$D$10</c:f>
              <c:strCache>
                <c:ptCount val="1"/>
                <c:pt idx="0">
                  <c:v>Achieved @ 15 Jul 2026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multiLvlStrRef>
              <c:f>Sheet2!$A$11:$B$24</c:f>
              <c:multiLvlStrCache>
                <c:ptCount val="14"/>
                <c:lvl>
                  <c:pt idx="0">
                    <c:v>LY</c:v>
                  </c:pt>
                  <c:pt idx="1">
                    <c:v>Target</c:v>
                  </c:pt>
                  <c:pt idx="2">
                    <c:v>LY</c:v>
                  </c:pt>
                  <c:pt idx="3">
                    <c:v>Target</c:v>
                  </c:pt>
                  <c:pt idx="4">
                    <c:v>LY</c:v>
                  </c:pt>
                  <c:pt idx="5">
                    <c:v>Target</c:v>
                  </c:pt>
                  <c:pt idx="6">
                    <c:v>LY</c:v>
                  </c:pt>
                  <c:pt idx="7">
                    <c:v>Target</c:v>
                  </c:pt>
                  <c:pt idx="8">
                    <c:v>LY</c:v>
                  </c:pt>
                  <c:pt idx="9">
                    <c:v>Target</c:v>
                  </c:pt>
                  <c:pt idx="10">
                    <c:v>LY</c:v>
                  </c:pt>
                  <c:pt idx="11">
                    <c:v>Target</c:v>
                  </c:pt>
                  <c:pt idx="12">
                    <c:v>LY</c:v>
                  </c:pt>
                  <c:pt idx="13">
                    <c:v>Target</c:v>
                  </c:pt>
                </c:lvl>
                <c:lvl>
                  <c:pt idx="0">
                    <c:v>Jun</c:v>
                  </c:pt>
                  <c:pt idx="2">
                    <c:v>Jul</c:v>
                  </c:pt>
                  <c:pt idx="4">
                    <c:v>Aug</c:v>
                  </c:pt>
                  <c:pt idx="6">
                    <c:v>Sep</c:v>
                  </c:pt>
                  <c:pt idx="8">
                    <c:v>Oct</c:v>
                  </c:pt>
                  <c:pt idx="10">
                    <c:v>Nov</c:v>
                  </c:pt>
                  <c:pt idx="12">
                    <c:v>Dec</c:v>
                  </c:pt>
                </c:lvl>
              </c:multiLvlStrCache>
            </c:multiLvlStrRef>
          </c:cat>
          <c:val>
            <c:numRef>
              <c:f>Sheet2!$D$11:$D$24</c:f>
              <c:numCache>
                <c:formatCode>#,##0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0C-CE46-85B5-1E7FD1CC07AD}"/>
            </c:ext>
          </c:extLst>
        </c:ser>
        <c:ser>
          <c:idx val="2"/>
          <c:order val="2"/>
          <c:tx>
            <c:strRef>
              <c:f>Sheet2!$E$10</c:f>
              <c:strCache>
                <c:ptCount val="1"/>
                <c:pt idx="0">
                  <c:v>Trailing @ 15 Jul 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Sheet2!$A$11:$B$24</c:f>
              <c:multiLvlStrCache>
                <c:ptCount val="14"/>
                <c:lvl>
                  <c:pt idx="0">
                    <c:v>LY</c:v>
                  </c:pt>
                  <c:pt idx="1">
                    <c:v>Target</c:v>
                  </c:pt>
                  <c:pt idx="2">
                    <c:v>LY</c:v>
                  </c:pt>
                  <c:pt idx="3">
                    <c:v>Target</c:v>
                  </c:pt>
                  <c:pt idx="4">
                    <c:v>LY</c:v>
                  </c:pt>
                  <c:pt idx="5">
                    <c:v>Target</c:v>
                  </c:pt>
                  <c:pt idx="6">
                    <c:v>LY</c:v>
                  </c:pt>
                  <c:pt idx="7">
                    <c:v>Target</c:v>
                  </c:pt>
                  <c:pt idx="8">
                    <c:v>LY</c:v>
                  </c:pt>
                  <c:pt idx="9">
                    <c:v>Target</c:v>
                  </c:pt>
                  <c:pt idx="10">
                    <c:v>LY</c:v>
                  </c:pt>
                  <c:pt idx="11">
                    <c:v>Target</c:v>
                  </c:pt>
                  <c:pt idx="12">
                    <c:v>LY</c:v>
                  </c:pt>
                  <c:pt idx="13">
                    <c:v>Target</c:v>
                  </c:pt>
                </c:lvl>
                <c:lvl>
                  <c:pt idx="0">
                    <c:v>Jun</c:v>
                  </c:pt>
                  <c:pt idx="2">
                    <c:v>Jul</c:v>
                  </c:pt>
                  <c:pt idx="4">
                    <c:v>Aug</c:v>
                  </c:pt>
                  <c:pt idx="6">
                    <c:v>Sep</c:v>
                  </c:pt>
                  <c:pt idx="8">
                    <c:v>Oct</c:v>
                  </c:pt>
                  <c:pt idx="10">
                    <c:v>Nov</c:v>
                  </c:pt>
                  <c:pt idx="12">
                    <c:v>Dec</c:v>
                  </c:pt>
                </c:lvl>
              </c:multiLvlStrCache>
            </c:multiLvlStrRef>
          </c:cat>
          <c:val>
            <c:numRef>
              <c:f>Sheet2!$E$11:$E$24</c:f>
              <c:numCache>
                <c:formatCode>#,##0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55470.91</c:v>
                </c:pt>
                <c:pt idx="3">
                  <c:v>73156.510000000009</c:v>
                </c:pt>
                <c:pt idx="4">
                  <c:v>169821.89</c:v>
                </c:pt>
                <c:pt idx="5">
                  <c:v>192480.19000000003</c:v>
                </c:pt>
                <c:pt idx="6">
                  <c:v>181073.76545454544</c:v>
                </c:pt>
                <c:pt idx="7">
                  <c:v>205786.32400000002</c:v>
                </c:pt>
                <c:pt idx="8">
                  <c:v>308768.9200000001</c:v>
                </c:pt>
                <c:pt idx="9">
                  <c:v>339968.19200000016</c:v>
                </c:pt>
                <c:pt idx="10">
                  <c:v>321893.06</c:v>
                </c:pt>
                <c:pt idx="11">
                  <c:v>358556.86000000004</c:v>
                </c:pt>
                <c:pt idx="12">
                  <c:v>349079.56000000011</c:v>
                </c:pt>
                <c:pt idx="13">
                  <c:v>388561.91000000015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0C-CE46-85B5-1E7FD1CC0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9040528"/>
        <c:axId val="507856144"/>
      </c:barChart>
      <c:catAx>
        <c:axId val="45904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856144"/>
        <c:crosses val="autoZero"/>
        <c:auto val="1"/>
        <c:lblAlgn val="ctr"/>
        <c:lblOffset val="100"/>
        <c:noMultiLvlLbl val="0"/>
      </c:catAx>
      <c:valAx>
        <c:axId val="50785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04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Yearly</a:t>
            </a:r>
            <a:r>
              <a:rPr lang="en-ZA" baseline="0"/>
              <a:t> Revenue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rgbClr val="F77FD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77FDB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YOY!$B$1:$H$1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</c:strCache>
            </c:strRef>
          </c:cat>
          <c:val>
            <c:numRef>
              <c:f>YOY!$B$14:$H$14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99-0047-B9E2-A6AA5F19E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51296"/>
        <c:axId val="209848896"/>
      </c:lineChart>
      <c:catAx>
        <c:axId val="2098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48896"/>
        <c:crosses val="autoZero"/>
        <c:auto val="1"/>
        <c:lblAlgn val="ctr"/>
        <c:lblOffset val="100"/>
        <c:noMultiLvlLbl val="0"/>
      </c:catAx>
      <c:valAx>
        <c:axId val="20984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5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Yearly</a:t>
            </a:r>
            <a:r>
              <a:rPr lang="en-ZA" baseline="0"/>
              <a:t> Occupancy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rgbClr val="F9A1E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9A1E4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YOY!$B$29:$H$29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</c:strCache>
            </c:strRef>
          </c:cat>
          <c:val>
            <c:numRef>
              <c:f>YOY!$B$42:$H$42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03-954C-907E-3B60D8B72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66656"/>
        <c:axId val="209868576"/>
      </c:lineChart>
      <c:catAx>
        <c:axId val="20986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68576"/>
        <c:crosses val="autoZero"/>
        <c:auto val="1"/>
        <c:lblAlgn val="ctr"/>
        <c:lblOffset val="100"/>
        <c:noMultiLvlLbl val="0"/>
      </c:catAx>
      <c:valAx>
        <c:axId val="20986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6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Yearly ADR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rgbClr val="F559D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559D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YOY!$B$43:$H$43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</c:strCache>
            </c:strRef>
          </c:cat>
          <c:val>
            <c:numRef>
              <c:f>YOY!$B$56:$H$56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22-E344-9F0C-8C0B51891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72896"/>
        <c:axId val="209855616"/>
      </c:lineChart>
      <c:catAx>
        <c:axId val="20987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55616"/>
        <c:crosses val="autoZero"/>
        <c:auto val="1"/>
        <c:lblAlgn val="ctr"/>
        <c:lblOffset val="100"/>
        <c:noMultiLvlLbl val="0"/>
      </c:catAx>
      <c:valAx>
        <c:axId val="20985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7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4 Year</a:t>
            </a:r>
            <a:r>
              <a:rPr lang="en-ZA" baseline="0"/>
              <a:t> Revenue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YOY!$A$2:$A$13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YOY!$C$2:$C$13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F2BD-0F43-A628-5011CF79AF87}"/>
            </c:ext>
          </c:extLst>
        </c:ser>
        <c:ser>
          <c:idx val="1"/>
          <c:order val="1"/>
          <c:spPr>
            <a:solidFill>
              <a:srgbClr val="F9A1E4"/>
            </a:solidFill>
            <a:ln>
              <a:noFill/>
            </a:ln>
            <a:effectLst/>
          </c:spPr>
          <c:invertIfNegative val="0"/>
          <c:cat>
            <c:strRef>
              <c:f>YOY!$A$2:$A$13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YOY!$D$2:$D$13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F2BD-0F43-A628-5011CF79AF87}"/>
            </c:ext>
          </c:extLst>
        </c:ser>
        <c:ser>
          <c:idx val="2"/>
          <c:order val="2"/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YOY!$A$2:$A$13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YOY!$E$2:$E$13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F2BD-0F43-A628-5011CF79AF87}"/>
            </c:ext>
          </c:extLst>
        </c:ser>
        <c:ser>
          <c:idx val="3"/>
          <c:order val="3"/>
          <c:spPr>
            <a:solidFill>
              <a:srgbClr val="F559D0"/>
            </a:solidFill>
            <a:ln>
              <a:noFill/>
            </a:ln>
            <a:effectLst/>
          </c:spPr>
          <c:invertIfNegative val="0"/>
          <c:cat>
            <c:strRef>
              <c:f>YOY!$A$2:$A$13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YOY!$F$2:$F$13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3-F2BD-0F43-A628-5011CF79AF87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YOY!$A$2:$A$13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YOY!$H$2:$H$13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D276-F447-A44D-05B09660B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877216"/>
        <c:axId val="209860896"/>
      </c:barChart>
      <c:catAx>
        <c:axId val="20987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60896"/>
        <c:crosses val="autoZero"/>
        <c:auto val="1"/>
        <c:lblAlgn val="ctr"/>
        <c:lblOffset val="100"/>
        <c:noMultiLvlLbl val="0"/>
      </c:catAx>
      <c:valAx>
        <c:axId val="20986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7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4</a:t>
            </a:r>
            <a:r>
              <a:rPr lang="en-ZA" baseline="0"/>
              <a:t> Year Occupancy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cat>
            <c:strRef>
              <c:f>YOY!$A$30:$A$41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YOY!$C$30:$C$41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BD-FC45-86C7-F89D725A2A41}"/>
            </c:ext>
          </c:extLst>
        </c:ser>
        <c:ser>
          <c:idx val="1"/>
          <c:order val="1"/>
          <c:spPr>
            <a:ln w="28575" cap="rnd">
              <a:solidFill>
                <a:srgbClr val="F9A1E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9A1E4"/>
              </a:solidFill>
              <a:ln w="9525">
                <a:solidFill>
                  <a:srgbClr val="F9A1E4"/>
                </a:solidFill>
              </a:ln>
              <a:effectLst/>
            </c:spPr>
          </c:marker>
          <c:cat>
            <c:strRef>
              <c:f>YOY!$A$30:$A$41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YOY!$D$30:$D$41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BD-FC45-86C7-F89D725A2A41}"/>
            </c:ext>
          </c:extLst>
        </c:ser>
        <c:ser>
          <c:idx val="2"/>
          <c:order val="2"/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cat>
            <c:strRef>
              <c:f>YOY!$A$30:$A$41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YOY!$E$30:$E$41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BD-FC45-86C7-F89D725A2A41}"/>
            </c:ext>
          </c:extLst>
        </c:ser>
        <c:ser>
          <c:idx val="3"/>
          <c:order val="3"/>
          <c:spPr>
            <a:ln w="28575" cap="rnd">
              <a:solidFill>
                <a:srgbClr val="F559D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559D0"/>
              </a:solidFill>
              <a:ln w="9525">
                <a:solidFill>
                  <a:srgbClr val="F559D0"/>
                </a:solidFill>
              </a:ln>
              <a:effectLst/>
            </c:spPr>
          </c:marker>
          <c:cat>
            <c:strRef>
              <c:f>YOY!$A$30:$A$41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YOY!$F$30:$F$41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BD-FC45-86C7-F89D725A2A41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YOY!$A$30:$A$41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YOY!$H$30:$H$41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9C-454D-9A7D-FC960E1A6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131264"/>
        <c:axId val="210123104"/>
      </c:lineChart>
      <c:catAx>
        <c:axId val="21013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3104"/>
        <c:crosses val="autoZero"/>
        <c:auto val="1"/>
        <c:lblAlgn val="ctr"/>
        <c:lblOffset val="100"/>
        <c:noMultiLvlLbl val="0"/>
      </c:catAx>
      <c:valAx>
        <c:axId val="21012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3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 4 Year ADR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YOY!$A$44:$A$55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YOY!$C$44:$C$55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2-AA4D-BC39-69C598188384}"/>
            </c:ext>
          </c:extLst>
        </c:ser>
        <c:ser>
          <c:idx val="1"/>
          <c:order val="1"/>
          <c:spPr>
            <a:solidFill>
              <a:srgbClr val="F9A1E4"/>
            </a:solidFill>
            <a:ln>
              <a:noFill/>
            </a:ln>
            <a:effectLst/>
          </c:spPr>
          <c:invertIfNegative val="0"/>
          <c:cat>
            <c:strRef>
              <c:f>YOY!$A$44:$A$55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YOY!$D$44:$D$55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2-AA4D-BC39-69C598188384}"/>
            </c:ext>
          </c:extLst>
        </c:ser>
        <c:ser>
          <c:idx val="2"/>
          <c:order val="2"/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YOY!$A$44:$A$55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YOY!$E$44:$E$55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32-AA4D-BC39-69C598188384}"/>
            </c:ext>
          </c:extLst>
        </c:ser>
        <c:ser>
          <c:idx val="3"/>
          <c:order val="3"/>
          <c:spPr>
            <a:solidFill>
              <a:srgbClr val="F559D0"/>
            </a:solidFill>
            <a:ln>
              <a:noFill/>
            </a:ln>
            <a:effectLst/>
          </c:spPr>
          <c:invertIfNegative val="0"/>
          <c:cat>
            <c:strRef>
              <c:f>YOY!$A$44:$A$55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YOY!$F$44:$F$55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32-AA4D-BC39-69C598188384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YOY!$A$44:$A$55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YOY!$H$44:$H$55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A-3F4E-99ED-7547AFB7E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124544"/>
        <c:axId val="210129344"/>
      </c:barChart>
      <c:catAx>
        <c:axId val="21012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9344"/>
        <c:crosses val="autoZero"/>
        <c:auto val="1"/>
        <c:lblAlgn val="ctr"/>
        <c:lblOffset val="100"/>
        <c:noMultiLvlLbl val="0"/>
      </c:catAx>
      <c:valAx>
        <c:axId val="21012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29</xdr:row>
      <xdr:rowOff>101600</xdr:rowOff>
    </xdr:from>
    <xdr:to>
      <xdr:col>6</xdr:col>
      <xdr:colOff>482600</xdr:colOff>
      <xdr:row>45</xdr:row>
      <xdr:rowOff>50800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4591DE4-0579-0DDF-4E65-68922E74B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527050</xdr:colOff>
      <xdr:row>29</xdr:row>
      <xdr:rowOff>95250</xdr:rowOff>
    </xdr:from>
    <xdr:to>
      <xdr:col>12</xdr:col>
      <xdr:colOff>704850</xdr:colOff>
      <xdr:row>45</xdr:row>
      <xdr:rowOff>44450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7416DA9-9E97-6E63-3434-E10DDCA8E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120650</xdr:colOff>
      <xdr:row>45</xdr:row>
      <xdr:rowOff>107950</xdr:rowOff>
    </xdr:from>
    <xdr:to>
      <xdr:col>6</xdr:col>
      <xdr:colOff>501650</xdr:colOff>
      <xdr:row>61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CDDBE-6951-EA8E-C324-884643C327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539750</xdr:colOff>
      <xdr:row>8</xdr:row>
      <xdr:rowOff>1</xdr:rowOff>
    </xdr:from>
    <xdr:to>
      <xdr:col>11</xdr:col>
      <xdr:colOff>158750</xdr:colOff>
      <xdr:row>20</xdr:row>
      <xdr:rowOff>192617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CAC90F-3163-6FFB-C277-F8647416AF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529166</xdr:colOff>
      <xdr:row>21</xdr:row>
      <xdr:rowOff>112184</xdr:rowOff>
    </xdr:from>
    <xdr:to>
      <xdr:col>11</xdr:col>
      <xdr:colOff>148166</xdr:colOff>
      <xdr:row>34</xdr:row>
      <xdr:rowOff>86783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C7A030D-74AD-2BA3-D1DA-DDB4D9010B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327478</xdr:colOff>
      <xdr:row>1</xdr:row>
      <xdr:rowOff>26761</xdr:rowOff>
    </xdr:from>
    <xdr:to>
      <xdr:col>17</xdr:col>
      <xdr:colOff>632278</xdr:colOff>
      <xdr:row>13</xdr:row>
      <xdr:rowOff>146504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97CE4B-CBB0-AD45-98E4-2AD6D254AD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65315</xdr:colOff>
      <xdr:row>29</xdr:row>
      <xdr:rowOff>59872</xdr:rowOff>
    </xdr:from>
    <xdr:to>
      <xdr:col>17</xdr:col>
      <xdr:colOff>370115</xdr:colOff>
      <xdr:row>41</xdr:row>
      <xdr:rowOff>179615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767DB2-8E84-6740-BE30-38CF4FE28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65314</xdr:colOff>
      <xdr:row>43</xdr:row>
      <xdr:rowOff>59871</xdr:rowOff>
    </xdr:from>
    <xdr:to>
      <xdr:col>17</xdr:col>
      <xdr:colOff>370114</xdr:colOff>
      <xdr:row>55</xdr:row>
      <xdr:rowOff>179614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58ADF2-AC07-3B44-936A-FB7C32575F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65314</xdr:colOff>
      <xdr:row>1</xdr:row>
      <xdr:rowOff>38100</xdr:rowOff>
    </xdr:from>
    <xdr:to>
      <xdr:col>25</xdr:col>
      <xdr:colOff>370114</xdr:colOff>
      <xdr:row>13</xdr:row>
      <xdr:rowOff>157843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1044139-CECD-7746-8EF2-3897AACEE9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65314</xdr:colOff>
      <xdr:row>29</xdr:row>
      <xdr:rowOff>114300</xdr:rowOff>
    </xdr:from>
    <xdr:to>
      <xdr:col>25</xdr:col>
      <xdr:colOff>370114</xdr:colOff>
      <xdr:row>42</xdr:row>
      <xdr:rowOff>5443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5AFB6D-2D12-4F48-B832-58BEA226C3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87085</xdr:colOff>
      <xdr:row>43</xdr:row>
      <xdr:rowOff>38099</xdr:rowOff>
    </xdr:from>
    <xdr:to>
      <xdr:col>25</xdr:col>
      <xdr:colOff>391885</xdr:colOff>
      <xdr:row>55</xdr:row>
      <xdr:rowOff>157842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B045E96-31DD-EB4A-84C1-8562FEB14F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4FC22-16E4-5542-87C2-0EE348A6D3D1}">
  <dimension ref="A1:Z28"/>
  <sheetViews>
    <sheetView tabSelected="1" topLeftCell="A24" zoomScaleNormal="100" workbookViewId="0">
      <selection activeCell="K55" sqref="K55"/>
    </sheetView>
  </sheetViews>
  <sheetFormatPr baseColWidth="10" defaultRowHeight="16" x14ac:dyDescent="0.2"/>
  <cols>
    <col min="1" max="1" width="8.83203125" style="7" customWidth="1"/>
    <col min="2" max="3" width="10.83203125" style="7"/>
    <col min="4" max="4" width="8.83203125" style="7" customWidth="1"/>
    <col min="5" max="8" width="10.83203125" style="7"/>
    <col min="9" max="9" width="8.83203125" style="7" customWidth="1"/>
    <col min="10" max="11" width="10.83203125" style="7"/>
    <col min="12" max="14" width="11.5" style="1" customWidth="1"/>
    <col min="25" max="26" width="10.83203125" style="129"/>
  </cols>
  <sheetData>
    <row r="1" spans="1:26" ht="28" customHeight="1" thickBot="1" x14ac:dyDescent="0.25">
      <c r="A1" s="158" t="s">
        <v>91</v>
      </c>
      <c r="B1" s="159"/>
      <c r="C1" s="159"/>
      <c r="D1" s="159"/>
      <c r="E1" s="159"/>
      <c r="F1" s="159"/>
      <c r="G1" s="159"/>
      <c r="H1" s="159"/>
      <c r="I1" s="159"/>
      <c r="J1" s="159"/>
      <c r="K1" s="160"/>
      <c r="N1" s="67"/>
    </row>
    <row r="2" spans="1:26" s="5" customFormat="1" ht="32" customHeight="1" x14ac:dyDescent="0.2">
      <c r="A2" s="54"/>
      <c r="B2" s="55" t="s">
        <v>90</v>
      </c>
      <c r="C2" s="55" t="s">
        <v>89</v>
      </c>
      <c r="D2" s="55" t="s">
        <v>0</v>
      </c>
      <c r="E2" s="56" t="s">
        <v>1</v>
      </c>
      <c r="F2" s="57" t="s">
        <v>8</v>
      </c>
      <c r="G2" s="58" t="s">
        <v>41</v>
      </c>
      <c r="H2" s="59" t="s">
        <v>2</v>
      </c>
      <c r="I2" s="4"/>
      <c r="J2" s="57" t="s">
        <v>8</v>
      </c>
      <c r="K2" s="59" t="s">
        <v>2</v>
      </c>
      <c r="L2" s="4"/>
      <c r="M2" s="4"/>
      <c r="Y2" s="131"/>
      <c r="Z2" s="131"/>
    </row>
    <row r="3" spans="1:26" s="3" customFormat="1" ht="18" customHeight="1" x14ac:dyDescent="0.2">
      <c r="A3" s="50" t="s">
        <v>31</v>
      </c>
      <c r="B3" s="53">
        <v>121385.09</v>
      </c>
      <c r="C3" s="53">
        <v>121385.09</v>
      </c>
      <c r="D3" s="53">
        <f t="shared" ref="D3:D7" si="0">B3-C3</f>
        <v>0</v>
      </c>
      <c r="E3" s="60">
        <v>176856</v>
      </c>
      <c r="F3" s="74">
        <f t="shared" ref="F3:F10" si="1">B3-E3</f>
        <v>-55470.91</v>
      </c>
      <c r="G3" s="61">
        <f t="shared" ref="G3:G9" si="2">E3*1.1</f>
        <v>194541.6</v>
      </c>
      <c r="H3" s="78">
        <f t="shared" ref="H3:H9" si="3">B3-G3</f>
        <v>-73156.510000000009</v>
      </c>
      <c r="I3" s="6"/>
      <c r="J3" s="94">
        <f t="shared" ref="J3:J10" si="4">(B3-E3)/E3</f>
        <v>-0.31365014475053155</v>
      </c>
      <c r="K3" s="75">
        <f t="shared" ref="K3:K10" si="5">(B3-G3)/G3</f>
        <v>-0.37604558613684685</v>
      </c>
      <c r="L3" s="2"/>
      <c r="M3" s="2"/>
      <c r="Y3" s="129"/>
      <c r="Z3" s="129"/>
    </row>
    <row r="4" spans="1:26" s="3" customFormat="1" ht="18" customHeight="1" x14ac:dyDescent="0.2">
      <c r="A4" s="50" t="s">
        <v>3</v>
      </c>
      <c r="B4" s="53">
        <v>56761.109999999993</v>
      </c>
      <c r="C4" s="53">
        <v>20635.13</v>
      </c>
      <c r="D4" s="53">
        <f t="shared" si="0"/>
        <v>36125.979999999996</v>
      </c>
      <c r="E4" s="60">
        <v>226583</v>
      </c>
      <c r="F4" s="74">
        <f t="shared" si="1"/>
        <v>-169821.89</v>
      </c>
      <c r="G4" s="61">
        <f t="shared" si="2"/>
        <v>249241.30000000002</v>
      </c>
      <c r="H4" s="78">
        <f t="shared" si="3"/>
        <v>-192480.19000000003</v>
      </c>
      <c r="I4" s="6"/>
      <c r="J4" s="94">
        <f t="shared" si="4"/>
        <v>-0.74949087089499222</v>
      </c>
      <c r="K4" s="75">
        <f t="shared" si="5"/>
        <v>-0.77226442808635654</v>
      </c>
      <c r="L4" s="2"/>
      <c r="M4" s="2"/>
      <c r="Y4" s="129"/>
      <c r="Z4" s="129"/>
    </row>
    <row r="5" spans="1:26" s="3" customFormat="1" ht="18" customHeight="1" x14ac:dyDescent="0.2">
      <c r="A5" s="50" t="s">
        <v>4</v>
      </c>
      <c r="B5" s="53">
        <v>66051.820000000007</v>
      </c>
      <c r="C5" s="53">
        <v>62151.82</v>
      </c>
      <c r="D5" s="53">
        <f t="shared" si="0"/>
        <v>3900.0000000000073</v>
      </c>
      <c r="E5" s="60">
        <v>247125.58545454545</v>
      </c>
      <c r="F5" s="74">
        <f t="shared" si="1"/>
        <v>-181073.76545454544</v>
      </c>
      <c r="G5" s="61">
        <f t="shared" si="2"/>
        <v>271838.14400000003</v>
      </c>
      <c r="H5" s="78">
        <f t="shared" si="3"/>
        <v>-205786.32400000002</v>
      </c>
      <c r="I5" s="6"/>
      <c r="J5" s="94">
        <f t="shared" si="4"/>
        <v>-0.73271962157010606</v>
      </c>
      <c r="K5" s="75">
        <f t="shared" si="5"/>
        <v>-0.75701783779100551</v>
      </c>
      <c r="L5" s="2"/>
      <c r="M5" s="2"/>
      <c r="Y5" s="129"/>
      <c r="Z5" s="129"/>
    </row>
    <row r="6" spans="1:26" s="3" customFormat="1" ht="18" customHeight="1" x14ac:dyDescent="0.2">
      <c r="A6" s="50" t="s">
        <v>30</v>
      </c>
      <c r="B6" s="53">
        <v>3223.8</v>
      </c>
      <c r="C6" s="53">
        <v>3223.8</v>
      </c>
      <c r="D6" s="53">
        <f t="shared" si="0"/>
        <v>0</v>
      </c>
      <c r="E6" s="60">
        <v>311992.72000000009</v>
      </c>
      <c r="F6" s="74">
        <f t="shared" si="1"/>
        <v>-308768.9200000001</v>
      </c>
      <c r="G6" s="61">
        <f t="shared" si="2"/>
        <v>343191.99200000014</v>
      </c>
      <c r="H6" s="78">
        <f t="shared" si="3"/>
        <v>-339968.19200000016</v>
      </c>
      <c r="I6" s="6"/>
      <c r="J6" s="94">
        <f t="shared" si="4"/>
        <v>-0.98966706659052817</v>
      </c>
      <c r="K6" s="75">
        <f t="shared" si="5"/>
        <v>-0.99060642417320743</v>
      </c>
      <c r="L6" s="2"/>
      <c r="M6" s="2"/>
      <c r="Y6" s="129"/>
      <c r="Z6" s="129"/>
    </row>
    <row r="7" spans="1:26" s="3" customFormat="1" ht="18" customHeight="1" x14ac:dyDescent="0.2">
      <c r="A7" s="50" t="s">
        <v>29</v>
      </c>
      <c r="B7" s="53">
        <v>44744.94</v>
      </c>
      <c r="C7" s="53">
        <v>4545.1400000000003</v>
      </c>
      <c r="D7" s="53">
        <f t="shared" si="0"/>
        <v>40199.800000000003</v>
      </c>
      <c r="E7" s="60">
        <v>366638</v>
      </c>
      <c r="F7" s="74">
        <f t="shared" si="1"/>
        <v>-321893.06</v>
      </c>
      <c r="G7" s="61">
        <f t="shared" si="2"/>
        <v>403301.80000000005</v>
      </c>
      <c r="H7" s="78">
        <f t="shared" si="3"/>
        <v>-358556.86000000004</v>
      </c>
      <c r="I7" s="6"/>
      <c r="J7" s="94">
        <f t="shared" si="4"/>
        <v>-0.87795880405195315</v>
      </c>
      <c r="K7" s="75">
        <f t="shared" si="5"/>
        <v>-0.88905345822904835</v>
      </c>
      <c r="L7" s="2"/>
      <c r="M7" s="2"/>
      <c r="Y7" s="129"/>
      <c r="Z7" s="129"/>
    </row>
    <row r="8" spans="1:26" s="3" customFormat="1" ht="18" customHeight="1" x14ac:dyDescent="0.2">
      <c r="A8" s="50" t="s">
        <v>28</v>
      </c>
      <c r="B8" s="53">
        <v>44744.94</v>
      </c>
      <c r="C8" s="53">
        <v>31244.940000000002</v>
      </c>
      <c r="D8" s="53">
        <f t="shared" ref="D8" si="6">B8-C8</f>
        <v>13500</v>
      </c>
      <c r="E8" s="60">
        <v>385027.26000000013</v>
      </c>
      <c r="F8" s="74">
        <f t="shared" ref="F8" si="7">B8-E8</f>
        <v>-340282.32000000012</v>
      </c>
      <c r="G8" s="61">
        <f t="shared" ref="G8" si="8">E8*1.1</f>
        <v>423529.98600000015</v>
      </c>
      <c r="H8" s="78">
        <f t="shared" ref="H8" si="9">B8-G8</f>
        <v>-378785.04600000015</v>
      </c>
      <c r="I8" s="6"/>
      <c r="J8" s="94">
        <f t="shared" ref="J8" si="10">(B8-E8)/E8</f>
        <v>-0.88378760506463883</v>
      </c>
      <c r="K8" s="75">
        <f t="shared" ref="K8" si="11">(B8-G8)/G8</f>
        <v>-0.89435236824058073</v>
      </c>
      <c r="L8" s="2"/>
      <c r="M8" s="2"/>
      <c r="Y8" s="129"/>
      <c r="Z8" s="129"/>
    </row>
    <row r="9" spans="1:26" s="3" customFormat="1" ht="18" customHeight="1" x14ac:dyDescent="0.2">
      <c r="A9" s="51">
        <v>46388</v>
      </c>
      <c r="B9" s="53">
        <v>45743.94</v>
      </c>
      <c r="C9" s="53">
        <v>41243.94</v>
      </c>
      <c r="D9" s="53">
        <f>B9-C9</f>
        <v>4500</v>
      </c>
      <c r="E9" s="60">
        <v>394823.50000000012</v>
      </c>
      <c r="F9" s="74">
        <f t="shared" si="1"/>
        <v>-349079.56000000011</v>
      </c>
      <c r="G9" s="61">
        <f t="shared" si="2"/>
        <v>434305.85000000015</v>
      </c>
      <c r="H9" s="78">
        <f t="shared" si="3"/>
        <v>-388561.91000000015</v>
      </c>
      <c r="I9" s="6"/>
      <c r="J9" s="94">
        <f t="shared" si="4"/>
        <v>-0.88414078695923626</v>
      </c>
      <c r="K9" s="77">
        <f t="shared" si="5"/>
        <v>-0.89467344269021476</v>
      </c>
      <c r="L9" s="2"/>
      <c r="M9" s="2"/>
      <c r="Y9" s="129"/>
      <c r="Z9" s="129"/>
    </row>
    <row r="10" spans="1:26" s="3" customFormat="1" ht="18" customHeight="1" thickBot="1" x14ac:dyDescent="0.25">
      <c r="A10" s="52" t="s">
        <v>9</v>
      </c>
      <c r="B10" s="62">
        <f>SUM(B3:B9)</f>
        <v>382655.64</v>
      </c>
      <c r="C10" s="62">
        <f>SUM(C3:C9)</f>
        <v>284429.86</v>
      </c>
      <c r="D10" s="62">
        <f>SUM(D3:D9)</f>
        <v>98225.78</v>
      </c>
      <c r="E10" s="63">
        <f>SUM(E3:E9)</f>
        <v>2109046.0654545459</v>
      </c>
      <c r="F10" s="79">
        <f t="shared" si="1"/>
        <v>-1726390.4254545458</v>
      </c>
      <c r="G10" s="64">
        <f>SUM(G3:G9)</f>
        <v>2319950.6720000003</v>
      </c>
      <c r="H10" s="80">
        <f>(B10-G10)</f>
        <v>-1937295.0320000001</v>
      </c>
      <c r="I10" s="6"/>
      <c r="J10" s="127">
        <f t="shared" si="4"/>
        <v>-0.81856458885949968</v>
      </c>
      <c r="K10" s="75">
        <f t="shared" si="5"/>
        <v>-0.83505871714499968</v>
      </c>
      <c r="L10" s="2"/>
      <c r="M10" s="2"/>
      <c r="N10" s="67"/>
      <c r="Y10" s="129"/>
      <c r="Z10" s="129"/>
    </row>
    <row r="11" spans="1:26" ht="25" customHeight="1" thickBot="1" x14ac:dyDescent="0.25">
      <c r="A11" s="155" t="s">
        <v>5</v>
      </c>
      <c r="B11" s="156"/>
      <c r="C11" s="156"/>
      <c r="D11" s="156"/>
      <c r="E11" s="156"/>
      <c r="F11" s="157"/>
      <c r="G11" s="155" t="s">
        <v>7</v>
      </c>
      <c r="H11" s="156"/>
      <c r="I11" s="156"/>
      <c r="J11" s="156"/>
      <c r="K11" s="157"/>
    </row>
    <row r="12" spans="1:26" s="68" customFormat="1" ht="32" customHeight="1" x14ac:dyDescent="0.2">
      <c r="A12" s="54"/>
      <c r="B12" s="55" t="s">
        <v>90</v>
      </c>
      <c r="C12" s="55" t="s">
        <v>89</v>
      </c>
      <c r="D12" s="55" t="s">
        <v>0</v>
      </c>
      <c r="E12" s="56" t="s">
        <v>1</v>
      </c>
      <c r="F12" s="57" t="s">
        <v>8</v>
      </c>
      <c r="G12" s="55" t="s">
        <v>90</v>
      </c>
      <c r="H12" s="55" t="s">
        <v>89</v>
      </c>
      <c r="I12" s="55" t="s">
        <v>0</v>
      </c>
      <c r="J12" s="56" t="s">
        <v>1</v>
      </c>
      <c r="K12" s="57" t="s">
        <v>8</v>
      </c>
      <c r="L12" s="67"/>
      <c r="M12" s="67"/>
      <c r="N12" s="67"/>
      <c r="Y12" s="129"/>
      <c r="Z12" s="129"/>
    </row>
    <row r="13" spans="1:26" s="68" customFormat="1" ht="18" customHeight="1" x14ac:dyDescent="0.2">
      <c r="A13" s="50" t="s">
        <v>31</v>
      </c>
      <c r="B13" s="65">
        <v>114</v>
      </c>
      <c r="C13" s="65">
        <v>114</v>
      </c>
      <c r="D13" s="53">
        <f t="shared" ref="D13:D17" si="12">B13-C13</f>
        <v>0</v>
      </c>
      <c r="E13" s="66">
        <v>190</v>
      </c>
      <c r="F13" s="81">
        <f t="shared" ref="F13:F19" si="13">B13-E13</f>
        <v>-76</v>
      </c>
      <c r="G13" s="69">
        <f>B13/465</f>
        <v>0.24516129032258063</v>
      </c>
      <c r="H13" s="69">
        <f>C13/465</f>
        <v>0.24516129032258063</v>
      </c>
      <c r="I13" s="87">
        <f t="shared" ref="I13:I17" si="14">G13-H13</f>
        <v>0</v>
      </c>
      <c r="J13" s="70">
        <f>E13/465</f>
        <v>0.40860215053763443</v>
      </c>
      <c r="K13" s="82">
        <f t="shared" ref="K13:K19" si="15">G13-J13</f>
        <v>-0.1634408602150538</v>
      </c>
      <c r="L13" s="67"/>
      <c r="M13" s="67" t="s">
        <v>14</v>
      </c>
      <c r="N13" s="67"/>
      <c r="Y13" s="129"/>
      <c r="Z13" s="129"/>
    </row>
    <row r="14" spans="1:26" s="68" customFormat="1" ht="18" customHeight="1" x14ac:dyDescent="0.2">
      <c r="A14" s="50" t="s">
        <v>3</v>
      </c>
      <c r="B14" s="65">
        <v>52</v>
      </c>
      <c r="C14" s="65">
        <v>16</v>
      </c>
      <c r="D14" s="53">
        <f t="shared" si="12"/>
        <v>36</v>
      </c>
      <c r="E14" s="66">
        <v>225</v>
      </c>
      <c r="F14" s="81">
        <f t="shared" si="13"/>
        <v>-173</v>
      </c>
      <c r="G14" s="69">
        <f>B14/465</f>
        <v>0.11182795698924732</v>
      </c>
      <c r="H14" s="69">
        <f>C14/465</f>
        <v>3.4408602150537634E-2</v>
      </c>
      <c r="I14" s="87">
        <f t="shared" si="14"/>
        <v>7.7419354838709681E-2</v>
      </c>
      <c r="J14" s="70">
        <f>E14/465</f>
        <v>0.4838709677419355</v>
      </c>
      <c r="K14" s="82">
        <f t="shared" si="15"/>
        <v>-0.3720430107526882</v>
      </c>
      <c r="L14" s="67"/>
      <c r="M14" s="67" t="s">
        <v>16</v>
      </c>
      <c r="N14" s="67"/>
      <c r="Y14" s="129"/>
      <c r="Z14" s="129"/>
    </row>
    <row r="15" spans="1:26" s="68" customFormat="1" ht="18" customHeight="1" x14ac:dyDescent="0.2">
      <c r="A15" s="50" t="s">
        <v>4</v>
      </c>
      <c r="B15" s="65">
        <v>61</v>
      </c>
      <c r="C15" s="65">
        <v>58</v>
      </c>
      <c r="D15" s="53">
        <f t="shared" si="12"/>
        <v>3</v>
      </c>
      <c r="E15" s="66">
        <v>259</v>
      </c>
      <c r="F15" s="81">
        <f t="shared" si="13"/>
        <v>-198</v>
      </c>
      <c r="G15" s="69">
        <f>B15/450</f>
        <v>0.13555555555555557</v>
      </c>
      <c r="H15" s="69">
        <f>C15/450</f>
        <v>0.12888888888888889</v>
      </c>
      <c r="I15" s="87">
        <f t="shared" si="14"/>
        <v>6.6666666666666818E-3</v>
      </c>
      <c r="J15" s="70">
        <f>E15/450</f>
        <v>0.5755555555555556</v>
      </c>
      <c r="K15" s="82">
        <f t="shared" si="15"/>
        <v>-0.44000000000000006</v>
      </c>
      <c r="L15" s="67"/>
      <c r="M15" s="67" t="s">
        <v>17</v>
      </c>
      <c r="N15" s="67"/>
      <c r="Y15" s="129"/>
      <c r="Z15" s="129"/>
    </row>
    <row r="16" spans="1:26" s="68" customFormat="1" ht="18" customHeight="1" x14ac:dyDescent="0.2">
      <c r="A16" s="50" t="s">
        <v>30</v>
      </c>
      <c r="B16" s="65">
        <v>2</v>
      </c>
      <c r="C16" s="65">
        <v>2</v>
      </c>
      <c r="D16" s="53">
        <f t="shared" si="12"/>
        <v>0</v>
      </c>
      <c r="E16" s="66">
        <v>311</v>
      </c>
      <c r="F16" s="81">
        <f t="shared" si="13"/>
        <v>-309</v>
      </c>
      <c r="G16" s="69">
        <f>B16/465</f>
        <v>4.3010752688172043E-3</v>
      </c>
      <c r="H16" s="69">
        <f>C16/465</f>
        <v>4.3010752688172043E-3</v>
      </c>
      <c r="I16" s="87">
        <f t="shared" si="14"/>
        <v>0</v>
      </c>
      <c r="J16" s="70">
        <f>E16/465</f>
        <v>0.66881720430107527</v>
      </c>
      <c r="K16" s="82">
        <f t="shared" si="15"/>
        <v>-0.6645161290322581</v>
      </c>
      <c r="L16" s="67"/>
      <c r="M16" s="67" t="s">
        <v>18</v>
      </c>
      <c r="N16" s="67"/>
      <c r="Y16" s="129"/>
      <c r="Z16" s="129"/>
    </row>
    <row r="17" spans="1:26" s="68" customFormat="1" ht="18" customHeight="1" x14ac:dyDescent="0.2">
      <c r="A17" s="50" t="s">
        <v>29</v>
      </c>
      <c r="B17" s="65">
        <v>23</v>
      </c>
      <c r="C17" s="65">
        <v>2</v>
      </c>
      <c r="D17" s="53">
        <f t="shared" si="12"/>
        <v>21</v>
      </c>
      <c r="E17" s="66">
        <v>387</v>
      </c>
      <c r="F17" s="81">
        <f t="shared" si="13"/>
        <v>-364</v>
      </c>
      <c r="G17" s="69">
        <f>B17/450</f>
        <v>5.1111111111111114E-2</v>
      </c>
      <c r="H17" s="69">
        <f>C17/450</f>
        <v>4.4444444444444444E-3</v>
      </c>
      <c r="I17" s="87">
        <f t="shared" si="14"/>
        <v>4.6666666666666669E-2</v>
      </c>
      <c r="J17" s="70">
        <f>E17/450</f>
        <v>0.86</v>
      </c>
      <c r="K17" s="82">
        <f t="shared" si="15"/>
        <v>-0.80888888888888888</v>
      </c>
      <c r="L17" s="67"/>
      <c r="M17" s="67" t="s">
        <v>19</v>
      </c>
      <c r="N17" s="67"/>
      <c r="Y17" s="129"/>
      <c r="Z17" s="129"/>
    </row>
    <row r="18" spans="1:26" s="68" customFormat="1" ht="18" customHeight="1" x14ac:dyDescent="0.2">
      <c r="A18" s="50" t="s">
        <v>28</v>
      </c>
      <c r="B18" s="65">
        <v>23</v>
      </c>
      <c r="C18" s="65">
        <v>14</v>
      </c>
      <c r="D18" s="53">
        <f t="shared" ref="D18" si="16">B18-C18</f>
        <v>9</v>
      </c>
      <c r="E18" s="66">
        <v>299</v>
      </c>
      <c r="F18" s="81">
        <f t="shared" ref="F18" si="17">B18-E18</f>
        <v>-276</v>
      </c>
      <c r="G18" s="69">
        <f>B18/465</f>
        <v>4.9462365591397849E-2</v>
      </c>
      <c r="H18" s="69">
        <f>C18/465</f>
        <v>3.0107526881720432E-2</v>
      </c>
      <c r="I18" s="87">
        <f t="shared" ref="I18" si="18">G18-H18</f>
        <v>1.9354838709677417E-2</v>
      </c>
      <c r="J18" s="70">
        <f>E18/465</f>
        <v>0.64301075268817209</v>
      </c>
      <c r="K18" s="82">
        <f t="shared" ref="K18" si="19">G18-J18</f>
        <v>-0.59354838709677427</v>
      </c>
      <c r="L18" s="67"/>
      <c r="M18" s="67"/>
      <c r="N18" s="67"/>
      <c r="Y18" s="129"/>
      <c r="Z18" s="129"/>
    </row>
    <row r="19" spans="1:26" s="68" customFormat="1" ht="18" customHeight="1" thickBot="1" x14ac:dyDescent="0.25">
      <c r="A19" s="50">
        <v>46388</v>
      </c>
      <c r="B19" s="65">
        <v>21</v>
      </c>
      <c r="C19" s="65">
        <v>18</v>
      </c>
      <c r="D19" s="53">
        <f>B19-C19</f>
        <v>3</v>
      </c>
      <c r="E19" s="66">
        <v>315</v>
      </c>
      <c r="F19" s="81">
        <f t="shared" si="13"/>
        <v>-294</v>
      </c>
      <c r="G19" s="71">
        <f>B19/465</f>
        <v>4.5161290322580643E-2</v>
      </c>
      <c r="H19" s="71">
        <f>C19/465</f>
        <v>3.870967741935484E-2</v>
      </c>
      <c r="I19" s="86">
        <f>G19-H19</f>
        <v>6.4516129032258021E-3</v>
      </c>
      <c r="J19" s="72">
        <f>E19/465</f>
        <v>0.67741935483870963</v>
      </c>
      <c r="K19" s="83">
        <f t="shared" si="15"/>
        <v>-0.63225806451612898</v>
      </c>
      <c r="L19" s="67"/>
      <c r="M19" s="67"/>
      <c r="N19" s="67"/>
      <c r="Y19" s="129"/>
      <c r="Z19" s="129"/>
    </row>
    <row r="20" spans="1:26" ht="25" customHeight="1" thickBot="1" x14ac:dyDescent="0.25">
      <c r="A20" s="155" t="s">
        <v>6</v>
      </c>
      <c r="B20" s="156"/>
      <c r="C20" s="156"/>
      <c r="D20" s="156"/>
      <c r="E20" s="156"/>
      <c r="F20" s="156"/>
      <c r="G20" s="161"/>
    </row>
    <row r="21" spans="1:26" s="68" customFormat="1" ht="32" customHeight="1" x14ac:dyDescent="0.2">
      <c r="A21" s="55"/>
      <c r="B21" s="55" t="s">
        <v>90</v>
      </c>
      <c r="C21" s="55" t="s">
        <v>89</v>
      </c>
      <c r="D21" s="55" t="s">
        <v>0</v>
      </c>
      <c r="E21" s="56" t="s">
        <v>1</v>
      </c>
      <c r="F21" s="153" t="s">
        <v>8</v>
      </c>
      <c r="G21" s="154"/>
      <c r="H21" s="73"/>
      <c r="I21" s="73"/>
      <c r="J21" s="73"/>
      <c r="K21" s="73"/>
      <c r="L21" s="73"/>
      <c r="M21" s="67"/>
      <c r="N21" s="67"/>
      <c r="Y21" s="129"/>
      <c r="Z21" s="129"/>
    </row>
    <row r="22" spans="1:26" s="68" customFormat="1" ht="18" customHeight="1" x14ac:dyDescent="0.2">
      <c r="A22" s="50" t="s">
        <v>31</v>
      </c>
      <c r="B22" s="53">
        <f t="shared" ref="B22:B25" si="20">B3/B13</f>
        <v>1064.7814912280701</v>
      </c>
      <c r="C22" s="53">
        <f t="shared" ref="C22" si="21">C3/C13</f>
        <v>1064.7814912280701</v>
      </c>
      <c r="D22" s="53">
        <f t="shared" ref="D22:D26" si="22">B22-C22</f>
        <v>0</v>
      </c>
      <c r="E22" s="74">
        <f t="shared" ref="E22:E28" si="23">E3/E13</f>
        <v>930.82105263157894</v>
      </c>
      <c r="F22" s="74">
        <f t="shared" ref="F22:F28" si="24">B22-E22</f>
        <v>133.96043859649114</v>
      </c>
      <c r="G22" s="94">
        <f t="shared" ref="G22:G28" si="25">(B22-E22)/E22</f>
        <v>0.14391642541578073</v>
      </c>
      <c r="H22" s="73"/>
      <c r="I22" s="7"/>
      <c r="J22" s="73"/>
      <c r="K22" s="73"/>
      <c r="L22" s="73"/>
      <c r="M22" s="67"/>
      <c r="N22" s="67"/>
      <c r="Y22" s="129"/>
      <c r="Z22" s="129"/>
    </row>
    <row r="23" spans="1:26" s="68" customFormat="1" ht="18" customHeight="1" x14ac:dyDescent="0.2">
      <c r="A23" s="50" t="s">
        <v>3</v>
      </c>
      <c r="B23" s="53">
        <f t="shared" si="20"/>
        <v>1091.5598076923075</v>
      </c>
      <c r="C23" s="53">
        <f t="shared" ref="C23" si="26">C4/C14</f>
        <v>1289.6956250000001</v>
      </c>
      <c r="D23" s="53">
        <f t="shared" si="22"/>
        <v>-198.13581730769261</v>
      </c>
      <c r="E23" s="74">
        <f t="shared" si="23"/>
        <v>1007.0355555555556</v>
      </c>
      <c r="F23" s="74">
        <f t="shared" si="24"/>
        <v>84.524252136751898</v>
      </c>
      <c r="G23" s="94">
        <f t="shared" si="25"/>
        <v>8.3933731704360776E-2</v>
      </c>
      <c r="H23" s="73"/>
      <c r="I23" s="7"/>
      <c r="J23" s="73"/>
      <c r="K23" s="73"/>
      <c r="L23" s="73"/>
      <c r="M23" s="67"/>
      <c r="N23" s="67"/>
      <c r="Y23" s="129"/>
      <c r="Z23" s="129"/>
    </row>
    <row r="24" spans="1:26" s="68" customFormat="1" ht="18" customHeight="1" x14ac:dyDescent="0.2">
      <c r="A24" s="50" t="s">
        <v>4</v>
      </c>
      <c r="B24" s="53">
        <f t="shared" si="20"/>
        <v>1082.8167213114755</v>
      </c>
      <c r="C24" s="53">
        <f t="shared" ref="C24" si="27">C5/C15</f>
        <v>1071.5831034482758</v>
      </c>
      <c r="D24" s="53">
        <f t="shared" si="22"/>
        <v>11.233617863199697</v>
      </c>
      <c r="E24" s="74">
        <f t="shared" si="23"/>
        <v>954.15283959283954</v>
      </c>
      <c r="F24" s="74">
        <f t="shared" si="24"/>
        <v>128.66388171863593</v>
      </c>
      <c r="G24" s="94">
        <f t="shared" si="25"/>
        <v>0.13484619694004157</v>
      </c>
      <c r="H24" s="73"/>
      <c r="I24" s="7"/>
      <c r="J24" s="73"/>
      <c r="K24" s="73"/>
      <c r="L24" s="73"/>
      <c r="M24" s="67"/>
      <c r="N24" s="67"/>
      <c r="Y24" s="129"/>
      <c r="Z24" s="129"/>
    </row>
    <row r="25" spans="1:26" s="68" customFormat="1" ht="18" customHeight="1" x14ac:dyDescent="0.2">
      <c r="A25" s="50" t="s">
        <v>30</v>
      </c>
      <c r="B25" s="53">
        <f t="shared" si="20"/>
        <v>1611.9</v>
      </c>
      <c r="C25" s="53">
        <f t="shared" ref="C25" si="28">C6/C16</f>
        <v>1611.9</v>
      </c>
      <c r="D25" s="53">
        <f t="shared" si="22"/>
        <v>0</v>
      </c>
      <c r="E25" s="74">
        <f t="shared" si="23"/>
        <v>1003.192025723473</v>
      </c>
      <c r="F25" s="74">
        <f t="shared" si="24"/>
        <v>608.70797427652712</v>
      </c>
      <c r="G25" s="94">
        <f t="shared" si="25"/>
        <v>0.60677114517287412</v>
      </c>
      <c r="H25" s="73"/>
      <c r="I25" s="7"/>
      <c r="J25" s="73"/>
      <c r="K25" s="73"/>
      <c r="L25" s="73"/>
      <c r="M25" s="67"/>
      <c r="N25" s="67"/>
      <c r="Y25" s="129"/>
      <c r="Z25" s="129"/>
    </row>
    <row r="26" spans="1:26" s="68" customFormat="1" ht="18" customHeight="1" x14ac:dyDescent="0.2">
      <c r="A26" s="50" t="s">
        <v>29</v>
      </c>
      <c r="B26" s="53">
        <f t="shared" ref="B26:C28" si="29">B7/B17</f>
        <v>1945.4321739130435</v>
      </c>
      <c r="C26" s="53">
        <f t="shared" si="29"/>
        <v>2272.5700000000002</v>
      </c>
      <c r="D26" s="53">
        <f t="shared" si="22"/>
        <v>-327.13782608695669</v>
      </c>
      <c r="E26" s="74">
        <f t="shared" si="23"/>
        <v>947.38501291989667</v>
      </c>
      <c r="F26" s="74">
        <f t="shared" si="24"/>
        <v>998.0471609931468</v>
      </c>
      <c r="G26" s="94">
        <f t="shared" si="25"/>
        <v>1.0534757752997448</v>
      </c>
      <c r="H26" s="73"/>
      <c r="I26" s="7"/>
      <c r="J26" s="73"/>
      <c r="K26" s="73"/>
      <c r="L26" s="73"/>
      <c r="M26" s="67"/>
      <c r="N26" s="67"/>
      <c r="Y26" s="129"/>
      <c r="Z26" s="129"/>
    </row>
    <row r="27" spans="1:26" s="68" customFormat="1" ht="18" customHeight="1" x14ac:dyDescent="0.2">
      <c r="A27" s="50" t="s">
        <v>28</v>
      </c>
      <c r="B27" s="53">
        <f t="shared" si="29"/>
        <v>1945.4321739130435</v>
      </c>
      <c r="C27" s="53">
        <f t="shared" si="29"/>
        <v>2231.7814285714289</v>
      </c>
      <c r="D27" s="53">
        <f t="shared" ref="D27" si="30">B27-C27</f>
        <v>-286.34925465838546</v>
      </c>
      <c r="E27" s="74">
        <f t="shared" si="23"/>
        <v>1287.716588628763</v>
      </c>
      <c r="F27" s="74">
        <f t="shared" ref="F27" si="31">B27-E27</f>
        <v>657.71558528428045</v>
      </c>
      <c r="G27" s="94">
        <f t="shared" ref="G27" si="32">(B27-E27)/E27</f>
        <v>0.51076113415969504</v>
      </c>
      <c r="H27" s="73"/>
      <c r="I27" s="7"/>
      <c r="J27" s="73"/>
      <c r="K27" s="73"/>
      <c r="L27" s="73"/>
      <c r="M27" s="67"/>
      <c r="N27" s="67"/>
      <c r="Y27" s="129"/>
      <c r="Z27" s="129"/>
    </row>
    <row r="28" spans="1:26" s="68" customFormat="1" ht="18" customHeight="1" x14ac:dyDescent="0.2">
      <c r="A28" s="51">
        <v>46388</v>
      </c>
      <c r="B28" s="84">
        <f t="shared" si="29"/>
        <v>2178.2828571428572</v>
      </c>
      <c r="C28" s="84">
        <f t="shared" si="29"/>
        <v>2291.33</v>
      </c>
      <c r="D28" s="84">
        <f>B28-C28</f>
        <v>-113.04714285714272</v>
      </c>
      <c r="E28" s="76">
        <f t="shared" si="23"/>
        <v>1253.4079365079369</v>
      </c>
      <c r="F28" s="76">
        <f t="shared" si="24"/>
        <v>924.87492063492027</v>
      </c>
      <c r="G28" s="95">
        <f t="shared" si="25"/>
        <v>0.73788819561145624</v>
      </c>
      <c r="H28" s="73"/>
      <c r="I28" s="7"/>
      <c r="J28" s="73"/>
      <c r="K28" s="73"/>
      <c r="L28" s="73"/>
      <c r="M28" s="67"/>
      <c r="N28" s="67"/>
      <c r="Y28" s="129"/>
      <c r="Z28" s="129"/>
    </row>
  </sheetData>
  <mergeCells count="5">
    <mergeCell ref="F21:G21"/>
    <mergeCell ref="A11:F11"/>
    <mergeCell ref="G11:K11"/>
    <mergeCell ref="A1:K1"/>
    <mergeCell ref="A20:G20"/>
  </mergeCells>
  <conditionalFormatting sqref="D1 F1 H3:H10 J3:K10 D3:D11 F3:F11 I13:I19 K13:K19 D13:D20 F13:F20 F22:G27 D22:D1048576 G28 F28:F1048576">
    <cfRule type="cellIs" dxfId="19" priority="1" operator="lessThan">
      <formula>-0.0009</formula>
    </cfRule>
    <cfRule type="cellIs" dxfId="18" priority="2" operator="greaterThan">
      <formula>0.0009</formula>
    </cfRule>
  </conditionalFormatting>
  <pageMargins left="0.7" right="0.7" top="0.75" bottom="0.75" header="0.3" footer="0.3"/>
  <pageSetup paperSize="8" orientation="landscape" horizontalDpi="0" verticalDpi="0"/>
  <ignoredErrors>
    <ignoredError sqref="F10 I13:I14 G15:H15 G16:I16 G17:J17 J16 I15:J15 H20:I20 A19:I19 A21:I28 A20:G20 A18 C18:I18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31A02-DEAC-EA43-9F61-B8FA378CE634}">
  <dimension ref="A1:F56"/>
  <sheetViews>
    <sheetView zoomScale="116" zoomScaleNormal="160" workbookViewId="0">
      <selection activeCell="L19" sqref="L19"/>
    </sheetView>
  </sheetViews>
  <sheetFormatPr baseColWidth="10" defaultRowHeight="16" x14ac:dyDescent="0.2"/>
  <cols>
    <col min="1" max="1" width="4.83203125" style="129" customWidth="1"/>
    <col min="2" max="2" width="10.83203125" style="129" customWidth="1"/>
    <col min="3" max="5" width="10.83203125" style="129"/>
  </cols>
  <sheetData>
    <row r="1" spans="1:5" ht="17" thickBot="1" x14ac:dyDescent="0.25">
      <c r="A1" s="163" t="s">
        <v>38</v>
      </c>
      <c r="B1" s="164"/>
      <c r="C1" s="164"/>
      <c r="D1" s="164"/>
      <c r="E1" s="164"/>
    </row>
    <row r="2" spans="1:5" ht="24" x14ac:dyDescent="0.2">
      <c r="A2" s="130"/>
      <c r="B2" s="128" t="s">
        <v>77</v>
      </c>
      <c r="C2" s="128" t="s">
        <v>85</v>
      </c>
      <c r="D2" s="128" t="s">
        <v>86</v>
      </c>
      <c r="E2"/>
    </row>
    <row r="3" spans="1:5" x14ac:dyDescent="0.2">
      <c r="A3" s="149" t="s">
        <v>32</v>
      </c>
      <c r="B3" s="133" t="e">
        <f>IF(OTB!#REF!="","",OTB!#REF!)</f>
        <v>#REF!</v>
      </c>
      <c r="C3" s="133" t="e">
        <f>IF(OTB!#REF!&gt;0,OTB!#REF!,0)</f>
        <v>#REF!</v>
      </c>
      <c r="D3" s="133" t="e">
        <f>IF(OTB!#REF!&lt;0,ABS(OTB!#REF!),0)</f>
        <v>#REF!</v>
      </c>
      <c r="E3"/>
    </row>
    <row r="4" spans="1:5" x14ac:dyDescent="0.2">
      <c r="A4" s="149" t="s">
        <v>31</v>
      </c>
      <c r="B4" s="133">
        <f>IF(OTB!B3="","",OTB!C3)</f>
        <v>121385.09</v>
      </c>
      <c r="C4" s="133">
        <f>IF(OTB!D3&gt;0,OTB!D3,0)</f>
        <v>0</v>
      </c>
      <c r="D4" s="133">
        <f>IF(OTB!D3&lt;0,ABS(OTB!D3),0)</f>
        <v>0</v>
      </c>
      <c r="E4"/>
    </row>
    <row r="5" spans="1:5" x14ac:dyDescent="0.2">
      <c r="A5" s="149" t="s">
        <v>3</v>
      </c>
      <c r="B5" s="133">
        <f>IF(OTB!B4="","",OTB!C4)</f>
        <v>20635.13</v>
      </c>
      <c r="C5" s="133">
        <f>IF(OTB!D4&gt;0,OTB!D4,0)</f>
        <v>36125.979999999996</v>
      </c>
      <c r="D5" s="133">
        <f>IF(OTB!D4&lt;0,ABS(OTB!D4),0)</f>
        <v>0</v>
      </c>
      <c r="E5"/>
    </row>
    <row r="6" spans="1:5" x14ac:dyDescent="0.2">
      <c r="A6" s="149" t="s">
        <v>4</v>
      </c>
      <c r="B6" s="133">
        <f>IF(OTB!B5="","",OTB!C5)</f>
        <v>62151.82</v>
      </c>
      <c r="C6" s="133">
        <f>IF(OTB!D5&gt;0,OTB!D5,0)</f>
        <v>3900.0000000000073</v>
      </c>
      <c r="D6" s="133">
        <f>IF(OTB!D5&lt;0,ABS(OTB!D5),0)</f>
        <v>0</v>
      </c>
      <c r="E6"/>
    </row>
    <row r="7" spans="1:5" x14ac:dyDescent="0.2">
      <c r="A7" s="149" t="s">
        <v>30</v>
      </c>
      <c r="B7" s="133">
        <f>IF(OTB!B6="","",OTB!C6)</f>
        <v>3223.8</v>
      </c>
      <c r="C7" s="133">
        <f>IF(OTB!D6&gt;0,OTB!D6,0)</f>
        <v>0</v>
      </c>
      <c r="D7" s="133">
        <f>IF(OTB!D6&lt;0,ABS(OTB!D6),0)</f>
        <v>0</v>
      </c>
      <c r="E7"/>
    </row>
    <row r="8" spans="1:5" x14ac:dyDescent="0.2">
      <c r="A8" s="149" t="s">
        <v>29</v>
      </c>
      <c r="B8" s="133">
        <f>IF(OTB!B7="","",OTB!C7)</f>
        <v>4545.1400000000003</v>
      </c>
      <c r="C8" s="133">
        <f>IF(OTB!D7&gt;0,OTB!D7,0)</f>
        <v>40199.800000000003</v>
      </c>
      <c r="D8" s="133">
        <f>IF(OTB!D7&lt;0,ABS(OTB!D7),0)</f>
        <v>0</v>
      </c>
      <c r="E8"/>
    </row>
    <row r="9" spans="1:5" ht="17" thickBot="1" x14ac:dyDescent="0.25">
      <c r="A9" s="151" t="s">
        <v>28</v>
      </c>
      <c r="B9" s="152">
        <f>IF(OTB!B9="","",OTB!C9)</f>
        <v>41243.94</v>
      </c>
      <c r="C9" s="152">
        <f>IF(OTB!D9&gt;0,OTB!D9,0)</f>
        <v>4500</v>
      </c>
      <c r="D9" s="152">
        <f>IF(OTB!D9&lt;0,ABS(OTB!D9),0)</f>
        <v>0</v>
      </c>
      <c r="E9"/>
    </row>
    <row r="10" spans="1:5" ht="24" x14ac:dyDescent="0.2">
      <c r="A10" s="150"/>
      <c r="B10" s="128"/>
      <c r="C10" s="128" t="s">
        <v>77</v>
      </c>
      <c r="D10" s="128" t="s">
        <v>87</v>
      </c>
      <c r="E10" s="128" t="s">
        <v>88</v>
      </c>
    </row>
    <row r="11" spans="1:5" x14ac:dyDescent="0.2">
      <c r="A11" s="162" t="s">
        <v>32</v>
      </c>
      <c r="B11" s="132" t="s">
        <v>84</v>
      </c>
      <c r="C11" s="135" t="e">
        <f>IF(OTB!#REF!="","",OTB!#REF!)</f>
        <v>#REF!</v>
      </c>
      <c r="D11" s="143" t="e">
        <f>IF(OTB!#REF!&gt;0,OTB!#REF!,0)</f>
        <v>#REF!</v>
      </c>
      <c r="E11" s="135" t="e">
        <f>IF(OTB!#REF!&lt;0,ABS(OTB!#REF!),0)</f>
        <v>#REF!</v>
      </c>
    </row>
    <row r="12" spans="1:5" x14ac:dyDescent="0.2">
      <c r="A12" s="162"/>
      <c r="B12" s="132" t="s">
        <v>81</v>
      </c>
      <c r="C12" s="136" t="e">
        <f>OTB!#REF!</f>
        <v>#REF!</v>
      </c>
      <c r="D12" s="137" t="e">
        <f>IF(OTB!#REF!&gt;0,OTB!#REF!,0)</f>
        <v>#REF!</v>
      </c>
      <c r="E12" s="137" t="e">
        <f>IF(OTB!#REF!&lt;0,ABS(OTB!#REF!),0)</f>
        <v>#REF!</v>
      </c>
    </row>
    <row r="13" spans="1:5" x14ac:dyDescent="0.2">
      <c r="A13" s="162" t="s">
        <v>31</v>
      </c>
      <c r="B13" s="132" t="s">
        <v>84</v>
      </c>
      <c r="C13" s="135">
        <f>IF(OTB!B3="","",OTB!E3)</f>
        <v>176856</v>
      </c>
      <c r="D13" s="143">
        <f>IF(OTB!F3&gt;0,OTB!F3,0)</f>
        <v>0</v>
      </c>
      <c r="E13" s="135">
        <f>IF(OTB!F3&lt;0,ABS(OTB!F3),0)</f>
        <v>55470.91</v>
      </c>
    </row>
    <row r="14" spans="1:5" x14ac:dyDescent="0.2">
      <c r="A14" s="162"/>
      <c r="B14" s="132" t="s">
        <v>81</v>
      </c>
      <c r="C14" s="136">
        <f>OTB!G3</f>
        <v>194541.6</v>
      </c>
      <c r="D14" s="137">
        <f>IF(OTB!H3&gt;0,OTB!H3,0)</f>
        <v>0</v>
      </c>
      <c r="E14" s="137">
        <f>IF(OTB!H3&lt;0,ABS(OTB!H3),0)</f>
        <v>73156.510000000009</v>
      </c>
    </row>
    <row r="15" spans="1:5" x14ac:dyDescent="0.2">
      <c r="A15" s="162" t="s">
        <v>3</v>
      </c>
      <c r="B15" s="132" t="s">
        <v>84</v>
      </c>
      <c r="C15" s="135">
        <f>IF(OTB!B4="","",OTB!E4)</f>
        <v>226583</v>
      </c>
      <c r="D15" s="143">
        <f>IF(OTB!F4&gt;0,OTB!F4,0)</f>
        <v>0</v>
      </c>
      <c r="E15" s="135">
        <f>IF(OTB!F4&lt;0,ABS(OTB!F4),0)</f>
        <v>169821.89</v>
      </c>
    </row>
    <row r="16" spans="1:5" x14ac:dyDescent="0.2">
      <c r="A16" s="162"/>
      <c r="B16" s="132" t="s">
        <v>81</v>
      </c>
      <c r="C16" s="136">
        <f>OTB!G4</f>
        <v>249241.30000000002</v>
      </c>
      <c r="D16" s="137">
        <f>IF(OTB!H4&gt;0,OTB!H4,0)</f>
        <v>0</v>
      </c>
      <c r="E16" s="137">
        <f>IF(OTB!H4&lt;0,ABS(OTB!H4),0)</f>
        <v>192480.19000000003</v>
      </c>
    </row>
    <row r="17" spans="1:6" x14ac:dyDescent="0.2">
      <c r="A17" s="162" t="s">
        <v>44</v>
      </c>
      <c r="B17" s="132" t="s">
        <v>84</v>
      </c>
      <c r="C17" s="135">
        <f>IF(OTB!B5="","",OTB!E5)</f>
        <v>247125.58545454545</v>
      </c>
      <c r="D17" s="143">
        <f>IF(OTB!F5&gt;0,OTB!F5,0)</f>
        <v>0</v>
      </c>
      <c r="E17" s="135">
        <f>IF(OTB!F5&lt;0,ABS(OTB!F5),0)</f>
        <v>181073.76545454544</v>
      </c>
    </row>
    <row r="18" spans="1:6" x14ac:dyDescent="0.2">
      <c r="A18" s="162"/>
      <c r="B18" s="132" t="s">
        <v>81</v>
      </c>
      <c r="C18" s="136">
        <f>OTB!G5</f>
        <v>271838.14400000003</v>
      </c>
      <c r="D18" s="137">
        <f>IF(OTB!H5&gt;0,OTB!H5,0)</f>
        <v>0</v>
      </c>
      <c r="E18" s="137">
        <f>IF(OTB!H5&lt;0,ABS(OTB!H5),0)</f>
        <v>205786.32400000002</v>
      </c>
    </row>
    <row r="19" spans="1:6" x14ac:dyDescent="0.2">
      <c r="A19" s="162" t="s">
        <v>30</v>
      </c>
      <c r="B19" s="132" t="s">
        <v>84</v>
      </c>
      <c r="C19" s="135">
        <f>IF(OTB!B6="","",OTB!E6)</f>
        <v>311992.72000000009</v>
      </c>
      <c r="D19" s="143">
        <f>IF(OTB!F6&gt;0,OTB!F6,0)</f>
        <v>0</v>
      </c>
      <c r="E19" s="135">
        <f>IF(OTB!F6&lt;0,ABS(OTB!F6),0)</f>
        <v>308768.9200000001</v>
      </c>
    </row>
    <row r="20" spans="1:6" x14ac:dyDescent="0.2">
      <c r="A20" s="162"/>
      <c r="B20" s="132" t="s">
        <v>81</v>
      </c>
      <c r="C20" s="136">
        <f>OTB!G6</f>
        <v>343191.99200000014</v>
      </c>
      <c r="D20" s="137">
        <f>IF(OTB!H6&gt;0,OTB!H6,0)</f>
        <v>0</v>
      </c>
      <c r="E20" s="137">
        <f>IF(OTB!H6&lt;0,ABS(OTB!H6),0)</f>
        <v>339968.19200000016</v>
      </c>
    </row>
    <row r="21" spans="1:6" x14ac:dyDescent="0.2">
      <c r="A21" s="162" t="s">
        <v>29</v>
      </c>
      <c r="B21" s="132" t="s">
        <v>84</v>
      </c>
      <c r="C21" s="134">
        <f>IF(OTB!B7="","",OTB!E7)</f>
        <v>366638</v>
      </c>
      <c r="D21" s="143">
        <f>IF(OTB!F7&gt;0,OTB!F7,0)</f>
        <v>0</v>
      </c>
      <c r="E21" s="135">
        <f>IF(OTB!F7&lt;0,ABS(OTB!F7),0)</f>
        <v>321893.06</v>
      </c>
    </row>
    <row r="22" spans="1:6" x14ac:dyDescent="0.2">
      <c r="A22" s="162"/>
      <c r="B22" s="132" t="s">
        <v>81</v>
      </c>
      <c r="C22" s="136">
        <f>OTB!G7</f>
        <v>403301.80000000005</v>
      </c>
      <c r="D22" s="137">
        <f>IF(OTB!H7&gt;0,OTB!H7,0)</f>
        <v>0</v>
      </c>
      <c r="E22" s="137">
        <f>IF(OTB!H7&lt;0,ABS(OTB!H7),0)</f>
        <v>358556.86000000004</v>
      </c>
    </row>
    <row r="23" spans="1:6" x14ac:dyDescent="0.2">
      <c r="A23" s="162" t="s">
        <v>28</v>
      </c>
      <c r="B23" s="132" t="s">
        <v>84</v>
      </c>
      <c r="C23" s="134">
        <f>IF(OTB!B9="","",OTB!E9)</f>
        <v>394823.50000000012</v>
      </c>
      <c r="D23" s="143">
        <f>IF(OTB!F9&gt;0,OTB!F9,0)</f>
        <v>0</v>
      </c>
      <c r="E23" s="135">
        <f>IF(OTB!F9&lt;0,ABS(OTB!F9),0)</f>
        <v>349079.56000000011</v>
      </c>
    </row>
    <row r="24" spans="1:6" ht="17" thickBot="1" x14ac:dyDescent="0.25">
      <c r="A24" s="162"/>
      <c r="B24" s="145" t="s">
        <v>81</v>
      </c>
      <c r="C24" s="136">
        <f>OTB!G9</f>
        <v>434305.85000000015</v>
      </c>
      <c r="D24" s="137">
        <f>IF(OTB!H9&gt;0,OTB!H9,0)</f>
        <v>0</v>
      </c>
      <c r="E24" s="137">
        <f>IF(OTB!H9&lt;0,ABS(OTB!H9),0)</f>
        <v>388561.91000000015</v>
      </c>
    </row>
    <row r="25" spans="1:6" ht="17" thickBot="1" x14ac:dyDescent="0.25">
      <c r="A25" s="163" t="s">
        <v>82</v>
      </c>
      <c r="B25" s="164"/>
      <c r="C25" s="164"/>
      <c r="D25" s="164"/>
      <c r="E25" s="164"/>
    </row>
    <row r="26" spans="1:6" ht="24" x14ac:dyDescent="0.2">
      <c r="A26" s="130"/>
      <c r="B26" s="128"/>
      <c r="C26" s="128" t="s">
        <v>78</v>
      </c>
      <c r="D26" s="128" t="s">
        <v>79</v>
      </c>
      <c r="E26" s="128" t="s">
        <v>80</v>
      </c>
    </row>
    <row r="27" spans="1:6" x14ac:dyDescent="0.2">
      <c r="A27" s="132" t="s">
        <v>32</v>
      </c>
      <c r="B27" s="132" t="s">
        <v>83</v>
      </c>
      <c r="C27" s="139" t="e">
        <f>IF(OTB!#REF!="","",OTB!#REF!)</f>
        <v>#REF!</v>
      </c>
      <c r="D27" s="139" t="e">
        <f>IF(OTB!#REF!&gt;0,OTB!#REF!,0)</f>
        <v>#REF!</v>
      </c>
      <c r="E27" s="139" t="e">
        <f>IF(OTB!#REF!&lt;0,ABS(OTB!#REF!),0)</f>
        <v>#REF!</v>
      </c>
    </row>
    <row r="28" spans="1:6" x14ac:dyDescent="0.2">
      <c r="A28" s="132" t="s">
        <v>32</v>
      </c>
      <c r="B28" s="132" t="s">
        <v>84</v>
      </c>
      <c r="C28" s="144" t="e">
        <f>IF(OTB!#REF!="","",OTB!#REF!)</f>
        <v>#REF!</v>
      </c>
      <c r="D28" s="138" t="e">
        <f>IF(OTB!#REF!&gt;0,OTB!#REF!,0)</f>
        <v>#REF!</v>
      </c>
      <c r="E28" s="144" t="e">
        <f>IF(OTB!#REF!&lt;0,ABS(OTB!#REF!),0)</f>
        <v>#REF!</v>
      </c>
      <c r="F28" s="147"/>
    </row>
    <row r="29" spans="1:6" x14ac:dyDescent="0.2">
      <c r="A29" s="132" t="s">
        <v>31</v>
      </c>
      <c r="B29" s="132" t="s">
        <v>83</v>
      </c>
      <c r="C29" s="139">
        <f>IF(OTB!G13="","",OTB!H13)</f>
        <v>0.24516129032258063</v>
      </c>
      <c r="D29" s="139">
        <f>IF(OTB!I13&gt;0,OTB!I13,0)</f>
        <v>0</v>
      </c>
      <c r="E29" s="146">
        <f>IF(OTB!I13&lt;0,ABS(OTB!I13),0)</f>
        <v>0</v>
      </c>
      <c r="F29" s="147"/>
    </row>
    <row r="30" spans="1:6" x14ac:dyDescent="0.2">
      <c r="A30" s="132" t="s">
        <v>31</v>
      </c>
      <c r="B30" s="132" t="s">
        <v>84</v>
      </c>
      <c r="C30" s="144">
        <f>IF(OTB!G13="","",OTB!J13)</f>
        <v>0.40860215053763443</v>
      </c>
      <c r="D30" s="138">
        <f>IF(OTB!K13&gt;0,OTB!K13,0)</f>
        <v>0</v>
      </c>
      <c r="E30" s="144">
        <f>IF(OTB!K13&lt;0,ABS(OTB!K13),0)</f>
        <v>0.1634408602150538</v>
      </c>
      <c r="F30" s="147"/>
    </row>
    <row r="31" spans="1:6" x14ac:dyDescent="0.2">
      <c r="A31" s="132" t="s">
        <v>3</v>
      </c>
      <c r="B31" s="132" t="s">
        <v>83</v>
      </c>
      <c r="C31" s="139">
        <f>IF(OTB!G14="","",OTB!H14)</f>
        <v>3.4408602150537634E-2</v>
      </c>
      <c r="D31" s="139">
        <f>IF(OTB!I14&gt;0,OTB!I14,0)</f>
        <v>7.7419354838709681E-2</v>
      </c>
      <c r="E31" s="146">
        <f>IF(OTB!I14&lt;0,ABS(OTB!I14),0)</f>
        <v>0</v>
      </c>
      <c r="F31" s="147"/>
    </row>
    <row r="32" spans="1:6" x14ac:dyDescent="0.2">
      <c r="A32" s="132" t="s">
        <v>3</v>
      </c>
      <c r="B32" s="132" t="s">
        <v>84</v>
      </c>
      <c r="C32" s="144">
        <f>IF(OTB!G14="","",OTB!J14)</f>
        <v>0.4838709677419355</v>
      </c>
      <c r="D32" s="138">
        <f>IF(OTB!K14&gt;0,OTB!K14,0)</f>
        <v>0</v>
      </c>
      <c r="E32" s="144">
        <f>IF(OTB!K14&lt;0,ABS(OTB!K14),0)</f>
        <v>0.3720430107526882</v>
      </c>
      <c r="F32" s="147"/>
    </row>
    <row r="33" spans="1:6" x14ac:dyDescent="0.2">
      <c r="A33" s="132" t="s">
        <v>4</v>
      </c>
      <c r="B33" s="132" t="s">
        <v>83</v>
      </c>
      <c r="C33" s="139">
        <f>IF(OTB!G15="","",OTB!H15)</f>
        <v>0.12888888888888889</v>
      </c>
      <c r="D33" s="139">
        <f>IF(OTB!I15&gt;0,OTB!I15,0)</f>
        <v>6.6666666666666818E-3</v>
      </c>
      <c r="E33" s="146">
        <f>IF(OTB!I15&lt;0,ABS(OTB!I15),0)</f>
        <v>0</v>
      </c>
      <c r="F33" s="147"/>
    </row>
    <row r="34" spans="1:6" x14ac:dyDescent="0.2">
      <c r="A34" s="132" t="s">
        <v>4</v>
      </c>
      <c r="B34" s="132" t="s">
        <v>84</v>
      </c>
      <c r="C34" s="144">
        <f>IF(OTB!G15="","",OTB!J15)</f>
        <v>0.5755555555555556</v>
      </c>
      <c r="D34" s="138">
        <f>IF(OTB!K15&gt;0,OTB!K15,0)</f>
        <v>0</v>
      </c>
      <c r="E34" s="144">
        <f>IF(OTB!K15&lt;0,ABS(OTB!K15),0)</f>
        <v>0.44000000000000006</v>
      </c>
      <c r="F34" s="147"/>
    </row>
    <row r="35" spans="1:6" x14ac:dyDescent="0.2">
      <c r="A35" s="132" t="s">
        <v>30</v>
      </c>
      <c r="B35" s="132" t="s">
        <v>83</v>
      </c>
      <c r="C35" s="139">
        <f>IF(OTB!G16="","",OTB!H16)</f>
        <v>4.3010752688172043E-3</v>
      </c>
      <c r="D35" s="139">
        <f>IF(OTB!I16&gt;0,OTB!I16,0)</f>
        <v>0</v>
      </c>
      <c r="E35" s="146">
        <f>IF(OTB!I16&lt;0,ABS(OTB!I16),0)</f>
        <v>0</v>
      </c>
      <c r="F35" s="147"/>
    </row>
    <row r="36" spans="1:6" x14ac:dyDescent="0.2">
      <c r="A36" s="132" t="s">
        <v>30</v>
      </c>
      <c r="B36" s="132" t="s">
        <v>84</v>
      </c>
      <c r="C36" s="144">
        <f>IF(OTB!G16="","",OTB!J16)</f>
        <v>0.66881720430107527</v>
      </c>
      <c r="D36" s="138">
        <f>IF(OTB!K16&gt;0,OTB!K16,0)</f>
        <v>0</v>
      </c>
      <c r="E36" s="144">
        <f>IF(OTB!K16&lt;0,ABS(OTB!K16),0)</f>
        <v>0.6645161290322581</v>
      </c>
      <c r="F36" s="147"/>
    </row>
    <row r="37" spans="1:6" x14ac:dyDescent="0.2">
      <c r="A37" s="132" t="s">
        <v>29</v>
      </c>
      <c r="B37" s="132" t="s">
        <v>83</v>
      </c>
      <c r="C37" s="139">
        <f>IF(OTB!G17="","",OTB!H17)</f>
        <v>4.4444444444444444E-3</v>
      </c>
      <c r="D37" s="139">
        <f>IF(OTB!I17&gt;0,OTB!I17,0)</f>
        <v>4.6666666666666669E-2</v>
      </c>
      <c r="E37" s="146">
        <f>IF(OTB!I17&lt;0,ABS(OTB!I17),0)</f>
        <v>0</v>
      </c>
      <c r="F37" s="147"/>
    </row>
    <row r="38" spans="1:6" x14ac:dyDescent="0.2">
      <c r="A38" s="132" t="s">
        <v>29</v>
      </c>
      <c r="B38" s="132" t="s">
        <v>84</v>
      </c>
      <c r="C38" s="144">
        <f>IF(OTB!G17="","",OTB!J17)</f>
        <v>0.86</v>
      </c>
      <c r="D38" s="138">
        <f>IF(OTB!K17&gt;0,OTB!K17,0)</f>
        <v>0</v>
      </c>
      <c r="E38" s="144">
        <f>IF(OTB!K17&lt;0,ABS(OTB!K17),0)</f>
        <v>0.80888888888888888</v>
      </c>
      <c r="F38" s="147"/>
    </row>
    <row r="39" spans="1:6" x14ac:dyDescent="0.2">
      <c r="A39" s="132" t="s">
        <v>28</v>
      </c>
      <c r="B39" s="132" t="s">
        <v>83</v>
      </c>
      <c r="C39" s="139">
        <f>IF(OTB!G19="","",OTB!H19)</f>
        <v>3.870967741935484E-2</v>
      </c>
      <c r="D39" s="139">
        <f>IF(OTB!I19&gt;0,OTB!I19,0)</f>
        <v>6.4516129032258021E-3</v>
      </c>
      <c r="E39" s="146">
        <f>IF(OTB!I19&lt;0,ABS(OTB!I19),0)</f>
        <v>0</v>
      </c>
      <c r="F39" s="147"/>
    </row>
    <row r="40" spans="1:6" ht="16" customHeight="1" thickBot="1" x14ac:dyDescent="0.25">
      <c r="A40" s="145" t="s">
        <v>28</v>
      </c>
      <c r="B40" s="132" t="s">
        <v>84</v>
      </c>
      <c r="C40" s="144">
        <f>IF(OTB!G19="","",OTB!J19)</f>
        <v>0.67741935483870963</v>
      </c>
      <c r="D40" s="138">
        <f>IF(OTB!K19&gt;0,OTB!K19,0)</f>
        <v>0</v>
      </c>
      <c r="E40" s="144">
        <f>IF(OTB!K19&lt;0,ABS(OTB!K19),0)</f>
        <v>0.63225806451612898</v>
      </c>
      <c r="F40" s="147"/>
    </row>
    <row r="41" spans="1:6" ht="17" thickBot="1" x14ac:dyDescent="0.25">
      <c r="A41" s="163" t="s">
        <v>6</v>
      </c>
      <c r="B41" s="164"/>
      <c r="C41" s="164"/>
      <c r="D41" s="164"/>
      <c r="E41" s="164"/>
    </row>
    <row r="42" spans="1:6" ht="24" x14ac:dyDescent="0.2">
      <c r="A42" s="130"/>
      <c r="B42" s="130"/>
      <c r="C42" s="128" t="s">
        <v>78</v>
      </c>
      <c r="D42" s="128" t="s">
        <v>79</v>
      </c>
      <c r="E42" s="128" t="s">
        <v>80</v>
      </c>
    </row>
    <row r="43" spans="1:6" x14ac:dyDescent="0.2">
      <c r="A43" s="132" t="s">
        <v>32</v>
      </c>
      <c r="B43" s="132" t="s">
        <v>83</v>
      </c>
      <c r="C43" s="133" t="e">
        <f>IF(OTB!#REF!="","",OTB!#REF!)</f>
        <v>#REF!</v>
      </c>
      <c r="D43" s="133" t="e">
        <f>IF(OTB!#REF!&gt;0,OTB!#REF!,0)</f>
        <v>#REF!</v>
      </c>
      <c r="E43" s="133" t="e">
        <f>IF(OTB!#REF!&lt;0,ABS(OTB!#REF!),0)</f>
        <v>#REF!</v>
      </c>
    </row>
    <row r="44" spans="1:6" x14ac:dyDescent="0.2">
      <c r="A44" s="132" t="s">
        <v>32</v>
      </c>
      <c r="B44" s="132" t="s">
        <v>84</v>
      </c>
      <c r="C44" s="135" t="e">
        <f>IF(OTB!#REF!="","",OTB!#REF!)</f>
        <v>#REF!</v>
      </c>
      <c r="D44" s="135" t="e">
        <f>IF(OTB!#REF!&gt;0,OTB!#REF!,0)</f>
        <v>#REF!</v>
      </c>
      <c r="E44" s="135" t="e">
        <f>IF(OTB!#REF!&lt;0,ABS(OTB!#REF!),0)</f>
        <v>#REF!</v>
      </c>
    </row>
    <row r="45" spans="1:6" x14ac:dyDescent="0.2">
      <c r="A45" s="132" t="s">
        <v>31</v>
      </c>
      <c r="B45" s="132" t="s">
        <v>83</v>
      </c>
      <c r="C45" s="133">
        <f>IF(OTB!B22="","",OTB!C22)</f>
        <v>1064.7814912280701</v>
      </c>
      <c r="D45" s="133">
        <f>IF(OTB!D22&gt;0,OTB!D22,0)</f>
        <v>0</v>
      </c>
      <c r="E45" s="133">
        <f>IF(OTB!D22&lt;0,ABS(OTB!D22),0)</f>
        <v>0</v>
      </c>
    </row>
    <row r="46" spans="1:6" x14ac:dyDescent="0.2">
      <c r="A46" s="132" t="s">
        <v>31</v>
      </c>
      <c r="B46" s="132" t="s">
        <v>84</v>
      </c>
      <c r="C46" s="135">
        <f>IF(OTB!B22="","",OTB!E22)</f>
        <v>930.82105263157894</v>
      </c>
      <c r="D46" s="135">
        <f>IF(OTB!F22&gt;0,OTB!F22,0)</f>
        <v>133.96043859649114</v>
      </c>
      <c r="E46" s="135">
        <f>IF(OTB!F22&lt;0,ABS(OTB!F22),0)</f>
        <v>0</v>
      </c>
    </row>
    <row r="47" spans="1:6" x14ac:dyDescent="0.2">
      <c r="A47" s="132" t="s">
        <v>3</v>
      </c>
      <c r="B47" s="132" t="s">
        <v>83</v>
      </c>
      <c r="C47" s="133">
        <f>IF(OTB!B23="","",OTB!C23)</f>
        <v>1289.6956250000001</v>
      </c>
      <c r="D47" s="133">
        <f>IF(OTB!D23&gt;0,OTB!D23,0)</f>
        <v>0</v>
      </c>
      <c r="E47" s="133">
        <f>IF(OTB!D23&lt;0,ABS(OTB!D23),0)</f>
        <v>198.13581730769261</v>
      </c>
    </row>
    <row r="48" spans="1:6" x14ac:dyDescent="0.2">
      <c r="A48" s="132" t="s">
        <v>3</v>
      </c>
      <c r="B48" s="132" t="s">
        <v>84</v>
      </c>
      <c r="C48" s="135">
        <f>IF(OTB!B23="","",OTB!E23)</f>
        <v>1007.0355555555556</v>
      </c>
      <c r="D48" s="135">
        <f>IF(OTB!F23&gt;0,OTB!F23,0)</f>
        <v>84.524252136751898</v>
      </c>
      <c r="E48" s="135">
        <f>IF(OTB!F23&lt;0,ABS(OTB!F23),0)</f>
        <v>0</v>
      </c>
    </row>
    <row r="49" spans="1:5" x14ac:dyDescent="0.2">
      <c r="A49" s="132" t="s">
        <v>4</v>
      </c>
      <c r="B49" s="132" t="s">
        <v>83</v>
      </c>
      <c r="C49" s="133">
        <f>IF(OTB!B24="","",OTB!C24)</f>
        <v>1071.5831034482758</v>
      </c>
      <c r="D49" s="133">
        <f>IF(OTB!D24&gt;0,OTB!D24,0)</f>
        <v>11.233617863199697</v>
      </c>
      <c r="E49" s="133">
        <f>IF(OTB!D24&lt;0,ABS(OTB!D24),0)</f>
        <v>0</v>
      </c>
    </row>
    <row r="50" spans="1:5" x14ac:dyDescent="0.2">
      <c r="A50" s="132" t="s">
        <v>4</v>
      </c>
      <c r="B50" s="132" t="s">
        <v>84</v>
      </c>
      <c r="C50" s="135">
        <f>IF(OTB!B24="","",OTB!E24)</f>
        <v>954.15283959283954</v>
      </c>
      <c r="D50" s="135">
        <f>IF(OTB!F24&gt;0,OTB!F24,0)</f>
        <v>128.66388171863593</v>
      </c>
      <c r="E50" s="135">
        <f>IF(OTB!F24&lt;0,ABS(OTB!F24),0)</f>
        <v>0</v>
      </c>
    </row>
    <row r="51" spans="1:5" x14ac:dyDescent="0.2">
      <c r="A51" s="132" t="s">
        <v>30</v>
      </c>
      <c r="B51" s="132" t="s">
        <v>83</v>
      </c>
      <c r="C51" s="133">
        <f>IF(OTB!B25="","",OTB!C25)</f>
        <v>1611.9</v>
      </c>
      <c r="D51" s="133">
        <f>IF(OTB!D25&gt;0,OTB!D25,0)</f>
        <v>0</v>
      </c>
      <c r="E51" s="133">
        <f>IF(OTB!D25&lt;0,ABS(OTB!D25),0)</f>
        <v>0</v>
      </c>
    </row>
    <row r="52" spans="1:5" x14ac:dyDescent="0.2">
      <c r="A52" s="132" t="s">
        <v>30</v>
      </c>
      <c r="B52" s="132" t="s">
        <v>84</v>
      </c>
      <c r="C52" s="135">
        <f>IF(OTB!B25="","",OTB!E25)</f>
        <v>1003.192025723473</v>
      </c>
      <c r="D52" s="135">
        <f>IF(OTB!F25&gt;0,OTB!F25,0)</f>
        <v>608.70797427652712</v>
      </c>
      <c r="E52" s="135">
        <f>IF(OTB!F25&lt;0,ABS(OTB!F25),0)</f>
        <v>0</v>
      </c>
    </row>
    <row r="53" spans="1:5" x14ac:dyDescent="0.2">
      <c r="A53" s="132" t="s">
        <v>29</v>
      </c>
      <c r="B53" s="132" t="s">
        <v>83</v>
      </c>
      <c r="C53" s="133">
        <f>IF(OTB!B26="","",OTB!C26)</f>
        <v>2272.5700000000002</v>
      </c>
      <c r="D53" s="133">
        <f>IF(OTB!D26&gt;0,OTB!D26,0)</f>
        <v>0</v>
      </c>
      <c r="E53" s="133">
        <f>IF(OTB!D26&lt;0,ABS(OTB!D26),0)</f>
        <v>327.13782608695669</v>
      </c>
    </row>
    <row r="54" spans="1:5" x14ac:dyDescent="0.2">
      <c r="A54" s="132" t="s">
        <v>29</v>
      </c>
      <c r="B54" s="132" t="s">
        <v>84</v>
      </c>
      <c r="C54" s="135">
        <f>IF(OTB!B26="","",OTB!E26)</f>
        <v>947.38501291989667</v>
      </c>
      <c r="D54" s="135">
        <f>IF(OTB!F26&gt;0,OTB!F26,0)</f>
        <v>998.0471609931468</v>
      </c>
      <c r="E54" s="135">
        <f>IF(OTB!F26&lt;0,ABS(OTB!F26),0)</f>
        <v>0</v>
      </c>
    </row>
    <row r="55" spans="1:5" x14ac:dyDescent="0.2">
      <c r="A55" s="132" t="s">
        <v>28</v>
      </c>
      <c r="B55" s="132" t="s">
        <v>83</v>
      </c>
      <c r="C55" s="141">
        <f>IF(OTB!B28="","",OTB!C28)</f>
        <v>2291.33</v>
      </c>
      <c r="D55" s="141">
        <f>IF(OTB!D28&gt;0,OTB!D28,0)</f>
        <v>0</v>
      </c>
      <c r="E55" s="141">
        <f>IF(OTB!D28&lt;0,ABS(OTB!D28),0)</f>
        <v>113.04714285714272</v>
      </c>
    </row>
    <row r="56" spans="1:5" x14ac:dyDescent="0.2">
      <c r="A56" s="148" t="s">
        <v>28</v>
      </c>
      <c r="B56" s="140" t="s">
        <v>84</v>
      </c>
      <c r="C56" s="142">
        <f>IF(OTB!B28="","",OTB!E28)</f>
        <v>1253.4079365079369</v>
      </c>
      <c r="D56" s="142">
        <f>IF(OTB!F28&gt;0,OTB!F28,0)</f>
        <v>924.87492063492027</v>
      </c>
      <c r="E56" s="142">
        <f>IF(OTB!F28&lt;0,ABS(OTB!F28),0)</f>
        <v>0</v>
      </c>
    </row>
  </sheetData>
  <mergeCells count="10">
    <mergeCell ref="A11:A12"/>
    <mergeCell ref="A1:E1"/>
    <mergeCell ref="A25:E25"/>
    <mergeCell ref="A41:E41"/>
    <mergeCell ref="A13:A14"/>
    <mergeCell ref="A15:A16"/>
    <mergeCell ref="A17:A18"/>
    <mergeCell ref="A19:A20"/>
    <mergeCell ref="A21:A22"/>
    <mergeCell ref="A23:A24"/>
  </mergeCells>
  <phoneticPr fontId="1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7ABDB-C407-E64C-848B-2132CD3F94FC}">
  <dimension ref="A1:J64"/>
  <sheetViews>
    <sheetView zoomScale="60" zoomScaleNormal="70" workbookViewId="0">
      <selection activeCell="H31" sqref="H31"/>
    </sheetView>
  </sheetViews>
  <sheetFormatPr baseColWidth="10" defaultRowHeight="18" x14ac:dyDescent="0.2"/>
  <cols>
    <col min="1" max="1" width="16.83203125" style="9" customWidth="1"/>
    <col min="2" max="8" width="12.6640625" style="9" customWidth="1"/>
    <col min="9" max="9" width="15.1640625" style="8" customWidth="1"/>
    <col min="10" max="10" width="9" style="8" customWidth="1"/>
  </cols>
  <sheetData>
    <row r="1" spans="1:10" x14ac:dyDescent="0.2">
      <c r="A1" s="49" t="s">
        <v>38</v>
      </c>
      <c r="B1" s="48">
        <v>2020</v>
      </c>
      <c r="C1" s="47">
        <v>2021</v>
      </c>
      <c r="D1" s="47">
        <v>2022</v>
      </c>
      <c r="E1" s="47">
        <v>2023</v>
      </c>
      <c r="F1" s="46">
        <v>2024</v>
      </c>
      <c r="G1" s="46" t="s">
        <v>39</v>
      </c>
      <c r="H1" s="46" t="s">
        <v>65</v>
      </c>
      <c r="I1" s="165" t="s">
        <v>66</v>
      </c>
      <c r="J1" s="166"/>
    </row>
    <row r="2" spans="1:10" x14ac:dyDescent="0.2">
      <c r="A2" s="19" t="s">
        <v>37</v>
      </c>
      <c r="B2" s="44"/>
      <c r="C2" s="44"/>
      <c r="D2" s="44"/>
      <c r="E2" s="44"/>
      <c r="F2" s="43"/>
      <c r="G2" s="43"/>
      <c r="H2" s="43"/>
      <c r="I2" s="88">
        <f>H2-G2</f>
        <v>0</v>
      </c>
      <c r="J2" s="90" t="e">
        <f>(H2-G2)/G2</f>
        <v>#DIV/0!</v>
      </c>
    </row>
    <row r="3" spans="1:10" x14ac:dyDescent="0.2">
      <c r="A3" s="19" t="s">
        <v>36</v>
      </c>
      <c r="B3" s="44"/>
      <c r="C3" s="44"/>
      <c r="D3" s="44"/>
      <c r="E3" s="44"/>
      <c r="F3" s="43"/>
      <c r="G3" s="43"/>
      <c r="H3" s="43"/>
      <c r="I3" s="88">
        <f t="shared" ref="I3:I13" si="0">H3-G3</f>
        <v>0</v>
      </c>
      <c r="J3" s="90" t="e">
        <f t="shared" ref="J3:J13" si="1">(H3-G3)/G3</f>
        <v>#DIV/0!</v>
      </c>
    </row>
    <row r="4" spans="1:10" x14ac:dyDescent="0.2">
      <c r="A4" s="19" t="s">
        <v>35</v>
      </c>
      <c r="B4" s="45"/>
      <c r="C4" s="44"/>
      <c r="D4" s="44"/>
      <c r="E4" s="44"/>
      <c r="F4" s="43"/>
      <c r="G4" s="43"/>
      <c r="H4" s="43"/>
      <c r="I4" s="88">
        <f t="shared" si="0"/>
        <v>0</v>
      </c>
      <c r="J4" s="90" t="e">
        <f t="shared" si="1"/>
        <v>#DIV/0!</v>
      </c>
    </row>
    <row r="5" spans="1:10" x14ac:dyDescent="0.2">
      <c r="A5" s="19" t="s">
        <v>34</v>
      </c>
      <c r="B5" s="45"/>
      <c r="C5" s="44"/>
      <c r="D5" s="44"/>
      <c r="E5" s="44"/>
      <c r="F5" s="43"/>
      <c r="G5" s="43"/>
      <c r="H5" s="43"/>
      <c r="I5" s="88">
        <f t="shared" si="0"/>
        <v>0</v>
      </c>
      <c r="J5" s="90" t="e">
        <f t="shared" si="1"/>
        <v>#DIV/0!</v>
      </c>
    </row>
    <row r="6" spans="1:10" x14ac:dyDescent="0.2">
      <c r="A6" s="19" t="s">
        <v>33</v>
      </c>
      <c r="B6" s="45"/>
      <c r="C6" s="44"/>
      <c r="D6" s="44"/>
      <c r="E6" s="44"/>
      <c r="F6" s="43"/>
      <c r="G6" s="43"/>
      <c r="H6" s="43"/>
      <c r="I6" s="88">
        <f t="shared" si="0"/>
        <v>0</v>
      </c>
      <c r="J6" s="90" t="e">
        <f t="shared" si="1"/>
        <v>#DIV/0!</v>
      </c>
    </row>
    <row r="7" spans="1:10" x14ac:dyDescent="0.2">
      <c r="A7" s="19" t="s">
        <v>32</v>
      </c>
      <c r="B7" s="44"/>
      <c r="C7" s="44"/>
      <c r="D7" s="44"/>
      <c r="E7" s="44"/>
      <c r="F7" s="43"/>
      <c r="G7" s="43"/>
      <c r="H7" s="43"/>
      <c r="I7" s="88">
        <f t="shared" si="0"/>
        <v>0</v>
      </c>
      <c r="J7" s="90" t="e">
        <f t="shared" si="1"/>
        <v>#DIV/0!</v>
      </c>
    </row>
    <row r="8" spans="1:10" x14ac:dyDescent="0.2">
      <c r="A8" s="19" t="s">
        <v>31</v>
      </c>
      <c r="B8" s="44"/>
      <c r="C8" s="44"/>
      <c r="D8" s="44"/>
      <c r="E8" s="44"/>
      <c r="F8" s="43"/>
      <c r="G8" s="43"/>
      <c r="H8" s="43"/>
      <c r="I8" s="88">
        <f t="shared" si="0"/>
        <v>0</v>
      </c>
      <c r="J8" s="90" t="e">
        <f t="shared" si="1"/>
        <v>#DIV/0!</v>
      </c>
    </row>
    <row r="9" spans="1:10" x14ac:dyDescent="0.2">
      <c r="A9" s="19" t="s">
        <v>3</v>
      </c>
      <c r="B9" s="44"/>
      <c r="C9" s="44"/>
      <c r="D9" s="44"/>
      <c r="E9" s="44"/>
      <c r="F9" s="43"/>
      <c r="G9" s="43"/>
      <c r="H9" s="43"/>
      <c r="I9" s="88">
        <f t="shared" si="0"/>
        <v>0</v>
      </c>
      <c r="J9" s="90" t="e">
        <f t="shared" si="1"/>
        <v>#DIV/0!</v>
      </c>
    </row>
    <row r="10" spans="1:10" x14ac:dyDescent="0.2">
      <c r="A10" s="19" t="s">
        <v>4</v>
      </c>
      <c r="B10" s="44"/>
      <c r="C10" s="44"/>
      <c r="D10" s="44"/>
      <c r="E10" s="44"/>
      <c r="F10" s="43"/>
      <c r="G10" s="43"/>
      <c r="H10" s="43"/>
      <c r="I10" s="88">
        <f t="shared" si="0"/>
        <v>0</v>
      </c>
      <c r="J10" s="90" t="e">
        <f t="shared" si="1"/>
        <v>#DIV/0!</v>
      </c>
    </row>
    <row r="11" spans="1:10" x14ac:dyDescent="0.2">
      <c r="A11" s="19" t="s">
        <v>30</v>
      </c>
      <c r="B11" s="44"/>
      <c r="C11" s="44"/>
      <c r="D11" s="44"/>
      <c r="E11" s="44"/>
      <c r="F11" s="43"/>
      <c r="G11" s="43"/>
      <c r="H11" s="43"/>
      <c r="I11" s="88">
        <f t="shared" si="0"/>
        <v>0</v>
      </c>
      <c r="J11" s="90" t="e">
        <f t="shared" si="1"/>
        <v>#DIV/0!</v>
      </c>
    </row>
    <row r="12" spans="1:10" x14ac:dyDescent="0.2">
      <c r="A12" s="19" t="s">
        <v>29</v>
      </c>
      <c r="B12" s="44"/>
      <c r="C12" s="44"/>
      <c r="D12" s="44"/>
      <c r="E12" s="44"/>
      <c r="F12" s="43"/>
      <c r="G12" s="43"/>
      <c r="H12" s="43"/>
      <c r="I12" s="88">
        <f t="shared" si="0"/>
        <v>0</v>
      </c>
      <c r="J12" s="90" t="e">
        <f t="shared" si="1"/>
        <v>#DIV/0!</v>
      </c>
    </row>
    <row r="13" spans="1:10" ht="19" thickBot="1" x14ac:dyDescent="0.25">
      <c r="A13" s="16" t="s">
        <v>28</v>
      </c>
      <c r="B13" s="42"/>
      <c r="C13" s="42"/>
      <c r="D13" s="42"/>
      <c r="E13" s="42"/>
      <c r="F13" s="41"/>
      <c r="G13" s="41"/>
      <c r="H13" s="41"/>
      <c r="I13" s="88">
        <f t="shared" si="0"/>
        <v>0</v>
      </c>
      <c r="J13" s="90" t="e">
        <f t="shared" si="1"/>
        <v>#DIV/0!</v>
      </c>
    </row>
    <row r="14" spans="1:10" ht="19" thickBot="1" x14ac:dyDescent="0.25">
      <c r="A14" s="13" t="s">
        <v>9</v>
      </c>
      <c r="B14" s="40">
        <f t="shared" ref="B14:F14" si="2">SUM(B2:B13)</f>
        <v>0</v>
      </c>
      <c r="C14" s="40">
        <f t="shared" si="2"/>
        <v>0</v>
      </c>
      <c r="D14" s="40">
        <f t="shared" si="2"/>
        <v>0</v>
      </c>
      <c r="E14" s="40">
        <f t="shared" si="2"/>
        <v>0</v>
      </c>
      <c r="F14" s="39">
        <f t="shared" si="2"/>
        <v>0</v>
      </c>
      <c r="G14" s="39">
        <f t="shared" ref="G14:H14" si="3">SUM(G2:G13)</f>
        <v>0</v>
      </c>
      <c r="H14" s="39">
        <f t="shared" si="3"/>
        <v>0</v>
      </c>
      <c r="I14" s="89">
        <f>H14-G14</f>
        <v>0</v>
      </c>
      <c r="J14" s="91" t="e">
        <f>(H14-G14)/G14</f>
        <v>#DIV/0!</v>
      </c>
    </row>
    <row r="15" spans="1:10" x14ac:dyDescent="0.2">
      <c r="A15" s="24" t="s">
        <v>5</v>
      </c>
      <c r="B15" s="23">
        <v>2020</v>
      </c>
      <c r="C15" s="23">
        <v>2021</v>
      </c>
      <c r="D15" s="23">
        <v>2022</v>
      </c>
      <c r="E15" s="23">
        <v>2023</v>
      </c>
      <c r="F15" s="22">
        <v>2024</v>
      </c>
      <c r="G15" s="22">
        <v>2025</v>
      </c>
      <c r="H15" s="46" t="s">
        <v>65</v>
      </c>
      <c r="I15" s="165" t="s">
        <v>66</v>
      </c>
      <c r="J15" s="166"/>
    </row>
    <row r="16" spans="1:10" x14ac:dyDescent="0.2">
      <c r="A16" s="19" t="s">
        <v>37</v>
      </c>
      <c r="B16" s="37"/>
      <c r="C16" s="37"/>
      <c r="D16" s="37"/>
      <c r="E16" s="37"/>
      <c r="F16" s="36"/>
      <c r="G16" s="36"/>
      <c r="H16" s="36"/>
      <c r="I16" s="88">
        <f>H16-G16</f>
        <v>0</v>
      </c>
      <c r="J16" s="90" t="e">
        <f>(H16-G16)/G16</f>
        <v>#DIV/0!</v>
      </c>
    </row>
    <row r="17" spans="1:10" x14ac:dyDescent="0.2">
      <c r="A17" s="19" t="s">
        <v>36</v>
      </c>
      <c r="B17" s="37"/>
      <c r="C17" s="37"/>
      <c r="D17" s="37"/>
      <c r="E17" s="37"/>
      <c r="F17" s="36"/>
      <c r="G17" s="36"/>
      <c r="H17" s="36"/>
      <c r="I17" s="88">
        <f t="shared" ref="I17:I27" si="4">H17-G17</f>
        <v>0</v>
      </c>
      <c r="J17" s="90" t="e">
        <f t="shared" ref="J17:J27" si="5">(H17-G17)/G17</f>
        <v>#DIV/0!</v>
      </c>
    </row>
    <row r="18" spans="1:10" x14ac:dyDescent="0.2">
      <c r="A18" s="19" t="s">
        <v>35</v>
      </c>
      <c r="B18" s="38"/>
      <c r="C18" s="37"/>
      <c r="D18" s="37"/>
      <c r="E18" s="37"/>
      <c r="F18" s="36"/>
      <c r="G18" s="36"/>
      <c r="H18" s="36"/>
      <c r="I18" s="88">
        <f t="shared" si="4"/>
        <v>0</v>
      </c>
      <c r="J18" s="90" t="e">
        <f t="shared" si="5"/>
        <v>#DIV/0!</v>
      </c>
    </row>
    <row r="19" spans="1:10" x14ac:dyDescent="0.2">
      <c r="A19" s="19" t="s">
        <v>34</v>
      </c>
      <c r="B19" s="38"/>
      <c r="C19" s="37"/>
      <c r="D19" s="37"/>
      <c r="E19" s="37"/>
      <c r="F19" s="36"/>
      <c r="G19" s="36"/>
      <c r="H19" s="36"/>
      <c r="I19" s="88">
        <f t="shared" si="4"/>
        <v>0</v>
      </c>
      <c r="J19" s="90" t="e">
        <f t="shared" si="5"/>
        <v>#DIV/0!</v>
      </c>
    </row>
    <row r="20" spans="1:10" x14ac:dyDescent="0.2">
      <c r="A20" s="19" t="s">
        <v>33</v>
      </c>
      <c r="B20" s="38"/>
      <c r="C20" s="37"/>
      <c r="D20" s="37"/>
      <c r="E20" s="37"/>
      <c r="F20" s="36"/>
      <c r="G20" s="36"/>
      <c r="H20" s="36"/>
      <c r="I20" s="88">
        <f t="shared" si="4"/>
        <v>0</v>
      </c>
      <c r="J20" s="90" t="e">
        <f t="shared" si="5"/>
        <v>#DIV/0!</v>
      </c>
    </row>
    <row r="21" spans="1:10" x14ac:dyDescent="0.2">
      <c r="A21" s="19" t="s">
        <v>32</v>
      </c>
      <c r="B21" s="37"/>
      <c r="C21" s="37"/>
      <c r="D21" s="37"/>
      <c r="E21" s="37"/>
      <c r="F21" s="36"/>
      <c r="G21" s="36"/>
      <c r="H21" s="36"/>
      <c r="I21" s="88">
        <f t="shared" si="4"/>
        <v>0</v>
      </c>
      <c r="J21" s="90" t="e">
        <f t="shared" si="5"/>
        <v>#DIV/0!</v>
      </c>
    </row>
    <row r="22" spans="1:10" x14ac:dyDescent="0.2">
      <c r="A22" s="19" t="s">
        <v>31</v>
      </c>
      <c r="B22" s="37"/>
      <c r="C22" s="37"/>
      <c r="D22" s="37"/>
      <c r="E22" s="37"/>
      <c r="F22" s="36"/>
      <c r="G22" s="36"/>
      <c r="H22" s="36"/>
      <c r="I22" s="88">
        <f t="shared" si="4"/>
        <v>0</v>
      </c>
      <c r="J22" s="90" t="e">
        <f t="shared" si="5"/>
        <v>#DIV/0!</v>
      </c>
    </row>
    <row r="23" spans="1:10" x14ac:dyDescent="0.2">
      <c r="A23" s="19" t="s">
        <v>3</v>
      </c>
      <c r="B23" s="37"/>
      <c r="C23" s="37"/>
      <c r="D23" s="37"/>
      <c r="E23" s="37"/>
      <c r="F23" s="36"/>
      <c r="G23" s="36"/>
      <c r="H23" s="36"/>
      <c r="I23" s="88">
        <f t="shared" si="4"/>
        <v>0</v>
      </c>
      <c r="J23" s="90" t="e">
        <f t="shared" si="5"/>
        <v>#DIV/0!</v>
      </c>
    </row>
    <row r="24" spans="1:10" x14ac:dyDescent="0.2">
      <c r="A24" s="19" t="s">
        <v>4</v>
      </c>
      <c r="B24" s="37"/>
      <c r="C24" s="37"/>
      <c r="D24" s="37"/>
      <c r="E24" s="37"/>
      <c r="F24" s="36"/>
      <c r="G24" s="36"/>
      <c r="H24" s="36"/>
      <c r="I24" s="88">
        <f t="shared" si="4"/>
        <v>0</v>
      </c>
      <c r="J24" s="90" t="e">
        <f t="shared" si="5"/>
        <v>#DIV/0!</v>
      </c>
    </row>
    <row r="25" spans="1:10" x14ac:dyDescent="0.2">
      <c r="A25" s="19" t="s">
        <v>30</v>
      </c>
      <c r="B25" s="37"/>
      <c r="C25" s="37"/>
      <c r="D25" s="37"/>
      <c r="E25" s="37"/>
      <c r="F25" s="36"/>
      <c r="G25" s="36"/>
      <c r="H25" s="36"/>
      <c r="I25" s="88">
        <f t="shared" si="4"/>
        <v>0</v>
      </c>
      <c r="J25" s="90" t="e">
        <f t="shared" si="5"/>
        <v>#DIV/0!</v>
      </c>
    </row>
    <row r="26" spans="1:10" x14ac:dyDescent="0.2">
      <c r="A26" s="19" t="s">
        <v>29</v>
      </c>
      <c r="B26" s="37"/>
      <c r="C26" s="37"/>
      <c r="D26" s="37"/>
      <c r="E26" s="37"/>
      <c r="F26" s="36"/>
      <c r="G26" s="36"/>
      <c r="H26" s="36"/>
      <c r="I26" s="88">
        <f t="shared" si="4"/>
        <v>0</v>
      </c>
      <c r="J26" s="90" t="e">
        <f t="shared" si="5"/>
        <v>#DIV/0!</v>
      </c>
    </row>
    <row r="27" spans="1:10" ht="19" thickBot="1" x14ac:dyDescent="0.25">
      <c r="A27" s="16" t="s">
        <v>28</v>
      </c>
      <c r="B27" s="35"/>
      <c r="C27" s="35"/>
      <c r="D27" s="35"/>
      <c r="E27" s="35"/>
      <c r="F27" s="34"/>
      <c r="G27" s="34"/>
      <c r="H27" s="34"/>
      <c r="I27" s="88">
        <f t="shared" si="4"/>
        <v>0</v>
      </c>
      <c r="J27" s="90" t="e">
        <f t="shared" si="5"/>
        <v>#DIV/0!</v>
      </c>
    </row>
    <row r="28" spans="1:10" ht="19" thickBot="1" x14ac:dyDescent="0.25">
      <c r="A28" s="13" t="s">
        <v>9</v>
      </c>
      <c r="B28" s="33">
        <f t="shared" ref="B28:F28" si="6">SUM(B16:B27)</f>
        <v>0</v>
      </c>
      <c r="C28" s="33">
        <f t="shared" si="6"/>
        <v>0</v>
      </c>
      <c r="D28" s="33">
        <f t="shared" si="6"/>
        <v>0</v>
      </c>
      <c r="E28" s="33">
        <f t="shared" si="6"/>
        <v>0</v>
      </c>
      <c r="F28" s="32">
        <f t="shared" si="6"/>
        <v>0</v>
      </c>
      <c r="G28" s="32">
        <f t="shared" ref="G28:H28" si="7">SUM(G16:G27)</f>
        <v>0</v>
      </c>
      <c r="H28" s="32">
        <f t="shared" si="7"/>
        <v>0</v>
      </c>
      <c r="I28" s="89">
        <f>H28-G28</f>
        <v>0</v>
      </c>
      <c r="J28" s="91" t="e">
        <f>(H28-G28)/G28</f>
        <v>#DIV/0!</v>
      </c>
    </row>
    <row r="29" spans="1:10" x14ac:dyDescent="0.2">
      <c r="A29" s="24" t="s">
        <v>7</v>
      </c>
      <c r="B29" s="23">
        <v>2020</v>
      </c>
      <c r="C29" s="23">
        <v>2021</v>
      </c>
      <c r="D29" s="23">
        <v>2022</v>
      </c>
      <c r="E29" s="23">
        <v>2023</v>
      </c>
      <c r="F29" s="22">
        <v>2024</v>
      </c>
      <c r="G29" s="22">
        <v>2025</v>
      </c>
      <c r="H29" s="46" t="s">
        <v>65</v>
      </c>
      <c r="I29" s="165" t="s">
        <v>66</v>
      </c>
      <c r="J29" s="166"/>
    </row>
    <row r="30" spans="1:10" x14ac:dyDescent="0.2">
      <c r="A30" s="19" t="s">
        <v>37</v>
      </c>
      <c r="B30" s="30">
        <f>(B16/310)</f>
        <v>0</v>
      </c>
      <c r="C30" s="30">
        <f>(C16/310)</f>
        <v>0</v>
      </c>
      <c r="D30" s="30">
        <f>(D16/310)</f>
        <v>0</v>
      </c>
      <c r="E30" s="30">
        <f>(E16/310)</f>
        <v>0</v>
      </c>
      <c r="F30" s="29">
        <f>(F16/403)</f>
        <v>0</v>
      </c>
      <c r="G30" s="29">
        <f>(G16/465)</f>
        <v>0</v>
      </c>
      <c r="H30" s="29">
        <f>(H16/465)</f>
        <v>0</v>
      </c>
      <c r="I30" s="90">
        <f>H30-G30</f>
        <v>0</v>
      </c>
      <c r="J30" s="90" t="e">
        <f>(H30-G30)/G30</f>
        <v>#DIV/0!</v>
      </c>
    </row>
    <row r="31" spans="1:10" x14ac:dyDescent="0.2">
      <c r="A31" s="19" t="s">
        <v>36</v>
      </c>
      <c r="B31" s="30">
        <f>(B17/290)</f>
        <v>0</v>
      </c>
      <c r="C31" s="30">
        <f>(C17/280)</f>
        <v>0</v>
      </c>
      <c r="D31" s="30">
        <f>(D17/280)</f>
        <v>0</v>
      </c>
      <c r="E31" s="30">
        <f>(E17/280)</f>
        <v>0</v>
      </c>
      <c r="F31" s="29">
        <f>(F17/377)</f>
        <v>0</v>
      </c>
      <c r="G31" s="29">
        <f>(G17/420)</f>
        <v>0</v>
      </c>
      <c r="H31" s="29">
        <f>(H17/420)</f>
        <v>0</v>
      </c>
      <c r="I31" s="90">
        <f t="shared" ref="I31:I41" si="8">H31-G31</f>
        <v>0</v>
      </c>
      <c r="J31" s="90" t="e">
        <f t="shared" ref="J31:J41" si="9">(H31-G31)/G31</f>
        <v>#DIV/0!</v>
      </c>
    </row>
    <row r="32" spans="1:10" x14ac:dyDescent="0.2">
      <c r="A32" s="19" t="s">
        <v>35</v>
      </c>
      <c r="B32" s="31">
        <f>(B18/310)</f>
        <v>0</v>
      </c>
      <c r="C32" s="30">
        <f>(C18/310)</f>
        <v>0</v>
      </c>
      <c r="D32" s="30">
        <f>(D18/310)</f>
        <v>0</v>
      </c>
      <c r="E32" s="30">
        <f>(E18/310)</f>
        <v>0</v>
      </c>
      <c r="F32" s="29">
        <f>(F18/403)</f>
        <v>0</v>
      </c>
      <c r="G32" s="29">
        <f>(G18/465)</f>
        <v>0</v>
      </c>
      <c r="H32" s="29">
        <f>(H18/465)</f>
        <v>0</v>
      </c>
      <c r="I32" s="90">
        <f t="shared" si="8"/>
        <v>0</v>
      </c>
      <c r="J32" s="90" t="e">
        <f t="shared" si="9"/>
        <v>#DIV/0!</v>
      </c>
    </row>
    <row r="33" spans="1:10" x14ac:dyDescent="0.2">
      <c r="A33" s="19" t="s">
        <v>34</v>
      </c>
      <c r="B33" s="31">
        <f>(B19/300)</f>
        <v>0</v>
      </c>
      <c r="C33" s="30">
        <f>(C19/300)</f>
        <v>0</v>
      </c>
      <c r="D33" s="30">
        <f>(D19/300)</f>
        <v>0</v>
      </c>
      <c r="E33" s="30">
        <f>(E19/300)</f>
        <v>0</v>
      </c>
      <c r="F33" s="29">
        <f>(F19/390)</f>
        <v>0</v>
      </c>
      <c r="G33" s="29">
        <f>(G19/350)</f>
        <v>0</v>
      </c>
      <c r="H33" s="29">
        <f>(H19/350)</f>
        <v>0</v>
      </c>
      <c r="I33" s="90">
        <f t="shared" si="8"/>
        <v>0</v>
      </c>
      <c r="J33" s="90" t="e">
        <f t="shared" si="9"/>
        <v>#DIV/0!</v>
      </c>
    </row>
    <row r="34" spans="1:10" x14ac:dyDescent="0.2">
      <c r="A34" s="19" t="s">
        <v>33</v>
      </c>
      <c r="B34" s="31">
        <f>(B20/310)</f>
        <v>0</v>
      </c>
      <c r="C34" s="30">
        <f>(C20/310)</f>
        <v>0</v>
      </c>
      <c r="D34" s="30">
        <f>(D20/310)</f>
        <v>0</v>
      </c>
      <c r="E34" s="30">
        <f>(E20/310)</f>
        <v>0</v>
      </c>
      <c r="F34" s="29">
        <f>(F20/465)</f>
        <v>0</v>
      </c>
      <c r="G34" s="29">
        <f>(G20/465)</f>
        <v>0</v>
      </c>
      <c r="H34" s="29">
        <f>(H20/465)</f>
        <v>0</v>
      </c>
      <c r="I34" s="90">
        <f t="shared" si="8"/>
        <v>0</v>
      </c>
      <c r="J34" s="90" t="e">
        <f t="shared" si="9"/>
        <v>#DIV/0!</v>
      </c>
    </row>
    <row r="35" spans="1:10" x14ac:dyDescent="0.2">
      <c r="A35" s="19" t="s">
        <v>32</v>
      </c>
      <c r="B35" s="30">
        <f>(B21/300)</f>
        <v>0</v>
      </c>
      <c r="C35" s="30">
        <f>(C21/300)</f>
        <v>0</v>
      </c>
      <c r="D35" s="30">
        <f>(D21/300)</f>
        <v>0</v>
      </c>
      <c r="E35" s="30">
        <f>(E21/300)</f>
        <v>0</v>
      </c>
      <c r="F35" s="29">
        <f>(F21/450)</f>
        <v>0</v>
      </c>
      <c r="G35" s="29">
        <f>(G21/450)</f>
        <v>0</v>
      </c>
      <c r="H35" s="29">
        <f>(H21/450)</f>
        <v>0</v>
      </c>
      <c r="I35" s="90">
        <f t="shared" si="8"/>
        <v>0</v>
      </c>
      <c r="J35" s="90" t="e">
        <f t="shared" si="9"/>
        <v>#DIV/0!</v>
      </c>
    </row>
    <row r="36" spans="1:10" x14ac:dyDescent="0.2">
      <c r="A36" s="19" t="s">
        <v>31</v>
      </c>
      <c r="B36" s="30">
        <f t="shared" ref="B36:E37" si="10">(B22/310)</f>
        <v>0</v>
      </c>
      <c r="C36" s="30">
        <f t="shared" si="10"/>
        <v>0</v>
      </c>
      <c r="D36" s="30">
        <f t="shared" si="10"/>
        <v>0</v>
      </c>
      <c r="E36" s="30">
        <f t="shared" si="10"/>
        <v>0</v>
      </c>
      <c r="F36" s="29">
        <f t="shared" ref="F36:H37" si="11">(F22/465)</f>
        <v>0</v>
      </c>
      <c r="G36" s="29">
        <f t="shared" si="11"/>
        <v>0</v>
      </c>
      <c r="H36" s="29">
        <f t="shared" si="11"/>
        <v>0</v>
      </c>
      <c r="I36" s="90">
        <f t="shared" si="8"/>
        <v>0</v>
      </c>
      <c r="J36" s="90" t="e">
        <f t="shared" si="9"/>
        <v>#DIV/0!</v>
      </c>
    </row>
    <row r="37" spans="1:10" x14ac:dyDescent="0.2">
      <c r="A37" s="19" t="s">
        <v>3</v>
      </c>
      <c r="B37" s="30">
        <f t="shared" si="10"/>
        <v>0</v>
      </c>
      <c r="C37" s="30">
        <f t="shared" si="10"/>
        <v>0</v>
      </c>
      <c r="D37" s="30">
        <f t="shared" si="10"/>
        <v>0</v>
      </c>
      <c r="E37" s="30">
        <f t="shared" si="10"/>
        <v>0</v>
      </c>
      <c r="F37" s="29">
        <f t="shared" si="11"/>
        <v>0</v>
      </c>
      <c r="G37" s="29">
        <f t="shared" si="11"/>
        <v>0</v>
      </c>
      <c r="H37" s="29">
        <f t="shared" si="11"/>
        <v>0</v>
      </c>
      <c r="I37" s="90">
        <f t="shared" si="8"/>
        <v>0</v>
      </c>
      <c r="J37" s="90" t="e">
        <f t="shared" si="9"/>
        <v>#DIV/0!</v>
      </c>
    </row>
    <row r="38" spans="1:10" x14ac:dyDescent="0.2">
      <c r="A38" s="19" t="s">
        <v>4</v>
      </c>
      <c r="B38" s="30">
        <f>(B24/300)</f>
        <v>0</v>
      </c>
      <c r="C38" s="30">
        <f>(C24/300)</f>
        <v>0</v>
      </c>
      <c r="D38" s="30">
        <f>(D24/300)</f>
        <v>0</v>
      </c>
      <c r="E38" s="30">
        <f>(E24/300)</f>
        <v>0</v>
      </c>
      <c r="F38" s="29">
        <f>(F24/450)</f>
        <v>0</v>
      </c>
      <c r="G38" s="29">
        <f>(G24/450)</f>
        <v>0</v>
      </c>
      <c r="H38" s="29">
        <f>(H24/450)</f>
        <v>0</v>
      </c>
      <c r="I38" s="90">
        <f t="shared" si="8"/>
        <v>0</v>
      </c>
      <c r="J38" s="90" t="e">
        <f t="shared" si="9"/>
        <v>#DIV/0!</v>
      </c>
    </row>
    <row r="39" spans="1:10" x14ac:dyDescent="0.2">
      <c r="A39" s="19" t="s">
        <v>30</v>
      </c>
      <c r="B39" s="30">
        <f>(B25/310)</f>
        <v>0</v>
      </c>
      <c r="C39" s="30">
        <f>(C25/310)</f>
        <v>0</v>
      </c>
      <c r="D39" s="30">
        <f>(D25/310)</f>
        <v>0</v>
      </c>
      <c r="E39" s="30">
        <f>(E25/403)</f>
        <v>0</v>
      </c>
      <c r="F39" s="29">
        <f>(F25/465)</f>
        <v>0</v>
      </c>
      <c r="G39" s="29">
        <f>(G25/465)</f>
        <v>0</v>
      </c>
      <c r="H39" s="29">
        <f>(H25/465)</f>
        <v>0</v>
      </c>
      <c r="I39" s="90">
        <f t="shared" si="8"/>
        <v>0</v>
      </c>
      <c r="J39" s="90" t="e">
        <f t="shared" si="9"/>
        <v>#DIV/0!</v>
      </c>
    </row>
    <row r="40" spans="1:10" x14ac:dyDescent="0.2">
      <c r="A40" s="19" t="s">
        <v>29</v>
      </c>
      <c r="B40" s="30">
        <f>(B26/300)</f>
        <v>0</v>
      </c>
      <c r="C40" s="30">
        <f>(C26/300)</f>
        <v>0</v>
      </c>
      <c r="D40" s="30">
        <f>(D26/300)</f>
        <v>0</v>
      </c>
      <c r="E40" s="30">
        <f>(E26/390)</f>
        <v>0</v>
      </c>
      <c r="F40" s="29">
        <f>(F26/450)</f>
        <v>0</v>
      </c>
      <c r="G40" s="29">
        <f>(G26/450)</f>
        <v>0</v>
      </c>
      <c r="H40" s="29">
        <f>(H26/450)</f>
        <v>0</v>
      </c>
      <c r="I40" s="90">
        <f t="shared" si="8"/>
        <v>0</v>
      </c>
      <c r="J40" s="90" t="e">
        <f t="shared" si="9"/>
        <v>#DIV/0!</v>
      </c>
    </row>
    <row r="41" spans="1:10" ht="19" thickBot="1" x14ac:dyDescent="0.25">
      <c r="A41" s="16" t="s">
        <v>28</v>
      </c>
      <c r="B41" s="28">
        <f>(B27/310)</f>
        <v>0</v>
      </c>
      <c r="C41" s="28">
        <f>(C27/310)</f>
        <v>0</v>
      </c>
      <c r="D41" s="28">
        <f>(D27/310)</f>
        <v>0</v>
      </c>
      <c r="E41" s="28">
        <f>(E27/403)</f>
        <v>0</v>
      </c>
      <c r="F41" s="27">
        <f>(F27/465)</f>
        <v>0</v>
      </c>
      <c r="G41" s="27">
        <f>(G27/465)</f>
        <v>0</v>
      </c>
      <c r="H41" s="27">
        <f>(H27/465)</f>
        <v>0</v>
      </c>
      <c r="I41" s="90">
        <f t="shared" si="8"/>
        <v>0</v>
      </c>
      <c r="J41" s="90" t="e">
        <f t="shared" si="9"/>
        <v>#DIV/0!</v>
      </c>
    </row>
    <row r="42" spans="1:10" ht="19" thickBot="1" x14ac:dyDescent="0.25">
      <c r="A42" s="13" t="s">
        <v>67</v>
      </c>
      <c r="B42" s="26">
        <f t="shared" ref="B42:F42" si="12">SUM(B30:B41)/12</f>
        <v>0</v>
      </c>
      <c r="C42" s="26">
        <f t="shared" si="12"/>
        <v>0</v>
      </c>
      <c r="D42" s="26">
        <f t="shared" si="12"/>
        <v>0</v>
      </c>
      <c r="E42" s="26">
        <f t="shared" si="12"/>
        <v>0</v>
      </c>
      <c r="F42" s="25">
        <f t="shared" si="12"/>
        <v>0</v>
      </c>
      <c r="G42" s="25">
        <f t="shared" ref="G42:H42" si="13">SUM(G30:G41)/12</f>
        <v>0</v>
      </c>
      <c r="H42" s="25">
        <f t="shared" si="13"/>
        <v>0</v>
      </c>
      <c r="I42" s="91">
        <f>H42-G42</f>
        <v>0</v>
      </c>
      <c r="J42" s="91" t="e">
        <f>(H42-G42)/G42</f>
        <v>#DIV/0!</v>
      </c>
    </row>
    <row r="43" spans="1:10" x14ac:dyDescent="0.2">
      <c r="A43" s="24" t="s">
        <v>6</v>
      </c>
      <c r="B43" s="23">
        <v>2020</v>
      </c>
      <c r="C43" s="23">
        <v>2021</v>
      </c>
      <c r="D43" s="23">
        <v>2022</v>
      </c>
      <c r="E43" s="23">
        <v>2023</v>
      </c>
      <c r="F43" s="22">
        <v>2024</v>
      </c>
      <c r="G43" s="22">
        <v>2025</v>
      </c>
      <c r="H43" s="46" t="s">
        <v>65</v>
      </c>
      <c r="I43" s="165" t="s">
        <v>66</v>
      </c>
      <c r="J43" s="166"/>
    </row>
    <row r="44" spans="1:10" x14ac:dyDescent="0.2">
      <c r="A44" s="19" t="s">
        <v>37</v>
      </c>
      <c r="B44" s="18" t="e">
        <f t="shared" ref="B44:F46" si="14">B2/B16</f>
        <v>#DIV/0!</v>
      </c>
      <c r="C44" s="18" t="e">
        <f t="shared" si="14"/>
        <v>#DIV/0!</v>
      </c>
      <c r="D44" s="18" t="e">
        <f t="shared" si="14"/>
        <v>#DIV/0!</v>
      </c>
      <c r="E44" s="18" t="e">
        <f t="shared" si="14"/>
        <v>#DIV/0!</v>
      </c>
      <c r="F44" s="17" t="e">
        <f t="shared" si="14"/>
        <v>#DIV/0!</v>
      </c>
      <c r="G44" s="17" t="e">
        <f t="shared" ref="G44:H44" si="15">G2/G16</f>
        <v>#DIV/0!</v>
      </c>
      <c r="H44" s="17" t="e">
        <f t="shared" si="15"/>
        <v>#DIV/0!</v>
      </c>
      <c r="I44" s="88" t="e">
        <f>H44-G44</f>
        <v>#DIV/0!</v>
      </c>
      <c r="J44" s="90" t="e">
        <f>(H44-G44)/G44</f>
        <v>#DIV/0!</v>
      </c>
    </row>
    <row r="45" spans="1:10" x14ac:dyDescent="0.2">
      <c r="A45" s="19" t="s">
        <v>36</v>
      </c>
      <c r="B45" s="18" t="e">
        <f t="shared" si="14"/>
        <v>#DIV/0!</v>
      </c>
      <c r="C45" s="18" t="e">
        <f t="shared" si="14"/>
        <v>#DIV/0!</v>
      </c>
      <c r="D45" s="18" t="e">
        <f t="shared" si="14"/>
        <v>#DIV/0!</v>
      </c>
      <c r="E45" s="18" t="e">
        <f t="shared" si="14"/>
        <v>#DIV/0!</v>
      </c>
      <c r="F45" s="17" t="e">
        <f t="shared" si="14"/>
        <v>#DIV/0!</v>
      </c>
      <c r="G45" s="17" t="e">
        <f>G3/G17</f>
        <v>#DIV/0!</v>
      </c>
      <c r="H45" s="17" t="e">
        <f>H3/H17</f>
        <v>#DIV/0!</v>
      </c>
      <c r="I45" s="88" t="e">
        <f t="shared" ref="I45:I55" si="16">H45-G45</f>
        <v>#DIV/0!</v>
      </c>
      <c r="J45" s="90" t="e">
        <f t="shared" ref="J45:J55" si="17">(H45-G45)/G45</f>
        <v>#DIV/0!</v>
      </c>
    </row>
    <row r="46" spans="1:10" x14ac:dyDescent="0.2">
      <c r="A46" s="19" t="s">
        <v>35</v>
      </c>
      <c r="B46" s="21" t="e">
        <f t="shared" si="14"/>
        <v>#DIV/0!</v>
      </c>
      <c r="C46" s="18" t="e">
        <f t="shared" si="14"/>
        <v>#DIV/0!</v>
      </c>
      <c r="D46" s="18" t="e">
        <f t="shared" si="14"/>
        <v>#DIV/0!</v>
      </c>
      <c r="E46" s="18" t="e">
        <f t="shared" si="14"/>
        <v>#DIV/0!</v>
      </c>
      <c r="F46" s="17" t="e">
        <f t="shared" si="14"/>
        <v>#DIV/0!</v>
      </c>
      <c r="G46" s="17" t="e">
        <f>G4/G18</f>
        <v>#DIV/0!</v>
      </c>
      <c r="H46" s="17" t="e">
        <f>H4/H18</f>
        <v>#DIV/0!</v>
      </c>
      <c r="I46" s="88" t="e">
        <f t="shared" si="16"/>
        <v>#DIV/0!</v>
      </c>
      <c r="J46" s="90" t="e">
        <f t="shared" si="17"/>
        <v>#DIV/0!</v>
      </c>
    </row>
    <row r="47" spans="1:10" x14ac:dyDescent="0.2">
      <c r="A47" s="19" t="s">
        <v>34</v>
      </c>
      <c r="B47" s="20">
        <v>0</v>
      </c>
      <c r="C47" s="18" t="e">
        <f t="shared" ref="C47:F55" si="18">C5/C19</f>
        <v>#DIV/0!</v>
      </c>
      <c r="D47" s="18" t="e">
        <f t="shared" si="18"/>
        <v>#DIV/0!</v>
      </c>
      <c r="E47" s="18" t="e">
        <f t="shared" si="18"/>
        <v>#DIV/0!</v>
      </c>
      <c r="F47" s="17" t="e">
        <f t="shared" si="18"/>
        <v>#DIV/0!</v>
      </c>
      <c r="G47" s="17" t="e">
        <f t="shared" ref="G47:H47" si="19">G5/G19</f>
        <v>#DIV/0!</v>
      </c>
      <c r="H47" s="17" t="e">
        <f t="shared" si="19"/>
        <v>#DIV/0!</v>
      </c>
      <c r="I47" s="88" t="e">
        <f t="shared" si="16"/>
        <v>#DIV/0!</v>
      </c>
      <c r="J47" s="90" t="e">
        <f t="shared" si="17"/>
        <v>#DIV/0!</v>
      </c>
    </row>
    <row r="48" spans="1:10" x14ac:dyDescent="0.2">
      <c r="A48" s="19" t="s">
        <v>33</v>
      </c>
      <c r="B48" s="20">
        <v>0</v>
      </c>
      <c r="C48" s="18" t="e">
        <f t="shared" si="18"/>
        <v>#DIV/0!</v>
      </c>
      <c r="D48" s="18" t="e">
        <f t="shared" si="18"/>
        <v>#DIV/0!</v>
      </c>
      <c r="E48" s="18" t="e">
        <f t="shared" si="18"/>
        <v>#DIV/0!</v>
      </c>
      <c r="F48" s="17" t="e">
        <f t="shared" si="18"/>
        <v>#DIV/0!</v>
      </c>
      <c r="G48" s="17" t="e">
        <f t="shared" ref="G48:H48" si="20">G6/G20</f>
        <v>#DIV/0!</v>
      </c>
      <c r="H48" s="17" t="e">
        <f t="shared" si="20"/>
        <v>#DIV/0!</v>
      </c>
      <c r="I48" s="88" t="e">
        <f t="shared" si="16"/>
        <v>#DIV/0!</v>
      </c>
      <c r="J48" s="90" t="e">
        <f t="shared" si="17"/>
        <v>#DIV/0!</v>
      </c>
    </row>
    <row r="49" spans="1:10" x14ac:dyDescent="0.2">
      <c r="A49" s="19" t="s">
        <v>32</v>
      </c>
      <c r="B49" s="18">
        <v>0</v>
      </c>
      <c r="C49" s="18" t="e">
        <f t="shared" si="18"/>
        <v>#DIV/0!</v>
      </c>
      <c r="D49" s="18" t="e">
        <f t="shared" si="18"/>
        <v>#DIV/0!</v>
      </c>
      <c r="E49" s="18" t="e">
        <f t="shared" si="18"/>
        <v>#DIV/0!</v>
      </c>
      <c r="F49" s="17" t="e">
        <f t="shared" si="18"/>
        <v>#DIV/0!</v>
      </c>
      <c r="G49" s="17" t="e">
        <f t="shared" ref="G49:H49" si="21">G7/G21</f>
        <v>#DIV/0!</v>
      </c>
      <c r="H49" s="17" t="e">
        <f t="shared" si="21"/>
        <v>#DIV/0!</v>
      </c>
      <c r="I49" s="88" t="e">
        <f t="shared" si="16"/>
        <v>#DIV/0!</v>
      </c>
      <c r="J49" s="90" t="e">
        <f t="shared" si="17"/>
        <v>#DIV/0!</v>
      </c>
    </row>
    <row r="50" spans="1:10" x14ac:dyDescent="0.2">
      <c r="A50" s="19" t="s">
        <v>31</v>
      </c>
      <c r="B50" s="18">
        <v>0</v>
      </c>
      <c r="C50" s="18" t="e">
        <f t="shared" si="18"/>
        <v>#DIV/0!</v>
      </c>
      <c r="D50" s="18" t="e">
        <f t="shared" si="18"/>
        <v>#DIV/0!</v>
      </c>
      <c r="E50" s="18" t="e">
        <f t="shared" si="18"/>
        <v>#DIV/0!</v>
      </c>
      <c r="F50" s="17" t="e">
        <f t="shared" si="18"/>
        <v>#DIV/0!</v>
      </c>
      <c r="G50" s="17" t="e">
        <f t="shared" ref="G50:H50" si="22">G8/G22</f>
        <v>#DIV/0!</v>
      </c>
      <c r="H50" s="17" t="e">
        <f t="shared" si="22"/>
        <v>#DIV/0!</v>
      </c>
      <c r="I50" s="88" t="e">
        <f t="shared" si="16"/>
        <v>#DIV/0!</v>
      </c>
      <c r="J50" s="90" t="e">
        <f t="shared" si="17"/>
        <v>#DIV/0!</v>
      </c>
    </row>
    <row r="51" spans="1:10" x14ac:dyDescent="0.2">
      <c r="A51" s="19" t="s">
        <v>3</v>
      </c>
      <c r="B51" s="18" t="e">
        <f>B9/B23</f>
        <v>#DIV/0!</v>
      </c>
      <c r="C51" s="18" t="e">
        <f t="shared" si="18"/>
        <v>#DIV/0!</v>
      </c>
      <c r="D51" s="18" t="e">
        <f t="shared" si="18"/>
        <v>#DIV/0!</v>
      </c>
      <c r="E51" s="18" t="e">
        <f t="shared" si="18"/>
        <v>#DIV/0!</v>
      </c>
      <c r="F51" s="17" t="e">
        <f t="shared" si="18"/>
        <v>#DIV/0!</v>
      </c>
      <c r="G51" s="17" t="e">
        <f t="shared" ref="G51:H51" si="23">G9/G23</f>
        <v>#DIV/0!</v>
      </c>
      <c r="H51" s="17" t="e">
        <f t="shared" si="23"/>
        <v>#DIV/0!</v>
      </c>
      <c r="I51" s="88" t="e">
        <f t="shared" si="16"/>
        <v>#DIV/0!</v>
      </c>
      <c r="J51" s="90" t="e">
        <f t="shared" si="17"/>
        <v>#DIV/0!</v>
      </c>
    </row>
    <row r="52" spans="1:10" x14ac:dyDescent="0.2">
      <c r="A52" s="19" t="s">
        <v>4</v>
      </c>
      <c r="B52" s="18" t="e">
        <f>B10/B24</f>
        <v>#DIV/0!</v>
      </c>
      <c r="C52" s="18" t="e">
        <f t="shared" si="18"/>
        <v>#DIV/0!</v>
      </c>
      <c r="D52" s="18" t="e">
        <f t="shared" si="18"/>
        <v>#DIV/0!</v>
      </c>
      <c r="E52" s="18" t="e">
        <f t="shared" si="18"/>
        <v>#DIV/0!</v>
      </c>
      <c r="F52" s="17" t="e">
        <f t="shared" si="18"/>
        <v>#DIV/0!</v>
      </c>
      <c r="G52" s="17" t="e">
        <f t="shared" ref="G52:H52" si="24">G10/G24</f>
        <v>#DIV/0!</v>
      </c>
      <c r="H52" s="17" t="e">
        <f t="shared" si="24"/>
        <v>#DIV/0!</v>
      </c>
      <c r="I52" s="88" t="e">
        <f t="shared" si="16"/>
        <v>#DIV/0!</v>
      </c>
      <c r="J52" s="90" t="e">
        <f t="shared" si="17"/>
        <v>#DIV/0!</v>
      </c>
    </row>
    <row r="53" spans="1:10" x14ac:dyDescent="0.2">
      <c r="A53" s="19" t="s">
        <v>30</v>
      </c>
      <c r="B53" s="18" t="e">
        <f>B11/B25</f>
        <v>#DIV/0!</v>
      </c>
      <c r="C53" s="18" t="e">
        <f t="shared" si="18"/>
        <v>#DIV/0!</v>
      </c>
      <c r="D53" s="18" t="e">
        <f t="shared" si="18"/>
        <v>#DIV/0!</v>
      </c>
      <c r="E53" s="18" t="e">
        <f t="shared" si="18"/>
        <v>#DIV/0!</v>
      </c>
      <c r="F53" s="17" t="e">
        <f t="shared" si="18"/>
        <v>#DIV/0!</v>
      </c>
      <c r="G53" s="17" t="e">
        <f t="shared" ref="G53:H53" si="25">G11/G25</f>
        <v>#DIV/0!</v>
      </c>
      <c r="H53" s="17" t="e">
        <f t="shared" si="25"/>
        <v>#DIV/0!</v>
      </c>
      <c r="I53" s="88" t="e">
        <f t="shared" si="16"/>
        <v>#DIV/0!</v>
      </c>
      <c r="J53" s="90" t="e">
        <f t="shared" si="17"/>
        <v>#DIV/0!</v>
      </c>
    </row>
    <row r="54" spans="1:10" x14ac:dyDescent="0.2">
      <c r="A54" s="19" t="s">
        <v>29</v>
      </c>
      <c r="B54" s="18" t="e">
        <f>B12/B26</f>
        <v>#DIV/0!</v>
      </c>
      <c r="C54" s="18" t="e">
        <f t="shared" si="18"/>
        <v>#DIV/0!</v>
      </c>
      <c r="D54" s="18" t="e">
        <f t="shared" si="18"/>
        <v>#DIV/0!</v>
      </c>
      <c r="E54" s="18" t="e">
        <f t="shared" si="18"/>
        <v>#DIV/0!</v>
      </c>
      <c r="F54" s="17" t="e">
        <f t="shared" si="18"/>
        <v>#DIV/0!</v>
      </c>
      <c r="G54" s="17" t="e">
        <f t="shared" ref="G54:H54" si="26">G12/G26</f>
        <v>#DIV/0!</v>
      </c>
      <c r="H54" s="17" t="e">
        <f t="shared" si="26"/>
        <v>#DIV/0!</v>
      </c>
      <c r="I54" s="88" t="e">
        <f t="shared" si="16"/>
        <v>#DIV/0!</v>
      </c>
      <c r="J54" s="90" t="e">
        <f t="shared" si="17"/>
        <v>#DIV/0!</v>
      </c>
    </row>
    <row r="55" spans="1:10" ht="19" thickBot="1" x14ac:dyDescent="0.25">
      <c r="A55" s="16" t="s">
        <v>28</v>
      </c>
      <c r="B55" s="15" t="e">
        <f>B13/B27</f>
        <v>#DIV/0!</v>
      </c>
      <c r="C55" s="15" t="e">
        <f t="shared" si="18"/>
        <v>#DIV/0!</v>
      </c>
      <c r="D55" s="15" t="e">
        <f t="shared" si="18"/>
        <v>#DIV/0!</v>
      </c>
      <c r="E55" s="15" t="e">
        <f t="shared" si="18"/>
        <v>#DIV/0!</v>
      </c>
      <c r="F55" s="14" t="e">
        <f t="shared" si="18"/>
        <v>#DIV/0!</v>
      </c>
      <c r="G55" s="14" t="e">
        <f t="shared" ref="G55:H55" si="27">G13/G27</f>
        <v>#DIV/0!</v>
      </c>
      <c r="H55" s="14" t="e">
        <f t="shared" si="27"/>
        <v>#DIV/0!</v>
      </c>
      <c r="I55" s="88" t="e">
        <f t="shared" si="16"/>
        <v>#DIV/0!</v>
      </c>
      <c r="J55" s="90" t="e">
        <f t="shared" si="17"/>
        <v>#DIV/0!</v>
      </c>
    </row>
    <row r="56" spans="1:10" ht="19" thickBot="1" x14ac:dyDescent="0.25">
      <c r="A56" s="13" t="s">
        <v>67</v>
      </c>
      <c r="B56" s="12" t="e">
        <f t="shared" ref="B56:F56" si="28">SUM(B44:B55)/12</f>
        <v>#DIV/0!</v>
      </c>
      <c r="C56" s="12" t="e">
        <f t="shared" si="28"/>
        <v>#DIV/0!</v>
      </c>
      <c r="D56" s="12" t="e">
        <f t="shared" si="28"/>
        <v>#DIV/0!</v>
      </c>
      <c r="E56" s="12" t="e">
        <f t="shared" si="28"/>
        <v>#DIV/0!</v>
      </c>
      <c r="F56" s="11" t="e">
        <f t="shared" si="28"/>
        <v>#DIV/0!</v>
      </c>
      <c r="G56" s="11" t="e">
        <f t="shared" ref="G56:H56" si="29">SUM(G44:G55)/12</f>
        <v>#DIV/0!</v>
      </c>
      <c r="H56" s="11" t="e">
        <f t="shared" si="29"/>
        <v>#DIV/0!</v>
      </c>
      <c r="I56" s="89" t="e">
        <f>H56-G56</f>
        <v>#DIV/0!</v>
      </c>
      <c r="J56" s="91" t="e">
        <f>(H56-G56)/G56</f>
        <v>#DIV/0!</v>
      </c>
    </row>
    <row r="59" spans="1:10" x14ac:dyDescent="0.2">
      <c r="C59" s="10" t="s">
        <v>27</v>
      </c>
      <c r="D59"/>
      <c r="E59" s="10" t="s">
        <v>10</v>
      </c>
      <c r="F59"/>
      <c r="G59"/>
      <c r="H59"/>
      <c r="I59" s="10" t="s">
        <v>14</v>
      </c>
      <c r="J59" s="10"/>
    </row>
    <row r="60" spans="1:10" x14ac:dyDescent="0.2">
      <c r="C60" t="s">
        <v>26</v>
      </c>
      <c r="D60"/>
      <c r="E60" t="s">
        <v>25</v>
      </c>
      <c r="F60"/>
      <c r="G60"/>
      <c r="H60"/>
      <c r="I60" t="s">
        <v>15</v>
      </c>
      <c r="J60"/>
    </row>
    <row r="61" spans="1:10" x14ac:dyDescent="0.2">
      <c r="C61" s="10" t="s">
        <v>24</v>
      </c>
      <c r="D61"/>
      <c r="E61" s="10" t="s">
        <v>11</v>
      </c>
      <c r="F61"/>
      <c r="G61"/>
      <c r="H61"/>
      <c r="I61" s="10" t="s">
        <v>16</v>
      </c>
      <c r="J61" s="10"/>
    </row>
    <row r="62" spans="1:10" x14ac:dyDescent="0.2">
      <c r="C62" s="10" t="s">
        <v>23</v>
      </c>
      <c r="D62"/>
      <c r="E62" s="10" t="s">
        <v>22</v>
      </c>
      <c r="F62"/>
      <c r="G62"/>
      <c r="H62"/>
      <c r="I62" s="10" t="s">
        <v>17</v>
      </c>
      <c r="J62" s="10"/>
    </row>
    <row r="63" spans="1:10" x14ac:dyDescent="0.2">
      <c r="C63" s="10" t="s">
        <v>21</v>
      </c>
      <c r="D63"/>
      <c r="E63" s="10" t="s">
        <v>12</v>
      </c>
      <c r="F63"/>
      <c r="G63"/>
      <c r="H63"/>
      <c r="I63" s="10" t="s">
        <v>18</v>
      </c>
      <c r="J63" s="10"/>
    </row>
    <row r="64" spans="1:10" x14ac:dyDescent="0.2">
      <c r="C64" s="10" t="s">
        <v>20</v>
      </c>
      <c r="D64"/>
      <c r="E64" s="10" t="s">
        <v>13</v>
      </c>
      <c r="F64"/>
      <c r="G64"/>
      <c r="H64"/>
      <c r="I64" s="10" t="s">
        <v>19</v>
      </c>
      <c r="J64" s="10"/>
    </row>
  </sheetData>
  <mergeCells count="4">
    <mergeCell ref="I1:J1"/>
    <mergeCell ref="I15:J15"/>
    <mergeCell ref="I29:J29"/>
    <mergeCell ref="I43:J43"/>
  </mergeCells>
  <conditionalFormatting sqref="I2:J14 I16:J28 I30:J42 I44:J56">
    <cfRule type="cellIs" dxfId="17" priority="1" operator="greaterThan">
      <formula>0.009</formula>
    </cfRule>
    <cfRule type="cellIs" dxfId="16" priority="2" operator="lessThan">
      <formula>-0.009</formula>
    </cfRule>
  </conditionalFormatting>
  <pageMargins left="0.7" right="0.7" top="0.75" bottom="0.75" header="0.3" footer="0.3"/>
  <ignoredErrors>
    <ignoredError sqref="H31 B31:F40 G31:G40 H33:H40" formula="1"/>
    <ignoredError sqref="H53:H55" evalError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4A53E-A2F3-AC40-BFC1-660D1D68F0AD}">
  <dimension ref="A1:R43"/>
  <sheetViews>
    <sheetView workbookViewId="0">
      <selection activeCell="N16" sqref="N16"/>
    </sheetView>
  </sheetViews>
  <sheetFormatPr baseColWidth="10" defaultRowHeight="16" x14ac:dyDescent="0.2"/>
  <cols>
    <col min="1" max="1" width="8.83203125" customWidth="1"/>
    <col min="11" max="11" width="10.83203125" customWidth="1"/>
  </cols>
  <sheetData>
    <row r="1" spans="1:18" ht="28" customHeight="1" thickBot="1" x14ac:dyDescent="0.25">
      <c r="A1" s="158" t="s">
        <v>73</v>
      </c>
      <c r="B1" s="159"/>
      <c r="C1" s="159"/>
      <c r="D1" s="159"/>
      <c r="E1" s="159"/>
      <c r="F1" s="159"/>
      <c r="G1" s="159"/>
      <c r="H1" s="159"/>
      <c r="I1" s="159"/>
      <c r="J1" s="159"/>
      <c r="K1" s="160"/>
      <c r="L1" s="1"/>
      <c r="M1" s="67"/>
      <c r="N1" s="67"/>
      <c r="O1" s="67"/>
      <c r="P1" s="67"/>
    </row>
    <row r="2" spans="1:18" s="5" customFormat="1" ht="32" customHeight="1" x14ac:dyDescent="0.2">
      <c r="A2" s="55"/>
      <c r="B2" s="55">
        <v>2026</v>
      </c>
      <c r="C2" s="55">
        <v>2025</v>
      </c>
      <c r="D2" s="153" t="s">
        <v>66</v>
      </c>
      <c r="E2" s="154"/>
      <c r="F2" s="55">
        <v>2024</v>
      </c>
      <c r="G2" s="167" t="s">
        <v>42</v>
      </c>
      <c r="H2" s="168"/>
      <c r="I2" s="4"/>
      <c r="J2" s="4"/>
      <c r="K2" s="4"/>
      <c r="M2" s="58" t="s">
        <v>74</v>
      </c>
      <c r="N2" s="169" t="s">
        <v>43</v>
      </c>
      <c r="O2" s="170"/>
      <c r="P2" s="58" t="s">
        <v>75</v>
      </c>
      <c r="Q2" s="169" t="s">
        <v>76</v>
      </c>
      <c r="R2" s="170"/>
    </row>
    <row r="3" spans="1:18" s="3" customFormat="1" ht="18" customHeight="1" x14ac:dyDescent="0.2">
      <c r="A3" s="50" t="s">
        <v>37</v>
      </c>
      <c r="B3" s="53"/>
      <c r="C3" s="53"/>
      <c r="D3" s="60">
        <f>B3-C3</f>
        <v>0</v>
      </c>
      <c r="E3" s="111" t="e">
        <f>(B3-C3)/C3</f>
        <v>#DIV/0!</v>
      </c>
      <c r="F3" s="53"/>
      <c r="G3" s="74">
        <f>C3-F3</f>
        <v>0</v>
      </c>
      <c r="H3" s="112" t="e">
        <f>(C3-F3)/F3</f>
        <v>#DIV/0!</v>
      </c>
      <c r="I3" s="6"/>
      <c r="J3" s="2"/>
      <c r="K3" s="2"/>
      <c r="M3" s="61">
        <f>C3*1.1</f>
        <v>0</v>
      </c>
      <c r="N3" s="78">
        <f>C3-M3</f>
        <v>0</v>
      </c>
      <c r="O3" s="75" t="e">
        <f>(C3-M3)/M3</f>
        <v>#DIV/0!</v>
      </c>
      <c r="P3" s="61">
        <f>B3*1.1</f>
        <v>0</v>
      </c>
      <c r="Q3" s="78">
        <f>B3-P3</f>
        <v>0</v>
      </c>
      <c r="R3" s="75" t="e">
        <f>(B3-P3)/P3</f>
        <v>#DIV/0!</v>
      </c>
    </row>
    <row r="4" spans="1:18" s="3" customFormat="1" ht="18" customHeight="1" x14ac:dyDescent="0.2">
      <c r="A4" s="50" t="s">
        <v>36</v>
      </c>
      <c r="B4" s="53"/>
      <c r="C4" s="53"/>
      <c r="D4" s="60">
        <f t="shared" ref="D4:D14" si="0">B4-C4</f>
        <v>0</v>
      </c>
      <c r="E4" s="94" t="e">
        <f t="shared" ref="E4:E15" si="1">(B4-C4)/C4</f>
        <v>#DIV/0!</v>
      </c>
      <c r="F4" s="53"/>
      <c r="G4" s="74">
        <f t="shared" ref="G4:G14" si="2">C4-F4</f>
        <v>0</v>
      </c>
      <c r="H4" s="112" t="e">
        <f t="shared" ref="H4:H15" si="3">(C4-F4)/F4</f>
        <v>#DIV/0!</v>
      </c>
      <c r="I4" s="6"/>
      <c r="J4" s="2"/>
      <c r="K4" s="2"/>
      <c r="M4" s="61">
        <f t="shared" ref="M4:M14" si="4">C4*1.1</f>
        <v>0</v>
      </c>
      <c r="N4" s="78">
        <f t="shared" ref="N4:N14" si="5">C4-M4</f>
        <v>0</v>
      </c>
      <c r="O4" s="75" t="e">
        <f t="shared" ref="O4:O14" si="6">(C4-M4)/M4</f>
        <v>#DIV/0!</v>
      </c>
      <c r="P4" s="61">
        <f t="shared" ref="P4:P14" si="7">B4*1.1</f>
        <v>0</v>
      </c>
      <c r="Q4" s="78">
        <f t="shared" ref="Q4:Q14" si="8">B4-P4</f>
        <v>0</v>
      </c>
      <c r="R4" s="75" t="e">
        <f t="shared" ref="R4:R14" si="9">(B4-P4)/P4</f>
        <v>#DIV/0!</v>
      </c>
    </row>
    <row r="5" spans="1:18" s="3" customFormat="1" ht="18" customHeight="1" x14ac:dyDescent="0.2">
      <c r="A5" s="50" t="s">
        <v>35</v>
      </c>
      <c r="B5" s="53"/>
      <c r="C5" s="53"/>
      <c r="D5" s="60">
        <f t="shared" si="0"/>
        <v>0</v>
      </c>
      <c r="E5" s="94" t="e">
        <f t="shared" si="1"/>
        <v>#DIV/0!</v>
      </c>
      <c r="F5" s="53"/>
      <c r="G5" s="74">
        <f t="shared" si="2"/>
        <v>0</v>
      </c>
      <c r="H5" s="112" t="e">
        <f t="shared" si="3"/>
        <v>#DIV/0!</v>
      </c>
      <c r="I5" s="6"/>
      <c r="J5" s="2"/>
      <c r="K5" s="2"/>
      <c r="M5" s="61">
        <f t="shared" si="4"/>
        <v>0</v>
      </c>
      <c r="N5" s="78">
        <f t="shared" si="5"/>
        <v>0</v>
      </c>
      <c r="O5" s="75" t="e">
        <f t="shared" si="6"/>
        <v>#DIV/0!</v>
      </c>
      <c r="P5" s="61">
        <f t="shared" si="7"/>
        <v>0</v>
      </c>
      <c r="Q5" s="78">
        <f t="shared" si="8"/>
        <v>0</v>
      </c>
      <c r="R5" s="75" t="e">
        <f t="shared" si="9"/>
        <v>#DIV/0!</v>
      </c>
    </row>
    <row r="6" spans="1:18" s="3" customFormat="1" ht="18" customHeight="1" x14ac:dyDescent="0.2">
      <c r="A6" s="50" t="s">
        <v>34</v>
      </c>
      <c r="B6" s="53"/>
      <c r="C6" s="53"/>
      <c r="D6" s="60">
        <f t="shared" si="0"/>
        <v>0</v>
      </c>
      <c r="E6" s="94" t="e">
        <f t="shared" si="1"/>
        <v>#DIV/0!</v>
      </c>
      <c r="F6" s="53"/>
      <c r="G6" s="74">
        <f t="shared" si="2"/>
        <v>0</v>
      </c>
      <c r="H6" s="112" t="e">
        <f t="shared" si="3"/>
        <v>#DIV/0!</v>
      </c>
      <c r="I6" s="6"/>
      <c r="J6" s="2"/>
      <c r="K6" s="2"/>
      <c r="M6" s="61">
        <f t="shared" si="4"/>
        <v>0</v>
      </c>
      <c r="N6" s="78">
        <f t="shared" si="5"/>
        <v>0</v>
      </c>
      <c r="O6" s="75" t="e">
        <f t="shared" si="6"/>
        <v>#DIV/0!</v>
      </c>
      <c r="P6" s="61">
        <f t="shared" si="7"/>
        <v>0</v>
      </c>
      <c r="Q6" s="78">
        <f t="shared" si="8"/>
        <v>0</v>
      </c>
      <c r="R6" s="75" t="e">
        <f t="shared" si="9"/>
        <v>#DIV/0!</v>
      </c>
    </row>
    <row r="7" spans="1:18" s="3" customFormat="1" ht="18" customHeight="1" x14ac:dyDescent="0.2">
      <c r="A7" s="50" t="s">
        <v>33</v>
      </c>
      <c r="B7" s="53"/>
      <c r="C7" s="53"/>
      <c r="D7" s="60">
        <f t="shared" si="0"/>
        <v>0</v>
      </c>
      <c r="E7" s="94" t="e">
        <f t="shared" si="1"/>
        <v>#DIV/0!</v>
      </c>
      <c r="F7" s="53"/>
      <c r="G7" s="74">
        <f t="shared" si="2"/>
        <v>0</v>
      </c>
      <c r="H7" s="112" t="e">
        <f t="shared" si="3"/>
        <v>#DIV/0!</v>
      </c>
      <c r="I7" s="6"/>
      <c r="J7" s="2"/>
      <c r="K7" s="2"/>
      <c r="M7" s="61">
        <f t="shared" si="4"/>
        <v>0</v>
      </c>
      <c r="N7" s="78">
        <f t="shared" si="5"/>
        <v>0</v>
      </c>
      <c r="O7" s="75" t="e">
        <f t="shared" si="6"/>
        <v>#DIV/0!</v>
      </c>
      <c r="P7" s="61">
        <f t="shared" si="7"/>
        <v>0</v>
      </c>
      <c r="Q7" s="78">
        <f t="shared" si="8"/>
        <v>0</v>
      </c>
      <c r="R7" s="75" t="e">
        <f t="shared" si="9"/>
        <v>#DIV/0!</v>
      </c>
    </row>
    <row r="8" spans="1:18" s="3" customFormat="1" ht="18" customHeight="1" x14ac:dyDescent="0.2">
      <c r="A8" s="50" t="s">
        <v>32</v>
      </c>
      <c r="B8" s="53"/>
      <c r="C8" s="53"/>
      <c r="D8" s="60">
        <f t="shared" si="0"/>
        <v>0</v>
      </c>
      <c r="E8" s="94" t="e">
        <f t="shared" si="1"/>
        <v>#DIV/0!</v>
      </c>
      <c r="F8" s="53"/>
      <c r="G8" s="74">
        <f t="shared" si="2"/>
        <v>0</v>
      </c>
      <c r="H8" s="112" t="e">
        <f t="shared" si="3"/>
        <v>#DIV/0!</v>
      </c>
      <c r="I8" s="6"/>
      <c r="J8" s="2"/>
      <c r="K8" s="2"/>
      <c r="M8" s="61">
        <f t="shared" si="4"/>
        <v>0</v>
      </c>
      <c r="N8" s="78">
        <f t="shared" si="5"/>
        <v>0</v>
      </c>
      <c r="O8" s="75" t="e">
        <f t="shared" si="6"/>
        <v>#DIV/0!</v>
      </c>
      <c r="P8" s="61">
        <f t="shared" si="7"/>
        <v>0</v>
      </c>
      <c r="Q8" s="78">
        <f t="shared" si="8"/>
        <v>0</v>
      </c>
      <c r="R8" s="75" t="e">
        <f t="shared" si="9"/>
        <v>#DIV/0!</v>
      </c>
    </row>
    <row r="9" spans="1:18" s="3" customFormat="1" ht="18" customHeight="1" x14ac:dyDescent="0.2">
      <c r="A9" s="50" t="s">
        <v>31</v>
      </c>
      <c r="B9" s="53"/>
      <c r="C9" s="53"/>
      <c r="D9" s="60">
        <f t="shared" si="0"/>
        <v>0</v>
      </c>
      <c r="E9" s="94" t="e">
        <f t="shared" si="1"/>
        <v>#DIV/0!</v>
      </c>
      <c r="F9" s="53"/>
      <c r="G9" s="74">
        <f t="shared" si="2"/>
        <v>0</v>
      </c>
      <c r="H9" s="112" t="e">
        <f t="shared" si="3"/>
        <v>#DIV/0!</v>
      </c>
      <c r="I9" s="6"/>
      <c r="J9" s="2"/>
      <c r="K9" s="2"/>
      <c r="M9" s="61">
        <f t="shared" si="4"/>
        <v>0</v>
      </c>
      <c r="N9" s="78">
        <f t="shared" si="5"/>
        <v>0</v>
      </c>
      <c r="O9" s="75" t="e">
        <f t="shared" si="6"/>
        <v>#DIV/0!</v>
      </c>
      <c r="P9" s="61">
        <f t="shared" si="7"/>
        <v>0</v>
      </c>
      <c r="Q9" s="78">
        <f t="shared" si="8"/>
        <v>0</v>
      </c>
      <c r="R9" s="75" t="e">
        <f t="shared" si="9"/>
        <v>#DIV/0!</v>
      </c>
    </row>
    <row r="10" spans="1:18" s="3" customFormat="1" ht="18" customHeight="1" x14ac:dyDescent="0.2">
      <c r="A10" s="50" t="s">
        <v>3</v>
      </c>
      <c r="B10" s="53"/>
      <c r="C10" s="53"/>
      <c r="D10" s="60">
        <f t="shared" si="0"/>
        <v>0</v>
      </c>
      <c r="E10" s="94" t="e">
        <f t="shared" si="1"/>
        <v>#DIV/0!</v>
      </c>
      <c r="F10" s="53"/>
      <c r="G10" s="74">
        <f t="shared" si="2"/>
        <v>0</v>
      </c>
      <c r="H10" s="112" t="e">
        <f t="shared" si="3"/>
        <v>#DIV/0!</v>
      </c>
      <c r="I10" s="6"/>
      <c r="J10" s="2"/>
      <c r="K10" s="2"/>
      <c r="M10" s="61">
        <f t="shared" si="4"/>
        <v>0</v>
      </c>
      <c r="N10" s="78">
        <f t="shared" si="5"/>
        <v>0</v>
      </c>
      <c r="O10" s="75" t="e">
        <f t="shared" si="6"/>
        <v>#DIV/0!</v>
      </c>
      <c r="P10" s="61">
        <f t="shared" si="7"/>
        <v>0</v>
      </c>
      <c r="Q10" s="78">
        <f t="shared" si="8"/>
        <v>0</v>
      </c>
      <c r="R10" s="75" t="e">
        <f t="shared" si="9"/>
        <v>#DIV/0!</v>
      </c>
    </row>
    <row r="11" spans="1:18" s="3" customFormat="1" ht="18" customHeight="1" x14ac:dyDescent="0.2">
      <c r="A11" s="50" t="s">
        <v>44</v>
      </c>
      <c r="B11" s="53"/>
      <c r="C11" s="53"/>
      <c r="D11" s="60">
        <f t="shared" si="0"/>
        <v>0</v>
      </c>
      <c r="E11" s="94" t="e">
        <f t="shared" si="1"/>
        <v>#DIV/0!</v>
      </c>
      <c r="F11" s="53"/>
      <c r="G11" s="74">
        <f t="shared" si="2"/>
        <v>0</v>
      </c>
      <c r="H11" s="112" t="e">
        <f t="shared" si="3"/>
        <v>#DIV/0!</v>
      </c>
      <c r="I11" s="6"/>
      <c r="J11" s="2"/>
      <c r="K11" s="2"/>
      <c r="M11" s="61">
        <f t="shared" si="4"/>
        <v>0</v>
      </c>
      <c r="N11" s="78">
        <f t="shared" si="5"/>
        <v>0</v>
      </c>
      <c r="O11" s="75" t="e">
        <f t="shared" si="6"/>
        <v>#DIV/0!</v>
      </c>
      <c r="P11" s="61">
        <f t="shared" si="7"/>
        <v>0</v>
      </c>
      <c r="Q11" s="78">
        <f t="shared" si="8"/>
        <v>0</v>
      </c>
      <c r="R11" s="75" t="e">
        <f t="shared" si="9"/>
        <v>#DIV/0!</v>
      </c>
    </row>
    <row r="12" spans="1:18" s="3" customFormat="1" ht="18" customHeight="1" x14ac:dyDescent="0.2">
      <c r="A12" s="50" t="s">
        <v>30</v>
      </c>
      <c r="B12" s="53"/>
      <c r="C12" s="53"/>
      <c r="D12" s="60">
        <f t="shared" si="0"/>
        <v>0</v>
      </c>
      <c r="E12" s="94" t="e">
        <f t="shared" si="1"/>
        <v>#DIV/0!</v>
      </c>
      <c r="F12" s="53"/>
      <c r="G12" s="74">
        <f t="shared" si="2"/>
        <v>0</v>
      </c>
      <c r="H12" s="112" t="e">
        <f t="shared" si="3"/>
        <v>#DIV/0!</v>
      </c>
      <c r="I12" s="6"/>
      <c r="J12" s="2"/>
      <c r="K12" s="2"/>
      <c r="M12" s="61">
        <f t="shared" si="4"/>
        <v>0</v>
      </c>
      <c r="N12" s="78">
        <f t="shared" si="5"/>
        <v>0</v>
      </c>
      <c r="O12" s="75" t="e">
        <f t="shared" si="6"/>
        <v>#DIV/0!</v>
      </c>
      <c r="P12" s="61">
        <f t="shared" si="7"/>
        <v>0</v>
      </c>
      <c r="Q12" s="78">
        <f t="shared" si="8"/>
        <v>0</v>
      </c>
      <c r="R12" s="75" t="e">
        <f t="shared" si="9"/>
        <v>#DIV/0!</v>
      </c>
    </row>
    <row r="13" spans="1:18" s="3" customFormat="1" ht="18" customHeight="1" x14ac:dyDescent="0.2">
      <c r="A13" s="50" t="s">
        <v>29</v>
      </c>
      <c r="B13" s="53"/>
      <c r="C13" s="53"/>
      <c r="D13" s="60">
        <f t="shared" si="0"/>
        <v>0</v>
      </c>
      <c r="E13" s="94" t="e">
        <f t="shared" si="1"/>
        <v>#DIV/0!</v>
      </c>
      <c r="F13" s="53"/>
      <c r="G13" s="74">
        <f t="shared" si="2"/>
        <v>0</v>
      </c>
      <c r="H13" s="112" t="e">
        <f t="shared" si="3"/>
        <v>#DIV/0!</v>
      </c>
      <c r="I13" s="6"/>
      <c r="J13" s="2"/>
      <c r="K13" s="2"/>
      <c r="M13" s="61">
        <f t="shared" si="4"/>
        <v>0</v>
      </c>
      <c r="N13" s="78">
        <f t="shared" si="5"/>
        <v>0</v>
      </c>
      <c r="O13" s="75" t="e">
        <f t="shared" si="6"/>
        <v>#DIV/0!</v>
      </c>
      <c r="P13" s="61">
        <f t="shared" si="7"/>
        <v>0</v>
      </c>
      <c r="Q13" s="78">
        <f t="shared" si="8"/>
        <v>0</v>
      </c>
      <c r="R13" s="75" t="e">
        <f t="shared" si="9"/>
        <v>#DIV/0!</v>
      </c>
    </row>
    <row r="14" spans="1:18" s="3" customFormat="1" ht="18" customHeight="1" x14ac:dyDescent="0.2">
      <c r="A14" s="50" t="s">
        <v>28</v>
      </c>
      <c r="B14" s="53"/>
      <c r="C14" s="53"/>
      <c r="D14" s="60">
        <f t="shared" si="0"/>
        <v>0</v>
      </c>
      <c r="E14" s="94" t="e">
        <f t="shared" si="1"/>
        <v>#DIV/0!</v>
      </c>
      <c r="F14" s="53"/>
      <c r="G14" s="74">
        <f t="shared" si="2"/>
        <v>0</v>
      </c>
      <c r="H14" s="112" t="e">
        <f t="shared" si="3"/>
        <v>#DIV/0!</v>
      </c>
      <c r="I14" s="6"/>
      <c r="J14" s="2"/>
      <c r="K14" s="2"/>
      <c r="M14" s="61">
        <f t="shared" si="4"/>
        <v>0</v>
      </c>
      <c r="N14" s="78">
        <f t="shared" si="5"/>
        <v>0</v>
      </c>
      <c r="O14" s="75" t="e">
        <f t="shared" si="6"/>
        <v>#DIV/0!</v>
      </c>
      <c r="P14" s="61">
        <f t="shared" si="7"/>
        <v>0</v>
      </c>
      <c r="Q14" s="78">
        <f t="shared" si="8"/>
        <v>0</v>
      </c>
      <c r="R14" s="75" t="e">
        <f t="shared" si="9"/>
        <v>#DIV/0!</v>
      </c>
    </row>
    <row r="15" spans="1:18" s="3" customFormat="1" ht="18" customHeight="1" thickBot="1" x14ac:dyDescent="0.25">
      <c r="A15" s="52" t="s">
        <v>9</v>
      </c>
      <c r="B15" s="113">
        <f>SUM(B3:B14)</f>
        <v>0</v>
      </c>
      <c r="C15" s="113">
        <f>SUM(C3:C14)</f>
        <v>0</v>
      </c>
      <c r="D15" s="114">
        <f>SUM(D3:D14)</f>
        <v>0</v>
      </c>
      <c r="E15" s="115" t="e">
        <f t="shared" si="1"/>
        <v>#DIV/0!</v>
      </c>
      <c r="F15" s="113">
        <f>SUM(F3:F14)</f>
        <v>0</v>
      </c>
      <c r="G15" s="92">
        <f>SUM(G3:G14)</f>
        <v>0</v>
      </c>
      <c r="H15" s="116" t="e">
        <f t="shared" si="3"/>
        <v>#DIV/0!</v>
      </c>
      <c r="I15" s="6"/>
      <c r="J15" s="2"/>
      <c r="K15" s="2"/>
      <c r="L15" s="67"/>
      <c r="M15" s="64">
        <f>SUM(M3:M14)</f>
        <v>0</v>
      </c>
      <c r="N15" s="96">
        <f>C15-M15</f>
        <v>0</v>
      </c>
      <c r="O15" s="97" t="e">
        <f>(C15-M15)/M15</f>
        <v>#DIV/0!</v>
      </c>
      <c r="P15" s="64">
        <f>SUM(P3:P14)</f>
        <v>0</v>
      </c>
      <c r="Q15" s="96">
        <f>B15-P15</f>
        <v>0</v>
      </c>
      <c r="R15" s="97" t="e">
        <f>(B15-P15)/P15</f>
        <v>#DIV/0!</v>
      </c>
    </row>
    <row r="16" spans="1:18" ht="25" customHeight="1" thickBot="1" x14ac:dyDescent="0.25">
      <c r="A16" s="155" t="s">
        <v>5</v>
      </c>
      <c r="B16" s="156"/>
      <c r="C16" s="156"/>
      <c r="D16" s="156"/>
      <c r="E16" s="156"/>
      <c r="F16" s="157"/>
      <c r="G16" s="156" t="s">
        <v>7</v>
      </c>
      <c r="H16" s="156"/>
      <c r="I16" s="156"/>
      <c r="J16" s="156"/>
      <c r="K16" s="157"/>
      <c r="L16" s="1"/>
      <c r="M16" s="1"/>
      <c r="N16" s="1"/>
      <c r="O16" s="1"/>
      <c r="P16" s="1"/>
    </row>
    <row r="17" spans="1:16" s="68" customFormat="1" ht="32" customHeight="1" x14ac:dyDescent="0.2">
      <c r="A17" s="54"/>
      <c r="B17" s="55">
        <v>2026</v>
      </c>
      <c r="C17" s="55">
        <v>2025</v>
      </c>
      <c r="D17" s="56" t="s">
        <v>66</v>
      </c>
      <c r="E17" s="117">
        <v>2024</v>
      </c>
      <c r="F17" s="118" t="s">
        <v>66</v>
      </c>
      <c r="G17" s="119">
        <v>2026</v>
      </c>
      <c r="H17" s="55">
        <v>2025</v>
      </c>
      <c r="I17" s="56" t="s">
        <v>66</v>
      </c>
      <c r="J17" s="55">
        <v>2024</v>
      </c>
      <c r="K17" s="85" t="s">
        <v>42</v>
      </c>
      <c r="L17" s="67"/>
      <c r="M17" s="67"/>
      <c r="N17" s="67"/>
      <c r="O17" s="67"/>
      <c r="P17" s="67"/>
    </row>
    <row r="18" spans="1:16" s="68" customFormat="1" ht="18" customHeight="1" x14ac:dyDescent="0.2">
      <c r="A18" s="50" t="s">
        <v>37</v>
      </c>
      <c r="B18" s="65"/>
      <c r="C18" s="65"/>
      <c r="D18" s="66">
        <f>B18-C18</f>
        <v>0</v>
      </c>
      <c r="E18" s="120"/>
      <c r="F18" s="121">
        <f>C18-E18</f>
        <v>0</v>
      </c>
      <c r="G18" s="122">
        <f>B18</f>
        <v>0</v>
      </c>
      <c r="H18" s="87">
        <f>C18</f>
        <v>0</v>
      </c>
      <c r="I18" s="98">
        <f>G18-H18</f>
        <v>0</v>
      </c>
      <c r="J18" s="87">
        <f>E18</f>
        <v>0</v>
      </c>
      <c r="K18" s="94">
        <f>H18-J18</f>
        <v>0</v>
      </c>
      <c r="M18" s="67" t="s">
        <v>68</v>
      </c>
      <c r="N18" s="67"/>
      <c r="O18" s="67"/>
      <c r="P18" s="67"/>
    </row>
    <row r="19" spans="1:16" s="68" customFormat="1" ht="18" customHeight="1" x14ac:dyDescent="0.2">
      <c r="A19" s="50" t="s">
        <v>36</v>
      </c>
      <c r="B19" s="65"/>
      <c r="C19" s="65"/>
      <c r="D19" s="66">
        <f t="shared" ref="D19:D29" si="10">B19-C19</f>
        <v>0</v>
      </c>
      <c r="E19" s="65"/>
      <c r="F19" s="121">
        <f t="shared" ref="F19:F29" si="11">C19-E19</f>
        <v>0</v>
      </c>
      <c r="G19" s="122">
        <f t="shared" ref="G19:G29" si="12">B19</f>
        <v>0</v>
      </c>
      <c r="H19" s="87">
        <f t="shared" ref="H19:H29" si="13">C19</f>
        <v>0</v>
      </c>
      <c r="I19" s="98">
        <f t="shared" ref="I19:I28" si="14">G19-H19</f>
        <v>0</v>
      </c>
      <c r="J19" s="87">
        <f t="shared" ref="J19:J28" si="15">E19</f>
        <v>0</v>
      </c>
      <c r="K19" s="94">
        <f t="shared" ref="K19:K28" si="16">H19-J19</f>
        <v>0</v>
      </c>
      <c r="M19" s="67" t="s">
        <v>69</v>
      </c>
      <c r="N19" s="67"/>
      <c r="O19" s="67"/>
      <c r="P19" s="67"/>
    </row>
    <row r="20" spans="1:16" s="68" customFormat="1" ht="18" customHeight="1" x14ac:dyDescent="0.2">
      <c r="A20" s="50" t="s">
        <v>35</v>
      </c>
      <c r="B20" s="65"/>
      <c r="C20" s="65"/>
      <c r="D20" s="66">
        <f t="shared" si="10"/>
        <v>0</v>
      </c>
      <c r="E20" s="65"/>
      <c r="F20" s="121">
        <f t="shared" si="11"/>
        <v>0</v>
      </c>
      <c r="G20" s="122">
        <f t="shared" si="12"/>
        <v>0</v>
      </c>
      <c r="H20" s="87">
        <f t="shared" si="13"/>
        <v>0</v>
      </c>
      <c r="I20" s="98">
        <f t="shared" si="14"/>
        <v>0</v>
      </c>
      <c r="J20" s="87">
        <f t="shared" si="15"/>
        <v>0</v>
      </c>
      <c r="K20" s="94">
        <f t="shared" si="16"/>
        <v>0</v>
      </c>
      <c r="M20" s="67" t="s">
        <v>70</v>
      </c>
      <c r="N20" s="67"/>
      <c r="O20" s="67"/>
      <c r="P20" s="67"/>
    </row>
    <row r="21" spans="1:16" s="68" customFormat="1" ht="18" customHeight="1" x14ac:dyDescent="0.2">
      <c r="A21" s="50" t="s">
        <v>34</v>
      </c>
      <c r="B21" s="65"/>
      <c r="C21" s="65"/>
      <c r="D21" s="66">
        <f t="shared" si="10"/>
        <v>0</v>
      </c>
      <c r="E21" s="65"/>
      <c r="F21" s="121">
        <f t="shared" si="11"/>
        <v>0</v>
      </c>
      <c r="G21" s="122">
        <f t="shared" si="12"/>
        <v>0</v>
      </c>
      <c r="H21" s="87">
        <f t="shared" si="13"/>
        <v>0</v>
      </c>
      <c r="I21" s="98">
        <f t="shared" si="14"/>
        <v>0</v>
      </c>
      <c r="J21" s="87">
        <f t="shared" si="15"/>
        <v>0</v>
      </c>
      <c r="K21" s="94">
        <f t="shared" si="16"/>
        <v>0</v>
      </c>
      <c r="M21" s="67" t="s">
        <v>71</v>
      </c>
      <c r="N21" s="67"/>
      <c r="O21" s="67"/>
      <c r="P21" s="67"/>
    </row>
    <row r="22" spans="1:16" s="68" customFormat="1" ht="18" customHeight="1" x14ac:dyDescent="0.2">
      <c r="A22" s="50" t="s">
        <v>33</v>
      </c>
      <c r="B22" s="65"/>
      <c r="C22" s="65"/>
      <c r="D22" s="66">
        <f t="shared" si="10"/>
        <v>0</v>
      </c>
      <c r="E22" s="65"/>
      <c r="F22" s="121">
        <f t="shared" si="11"/>
        <v>0</v>
      </c>
      <c r="G22" s="122">
        <f t="shared" si="12"/>
        <v>0</v>
      </c>
      <c r="H22" s="87">
        <f t="shared" si="13"/>
        <v>0</v>
      </c>
      <c r="I22" s="98">
        <f t="shared" si="14"/>
        <v>0</v>
      </c>
      <c r="J22" s="87">
        <f t="shared" si="15"/>
        <v>0</v>
      </c>
      <c r="K22" s="94">
        <f t="shared" si="16"/>
        <v>0</v>
      </c>
      <c r="M22" s="67" t="s">
        <v>72</v>
      </c>
      <c r="N22" s="67"/>
      <c r="O22" s="67"/>
      <c r="P22" s="67"/>
    </row>
    <row r="23" spans="1:16" s="68" customFormat="1" ht="18" customHeight="1" x14ac:dyDescent="0.2">
      <c r="A23" s="50" t="s">
        <v>32</v>
      </c>
      <c r="B23" s="65"/>
      <c r="C23" s="65"/>
      <c r="D23" s="66">
        <f t="shared" si="10"/>
        <v>0</v>
      </c>
      <c r="E23" s="65"/>
      <c r="F23" s="121">
        <f t="shared" si="11"/>
        <v>0</v>
      </c>
      <c r="G23" s="122">
        <f t="shared" si="12"/>
        <v>0</v>
      </c>
      <c r="H23" s="87">
        <f t="shared" si="13"/>
        <v>0</v>
      </c>
      <c r="I23" s="98">
        <f t="shared" si="14"/>
        <v>0</v>
      </c>
      <c r="J23" s="87">
        <f t="shared" si="15"/>
        <v>0</v>
      </c>
      <c r="K23" s="94">
        <f t="shared" si="16"/>
        <v>0</v>
      </c>
      <c r="L23" s="67"/>
      <c r="M23" s="67"/>
      <c r="N23" s="67"/>
      <c r="O23" s="67"/>
      <c r="P23" s="67"/>
    </row>
    <row r="24" spans="1:16" s="68" customFormat="1" ht="18" customHeight="1" x14ac:dyDescent="0.2">
      <c r="A24" s="50" t="s">
        <v>31</v>
      </c>
      <c r="B24" s="65"/>
      <c r="C24" s="65"/>
      <c r="D24" s="66">
        <f t="shared" si="10"/>
        <v>0</v>
      </c>
      <c r="E24" s="65"/>
      <c r="F24" s="121">
        <f t="shared" si="11"/>
        <v>0</v>
      </c>
      <c r="G24" s="122">
        <f t="shared" si="12"/>
        <v>0</v>
      </c>
      <c r="H24" s="87">
        <f t="shared" si="13"/>
        <v>0</v>
      </c>
      <c r="I24" s="98">
        <f t="shared" si="14"/>
        <v>0</v>
      </c>
      <c r="J24" s="87">
        <f t="shared" si="15"/>
        <v>0</v>
      </c>
      <c r="K24" s="94">
        <f t="shared" si="16"/>
        <v>0</v>
      </c>
      <c r="L24" s="7"/>
      <c r="M24" s="67"/>
      <c r="N24" s="67"/>
      <c r="O24" s="67"/>
      <c r="P24" s="67"/>
    </row>
    <row r="25" spans="1:16" s="68" customFormat="1" ht="18" customHeight="1" x14ac:dyDescent="0.2">
      <c r="A25" s="50" t="s">
        <v>3</v>
      </c>
      <c r="B25" s="65"/>
      <c r="C25" s="65"/>
      <c r="D25" s="66">
        <f t="shared" si="10"/>
        <v>0</v>
      </c>
      <c r="E25" s="65"/>
      <c r="F25" s="121">
        <f t="shared" si="11"/>
        <v>0</v>
      </c>
      <c r="G25" s="122">
        <f t="shared" si="12"/>
        <v>0</v>
      </c>
      <c r="H25" s="87">
        <f t="shared" si="13"/>
        <v>0</v>
      </c>
      <c r="I25" s="98">
        <f t="shared" si="14"/>
        <v>0</v>
      </c>
      <c r="J25" s="87">
        <f t="shared" si="15"/>
        <v>0</v>
      </c>
      <c r="K25" s="94">
        <f t="shared" si="16"/>
        <v>0</v>
      </c>
      <c r="L25" s="7"/>
      <c r="M25" s="67"/>
      <c r="N25" s="67"/>
      <c r="O25" s="67"/>
      <c r="P25" s="67"/>
    </row>
    <row r="26" spans="1:16" s="68" customFormat="1" ht="18" customHeight="1" x14ac:dyDescent="0.2">
      <c r="A26" s="50" t="s">
        <v>44</v>
      </c>
      <c r="B26" s="65"/>
      <c r="C26" s="65"/>
      <c r="D26" s="66">
        <f t="shared" si="10"/>
        <v>0</v>
      </c>
      <c r="E26" s="65"/>
      <c r="F26" s="121">
        <f t="shared" si="11"/>
        <v>0</v>
      </c>
      <c r="G26" s="122">
        <f t="shared" si="12"/>
        <v>0</v>
      </c>
      <c r="H26" s="87">
        <f t="shared" si="13"/>
        <v>0</v>
      </c>
      <c r="I26" s="98">
        <f t="shared" si="14"/>
        <v>0</v>
      </c>
      <c r="J26" s="87">
        <f t="shared" si="15"/>
        <v>0</v>
      </c>
      <c r="K26" s="94">
        <f t="shared" si="16"/>
        <v>0</v>
      </c>
      <c r="L26" s="7"/>
      <c r="M26" s="67"/>
      <c r="N26" s="67"/>
      <c r="O26" s="67"/>
      <c r="P26" s="67"/>
    </row>
    <row r="27" spans="1:16" s="68" customFormat="1" ht="18" customHeight="1" x14ac:dyDescent="0.2">
      <c r="A27" s="50" t="s">
        <v>30</v>
      </c>
      <c r="B27" s="65"/>
      <c r="C27" s="65"/>
      <c r="D27" s="66">
        <f t="shared" si="10"/>
        <v>0</v>
      </c>
      <c r="E27" s="65"/>
      <c r="F27" s="121">
        <f t="shared" si="11"/>
        <v>0</v>
      </c>
      <c r="G27" s="122">
        <f t="shared" si="12"/>
        <v>0</v>
      </c>
      <c r="H27" s="87">
        <f t="shared" si="13"/>
        <v>0</v>
      </c>
      <c r="I27" s="98">
        <f t="shared" si="14"/>
        <v>0</v>
      </c>
      <c r="J27" s="87">
        <f t="shared" si="15"/>
        <v>0</v>
      </c>
      <c r="K27" s="94">
        <f t="shared" si="16"/>
        <v>0</v>
      </c>
      <c r="L27" s="7"/>
      <c r="M27" s="67"/>
      <c r="N27" s="67"/>
      <c r="O27" s="67"/>
      <c r="P27" s="67"/>
    </row>
    <row r="28" spans="1:16" s="68" customFormat="1" ht="18" customHeight="1" x14ac:dyDescent="0.2">
      <c r="A28" s="50" t="s">
        <v>29</v>
      </c>
      <c r="B28" s="65"/>
      <c r="C28" s="65"/>
      <c r="D28" s="66">
        <f t="shared" si="10"/>
        <v>0</v>
      </c>
      <c r="E28" s="65"/>
      <c r="F28" s="121">
        <f t="shared" si="11"/>
        <v>0</v>
      </c>
      <c r="G28" s="122">
        <f t="shared" si="12"/>
        <v>0</v>
      </c>
      <c r="H28" s="87">
        <f t="shared" si="13"/>
        <v>0</v>
      </c>
      <c r="I28" s="98">
        <f t="shared" si="14"/>
        <v>0</v>
      </c>
      <c r="J28" s="87">
        <f t="shared" si="15"/>
        <v>0</v>
      </c>
      <c r="K28" s="94">
        <f t="shared" si="16"/>
        <v>0</v>
      </c>
      <c r="L28" s="7"/>
      <c r="M28" s="67"/>
      <c r="N28" s="67"/>
      <c r="O28" s="67"/>
      <c r="P28" s="67"/>
    </row>
    <row r="29" spans="1:16" s="68" customFormat="1" ht="18" customHeight="1" thickBot="1" x14ac:dyDescent="0.25">
      <c r="A29" s="50" t="s">
        <v>28</v>
      </c>
      <c r="B29" s="65"/>
      <c r="C29" s="65"/>
      <c r="D29" s="66">
        <f t="shared" si="10"/>
        <v>0</v>
      </c>
      <c r="E29" s="65"/>
      <c r="F29" s="121">
        <f t="shared" si="11"/>
        <v>0</v>
      </c>
      <c r="G29" s="122">
        <f t="shared" si="12"/>
        <v>0</v>
      </c>
      <c r="H29" s="87">
        <f t="shared" si="13"/>
        <v>0</v>
      </c>
      <c r="I29" s="123">
        <f>G29-H29</f>
        <v>0</v>
      </c>
      <c r="J29" s="86">
        <f>E29</f>
        <v>0</v>
      </c>
      <c r="K29" s="95">
        <f>H29-J29</f>
        <v>0</v>
      </c>
      <c r="L29" s="7"/>
      <c r="M29" s="67"/>
      <c r="N29" s="67"/>
      <c r="O29" s="67"/>
      <c r="P29" s="67"/>
    </row>
    <row r="30" spans="1:16" ht="25" customHeight="1" thickBot="1" x14ac:dyDescent="0.25">
      <c r="A30" s="155" t="s">
        <v>6</v>
      </c>
      <c r="B30" s="156"/>
      <c r="C30" s="156"/>
      <c r="D30" s="156"/>
      <c r="E30" s="156"/>
      <c r="F30" s="156"/>
      <c r="G30" s="156"/>
      <c r="H30" s="157"/>
      <c r="I30" s="7"/>
      <c r="J30" s="7"/>
      <c r="K30" s="1"/>
      <c r="L30" s="1"/>
      <c r="M30" s="1"/>
    </row>
    <row r="31" spans="1:16" s="68" customFormat="1" ht="32" customHeight="1" x14ac:dyDescent="0.2">
      <c r="A31" s="55"/>
      <c r="B31" s="55">
        <v>2026</v>
      </c>
      <c r="C31" s="55">
        <v>2025</v>
      </c>
      <c r="D31" s="153" t="s">
        <v>66</v>
      </c>
      <c r="E31" s="154"/>
      <c r="F31" s="55">
        <v>2024</v>
      </c>
      <c r="G31" s="167" t="s">
        <v>42</v>
      </c>
      <c r="H31" s="168"/>
      <c r="I31" s="73"/>
      <c r="J31" s="73"/>
      <c r="K31" s="67"/>
      <c r="L31" s="67"/>
      <c r="M31" s="67"/>
    </row>
    <row r="32" spans="1:16" s="68" customFormat="1" ht="17" customHeight="1" x14ac:dyDescent="0.2">
      <c r="A32" s="99" t="s">
        <v>37</v>
      </c>
      <c r="B32" s="53" t="e">
        <f>B3/B18</f>
        <v>#DIV/0!</v>
      </c>
      <c r="C32" s="53" t="e">
        <f>C3/C18</f>
        <v>#DIV/0!</v>
      </c>
      <c r="D32" s="60" t="e">
        <f>B32-C32</f>
        <v>#DIV/0!</v>
      </c>
      <c r="E32" s="111" t="e">
        <f>(B32-C32)/C32</f>
        <v>#DIV/0!</v>
      </c>
      <c r="F32" s="124" t="e">
        <f>F3/E18</f>
        <v>#DIV/0!</v>
      </c>
      <c r="G32" s="74" t="e">
        <f>C32-F32</f>
        <v>#DIV/0!</v>
      </c>
      <c r="H32" s="112" t="e">
        <f>(C32-F32)/F32</f>
        <v>#DIV/0!</v>
      </c>
      <c r="J32" s="73"/>
      <c r="K32" s="67"/>
      <c r="L32" s="67"/>
      <c r="M32" s="67"/>
    </row>
    <row r="33" spans="1:13" s="68" customFormat="1" ht="17" customHeight="1" x14ac:dyDescent="0.2">
      <c r="A33" s="50" t="s">
        <v>36</v>
      </c>
      <c r="B33" s="53" t="e">
        <f t="shared" ref="B33:C43" si="17">B4/B19</f>
        <v>#DIV/0!</v>
      </c>
      <c r="C33" s="53" t="e">
        <f t="shared" si="17"/>
        <v>#DIV/0!</v>
      </c>
      <c r="D33" s="60" t="e">
        <f t="shared" ref="D33:D43" si="18">B33-C33</f>
        <v>#DIV/0!</v>
      </c>
      <c r="E33" s="94" t="e">
        <f t="shared" ref="E33:E43" si="19">(B33-C33)/C33</f>
        <v>#DIV/0!</v>
      </c>
      <c r="F33" s="53" t="e">
        <f t="shared" ref="F33:F43" si="20">F4/E19</f>
        <v>#DIV/0!</v>
      </c>
      <c r="G33" s="74" t="e">
        <f t="shared" ref="G33:G43" si="21">C33-F33</f>
        <v>#DIV/0!</v>
      </c>
      <c r="H33" s="112" t="e">
        <f t="shared" ref="H33:H43" si="22">(C33-F33)/F33</f>
        <v>#DIV/0!</v>
      </c>
      <c r="J33" s="73"/>
      <c r="K33" s="67"/>
      <c r="L33" s="67"/>
      <c r="M33" s="67"/>
    </row>
    <row r="34" spans="1:13" s="68" customFormat="1" ht="17" customHeight="1" x14ac:dyDescent="0.2">
      <c r="A34" s="50" t="s">
        <v>35</v>
      </c>
      <c r="B34" s="53" t="e">
        <f t="shared" si="17"/>
        <v>#DIV/0!</v>
      </c>
      <c r="C34" s="53" t="e">
        <f t="shared" si="17"/>
        <v>#DIV/0!</v>
      </c>
      <c r="D34" s="60" t="e">
        <f t="shared" si="18"/>
        <v>#DIV/0!</v>
      </c>
      <c r="E34" s="94" t="e">
        <f t="shared" si="19"/>
        <v>#DIV/0!</v>
      </c>
      <c r="F34" s="53" t="e">
        <f t="shared" si="20"/>
        <v>#DIV/0!</v>
      </c>
      <c r="G34" s="74" t="e">
        <f t="shared" si="21"/>
        <v>#DIV/0!</v>
      </c>
      <c r="H34" s="112" t="e">
        <f t="shared" si="22"/>
        <v>#DIV/0!</v>
      </c>
      <c r="J34" s="73"/>
      <c r="K34" s="67"/>
      <c r="L34" s="67"/>
      <c r="M34" s="67"/>
    </row>
    <row r="35" spans="1:13" s="68" customFormat="1" ht="17" customHeight="1" x14ac:dyDescent="0.2">
      <c r="A35" s="50" t="s">
        <v>34</v>
      </c>
      <c r="B35" s="53" t="e">
        <f t="shared" si="17"/>
        <v>#DIV/0!</v>
      </c>
      <c r="C35" s="53" t="e">
        <f t="shared" si="17"/>
        <v>#DIV/0!</v>
      </c>
      <c r="D35" s="60" t="e">
        <f t="shared" si="18"/>
        <v>#DIV/0!</v>
      </c>
      <c r="E35" s="94" t="e">
        <f t="shared" si="19"/>
        <v>#DIV/0!</v>
      </c>
      <c r="F35" s="53" t="e">
        <f t="shared" si="20"/>
        <v>#DIV/0!</v>
      </c>
      <c r="G35" s="74" t="e">
        <f t="shared" si="21"/>
        <v>#DIV/0!</v>
      </c>
      <c r="H35" s="112" t="e">
        <f t="shared" si="22"/>
        <v>#DIV/0!</v>
      </c>
      <c r="J35" s="73"/>
      <c r="K35" s="67"/>
      <c r="L35" s="67"/>
      <c r="M35" s="67"/>
    </row>
    <row r="36" spans="1:13" s="68" customFormat="1" ht="17" customHeight="1" x14ac:dyDescent="0.2">
      <c r="A36" s="50" t="s">
        <v>33</v>
      </c>
      <c r="B36" s="53" t="e">
        <f t="shared" si="17"/>
        <v>#DIV/0!</v>
      </c>
      <c r="C36" s="53" t="e">
        <f t="shared" si="17"/>
        <v>#DIV/0!</v>
      </c>
      <c r="D36" s="60" t="e">
        <f t="shared" si="18"/>
        <v>#DIV/0!</v>
      </c>
      <c r="E36" s="94" t="e">
        <f t="shared" si="19"/>
        <v>#DIV/0!</v>
      </c>
      <c r="F36" s="53" t="e">
        <f t="shared" si="20"/>
        <v>#DIV/0!</v>
      </c>
      <c r="G36" s="74" t="e">
        <f t="shared" si="21"/>
        <v>#DIV/0!</v>
      </c>
      <c r="H36" s="112" t="e">
        <f t="shared" si="22"/>
        <v>#DIV/0!</v>
      </c>
      <c r="J36" s="73"/>
      <c r="K36" s="67"/>
      <c r="L36" s="67"/>
      <c r="M36" s="67"/>
    </row>
    <row r="37" spans="1:13" s="68" customFormat="1" ht="17" customHeight="1" x14ac:dyDescent="0.2">
      <c r="A37" s="50" t="s">
        <v>32</v>
      </c>
      <c r="B37" s="53" t="e">
        <f t="shared" si="17"/>
        <v>#DIV/0!</v>
      </c>
      <c r="C37" s="53" t="e">
        <f t="shared" si="17"/>
        <v>#DIV/0!</v>
      </c>
      <c r="D37" s="60" t="e">
        <f t="shared" si="18"/>
        <v>#DIV/0!</v>
      </c>
      <c r="E37" s="94" t="e">
        <f t="shared" si="19"/>
        <v>#DIV/0!</v>
      </c>
      <c r="F37" s="53" t="e">
        <f t="shared" si="20"/>
        <v>#DIV/0!</v>
      </c>
      <c r="G37" s="74" t="e">
        <f t="shared" si="21"/>
        <v>#DIV/0!</v>
      </c>
      <c r="H37" s="112" t="e">
        <f t="shared" si="22"/>
        <v>#DIV/0!</v>
      </c>
      <c r="J37" s="73"/>
      <c r="K37" s="67"/>
      <c r="L37" s="67"/>
      <c r="M37" s="67"/>
    </row>
    <row r="38" spans="1:13" s="68" customFormat="1" ht="17" customHeight="1" x14ac:dyDescent="0.2">
      <c r="A38" s="50" t="s">
        <v>31</v>
      </c>
      <c r="B38" s="53" t="e">
        <f t="shared" si="17"/>
        <v>#DIV/0!</v>
      </c>
      <c r="C38" s="53" t="e">
        <f t="shared" si="17"/>
        <v>#DIV/0!</v>
      </c>
      <c r="D38" s="60" t="e">
        <f t="shared" si="18"/>
        <v>#DIV/0!</v>
      </c>
      <c r="E38" s="94" t="e">
        <f t="shared" si="19"/>
        <v>#DIV/0!</v>
      </c>
      <c r="F38" s="53" t="e">
        <f t="shared" si="20"/>
        <v>#DIV/0!</v>
      </c>
      <c r="G38" s="74" t="e">
        <f t="shared" si="21"/>
        <v>#DIV/0!</v>
      </c>
      <c r="H38" s="112" t="e">
        <f t="shared" si="22"/>
        <v>#DIV/0!</v>
      </c>
      <c r="I38" s="7"/>
      <c r="J38" s="73"/>
      <c r="K38" s="67"/>
      <c r="L38" s="67"/>
      <c r="M38" s="67"/>
    </row>
    <row r="39" spans="1:13" s="68" customFormat="1" ht="17" customHeight="1" x14ac:dyDescent="0.2">
      <c r="A39" s="50" t="s">
        <v>3</v>
      </c>
      <c r="B39" s="53" t="e">
        <f t="shared" si="17"/>
        <v>#DIV/0!</v>
      </c>
      <c r="C39" s="53" t="e">
        <f t="shared" si="17"/>
        <v>#DIV/0!</v>
      </c>
      <c r="D39" s="60" t="e">
        <f t="shared" si="18"/>
        <v>#DIV/0!</v>
      </c>
      <c r="E39" s="94" t="e">
        <f t="shared" si="19"/>
        <v>#DIV/0!</v>
      </c>
      <c r="F39" s="53" t="e">
        <f t="shared" si="20"/>
        <v>#DIV/0!</v>
      </c>
      <c r="G39" s="74" t="e">
        <f t="shared" si="21"/>
        <v>#DIV/0!</v>
      </c>
      <c r="H39" s="112" t="e">
        <f t="shared" si="22"/>
        <v>#DIV/0!</v>
      </c>
      <c r="I39" s="7"/>
      <c r="J39" s="73"/>
      <c r="K39" s="67"/>
      <c r="L39" s="67"/>
      <c r="M39" s="67"/>
    </row>
    <row r="40" spans="1:13" s="68" customFormat="1" ht="17" customHeight="1" x14ac:dyDescent="0.2">
      <c r="A40" s="50" t="s">
        <v>44</v>
      </c>
      <c r="B40" s="53" t="e">
        <f t="shared" si="17"/>
        <v>#DIV/0!</v>
      </c>
      <c r="C40" s="53" t="e">
        <f t="shared" si="17"/>
        <v>#DIV/0!</v>
      </c>
      <c r="D40" s="60" t="e">
        <f t="shared" si="18"/>
        <v>#DIV/0!</v>
      </c>
      <c r="E40" s="94" t="e">
        <f t="shared" si="19"/>
        <v>#DIV/0!</v>
      </c>
      <c r="F40" s="53" t="e">
        <f t="shared" si="20"/>
        <v>#DIV/0!</v>
      </c>
      <c r="G40" s="74" t="e">
        <f t="shared" si="21"/>
        <v>#DIV/0!</v>
      </c>
      <c r="H40" s="112" t="e">
        <f t="shared" si="22"/>
        <v>#DIV/0!</v>
      </c>
      <c r="I40" s="7"/>
      <c r="J40" s="73"/>
      <c r="K40" s="67"/>
      <c r="L40" s="67"/>
      <c r="M40" s="67"/>
    </row>
    <row r="41" spans="1:13" s="68" customFormat="1" ht="17" customHeight="1" x14ac:dyDescent="0.2">
      <c r="A41" s="50" t="s">
        <v>30</v>
      </c>
      <c r="B41" s="53" t="e">
        <f t="shared" si="17"/>
        <v>#DIV/0!</v>
      </c>
      <c r="C41" s="53" t="e">
        <f t="shared" si="17"/>
        <v>#DIV/0!</v>
      </c>
      <c r="D41" s="60" t="e">
        <f t="shared" si="18"/>
        <v>#DIV/0!</v>
      </c>
      <c r="E41" s="94" t="e">
        <f t="shared" si="19"/>
        <v>#DIV/0!</v>
      </c>
      <c r="F41" s="53" t="e">
        <f t="shared" si="20"/>
        <v>#DIV/0!</v>
      </c>
      <c r="G41" s="74" t="e">
        <f t="shared" si="21"/>
        <v>#DIV/0!</v>
      </c>
      <c r="H41" s="112" t="e">
        <f t="shared" si="22"/>
        <v>#DIV/0!</v>
      </c>
      <c r="I41" s="7"/>
      <c r="J41" s="73"/>
      <c r="K41" s="67"/>
      <c r="L41" s="67"/>
      <c r="M41" s="67"/>
    </row>
    <row r="42" spans="1:13" s="68" customFormat="1" ht="17" customHeight="1" x14ac:dyDescent="0.2">
      <c r="A42" s="50" t="s">
        <v>29</v>
      </c>
      <c r="B42" s="53" t="e">
        <f t="shared" si="17"/>
        <v>#DIV/0!</v>
      </c>
      <c r="C42" s="53" t="e">
        <f t="shared" si="17"/>
        <v>#DIV/0!</v>
      </c>
      <c r="D42" s="60" t="e">
        <f t="shared" si="18"/>
        <v>#DIV/0!</v>
      </c>
      <c r="E42" s="94" t="e">
        <f t="shared" si="19"/>
        <v>#DIV/0!</v>
      </c>
      <c r="F42" s="53" t="e">
        <f t="shared" si="20"/>
        <v>#DIV/0!</v>
      </c>
      <c r="G42" s="74" t="e">
        <f t="shared" si="21"/>
        <v>#DIV/0!</v>
      </c>
      <c r="H42" s="112" t="e">
        <f t="shared" si="22"/>
        <v>#DIV/0!</v>
      </c>
      <c r="I42" s="7"/>
      <c r="J42" s="73"/>
      <c r="K42" s="67"/>
      <c r="L42" s="67"/>
      <c r="M42" s="67"/>
    </row>
    <row r="43" spans="1:13" s="68" customFormat="1" ht="17" customHeight="1" x14ac:dyDescent="0.2">
      <c r="A43" s="51" t="s">
        <v>28</v>
      </c>
      <c r="B43" s="84" t="e">
        <f t="shared" si="17"/>
        <v>#DIV/0!</v>
      </c>
      <c r="C43" s="84" t="e">
        <f t="shared" si="17"/>
        <v>#DIV/0!</v>
      </c>
      <c r="D43" s="125" t="e">
        <f t="shared" si="18"/>
        <v>#DIV/0!</v>
      </c>
      <c r="E43" s="95" t="e">
        <f t="shared" si="19"/>
        <v>#DIV/0!</v>
      </c>
      <c r="F43" s="84" t="e">
        <f t="shared" si="20"/>
        <v>#DIV/0!</v>
      </c>
      <c r="G43" s="76" t="e">
        <f t="shared" si="21"/>
        <v>#DIV/0!</v>
      </c>
      <c r="H43" s="126" t="e">
        <f t="shared" si="22"/>
        <v>#DIV/0!</v>
      </c>
      <c r="J43" s="73"/>
      <c r="K43" s="67"/>
      <c r="L43" s="67"/>
      <c r="M43" s="67"/>
    </row>
  </sheetData>
  <mergeCells count="10">
    <mergeCell ref="D31:E31"/>
    <mergeCell ref="G31:H31"/>
    <mergeCell ref="N2:O2"/>
    <mergeCell ref="Q2:R2"/>
    <mergeCell ref="A1:K1"/>
    <mergeCell ref="D2:E2"/>
    <mergeCell ref="G2:H2"/>
    <mergeCell ref="A16:F16"/>
    <mergeCell ref="G16:K16"/>
    <mergeCell ref="A30:H30"/>
  </mergeCells>
  <conditionalFormatting sqref="D3:E15 G3:H15 D18:D29 F18:F29 I18:I29 K18:K29 D32:E43 G32:H43">
    <cfRule type="cellIs" dxfId="15" priority="7" operator="lessThan">
      <formula>-0.009</formula>
    </cfRule>
    <cfRule type="cellIs" dxfId="14" priority="8" operator="greaterThan">
      <formula>0.009</formula>
    </cfRule>
  </conditionalFormatting>
  <conditionalFormatting sqref="N3:O15">
    <cfRule type="cellIs" dxfId="13" priority="4" operator="equal">
      <formula>0</formula>
    </cfRule>
    <cfRule type="cellIs" dxfId="12" priority="5" operator="lessThan">
      <formula>0</formula>
    </cfRule>
    <cfRule type="cellIs" dxfId="11" priority="6" operator="greaterThan">
      <formula>0</formula>
    </cfRule>
  </conditionalFormatting>
  <conditionalFormatting sqref="Q3:R15">
    <cfRule type="cellIs" dxfId="10" priority="1" operator="equal">
      <formula>0</formula>
    </cfRule>
    <cfRule type="cellIs" dxfId="9" priority="2" operator="lessThan">
      <formula>0</formula>
    </cfRule>
    <cfRule type="cellIs" dxfId="8" priority="3" operator="greaterThan">
      <formula>0</formula>
    </cfRule>
  </conditionalFormatting>
  <pageMargins left="0.7" right="0.7" top="0.75" bottom="0.75" header="0.3" footer="0.3"/>
  <ignoredErrors>
    <ignoredError sqref="I29 I18 I19:I28" formula="1"/>
    <ignoredError sqref="B32:H43 E3:H14 G15:H15" evalError="1"/>
    <ignoredError sqref="E15" evalError="1" formula="1"/>
    <ignoredError sqref="B15:C15" formulaRange="1"/>
    <ignoredError sqref="F15" evalError="1" formula="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6A0A5-2695-EA44-927D-7961F5D9B06B}">
  <dimension ref="A1:N182"/>
  <sheetViews>
    <sheetView workbookViewId="0">
      <selection activeCell="F2" sqref="F2:H15"/>
    </sheetView>
  </sheetViews>
  <sheetFormatPr baseColWidth="10" defaultRowHeight="16" x14ac:dyDescent="0.2"/>
  <cols>
    <col min="1" max="1" width="8.83203125" customWidth="1"/>
  </cols>
  <sheetData>
    <row r="1" spans="1:13" ht="28" customHeight="1" thickBot="1" x14ac:dyDescent="0.25">
      <c r="A1" s="158" t="s">
        <v>40</v>
      </c>
      <c r="B1" s="159"/>
      <c r="C1" s="159"/>
      <c r="D1" s="159"/>
      <c r="E1" s="159"/>
      <c r="F1" s="159"/>
      <c r="G1" s="159"/>
      <c r="H1" s="160"/>
      <c r="I1" s="67"/>
      <c r="J1" s="67"/>
      <c r="K1" s="67"/>
      <c r="L1" s="67"/>
    </row>
    <row r="2" spans="1:13" s="5" customFormat="1" ht="32" customHeight="1" x14ac:dyDescent="0.2">
      <c r="A2" s="55"/>
      <c r="B2" s="55">
        <v>2025</v>
      </c>
      <c r="C2" s="56">
        <v>2024</v>
      </c>
      <c r="D2" s="167" t="s">
        <v>42</v>
      </c>
      <c r="E2" s="168"/>
      <c r="F2" s="58" t="s">
        <v>41</v>
      </c>
      <c r="G2" s="169" t="s">
        <v>43</v>
      </c>
      <c r="H2" s="170"/>
      <c r="I2" s="4"/>
      <c r="J2" s="4"/>
    </row>
    <row r="3" spans="1:13" s="3" customFormat="1" ht="18" customHeight="1" x14ac:dyDescent="0.2">
      <c r="A3" s="50" t="s">
        <v>37</v>
      </c>
      <c r="B3" s="53">
        <v>290938.14</v>
      </c>
      <c r="C3" s="60">
        <v>228038.64</v>
      </c>
      <c r="D3" s="74">
        <f t="shared" ref="D3:D15" si="0">B3-C3</f>
        <v>62899.5</v>
      </c>
      <c r="E3" s="102">
        <f>(B3-C3)/C3</f>
        <v>0.27582825436952263</v>
      </c>
      <c r="F3" s="61">
        <f>C3*1.1</f>
        <v>250842.50400000004</v>
      </c>
      <c r="G3" s="78">
        <f>B3-F3</f>
        <v>40095.635999999969</v>
      </c>
      <c r="H3" s="75">
        <f>(B3-F3)/F3</f>
        <v>0.15984386760865679</v>
      </c>
      <c r="I3" s="2"/>
      <c r="J3" s="2"/>
    </row>
    <row r="4" spans="1:13" s="3" customFormat="1" ht="18" customHeight="1" x14ac:dyDescent="0.2">
      <c r="A4" s="50" t="s">
        <v>36</v>
      </c>
      <c r="B4" s="53">
        <v>370732.61</v>
      </c>
      <c r="C4" s="60">
        <v>361297.38</v>
      </c>
      <c r="D4" s="74">
        <f t="shared" si="0"/>
        <v>9435.2299999999814</v>
      </c>
      <c r="E4" s="102">
        <f t="shared" ref="E4:E14" si="1">(B4-C4)/C4</f>
        <v>2.6114858624216929E-2</v>
      </c>
      <c r="F4" s="61">
        <f t="shared" ref="F4:F14" si="2">C4*1.1</f>
        <v>397427.11800000002</v>
      </c>
      <c r="G4" s="78">
        <f t="shared" ref="G4:G14" si="3">B4-F4</f>
        <v>-26694.508000000031</v>
      </c>
      <c r="H4" s="75">
        <f t="shared" ref="H4:H14" si="4">(B4-F4)/F4</f>
        <v>-6.7168310341621004E-2</v>
      </c>
      <c r="I4" s="2"/>
      <c r="J4" s="2"/>
    </row>
    <row r="5" spans="1:13" s="3" customFormat="1" ht="18" customHeight="1" x14ac:dyDescent="0.2">
      <c r="A5" s="50" t="s">
        <v>35</v>
      </c>
      <c r="B5" s="53">
        <v>337311.68</v>
      </c>
      <c r="C5" s="60">
        <v>336377.52</v>
      </c>
      <c r="D5" s="74">
        <f t="shared" si="0"/>
        <v>934.15999999997439</v>
      </c>
      <c r="E5" s="102">
        <f t="shared" si="1"/>
        <v>2.7771178050185232E-3</v>
      </c>
      <c r="F5" s="61">
        <f t="shared" si="2"/>
        <v>370015.27200000006</v>
      </c>
      <c r="G5" s="78">
        <f t="shared" si="3"/>
        <v>-32703.592000000062</v>
      </c>
      <c r="H5" s="75">
        <f t="shared" si="4"/>
        <v>-8.8384438359074155E-2</v>
      </c>
      <c r="I5" s="2"/>
      <c r="J5" s="2"/>
    </row>
    <row r="6" spans="1:13" s="3" customFormat="1" ht="18" customHeight="1" x14ac:dyDescent="0.2">
      <c r="A6" s="50" t="s">
        <v>34</v>
      </c>
      <c r="B6" s="53">
        <v>197918.58</v>
      </c>
      <c r="C6" s="60">
        <v>207915.67</v>
      </c>
      <c r="D6" s="74">
        <f t="shared" si="0"/>
        <v>-9997.0900000000256</v>
      </c>
      <c r="E6" s="102">
        <f t="shared" si="1"/>
        <v>-4.8082426880090498E-2</v>
      </c>
      <c r="F6" s="61">
        <f t="shared" si="2"/>
        <v>228707.23700000002</v>
      </c>
      <c r="G6" s="78">
        <f t="shared" si="3"/>
        <v>-30788.657000000036</v>
      </c>
      <c r="H6" s="75">
        <f t="shared" si="4"/>
        <v>-0.13462038807280957</v>
      </c>
      <c r="I6" s="2"/>
      <c r="J6" s="2"/>
    </row>
    <row r="7" spans="1:13" s="3" customFormat="1" ht="18" customHeight="1" x14ac:dyDescent="0.2">
      <c r="A7" s="50" t="s">
        <v>33</v>
      </c>
      <c r="B7" s="53">
        <v>230486.7</v>
      </c>
      <c r="C7" s="60">
        <v>297538.78000000003</v>
      </c>
      <c r="D7" s="74">
        <f t="shared" si="0"/>
        <v>-67052.080000000016</v>
      </c>
      <c r="E7" s="102">
        <f t="shared" si="1"/>
        <v>-0.22535576707009422</v>
      </c>
      <c r="F7" s="61">
        <f t="shared" si="2"/>
        <v>327292.65800000005</v>
      </c>
      <c r="G7" s="78">
        <f t="shared" si="3"/>
        <v>-96805.958000000042</v>
      </c>
      <c r="H7" s="75">
        <f t="shared" si="4"/>
        <v>-0.29577797006372208</v>
      </c>
      <c r="I7" s="2"/>
      <c r="J7" s="2"/>
    </row>
    <row r="8" spans="1:13" s="3" customFormat="1" ht="18" customHeight="1" x14ac:dyDescent="0.2">
      <c r="A8" s="50" t="s">
        <v>32</v>
      </c>
      <c r="B8" s="53">
        <v>188786.06</v>
      </c>
      <c r="C8" s="60">
        <v>258087.04000000001</v>
      </c>
      <c r="D8" s="74">
        <f t="shared" si="0"/>
        <v>-69300.98000000001</v>
      </c>
      <c r="E8" s="102">
        <f t="shared" si="1"/>
        <v>-0.26851786126106919</v>
      </c>
      <c r="F8" s="61">
        <f t="shared" si="2"/>
        <v>283895.74400000001</v>
      </c>
      <c r="G8" s="78">
        <f t="shared" si="3"/>
        <v>-95109.684000000008</v>
      </c>
      <c r="H8" s="75">
        <f t="shared" si="4"/>
        <v>-0.33501623751006288</v>
      </c>
      <c r="I8" s="2"/>
      <c r="J8" s="2"/>
    </row>
    <row r="9" spans="1:13" s="3" customFormat="1" ht="18" customHeight="1" x14ac:dyDescent="0.2">
      <c r="A9" s="50" t="s">
        <v>31</v>
      </c>
      <c r="B9" s="53">
        <v>176855.65</v>
      </c>
      <c r="C9" s="60">
        <v>193845.47</v>
      </c>
      <c r="D9" s="74">
        <f t="shared" si="0"/>
        <v>-16989.820000000007</v>
      </c>
      <c r="E9" s="102">
        <f t="shared" si="1"/>
        <v>-8.7646206021734771E-2</v>
      </c>
      <c r="F9" s="61">
        <f t="shared" si="2"/>
        <v>213230.01700000002</v>
      </c>
      <c r="G9" s="78">
        <f t="shared" si="3"/>
        <v>-36374.367000000027</v>
      </c>
      <c r="H9" s="75">
        <f t="shared" si="4"/>
        <v>-0.17058746001975897</v>
      </c>
      <c r="I9" s="2"/>
      <c r="J9" s="2"/>
    </row>
    <row r="10" spans="1:13" s="3" customFormat="1" ht="18" customHeight="1" x14ac:dyDescent="0.2">
      <c r="A10" s="50" t="s">
        <v>3</v>
      </c>
      <c r="B10" s="53">
        <v>226582.83</v>
      </c>
      <c r="C10" s="60">
        <v>160018.71</v>
      </c>
      <c r="D10" s="74">
        <f t="shared" si="0"/>
        <v>66564.12</v>
      </c>
      <c r="E10" s="102">
        <f t="shared" si="1"/>
        <v>0.41597710667708793</v>
      </c>
      <c r="F10" s="61">
        <f t="shared" si="2"/>
        <v>176020.58100000001</v>
      </c>
      <c r="G10" s="78">
        <f t="shared" si="3"/>
        <v>50562.248999999982</v>
      </c>
      <c r="H10" s="75">
        <f t="shared" si="4"/>
        <v>0.28725191516098891</v>
      </c>
      <c r="I10" s="2"/>
      <c r="J10" s="2"/>
    </row>
    <row r="11" spans="1:13" s="3" customFormat="1" ht="18" customHeight="1" x14ac:dyDescent="0.2">
      <c r="A11" s="50" t="s">
        <v>44</v>
      </c>
      <c r="B11" s="53">
        <v>247125.59</v>
      </c>
      <c r="C11" s="60">
        <v>201721.21</v>
      </c>
      <c r="D11" s="74">
        <f t="shared" si="0"/>
        <v>45404.380000000005</v>
      </c>
      <c r="E11" s="102">
        <f t="shared" si="1"/>
        <v>0.22508480888053373</v>
      </c>
      <c r="F11" s="61">
        <f t="shared" si="2"/>
        <v>221893.33100000001</v>
      </c>
      <c r="G11" s="78">
        <f t="shared" si="3"/>
        <v>25232.258999999991</v>
      </c>
      <c r="H11" s="75">
        <f t="shared" si="4"/>
        <v>0.11371346261866694</v>
      </c>
      <c r="I11" s="2"/>
      <c r="J11" s="2"/>
    </row>
    <row r="12" spans="1:13" s="3" customFormat="1" ht="18" customHeight="1" x14ac:dyDescent="0.2">
      <c r="A12" s="50" t="s">
        <v>30</v>
      </c>
      <c r="B12" s="53">
        <v>311992.71999999997</v>
      </c>
      <c r="C12" s="60">
        <v>300450.93</v>
      </c>
      <c r="D12" s="74">
        <f t="shared" si="0"/>
        <v>11541.789999999979</v>
      </c>
      <c r="E12" s="102">
        <f t="shared" si="1"/>
        <v>3.8414891909304388E-2</v>
      </c>
      <c r="F12" s="61">
        <f t="shared" si="2"/>
        <v>330496.02300000004</v>
      </c>
      <c r="G12" s="78">
        <f t="shared" si="3"/>
        <v>-18503.303000000073</v>
      </c>
      <c r="H12" s="75">
        <f t="shared" si="4"/>
        <v>-5.5986461900632521E-2</v>
      </c>
      <c r="I12" s="2"/>
      <c r="J12" s="2"/>
    </row>
    <row r="13" spans="1:13" s="3" customFormat="1" ht="18" customHeight="1" x14ac:dyDescent="0.2">
      <c r="A13" s="50" t="s">
        <v>29</v>
      </c>
      <c r="B13" s="53">
        <v>366637.7</v>
      </c>
      <c r="C13" s="60">
        <v>329332.84999999998</v>
      </c>
      <c r="D13" s="74">
        <f t="shared" si="0"/>
        <v>37304.850000000035</v>
      </c>
      <c r="E13" s="102">
        <f t="shared" si="1"/>
        <v>0.11327400227459859</v>
      </c>
      <c r="F13" s="61">
        <f t="shared" si="2"/>
        <v>362266.13500000001</v>
      </c>
      <c r="G13" s="78">
        <f t="shared" si="3"/>
        <v>4371.5650000000023</v>
      </c>
      <c r="H13" s="75">
        <f t="shared" si="4"/>
        <v>1.2067274795089534E-2</v>
      </c>
      <c r="I13" s="2"/>
      <c r="J13" s="2"/>
    </row>
    <row r="14" spans="1:13" s="3" customFormat="1" ht="18" customHeight="1" x14ac:dyDescent="0.2">
      <c r="A14" s="50" t="s">
        <v>28</v>
      </c>
      <c r="B14" s="53">
        <v>385027.26</v>
      </c>
      <c r="C14" s="60">
        <v>305756.28000000003</v>
      </c>
      <c r="D14" s="74">
        <f t="shared" si="0"/>
        <v>79270.979999999981</v>
      </c>
      <c r="E14" s="102">
        <f t="shared" si="1"/>
        <v>0.25926198474157253</v>
      </c>
      <c r="F14" s="61">
        <f t="shared" si="2"/>
        <v>336331.90800000005</v>
      </c>
      <c r="G14" s="78">
        <f t="shared" si="3"/>
        <v>48695.351999999955</v>
      </c>
      <c r="H14" s="75">
        <f t="shared" si="4"/>
        <v>0.14478362249233856</v>
      </c>
      <c r="I14" s="2"/>
      <c r="J14" s="2"/>
    </row>
    <row r="15" spans="1:13" s="3" customFormat="1" ht="18" customHeight="1" thickBot="1" x14ac:dyDescent="0.25">
      <c r="A15" s="52" t="s">
        <v>9</v>
      </c>
      <c r="B15" s="62">
        <f>SUM(B3:B14)</f>
        <v>3330395.5199999996</v>
      </c>
      <c r="C15" s="63">
        <f>SUM(C3:C14)</f>
        <v>3180380.4800000004</v>
      </c>
      <c r="D15" s="92">
        <f t="shared" si="0"/>
        <v>150015.03999999911</v>
      </c>
      <c r="E15" s="93">
        <f>(B15-C15)/C15</f>
        <v>4.7168897225780701E-2</v>
      </c>
      <c r="F15" s="64">
        <f>SUM(F3:F14)</f>
        <v>3498418.5279999999</v>
      </c>
      <c r="G15" s="96">
        <f>B15-F15</f>
        <v>-168023.00800000038</v>
      </c>
      <c r="H15" s="97">
        <f>(B15-F15)/F15</f>
        <v>-4.8028275249290125E-2</v>
      </c>
      <c r="I15" s="2"/>
      <c r="J15" s="2"/>
      <c r="K15" s="67"/>
      <c r="L15" s="67"/>
      <c r="M15" s="67"/>
    </row>
    <row r="16" spans="1:13" ht="25" customHeight="1" thickBot="1" x14ac:dyDescent="0.25">
      <c r="A16" s="155" t="s">
        <v>5</v>
      </c>
      <c r="B16" s="156"/>
      <c r="C16" s="156"/>
      <c r="D16" s="157"/>
      <c r="E16" s="155" t="s">
        <v>7</v>
      </c>
      <c r="F16" s="156"/>
      <c r="G16" s="156"/>
      <c r="H16" s="157"/>
      <c r="I16" s="1"/>
      <c r="J16" s="1"/>
      <c r="K16" s="1"/>
      <c r="L16" s="1"/>
    </row>
    <row r="17" spans="1:14" s="68" customFormat="1" ht="32" customHeight="1" x14ac:dyDescent="0.2">
      <c r="A17" s="54"/>
      <c r="B17" s="55">
        <v>2025</v>
      </c>
      <c r="C17" s="56">
        <v>2024</v>
      </c>
      <c r="D17" s="85" t="s">
        <v>42</v>
      </c>
      <c r="E17" s="57"/>
      <c r="F17" s="55">
        <v>2025</v>
      </c>
      <c r="G17" s="56">
        <v>2024</v>
      </c>
      <c r="H17" s="57" t="s">
        <v>42</v>
      </c>
      <c r="I17" s="67"/>
      <c r="J17" s="67"/>
      <c r="K17" s="67"/>
      <c r="L17" s="67"/>
      <c r="M17" s="67"/>
      <c r="N17" s="67"/>
    </row>
    <row r="18" spans="1:14" s="68" customFormat="1" ht="18" customHeight="1" x14ac:dyDescent="0.2">
      <c r="A18" s="50" t="s">
        <v>37</v>
      </c>
      <c r="B18" s="65">
        <v>259</v>
      </c>
      <c r="C18" s="66">
        <v>204</v>
      </c>
      <c r="D18" s="81">
        <f>B18-C18</f>
        <v>55</v>
      </c>
      <c r="E18" s="81"/>
      <c r="F18" s="100">
        <f>B18/465</f>
        <v>0.55698924731182797</v>
      </c>
      <c r="G18" s="98">
        <f>C18/403</f>
        <v>0.50620347394540943</v>
      </c>
      <c r="H18" s="94">
        <f t="shared" ref="H18:H29" si="5">F18-G18</f>
        <v>5.0785773366418541E-2</v>
      </c>
      <c r="J18" s="67" t="s">
        <v>14</v>
      </c>
      <c r="K18" s="10" t="s">
        <v>10</v>
      </c>
      <c r="L18" s="67"/>
      <c r="M18" s="67"/>
      <c r="N18" s="67"/>
    </row>
    <row r="19" spans="1:14" s="68" customFormat="1" ht="18" customHeight="1" x14ac:dyDescent="0.2">
      <c r="A19" s="50" t="s">
        <v>36</v>
      </c>
      <c r="B19" s="65">
        <v>341</v>
      </c>
      <c r="C19" s="66">
        <v>314</v>
      </c>
      <c r="D19" s="81">
        <f>B19-C19</f>
        <v>27</v>
      </c>
      <c r="E19" s="81"/>
      <c r="F19" s="101">
        <f>B19/420</f>
        <v>0.81190476190476191</v>
      </c>
      <c r="G19" s="98">
        <f>C19/377</f>
        <v>0.83289124668435011</v>
      </c>
      <c r="H19" s="94">
        <f t="shared" si="5"/>
        <v>-2.0986484779588199E-2</v>
      </c>
      <c r="J19" s="67" t="s">
        <v>16</v>
      </c>
      <c r="K19" t="s">
        <v>62</v>
      </c>
      <c r="L19" s="67"/>
      <c r="M19" s="67"/>
      <c r="N19" s="67"/>
    </row>
    <row r="20" spans="1:14" s="68" customFormat="1" ht="18" customHeight="1" x14ac:dyDescent="0.2">
      <c r="A20" s="50" t="s">
        <v>35</v>
      </c>
      <c r="B20" s="65">
        <v>342</v>
      </c>
      <c r="C20" s="66">
        <v>336</v>
      </c>
      <c r="D20" s="81">
        <f>B20-C20</f>
        <v>6</v>
      </c>
      <c r="E20" s="81"/>
      <c r="F20" s="101">
        <f>B20/465</f>
        <v>0.73548387096774193</v>
      </c>
      <c r="G20" s="98">
        <f>C20/403</f>
        <v>0.83374689826302728</v>
      </c>
      <c r="H20" s="94">
        <f t="shared" si="5"/>
        <v>-9.8263027295285355E-2</v>
      </c>
      <c r="J20" s="67" t="s">
        <v>17</v>
      </c>
      <c r="K20" s="10" t="s">
        <v>11</v>
      </c>
      <c r="L20" s="67"/>
      <c r="M20" s="67"/>
      <c r="N20" s="67"/>
    </row>
    <row r="21" spans="1:14" s="68" customFormat="1" ht="18" customHeight="1" x14ac:dyDescent="0.2">
      <c r="A21" s="50" t="s">
        <v>34</v>
      </c>
      <c r="B21" s="65">
        <v>185</v>
      </c>
      <c r="C21" s="66">
        <v>223</v>
      </c>
      <c r="D21" s="81">
        <f t="shared" ref="D21:D28" si="6">B21-C21</f>
        <v>-38</v>
      </c>
      <c r="E21" s="81"/>
      <c r="F21" s="101">
        <f>B21/450</f>
        <v>0.41111111111111109</v>
      </c>
      <c r="G21" s="98">
        <f>C21/390</f>
        <v>0.57179487179487176</v>
      </c>
      <c r="H21" s="94">
        <f t="shared" si="5"/>
        <v>-0.16068376068376067</v>
      </c>
      <c r="J21" s="67" t="s">
        <v>18</v>
      </c>
      <c r="K21" s="10" t="s">
        <v>22</v>
      </c>
      <c r="L21" s="67"/>
      <c r="M21" s="67"/>
      <c r="N21" s="67"/>
    </row>
    <row r="22" spans="1:14" s="68" customFormat="1" ht="18" customHeight="1" x14ac:dyDescent="0.2">
      <c r="A22" s="50" t="s">
        <v>33</v>
      </c>
      <c r="B22" s="65">
        <v>229</v>
      </c>
      <c r="C22" s="66">
        <v>343</v>
      </c>
      <c r="D22" s="81">
        <f t="shared" si="6"/>
        <v>-114</v>
      </c>
      <c r="E22" s="81"/>
      <c r="F22" s="101">
        <f>B22/465</f>
        <v>0.49247311827956991</v>
      </c>
      <c r="G22" s="98">
        <f>C22/465</f>
        <v>0.73763440860215057</v>
      </c>
      <c r="H22" s="94">
        <f t="shared" si="5"/>
        <v>-0.24516129032258066</v>
      </c>
      <c r="J22" s="67" t="s">
        <v>19</v>
      </c>
      <c r="K22" s="10" t="s">
        <v>12</v>
      </c>
      <c r="L22" s="67"/>
      <c r="M22" s="67"/>
      <c r="N22" s="67"/>
    </row>
    <row r="23" spans="1:14" s="68" customFormat="1" ht="18" customHeight="1" x14ac:dyDescent="0.2">
      <c r="A23" s="50" t="s">
        <v>32</v>
      </c>
      <c r="B23" s="65">
        <v>199</v>
      </c>
      <c r="C23" s="66">
        <v>311</v>
      </c>
      <c r="D23" s="81">
        <f t="shared" si="6"/>
        <v>-112</v>
      </c>
      <c r="E23" s="81"/>
      <c r="F23" s="101">
        <f>B23/450</f>
        <v>0.44222222222222224</v>
      </c>
      <c r="G23" s="98">
        <f>C23/450</f>
        <v>0.69111111111111112</v>
      </c>
      <c r="H23" s="94">
        <f t="shared" si="5"/>
        <v>-0.24888888888888888</v>
      </c>
      <c r="I23" s="67"/>
      <c r="J23" s="67"/>
      <c r="K23" s="10" t="s">
        <v>13</v>
      </c>
      <c r="L23" s="67"/>
      <c r="M23" s="67"/>
      <c r="N23" s="67"/>
    </row>
    <row r="24" spans="1:14" s="68" customFormat="1" ht="18" customHeight="1" x14ac:dyDescent="0.2">
      <c r="A24" s="50" t="s">
        <v>31</v>
      </c>
      <c r="B24" s="65">
        <v>190</v>
      </c>
      <c r="C24" s="66">
        <v>262</v>
      </c>
      <c r="D24" s="81">
        <f>B24-C24</f>
        <v>-72</v>
      </c>
      <c r="E24" s="81"/>
      <c r="F24" s="101">
        <f>B24/465</f>
        <v>0.40860215053763443</v>
      </c>
      <c r="G24" s="98">
        <f>C24/465</f>
        <v>0.5634408602150538</v>
      </c>
      <c r="H24" s="94">
        <f t="shared" si="5"/>
        <v>-0.15483870967741936</v>
      </c>
      <c r="I24" s="67"/>
      <c r="J24" s="7"/>
      <c r="K24" s="67"/>
      <c r="L24" s="67"/>
      <c r="M24" s="67"/>
      <c r="N24" s="67"/>
    </row>
    <row r="25" spans="1:14" s="68" customFormat="1" ht="18" customHeight="1" x14ac:dyDescent="0.2">
      <c r="A25" s="50" t="s">
        <v>3</v>
      </c>
      <c r="B25" s="65">
        <v>225</v>
      </c>
      <c r="C25" s="66">
        <v>183</v>
      </c>
      <c r="D25" s="81">
        <f t="shared" si="6"/>
        <v>42</v>
      </c>
      <c r="E25" s="81"/>
      <c r="F25" s="101">
        <f>B25/465</f>
        <v>0.4838709677419355</v>
      </c>
      <c r="G25" s="98">
        <f>C25/465</f>
        <v>0.3935483870967742</v>
      </c>
      <c r="H25" s="94">
        <f t="shared" si="5"/>
        <v>9.0322580645161299E-2</v>
      </c>
      <c r="I25" s="67"/>
      <c r="J25" s="7"/>
      <c r="K25" s="67"/>
      <c r="L25" s="67"/>
      <c r="M25" s="67"/>
      <c r="N25" s="67"/>
    </row>
    <row r="26" spans="1:14" s="68" customFormat="1" ht="18" customHeight="1" x14ac:dyDescent="0.2">
      <c r="A26" s="50" t="s">
        <v>44</v>
      </c>
      <c r="B26" s="65">
        <v>258</v>
      </c>
      <c r="C26" s="66">
        <v>215</v>
      </c>
      <c r="D26" s="81">
        <f t="shared" si="6"/>
        <v>43</v>
      </c>
      <c r="E26" s="81"/>
      <c r="F26" s="101">
        <f>B26/450</f>
        <v>0.57333333333333336</v>
      </c>
      <c r="G26" s="98">
        <f>C26/450</f>
        <v>0.4777777777777778</v>
      </c>
      <c r="H26" s="94">
        <f t="shared" si="5"/>
        <v>9.555555555555556E-2</v>
      </c>
      <c r="I26" s="67"/>
      <c r="J26" s="7"/>
      <c r="K26" s="67"/>
      <c r="L26" s="67"/>
      <c r="M26" s="67"/>
      <c r="N26" s="67"/>
    </row>
    <row r="27" spans="1:14" s="68" customFormat="1" ht="18" customHeight="1" x14ac:dyDescent="0.2">
      <c r="A27" s="50" t="s">
        <v>30</v>
      </c>
      <c r="B27" s="65">
        <v>303</v>
      </c>
      <c r="C27" s="66">
        <v>332</v>
      </c>
      <c r="D27" s="81">
        <f t="shared" si="6"/>
        <v>-29</v>
      </c>
      <c r="E27" s="81"/>
      <c r="F27" s="101">
        <f>B27/465</f>
        <v>0.65161290322580645</v>
      </c>
      <c r="G27" s="98">
        <f>C27/465</f>
        <v>0.71397849462365592</v>
      </c>
      <c r="H27" s="94">
        <f t="shared" si="5"/>
        <v>-6.2365591397849474E-2</v>
      </c>
      <c r="I27" s="67"/>
      <c r="J27" s="7"/>
      <c r="K27" s="67"/>
      <c r="L27" s="67"/>
      <c r="M27" s="67"/>
      <c r="N27" s="67"/>
    </row>
    <row r="28" spans="1:14" s="68" customFormat="1" ht="18" customHeight="1" x14ac:dyDescent="0.2">
      <c r="A28" s="50" t="s">
        <v>29</v>
      </c>
      <c r="B28" s="65">
        <v>387</v>
      </c>
      <c r="C28" s="66">
        <v>384</v>
      </c>
      <c r="D28" s="81">
        <f t="shared" si="6"/>
        <v>3</v>
      </c>
      <c r="E28" s="81"/>
      <c r="F28" s="101">
        <f>B28/450</f>
        <v>0.86</v>
      </c>
      <c r="G28" s="98">
        <f>C28/450</f>
        <v>0.85333333333333339</v>
      </c>
      <c r="H28" s="108">
        <f t="shared" si="5"/>
        <v>6.6666666666665986E-3</v>
      </c>
      <c r="I28" s="67"/>
      <c r="J28" s="7"/>
      <c r="K28" s="67"/>
      <c r="L28" s="67"/>
      <c r="M28" s="67"/>
      <c r="N28" s="67"/>
    </row>
    <row r="29" spans="1:14" s="68" customFormat="1" ht="18" customHeight="1" thickBot="1" x14ac:dyDescent="0.25">
      <c r="A29" s="50" t="s">
        <v>28</v>
      </c>
      <c r="B29" s="65">
        <v>299</v>
      </c>
      <c r="C29" s="66">
        <v>253</v>
      </c>
      <c r="D29" s="81">
        <f>B29-C29</f>
        <v>46</v>
      </c>
      <c r="E29" s="81"/>
      <c r="F29" s="110">
        <f>B29/465</f>
        <v>0.64301075268817209</v>
      </c>
      <c r="G29" s="109">
        <f>C29/465</f>
        <v>0.54408602150537633</v>
      </c>
      <c r="H29" s="95">
        <f t="shared" si="5"/>
        <v>9.8924731182795766E-2</v>
      </c>
      <c r="I29" s="67"/>
      <c r="J29" s="7"/>
      <c r="K29" s="67"/>
      <c r="L29" s="67"/>
      <c r="M29" s="67"/>
      <c r="N29" s="67"/>
    </row>
    <row r="30" spans="1:14" ht="25" customHeight="1" thickBot="1" x14ac:dyDescent="0.25">
      <c r="A30" s="155" t="s">
        <v>6</v>
      </c>
      <c r="B30" s="156"/>
      <c r="C30" s="156"/>
      <c r="D30" s="156"/>
      <c r="E30" s="157"/>
      <c r="F30" s="7"/>
      <c r="G30" s="7"/>
      <c r="H30" s="1"/>
      <c r="I30" s="1"/>
    </row>
    <row r="31" spans="1:14" s="68" customFormat="1" ht="32" customHeight="1" x14ac:dyDescent="0.2">
      <c r="A31" s="55"/>
      <c r="B31" s="55">
        <v>2025</v>
      </c>
      <c r="C31" s="56">
        <v>2024</v>
      </c>
      <c r="D31" s="167" t="s">
        <v>42</v>
      </c>
      <c r="E31" s="168"/>
      <c r="F31" s="73"/>
      <c r="G31" s="73"/>
      <c r="H31" s="67"/>
      <c r="I31" s="67"/>
    </row>
    <row r="32" spans="1:14" s="68" customFormat="1" ht="17" customHeight="1" x14ac:dyDescent="0.2">
      <c r="A32" s="99" t="s">
        <v>37</v>
      </c>
      <c r="B32" s="53">
        <f>B3/B18</f>
        <v>1123.313281853282</v>
      </c>
      <c r="C32" s="74">
        <f>C3/C18</f>
        <v>1117.8364705882354</v>
      </c>
      <c r="D32" s="74">
        <f>B32-C32</f>
        <v>5.4768112650465355</v>
      </c>
      <c r="E32" s="105">
        <f>(B32-C32)/C32</f>
        <v>4.8994744841027518E-3</v>
      </c>
      <c r="G32" s="73"/>
      <c r="H32" s="67"/>
      <c r="I32" s="67"/>
    </row>
    <row r="33" spans="1:9" s="68" customFormat="1" ht="17" customHeight="1" x14ac:dyDescent="0.2">
      <c r="A33" s="50" t="s">
        <v>36</v>
      </c>
      <c r="B33" s="53">
        <f t="shared" ref="B33:C43" si="7">B4/B19</f>
        <v>1087.1924046920822</v>
      </c>
      <c r="C33" s="74">
        <f t="shared" si="7"/>
        <v>1150.6285987261147</v>
      </c>
      <c r="D33" s="74">
        <f t="shared" ref="D33:D43" si="8">B33-C33</f>
        <v>-63.436194034032496</v>
      </c>
      <c r="E33" s="106">
        <f t="shared" ref="E33:E43" si="9">(B33-C33)/C33</f>
        <v>-5.5131772410545031E-2</v>
      </c>
      <c r="G33" s="73"/>
      <c r="H33" s="67"/>
      <c r="I33" s="67"/>
    </row>
    <row r="34" spans="1:9" s="68" customFormat="1" ht="17" customHeight="1" x14ac:dyDescent="0.2">
      <c r="A34" s="50" t="s">
        <v>35</v>
      </c>
      <c r="B34" s="53">
        <f t="shared" si="7"/>
        <v>986.29146198830404</v>
      </c>
      <c r="C34" s="74">
        <f t="shared" si="7"/>
        <v>1001.1235714285715</v>
      </c>
      <c r="D34" s="74">
        <f t="shared" si="8"/>
        <v>-14.832109440267459</v>
      </c>
      <c r="E34" s="106">
        <f t="shared" si="9"/>
        <v>-1.4815463209104656E-2</v>
      </c>
      <c r="G34" s="73"/>
      <c r="H34" s="67"/>
      <c r="I34" s="67"/>
    </row>
    <row r="35" spans="1:9" s="68" customFormat="1" ht="17" customHeight="1" x14ac:dyDescent="0.2">
      <c r="A35" s="50" t="s">
        <v>34</v>
      </c>
      <c r="B35" s="53">
        <f t="shared" si="7"/>
        <v>1069.8301621621622</v>
      </c>
      <c r="C35" s="74">
        <f t="shared" si="7"/>
        <v>932.35726457399107</v>
      </c>
      <c r="D35" s="74">
        <f t="shared" si="8"/>
        <v>137.47289758817112</v>
      </c>
      <c r="E35" s="106">
        <f t="shared" si="9"/>
        <v>0.14744658813913428</v>
      </c>
      <c r="G35" s="73"/>
      <c r="H35" s="67"/>
      <c r="I35" s="67"/>
    </row>
    <row r="36" spans="1:9" s="68" customFormat="1" ht="17" customHeight="1" x14ac:dyDescent="0.2">
      <c r="A36" s="50" t="s">
        <v>33</v>
      </c>
      <c r="B36" s="53">
        <f t="shared" si="7"/>
        <v>1006.4921397379914</v>
      </c>
      <c r="C36" s="74">
        <f t="shared" si="7"/>
        <v>867.46</v>
      </c>
      <c r="D36" s="74">
        <f t="shared" si="8"/>
        <v>139.03213973799132</v>
      </c>
      <c r="E36" s="106">
        <f t="shared" si="9"/>
        <v>0.16027498644086333</v>
      </c>
      <c r="G36" s="73"/>
      <c r="H36" s="67"/>
      <c r="I36" s="67"/>
    </row>
    <row r="37" spans="1:9" s="68" customFormat="1" ht="17" customHeight="1" x14ac:dyDescent="0.2">
      <c r="A37" s="50" t="s">
        <v>32</v>
      </c>
      <c r="B37" s="53">
        <f t="shared" si="7"/>
        <v>948.67366834170855</v>
      </c>
      <c r="C37" s="74">
        <f t="shared" si="7"/>
        <v>829.86186495176855</v>
      </c>
      <c r="D37" s="74">
        <f t="shared" si="8"/>
        <v>118.81180338994</v>
      </c>
      <c r="E37" s="106">
        <f t="shared" si="9"/>
        <v>0.1431705786321984</v>
      </c>
      <c r="G37" s="73"/>
      <c r="H37" s="67"/>
      <c r="I37" s="67"/>
    </row>
    <row r="38" spans="1:9" s="68" customFormat="1" ht="17" customHeight="1" x14ac:dyDescent="0.2">
      <c r="A38" s="50" t="s">
        <v>31</v>
      </c>
      <c r="B38" s="53">
        <f t="shared" si="7"/>
        <v>930.81921052631571</v>
      </c>
      <c r="C38" s="74">
        <f t="shared" si="7"/>
        <v>739.86820610687028</v>
      </c>
      <c r="D38" s="74">
        <f t="shared" si="8"/>
        <v>190.95100441944544</v>
      </c>
      <c r="E38" s="106">
        <f t="shared" si="9"/>
        <v>0.25808786327529193</v>
      </c>
      <c r="F38" s="7"/>
      <c r="G38" s="73"/>
      <c r="H38" s="67"/>
      <c r="I38" s="67"/>
    </row>
    <row r="39" spans="1:9" s="68" customFormat="1" ht="17" customHeight="1" x14ac:dyDescent="0.2">
      <c r="A39" s="50" t="s">
        <v>3</v>
      </c>
      <c r="B39" s="53">
        <f t="shared" si="7"/>
        <v>1007.0347999999999</v>
      </c>
      <c r="C39" s="74">
        <f t="shared" si="7"/>
        <v>874.41918032786884</v>
      </c>
      <c r="D39" s="74">
        <f t="shared" si="8"/>
        <v>132.61561967213106</v>
      </c>
      <c r="E39" s="106">
        <f t="shared" si="9"/>
        <v>0.15166138009736477</v>
      </c>
      <c r="F39" s="7"/>
      <c r="G39" s="73"/>
      <c r="H39" s="67"/>
      <c r="I39" s="67"/>
    </row>
    <row r="40" spans="1:9" s="68" customFormat="1" ht="17" customHeight="1" x14ac:dyDescent="0.2">
      <c r="A40" s="50" t="s">
        <v>44</v>
      </c>
      <c r="B40" s="53">
        <f t="shared" si="7"/>
        <v>957.85112403100777</v>
      </c>
      <c r="C40" s="74">
        <f t="shared" si="7"/>
        <v>938.2381860465116</v>
      </c>
      <c r="D40" s="74">
        <f t="shared" si="8"/>
        <v>19.61293798449617</v>
      </c>
      <c r="E40" s="106">
        <f t="shared" si="9"/>
        <v>2.0904007400444787E-2</v>
      </c>
      <c r="F40" s="7"/>
      <c r="G40" s="73"/>
      <c r="H40" s="67"/>
      <c r="I40" s="67"/>
    </row>
    <row r="41" spans="1:9" s="68" customFormat="1" ht="17" customHeight="1" x14ac:dyDescent="0.2">
      <c r="A41" s="50" t="s">
        <v>30</v>
      </c>
      <c r="B41" s="53">
        <f t="shared" si="7"/>
        <v>1029.6789438943892</v>
      </c>
      <c r="C41" s="74">
        <f t="shared" si="7"/>
        <v>904.9726807228916</v>
      </c>
      <c r="D41" s="74">
        <f t="shared" si="8"/>
        <v>124.70626317149765</v>
      </c>
      <c r="E41" s="106">
        <f t="shared" si="9"/>
        <v>0.13780113568940267</v>
      </c>
      <c r="F41" s="7"/>
      <c r="G41" s="73"/>
      <c r="H41" s="67"/>
      <c r="I41" s="67"/>
    </row>
    <row r="42" spans="1:9" s="68" customFormat="1" ht="17" customHeight="1" x14ac:dyDescent="0.2">
      <c r="A42" s="50" t="s">
        <v>29</v>
      </c>
      <c r="B42" s="53">
        <f t="shared" si="7"/>
        <v>947.38423772609826</v>
      </c>
      <c r="C42" s="74">
        <f t="shared" si="7"/>
        <v>857.63763020833323</v>
      </c>
      <c r="D42" s="74">
        <f t="shared" si="8"/>
        <v>89.746607517765028</v>
      </c>
      <c r="E42" s="106">
        <f t="shared" si="9"/>
        <v>0.10464397124921421</v>
      </c>
      <c r="F42" s="7"/>
      <c r="G42" s="73"/>
      <c r="H42" s="67"/>
      <c r="I42" s="67"/>
    </row>
    <row r="43" spans="1:9" s="68" customFormat="1" ht="17" customHeight="1" x14ac:dyDescent="0.2">
      <c r="A43" s="51" t="s">
        <v>28</v>
      </c>
      <c r="B43" s="84">
        <f t="shared" si="7"/>
        <v>1287.7165886287626</v>
      </c>
      <c r="C43" s="76">
        <f t="shared" si="7"/>
        <v>1208.5228458498025</v>
      </c>
      <c r="D43" s="76">
        <f t="shared" si="8"/>
        <v>79.193742778960086</v>
      </c>
      <c r="E43" s="107">
        <f t="shared" si="9"/>
        <v>6.5529371704407507E-2</v>
      </c>
      <c r="G43" s="73"/>
      <c r="H43" s="67"/>
      <c r="I43" s="67"/>
    </row>
    <row r="46" spans="1:9" x14ac:dyDescent="0.2">
      <c r="A46" s="103" t="s">
        <v>36</v>
      </c>
      <c r="B46" s="104">
        <v>3</v>
      </c>
      <c r="C46" t="s">
        <v>45</v>
      </c>
      <c r="D46" t="s">
        <v>46</v>
      </c>
    </row>
    <row r="47" spans="1:9" x14ac:dyDescent="0.2">
      <c r="A47" s="103" t="s">
        <v>35</v>
      </c>
      <c r="B47" s="104">
        <v>8</v>
      </c>
      <c r="C47" t="s">
        <v>47</v>
      </c>
      <c r="D47" t="s">
        <v>48</v>
      </c>
      <c r="E47" t="s">
        <v>49</v>
      </c>
      <c r="F47" t="s">
        <v>54</v>
      </c>
    </row>
    <row r="48" spans="1:9" x14ac:dyDescent="0.2">
      <c r="A48" s="103" t="s">
        <v>34</v>
      </c>
      <c r="B48" s="104">
        <v>24</v>
      </c>
      <c r="C48" t="s">
        <v>50</v>
      </c>
    </row>
    <row r="49" spans="1:5" x14ac:dyDescent="0.2">
      <c r="A49" s="103" t="s">
        <v>33</v>
      </c>
      <c r="B49" s="104"/>
    </row>
    <row r="50" spans="1:5" x14ac:dyDescent="0.2">
      <c r="A50" s="103" t="s">
        <v>32</v>
      </c>
      <c r="B50" s="104">
        <v>5</v>
      </c>
      <c r="C50" t="s">
        <v>51</v>
      </c>
      <c r="D50" t="s">
        <v>52</v>
      </c>
      <c r="E50" t="s">
        <v>53</v>
      </c>
    </row>
    <row r="51" spans="1:5" x14ac:dyDescent="0.2">
      <c r="A51" s="103" t="s">
        <v>31</v>
      </c>
      <c r="B51" s="104" t="s">
        <v>55</v>
      </c>
      <c r="C51" t="s">
        <v>56</v>
      </c>
    </row>
    <row r="52" spans="1:5" x14ac:dyDescent="0.2">
      <c r="A52" s="103" t="s">
        <v>3</v>
      </c>
      <c r="B52" s="104">
        <v>6</v>
      </c>
      <c r="C52" t="s">
        <v>57</v>
      </c>
      <c r="D52" t="s">
        <v>58</v>
      </c>
    </row>
    <row r="53" spans="1:5" x14ac:dyDescent="0.2">
      <c r="A53" s="103" t="s">
        <v>4</v>
      </c>
      <c r="B53" s="104">
        <v>1</v>
      </c>
      <c r="C53" t="s">
        <v>51</v>
      </c>
      <c r="D53" t="s">
        <v>60</v>
      </c>
    </row>
    <row r="54" spans="1:5" x14ac:dyDescent="0.2">
      <c r="A54" s="103" t="s">
        <v>30</v>
      </c>
      <c r="B54" s="104">
        <v>8</v>
      </c>
      <c r="C54" t="s">
        <v>58</v>
      </c>
      <c r="D54" t="s">
        <v>59</v>
      </c>
      <c r="E54" t="s">
        <v>60</v>
      </c>
    </row>
    <row r="55" spans="1:5" x14ac:dyDescent="0.2">
      <c r="A55" s="103" t="s">
        <v>29</v>
      </c>
      <c r="B55" s="104">
        <v>1</v>
      </c>
      <c r="C55" t="s">
        <v>51</v>
      </c>
      <c r="D55" t="s">
        <v>61</v>
      </c>
    </row>
    <row r="56" spans="1:5" x14ac:dyDescent="0.2">
      <c r="A56" s="103" t="s">
        <v>28</v>
      </c>
      <c r="B56" s="104">
        <v>11</v>
      </c>
      <c r="C56" t="s">
        <v>64</v>
      </c>
    </row>
    <row r="57" spans="1:5" x14ac:dyDescent="0.2">
      <c r="B57" s="104"/>
    </row>
    <row r="58" spans="1:5" x14ac:dyDescent="0.2">
      <c r="A58" s="103" t="s">
        <v>63</v>
      </c>
      <c r="B58" s="104"/>
    </row>
    <row r="59" spans="1:5" x14ac:dyDescent="0.2">
      <c r="B59" s="104"/>
    </row>
    <row r="60" spans="1:5" x14ac:dyDescent="0.2">
      <c r="B60" s="104"/>
    </row>
    <row r="61" spans="1:5" x14ac:dyDescent="0.2">
      <c r="B61" s="104"/>
    </row>
    <row r="62" spans="1:5" x14ac:dyDescent="0.2">
      <c r="B62" s="104"/>
    </row>
    <row r="63" spans="1:5" x14ac:dyDescent="0.2">
      <c r="B63" s="104"/>
    </row>
    <row r="64" spans="1:5" x14ac:dyDescent="0.2">
      <c r="B64" s="104"/>
    </row>
    <row r="65" spans="2:2" x14ac:dyDescent="0.2">
      <c r="B65" s="104"/>
    </row>
    <row r="66" spans="2:2" x14ac:dyDescent="0.2">
      <c r="B66" s="104"/>
    </row>
    <row r="67" spans="2:2" x14ac:dyDescent="0.2">
      <c r="B67" s="104"/>
    </row>
    <row r="68" spans="2:2" x14ac:dyDescent="0.2">
      <c r="B68" s="104"/>
    </row>
    <row r="69" spans="2:2" x14ac:dyDescent="0.2">
      <c r="B69" s="104"/>
    </row>
    <row r="70" spans="2:2" x14ac:dyDescent="0.2">
      <c r="B70" s="104"/>
    </row>
    <row r="71" spans="2:2" x14ac:dyDescent="0.2">
      <c r="B71" s="104"/>
    </row>
    <row r="72" spans="2:2" x14ac:dyDescent="0.2">
      <c r="B72" s="104"/>
    </row>
    <row r="73" spans="2:2" x14ac:dyDescent="0.2">
      <c r="B73" s="104"/>
    </row>
    <row r="74" spans="2:2" x14ac:dyDescent="0.2">
      <c r="B74" s="104"/>
    </row>
    <row r="75" spans="2:2" x14ac:dyDescent="0.2">
      <c r="B75" s="104"/>
    </row>
    <row r="76" spans="2:2" x14ac:dyDescent="0.2">
      <c r="B76" s="104"/>
    </row>
    <row r="77" spans="2:2" x14ac:dyDescent="0.2">
      <c r="B77" s="104"/>
    </row>
    <row r="78" spans="2:2" x14ac:dyDescent="0.2">
      <c r="B78" s="104"/>
    </row>
    <row r="79" spans="2:2" x14ac:dyDescent="0.2">
      <c r="B79" s="104"/>
    </row>
    <row r="80" spans="2:2" x14ac:dyDescent="0.2">
      <c r="B80" s="104"/>
    </row>
    <row r="81" spans="2:2" x14ac:dyDescent="0.2">
      <c r="B81" s="104"/>
    </row>
    <row r="82" spans="2:2" x14ac:dyDescent="0.2">
      <c r="B82" s="104"/>
    </row>
    <row r="83" spans="2:2" x14ac:dyDescent="0.2">
      <c r="B83" s="104"/>
    </row>
    <row r="84" spans="2:2" x14ac:dyDescent="0.2">
      <c r="B84" s="104"/>
    </row>
    <row r="85" spans="2:2" x14ac:dyDescent="0.2">
      <c r="B85" s="104"/>
    </row>
    <row r="86" spans="2:2" x14ac:dyDescent="0.2">
      <c r="B86" s="104"/>
    </row>
    <row r="87" spans="2:2" x14ac:dyDescent="0.2">
      <c r="B87" s="104"/>
    </row>
    <row r="88" spans="2:2" x14ac:dyDescent="0.2">
      <c r="B88" s="104"/>
    </row>
    <row r="89" spans="2:2" x14ac:dyDescent="0.2">
      <c r="B89" s="104"/>
    </row>
    <row r="90" spans="2:2" x14ac:dyDescent="0.2">
      <c r="B90" s="104"/>
    </row>
    <row r="91" spans="2:2" x14ac:dyDescent="0.2">
      <c r="B91" s="104"/>
    </row>
    <row r="92" spans="2:2" x14ac:dyDescent="0.2">
      <c r="B92" s="104"/>
    </row>
    <row r="93" spans="2:2" x14ac:dyDescent="0.2">
      <c r="B93" s="104"/>
    </row>
    <row r="94" spans="2:2" x14ac:dyDescent="0.2">
      <c r="B94" s="104"/>
    </row>
    <row r="95" spans="2:2" x14ac:dyDescent="0.2">
      <c r="B95" s="104"/>
    </row>
    <row r="96" spans="2:2" x14ac:dyDescent="0.2">
      <c r="B96" s="104"/>
    </row>
    <row r="97" spans="2:2" x14ac:dyDescent="0.2">
      <c r="B97" s="104"/>
    </row>
    <row r="98" spans="2:2" x14ac:dyDescent="0.2">
      <c r="B98" s="104"/>
    </row>
    <row r="99" spans="2:2" x14ac:dyDescent="0.2">
      <c r="B99" s="104"/>
    </row>
    <row r="100" spans="2:2" x14ac:dyDescent="0.2">
      <c r="B100" s="104"/>
    </row>
    <row r="101" spans="2:2" x14ac:dyDescent="0.2">
      <c r="B101" s="104"/>
    </row>
    <row r="102" spans="2:2" x14ac:dyDescent="0.2">
      <c r="B102" s="104"/>
    </row>
    <row r="103" spans="2:2" x14ac:dyDescent="0.2">
      <c r="B103" s="104"/>
    </row>
    <row r="104" spans="2:2" x14ac:dyDescent="0.2">
      <c r="B104" s="104"/>
    </row>
    <row r="105" spans="2:2" x14ac:dyDescent="0.2">
      <c r="B105" s="104"/>
    </row>
    <row r="106" spans="2:2" x14ac:dyDescent="0.2">
      <c r="B106" s="104"/>
    </row>
    <row r="107" spans="2:2" x14ac:dyDescent="0.2">
      <c r="B107" s="104"/>
    </row>
    <row r="108" spans="2:2" x14ac:dyDescent="0.2">
      <c r="B108" s="104"/>
    </row>
    <row r="109" spans="2:2" x14ac:dyDescent="0.2">
      <c r="B109" s="104"/>
    </row>
    <row r="110" spans="2:2" x14ac:dyDescent="0.2">
      <c r="B110" s="104"/>
    </row>
    <row r="111" spans="2:2" x14ac:dyDescent="0.2">
      <c r="B111" s="104"/>
    </row>
    <row r="112" spans="2:2" x14ac:dyDescent="0.2">
      <c r="B112" s="104"/>
    </row>
    <row r="113" spans="2:2" x14ac:dyDescent="0.2">
      <c r="B113" s="104"/>
    </row>
    <row r="114" spans="2:2" x14ac:dyDescent="0.2">
      <c r="B114" s="104"/>
    </row>
    <row r="115" spans="2:2" x14ac:dyDescent="0.2">
      <c r="B115" s="104"/>
    </row>
    <row r="116" spans="2:2" x14ac:dyDescent="0.2">
      <c r="B116" s="104"/>
    </row>
    <row r="117" spans="2:2" x14ac:dyDescent="0.2">
      <c r="B117" s="104"/>
    </row>
    <row r="118" spans="2:2" x14ac:dyDescent="0.2">
      <c r="B118" s="104"/>
    </row>
    <row r="119" spans="2:2" x14ac:dyDescent="0.2">
      <c r="B119" s="104"/>
    </row>
    <row r="120" spans="2:2" x14ac:dyDescent="0.2">
      <c r="B120" s="104"/>
    </row>
    <row r="121" spans="2:2" x14ac:dyDescent="0.2">
      <c r="B121" s="104"/>
    </row>
    <row r="122" spans="2:2" x14ac:dyDescent="0.2">
      <c r="B122" s="104"/>
    </row>
    <row r="123" spans="2:2" x14ac:dyDescent="0.2">
      <c r="B123" s="104"/>
    </row>
    <row r="124" spans="2:2" x14ac:dyDescent="0.2">
      <c r="B124" s="104"/>
    </row>
    <row r="125" spans="2:2" x14ac:dyDescent="0.2">
      <c r="B125" s="104"/>
    </row>
    <row r="126" spans="2:2" x14ac:dyDescent="0.2">
      <c r="B126" s="104"/>
    </row>
    <row r="127" spans="2:2" x14ac:dyDescent="0.2">
      <c r="B127" s="104"/>
    </row>
    <row r="128" spans="2:2" x14ac:dyDescent="0.2">
      <c r="B128" s="104"/>
    </row>
    <row r="129" spans="2:2" x14ac:dyDescent="0.2">
      <c r="B129" s="104"/>
    </row>
    <row r="130" spans="2:2" x14ac:dyDescent="0.2">
      <c r="B130" s="104"/>
    </row>
    <row r="131" spans="2:2" x14ac:dyDescent="0.2">
      <c r="B131" s="104"/>
    </row>
    <row r="132" spans="2:2" x14ac:dyDescent="0.2">
      <c r="B132" s="104"/>
    </row>
    <row r="133" spans="2:2" x14ac:dyDescent="0.2">
      <c r="B133" s="104"/>
    </row>
    <row r="134" spans="2:2" x14ac:dyDescent="0.2">
      <c r="B134" s="104"/>
    </row>
    <row r="135" spans="2:2" x14ac:dyDescent="0.2">
      <c r="B135" s="104"/>
    </row>
    <row r="136" spans="2:2" x14ac:dyDescent="0.2">
      <c r="B136" s="104"/>
    </row>
    <row r="137" spans="2:2" x14ac:dyDescent="0.2">
      <c r="B137" s="104"/>
    </row>
    <row r="138" spans="2:2" x14ac:dyDescent="0.2">
      <c r="B138" s="104"/>
    </row>
    <row r="139" spans="2:2" x14ac:dyDescent="0.2">
      <c r="B139" s="104"/>
    </row>
    <row r="140" spans="2:2" x14ac:dyDescent="0.2">
      <c r="B140" s="104"/>
    </row>
    <row r="141" spans="2:2" x14ac:dyDescent="0.2">
      <c r="B141" s="104"/>
    </row>
    <row r="142" spans="2:2" x14ac:dyDescent="0.2">
      <c r="B142" s="104"/>
    </row>
    <row r="143" spans="2:2" x14ac:dyDescent="0.2">
      <c r="B143" s="104"/>
    </row>
    <row r="144" spans="2:2" x14ac:dyDescent="0.2">
      <c r="B144" s="104"/>
    </row>
    <row r="145" spans="2:2" x14ac:dyDescent="0.2">
      <c r="B145" s="104"/>
    </row>
    <row r="146" spans="2:2" x14ac:dyDescent="0.2">
      <c r="B146" s="104"/>
    </row>
    <row r="147" spans="2:2" x14ac:dyDescent="0.2">
      <c r="B147" s="104"/>
    </row>
    <row r="148" spans="2:2" x14ac:dyDescent="0.2">
      <c r="B148" s="104"/>
    </row>
    <row r="149" spans="2:2" x14ac:dyDescent="0.2">
      <c r="B149" s="104"/>
    </row>
    <row r="150" spans="2:2" x14ac:dyDescent="0.2">
      <c r="B150" s="104"/>
    </row>
    <row r="151" spans="2:2" x14ac:dyDescent="0.2">
      <c r="B151" s="104"/>
    </row>
    <row r="152" spans="2:2" x14ac:dyDescent="0.2">
      <c r="B152" s="104"/>
    </row>
    <row r="153" spans="2:2" x14ac:dyDescent="0.2">
      <c r="B153" s="104"/>
    </row>
    <row r="154" spans="2:2" x14ac:dyDescent="0.2">
      <c r="B154" s="104"/>
    </row>
    <row r="155" spans="2:2" x14ac:dyDescent="0.2">
      <c r="B155" s="104"/>
    </row>
    <row r="156" spans="2:2" x14ac:dyDescent="0.2">
      <c r="B156" s="104"/>
    </row>
    <row r="157" spans="2:2" x14ac:dyDescent="0.2">
      <c r="B157" s="104"/>
    </row>
    <row r="158" spans="2:2" x14ac:dyDescent="0.2">
      <c r="B158" s="104"/>
    </row>
    <row r="159" spans="2:2" x14ac:dyDescent="0.2">
      <c r="B159" s="104"/>
    </row>
    <row r="160" spans="2:2" x14ac:dyDescent="0.2">
      <c r="B160" s="104"/>
    </row>
    <row r="161" spans="2:2" x14ac:dyDescent="0.2">
      <c r="B161" s="104"/>
    </row>
    <row r="162" spans="2:2" x14ac:dyDescent="0.2">
      <c r="B162" s="104"/>
    </row>
    <row r="163" spans="2:2" x14ac:dyDescent="0.2">
      <c r="B163" s="104"/>
    </row>
    <row r="164" spans="2:2" x14ac:dyDescent="0.2">
      <c r="B164" s="104"/>
    </row>
    <row r="165" spans="2:2" x14ac:dyDescent="0.2">
      <c r="B165" s="104"/>
    </row>
    <row r="166" spans="2:2" x14ac:dyDescent="0.2">
      <c r="B166" s="104"/>
    </row>
    <row r="167" spans="2:2" x14ac:dyDescent="0.2">
      <c r="B167" s="104"/>
    </row>
    <row r="168" spans="2:2" x14ac:dyDescent="0.2">
      <c r="B168" s="104"/>
    </row>
    <row r="169" spans="2:2" x14ac:dyDescent="0.2">
      <c r="B169" s="104"/>
    </row>
    <row r="170" spans="2:2" x14ac:dyDescent="0.2">
      <c r="B170" s="104"/>
    </row>
    <row r="171" spans="2:2" x14ac:dyDescent="0.2">
      <c r="B171" s="104"/>
    </row>
    <row r="172" spans="2:2" x14ac:dyDescent="0.2">
      <c r="B172" s="104"/>
    </row>
    <row r="173" spans="2:2" x14ac:dyDescent="0.2">
      <c r="B173" s="104"/>
    </row>
    <row r="174" spans="2:2" x14ac:dyDescent="0.2">
      <c r="B174" s="104"/>
    </row>
    <row r="175" spans="2:2" x14ac:dyDescent="0.2">
      <c r="B175" s="104"/>
    </row>
    <row r="176" spans="2:2" x14ac:dyDescent="0.2">
      <c r="B176" s="104"/>
    </row>
    <row r="177" spans="2:2" x14ac:dyDescent="0.2">
      <c r="B177" s="104"/>
    </row>
    <row r="178" spans="2:2" x14ac:dyDescent="0.2">
      <c r="B178" s="104"/>
    </row>
    <row r="179" spans="2:2" x14ac:dyDescent="0.2">
      <c r="B179" s="104"/>
    </row>
    <row r="180" spans="2:2" x14ac:dyDescent="0.2">
      <c r="B180" s="104"/>
    </row>
    <row r="181" spans="2:2" x14ac:dyDescent="0.2">
      <c r="B181" s="104"/>
    </row>
    <row r="182" spans="2:2" x14ac:dyDescent="0.2">
      <c r="B182" s="104"/>
    </row>
  </sheetData>
  <mergeCells count="7">
    <mergeCell ref="D31:E31"/>
    <mergeCell ref="G2:H2"/>
    <mergeCell ref="A1:H1"/>
    <mergeCell ref="A16:D16"/>
    <mergeCell ref="E16:H16"/>
    <mergeCell ref="D2:E2"/>
    <mergeCell ref="A30:E30"/>
  </mergeCells>
  <phoneticPr fontId="15" type="noConversion"/>
  <conditionalFormatting sqref="D3:E15 D18:E29 D32:E43">
    <cfRule type="cellIs" dxfId="7" priority="15" operator="equal">
      <formula>0</formula>
    </cfRule>
    <cfRule type="cellIs" dxfId="6" priority="16" operator="lessThan">
      <formula>0</formula>
    </cfRule>
    <cfRule type="cellIs" dxfId="5" priority="17" operator="greaterThan">
      <formula>0</formula>
    </cfRule>
  </conditionalFormatting>
  <conditionalFormatting sqref="G3:H15">
    <cfRule type="cellIs" dxfId="4" priority="3" operator="equal">
      <formula>0</formula>
    </cfRule>
    <cfRule type="cellIs" dxfId="3" priority="4" operator="lessThan">
      <formula>0</formula>
    </cfRule>
    <cfRule type="cellIs" dxfId="2" priority="5" operator="greaterThan">
      <formula>0</formula>
    </cfRule>
  </conditionalFormatting>
  <conditionalFormatting sqref="H18:H29">
    <cfRule type="cellIs" dxfId="1" priority="1" stopIfTrue="1" operator="lessThan">
      <formula>-0.009</formula>
    </cfRule>
    <cfRule type="cellIs" dxfId="0" priority="2" operator="greaterThan">
      <formula>0.009</formula>
    </cfRule>
  </conditionalFormatting>
  <pageMargins left="0.7" right="0.7" top="0.75" bottom="0.75" header="0.3" footer="0.3"/>
  <ignoredErrors>
    <ignoredError sqref="B15:D15" formulaRange="1"/>
    <ignoredError sqref="B32:E43 E15:F15 E3:F3 H3 E4:F14 H4:H14 H15" evalError="1"/>
    <ignoredError sqref="G22:G28 F19:F28 G1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OTB</vt:lpstr>
      <vt:lpstr>Sheet2</vt:lpstr>
      <vt:lpstr>YOY</vt:lpstr>
      <vt:lpstr>Sheet1</vt:lpstr>
      <vt:lpstr>Fin 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Carike Ligthelm</dc:creator>
  <cp:lastModifiedBy>Carike Ligthelm</cp:lastModifiedBy>
  <dcterms:created xsi:type="dcterms:W3CDTF">2025-04-03T10:02:25Z</dcterms:created>
  <dcterms:modified xsi:type="dcterms:W3CDTF">2026-08-14T06:55:40Z</dcterms:modified>
</cp:coreProperties>
</file>