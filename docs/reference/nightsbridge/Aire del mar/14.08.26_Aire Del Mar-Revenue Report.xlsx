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loudStorage/Dropbox-CHEETAHPLAINS/Carike Ligthelm/Roomsonline 2024:6/Aire Del Mar/Revenue Reports | ADM/2026/"/>
    </mc:Choice>
  </mc:AlternateContent>
  <xr:revisionPtr revIDLastSave="0" documentId="13_ncr:1_{E64F5677-D832-9C43-9D58-CCA425619058}" xr6:coauthVersionLast="47" xr6:coauthVersionMax="47" xr10:uidLastSave="{00000000-0000-0000-0000-000000000000}"/>
  <bookViews>
    <workbookView xWindow="16800" yWindow="560" windowWidth="16800" windowHeight="20440" xr2:uid="{529B9ECD-34EE-5444-862A-AF4A04B83C61}"/>
  </bookViews>
  <sheets>
    <sheet name="OTB RR" sheetId="1" r:id="rId1"/>
    <sheet name="YOY" sheetId="2" r:id="rId2"/>
    <sheet name="Fin Year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D19" i="1"/>
  <c r="D18" i="1"/>
  <c r="C28" i="1"/>
  <c r="C27" i="1"/>
  <c r="C26" i="1"/>
  <c r="C25" i="1"/>
  <c r="C24" i="1"/>
  <c r="C23" i="1"/>
  <c r="C22" i="1"/>
  <c r="C10" i="1"/>
  <c r="E27" i="1"/>
  <c r="B27" i="1"/>
  <c r="J18" i="1"/>
  <c r="H18" i="1"/>
  <c r="G18" i="1"/>
  <c r="F18" i="1"/>
  <c r="K8" i="1"/>
  <c r="J8" i="1"/>
  <c r="H8" i="1"/>
  <c r="F8" i="1"/>
  <c r="D8" i="1"/>
  <c r="J6" i="1"/>
  <c r="K7" i="1"/>
  <c r="K9" i="1"/>
  <c r="J9" i="1"/>
  <c r="J7" i="1"/>
  <c r="K6" i="1"/>
  <c r="K5" i="1"/>
  <c r="J5" i="1"/>
  <c r="K4" i="1"/>
  <c r="J4" i="1"/>
  <c r="K3" i="1"/>
  <c r="J3" i="1"/>
  <c r="E28" i="1"/>
  <c r="B28" i="1"/>
  <c r="D28" i="1" s="1"/>
  <c r="E26" i="1"/>
  <c r="B26" i="1"/>
  <c r="E25" i="1"/>
  <c r="B25" i="1"/>
  <c r="E24" i="1"/>
  <c r="B24" i="1"/>
  <c r="E23" i="1"/>
  <c r="B23" i="1"/>
  <c r="E22" i="1"/>
  <c r="B22" i="1"/>
  <c r="D9" i="1"/>
  <c r="J19" i="1"/>
  <c r="G19" i="1"/>
  <c r="I19" i="1" s="1"/>
  <c r="J17" i="1"/>
  <c r="H17" i="1"/>
  <c r="G17" i="1"/>
  <c r="F17" i="1"/>
  <c r="D17" i="1"/>
  <c r="H7" i="1"/>
  <c r="F7" i="1"/>
  <c r="D7" i="1"/>
  <c r="J16" i="1"/>
  <c r="H16" i="1"/>
  <c r="G16" i="1"/>
  <c r="F16" i="1"/>
  <c r="D16" i="1"/>
  <c r="H6" i="1"/>
  <c r="F6" i="1"/>
  <c r="D6" i="1"/>
  <c r="G27" i="1" l="1"/>
  <c r="F27" i="1"/>
  <c r="D27" i="1"/>
  <c r="K18" i="1"/>
  <c r="I18" i="1"/>
  <c r="G28" i="1"/>
  <c r="F28" i="1"/>
  <c r="G26" i="1"/>
  <c r="F26" i="1"/>
  <c r="D26" i="1"/>
  <c r="G25" i="1"/>
  <c r="F25" i="1"/>
  <c r="D25" i="1"/>
  <c r="G24" i="1"/>
  <c r="F24" i="1"/>
  <c r="D24" i="1"/>
  <c r="G23" i="1"/>
  <c r="F23" i="1"/>
  <c r="D23" i="1"/>
  <c r="G22" i="1"/>
  <c r="F22" i="1"/>
  <c r="D22" i="1"/>
  <c r="K17" i="1"/>
  <c r="I17" i="1"/>
  <c r="I16" i="1"/>
  <c r="K16" i="1"/>
  <c r="J15" i="1"/>
  <c r="H15" i="1"/>
  <c r="G15" i="1"/>
  <c r="F15" i="1"/>
  <c r="D15" i="1"/>
  <c r="H5" i="1"/>
  <c r="F5" i="1"/>
  <c r="D5" i="1"/>
  <c r="J14" i="1"/>
  <c r="H14" i="1"/>
  <c r="G14" i="1"/>
  <c r="F14" i="1"/>
  <c r="D14" i="1"/>
  <c r="H4" i="1"/>
  <c r="F4" i="1"/>
  <c r="D4" i="1"/>
  <c r="J13" i="1"/>
  <c r="H13" i="1"/>
  <c r="G13" i="1"/>
  <c r="F13" i="1"/>
  <c r="D13" i="1"/>
  <c r="H3" i="1"/>
  <c r="F3" i="1"/>
  <c r="D3" i="1"/>
  <c r="M13" i="2"/>
  <c r="K15" i="1" l="1"/>
  <c r="I15" i="1"/>
  <c r="I14" i="1"/>
  <c r="K14" i="1"/>
  <c r="I13" i="1"/>
  <c r="K13" i="1"/>
  <c r="G28" i="5"/>
  <c r="F28" i="5"/>
  <c r="G26" i="5"/>
  <c r="F26" i="5"/>
  <c r="H26" i="5" s="1"/>
  <c r="G23" i="5"/>
  <c r="F23" i="5"/>
  <c r="G21" i="5"/>
  <c r="F21" i="5"/>
  <c r="H21" i="5" s="1"/>
  <c r="G19" i="5"/>
  <c r="F19" i="5"/>
  <c r="H19" i="5" s="1"/>
  <c r="F20" i="5"/>
  <c r="G20" i="5"/>
  <c r="F22" i="5"/>
  <c r="G22" i="5"/>
  <c r="F24" i="5"/>
  <c r="G24" i="5"/>
  <c r="F25" i="5"/>
  <c r="G25" i="5"/>
  <c r="F27" i="5"/>
  <c r="G27" i="5"/>
  <c r="F29" i="5"/>
  <c r="G29" i="5"/>
  <c r="G18" i="5"/>
  <c r="F18" i="5"/>
  <c r="H25" i="5"/>
  <c r="H28" i="5"/>
  <c r="H29" i="5"/>
  <c r="D19" i="5"/>
  <c r="D20" i="5"/>
  <c r="D21" i="5"/>
  <c r="D22" i="5"/>
  <c r="D23" i="5"/>
  <c r="D24" i="5"/>
  <c r="D25" i="5"/>
  <c r="D26" i="5"/>
  <c r="D27" i="5"/>
  <c r="D28" i="5"/>
  <c r="D29" i="5"/>
  <c r="D18" i="5"/>
  <c r="H27" i="5" l="1"/>
  <c r="H20" i="5"/>
  <c r="H24" i="5"/>
  <c r="H22" i="5"/>
  <c r="H23" i="5"/>
  <c r="H18" i="5"/>
  <c r="G9" i="5" l="1"/>
  <c r="G4" i="5"/>
  <c r="L31" i="2"/>
  <c r="L41" i="2"/>
  <c r="L40" i="2"/>
  <c r="L39" i="2"/>
  <c r="L38" i="2"/>
  <c r="L37" i="2"/>
  <c r="L36" i="2"/>
  <c r="L35" i="2"/>
  <c r="L34" i="2"/>
  <c r="L33" i="2"/>
  <c r="L32" i="2"/>
  <c r="L30" i="2"/>
  <c r="K55" i="2"/>
  <c r="J55" i="2"/>
  <c r="I55" i="2"/>
  <c r="H55" i="2"/>
  <c r="G55" i="2"/>
  <c r="F55" i="2"/>
  <c r="E55" i="2"/>
  <c r="D55" i="2"/>
  <c r="C55" i="2"/>
  <c r="B55" i="2"/>
  <c r="K54" i="2"/>
  <c r="J54" i="2"/>
  <c r="I54" i="2"/>
  <c r="H54" i="2"/>
  <c r="G54" i="2"/>
  <c r="F54" i="2"/>
  <c r="E54" i="2"/>
  <c r="D54" i="2"/>
  <c r="C54" i="2"/>
  <c r="B54" i="2"/>
  <c r="K53" i="2"/>
  <c r="J53" i="2"/>
  <c r="I53" i="2"/>
  <c r="H53" i="2"/>
  <c r="G53" i="2"/>
  <c r="F53" i="2"/>
  <c r="E53" i="2"/>
  <c r="D53" i="2"/>
  <c r="C53" i="2"/>
  <c r="B53" i="2"/>
  <c r="K52" i="2"/>
  <c r="J52" i="2"/>
  <c r="I52" i="2"/>
  <c r="H52" i="2"/>
  <c r="G52" i="2"/>
  <c r="F52" i="2"/>
  <c r="E52" i="2"/>
  <c r="D52" i="2"/>
  <c r="C52" i="2"/>
  <c r="B52" i="2"/>
  <c r="K51" i="2"/>
  <c r="J51" i="2"/>
  <c r="I51" i="2"/>
  <c r="H51" i="2"/>
  <c r="G51" i="2"/>
  <c r="F51" i="2"/>
  <c r="E51" i="2"/>
  <c r="D51" i="2"/>
  <c r="C51" i="2"/>
  <c r="B51" i="2"/>
  <c r="K50" i="2"/>
  <c r="J50" i="2"/>
  <c r="I50" i="2"/>
  <c r="H50" i="2"/>
  <c r="G50" i="2"/>
  <c r="F50" i="2"/>
  <c r="E50" i="2"/>
  <c r="D50" i="2"/>
  <c r="C50" i="2"/>
  <c r="B50" i="2"/>
  <c r="K49" i="2"/>
  <c r="J49" i="2"/>
  <c r="I49" i="2"/>
  <c r="H49" i="2"/>
  <c r="G49" i="2"/>
  <c r="F49" i="2"/>
  <c r="E49" i="2"/>
  <c r="D49" i="2"/>
  <c r="C49" i="2"/>
  <c r="B49" i="2"/>
  <c r="K48" i="2"/>
  <c r="J48" i="2"/>
  <c r="I48" i="2"/>
  <c r="H48" i="2"/>
  <c r="F48" i="2"/>
  <c r="E48" i="2"/>
  <c r="D48" i="2"/>
  <c r="C48" i="2"/>
  <c r="B48" i="2"/>
  <c r="K47" i="2"/>
  <c r="J47" i="2"/>
  <c r="I47" i="2"/>
  <c r="H47" i="2"/>
  <c r="F47" i="2"/>
  <c r="E47" i="2"/>
  <c r="D47" i="2"/>
  <c r="C47" i="2"/>
  <c r="B47" i="2"/>
  <c r="K46" i="2"/>
  <c r="J46" i="2"/>
  <c r="I46" i="2"/>
  <c r="H46" i="2"/>
  <c r="G46" i="2"/>
  <c r="F46" i="2"/>
  <c r="E46" i="2"/>
  <c r="D46" i="2"/>
  <c r="C46" i="2"/>
  <c r="B46" i="2"/>
  <c r="B56" i="2" s="1"/>
  <c r="K45" i="2"/>
  <c r="J45" i="2"/>
  <c r="I45" i="2"/>
  <c r="H45" i="2"/>
  <c r="G45" i="2"/>
  <c r="F45" i="2"/>
  <c r="E45" i="2"/>
  <c r="D45" i="2"/>
  <c r="C45" i="2"/>
  <c r="K44" i="2"/>
  <c r="J44" i="2"/>
  <c r="I44" i="2"/>
  <c r="H44" i="2"/>
  <c r="G44" i="2"/>
  <c r="F44" i="2"/>
  <c r="E44" i="2"/>
  <c r="D44" i="2"/>
  <c r="C44" i="2"/>
  <c r="K41" i="2"/>
  <c r="J41" i="2"/>
  <c r="I41" i="2"/>
  <c r="H41" i="2"/>
  <c r="G41" i="2"/>
  <c r="F41" i="2"/>
  <c r="E41" i="2"/>
  <c r="D41" i="2"/>
  <c r="C41" i="2"/>
  <c r="B41" i="2"/>
  <c r="K40" i="2"/>
  <c r="J40" i="2"/>
  <c r="I40" i="2"/>
  <c r="H40" i="2"/>
  <c r="G40" i="2"/>
  <c r="F40" i="2"/>
  <c r="E40" i="2"/>
  <c r="D40" i="2"/>
  <c r="C40" i="2"/>
  <c r="B40" i="2"/>
  <c r="K39" i="2"/>
  <c r="J39" i="2"/>
  <c r="I39" i="2"/>
  <c r="H39" i="2"/>
  <c r="G39" i="2"/>
  <c r="F39" i="2"/>
  <c r="E39" i="2"/>
  <c r="D39" i="2"/>
  <c r="C39" i="2"/>
  <c r="B39" i="2"/>
  <c r="K38" i="2"/>
  <c r="J38" i="2"/>
  <c r="I38" i="2"/>
  <c r="H38" i="2"/>
  <c r="G38" i="2"/>
  <c r="F38" i="2"/>
  <c r="E38" i="2"/>
  <c r="D38" i="2"/>
  <c r="C38" i="2"/>
  <c r="B38" i="2"/>
  <c r="K37" i="2"/>
  <c r="J37" i="2"/>
  <c r="I37" i="2"/>
  <c r="H37" i="2"/>
  <c r="G37" i="2"/>
  <c r="F37" i="2"/>
  <c r="E37" i="2"/>
  <c r="D37" i="2"/>
  <c r="C37" i="2"/>
  <c r="B37" i="2"/>
  <c r="K36" i="2"/>
  <c r="J36" i="2"/>
  <c r="I36" i="2"/>
  <c r="H36" i="2"/>
  <c r="G36" i="2"/>
  <c r="F36" i="2"/>
  <c r="E36" i="2"/>
  <c r="D36" i="2"/>
  <c r="C36" i="2"/>
  <c r="B36" i="2"/>
  <c r="K35" i="2"/>
  <c r="J35" i="2"/>
  <c r="I35" i="2"/>
  <c r="H35" i="2"/>
  <c r="G35" i="2"/>
  <c r="F35" i="2"/>
  <c r="E35" i="2"/>
  <c r="D35" i="2"/>
  <c r="C35" i="2"/>
  <c r="B35" i="2"/>
  <c r="K34" i="2"/>
  <c r="J34" i="2"/>
  <c r="I34" i="2"/>
  <c r="H34" i="2"/>
  <c r="G34" i="2"/>
  <c r="F34" i="2"/>
  <c r="E34" i="2"/>
  <c r="D34" i="2"/>
  <c r="C34" i="2"/>
  <c r="B34" i="2"/>
  <c r="K33" i="2"/>
  <c r="J33" i="2"/>
  <c r="I33" i="2"/>
  <c r="H33" i="2"/>
  <c r="G33" i="2"/>
  <c r="F33" i="2"/>
  <c r="E33" i="2"/>
  <c r="D33" i="2"/>
  <c r="C33" i="2"/>
  <c r="B33" i="2"/>
  <c r="K32" i="2"/>
  <c r="J32" i="2"/>
  <c r="I32" i="2"/>
  <c r="H32" i="2"/>
  <c r="G32" i="2"/>
  <c r="F32" i="2"/>
  <c r="E32" i="2"/>
  <c r="D32" i="2"/>
  <c r="C32" i="2"/>
  <c r="B32" i="2"/>
  <c r="K31" i="2"/>
  <c r="J31" i="2"/>
  <c r="I31" i="2"/>
  <c r="H31" i="2"/>
  <c r="G31" i="2"/>
  <c r="F31" i="2"/>
  <c r="E31" i="2"/>
  <c r="D31" i="2"/>
  <c r="C31" i="2"/>
  <c r="K30" i="2"/>
  <c r="J30" i="2"/>
  <c r="I30" i="2"/>
  <c r="H30" i="2"/>
  <c r="G30" i="2"/>
  <c r="F30" i="2"/>
  <c r="E30" i="2"/>
  <c r="D30" i="2"/>
  <c r="C30" i="2"/>
  <c r="K28" i="2"/>
  <c r="J28" i="2"/>
  <c r="I28" i="2"/>
  <c r="H28" i="2"/>
  <c r="G28" i="2"/>
  <c r="F28" i="2"/>
  <c r="E28" i="2"/>
  <c r="D28" i="2"/>
  <c r="C28" i="2"/>
  <c r="B28" i="2"/>
  <c r="K14" i="2"/>
  <c r="J14" i="2"/>
  <c r="I14" i="2"/>
  <c r="H14" i="2"/>
  <c r="G14" i="2"/>
  <c r="F14" i="2"/>
  <c r="E14" i="2"/>
  <c r="D14" i="2"/>
  <c r="C14" i="2"/>
  <c r="B14" i="2"/>
  <c r="C33" i="5"/>
  <c r="C34" i="5"/>
  <c r="C35" i="5"/>
  <c r="C36" i="5"/>
  <c r="C37" i="5"/>
  <c r="C38" i="5"/>
  <c r="C39" i="5"/>
  <c r="C40" i="5"/>
  <c r="C41" i="5"/>
  <c r="C42" i="5"/>
  <c r="C43" i="5"/>
  <c r="C32" i="5"/>
  <c r="B33" i="5"/>
  <c r="B34" i="5"/>
  <c r="B35" i="5"/>
  <c r="B36" i="5"/>
  <c r="B37" i="5"/>
  <c r="B38" i="5"/>
  <c r="B39" i="5"/>
  <c r="B40" i="5"/>
  <c r="B41" i="5"/>
  <c r="D41" i="5" s="1"/>
  <c r="B42" i="5"/>
  <c r="B43" i="5"/>
  <c r="B32" i="5"/>
  <c r="H4" i="5"/>
  <c r="H5" i="5"/>
  <c r="H6" i="5"/>
  <c r="H7" i="5"/>
  <c r="H8" i="5"/>
  <c r="H9" i="5"/>
  <c r="H10" i="5"/>
  <c r="G11" i="5"/>
  <c r="H12" i="5"/>
  <c r="H13" i="5"/>
  <c r="G14" i="5"/>
  <c r="H3" i="5"/>
  <c r="E4" i="5"/>
  <c r="E5" i="5"/>
  <c r="E6" i="5"/>
  <c r="E7" i="5"/>
  <c r="E8" i="5"/>
  <c r="E9" i="5"/>
  <c r="E10" i="5"/>
  <c r="E11" i="5"/>
  <c r="E12" i="5"/>
  <c r="E13" i="5"/>
  <c r="E14" i="5"/>
  <c r="E3" i="5"/>
  <c r="D14" i="5"/>
  <c r="D13" i="5"/>
  <c r="D12" i="5"/>
  <c r="D11" i="5"/>
  <c r="D10" i="5"/>
  <c r="D9" i="5"/>
  <c r="D8" i="5"/>
  <c r="D7" i="5"/>
  <c r="D6" i="5"/>
  <c r="D5" i="5"/>
  <c r="D4" i="5"/>
  <c r="D3" i="5"/>
  <c r="C15" i="5"/>
  <c r="B15" i="5"/>
  <c r="I56" i="2" l="1"/>
  <c r="H56" i="2"/>
  <c r="D56" i="2"/>
  <c r="J56" i="2"/>
  <c r="G56" i="2"/>
  <c r="E56" i="2"/>
  <c r="D34" i="5"/>
  <c r="I42" i="2"/>
  <c r="H42" i="2"/>
  <c r="F42" i="2"/>
  <c r="D42" i="2"/>
  <c r="B42" i="2"/>
  <c r="J42" i="2"/>
  <c r="C56" i="2"/>
  <c r="K56" i="2"/>
  <c r="F56" i="2"/>
  <c r="G42" i="2"/>
  <c r="E42" i="2"/>
  <c r="C42" i="2"/>
  <c r="K42" i="2"/>
  <c r="K19" i="1"/>
  <c r="D38" i="5"/>
  <c r="E32" i="5"/>
  <c r="G8" i="5"/>
  <c r="G7" i="5"/>
  <c r="E41" i="5"/>
  <c r="D33" i="5"/>
  <c r="D40" i="5"/>
  <c r="G5" i="5"/>
  <c r="D39" i="5"/>
  <c r="G6" i="5"/>
  <c r="G3" i="5"/>
  <c r="D32" i="5"/>
  <c r="D37" i="5"/>
  <c r="E43" i="5"/>
  <c r="D36" i="5"/>
  <c r="E42" i="5"/>
  <c r="E35" i="5"/>
  <c r="G13" i="5"/>
  <c r="E40" i="5"/>
  <c r="D42" i="5"/>
  <c r="E39" i="5"/>
  <c r="G12" i="5"/>
  <c r="G10" i="5"/>
  <c r="E33" i="5"/>
  <c r="E38" i="5"/>
  <c r="E34" i="5"/>
  <c r="E37" i="5"/>
  <c r="D43" i="5"/>
  <c r="D35" i="5"/>
  <c r="E36" i="5"/>
  <c r="H14" i="5"/>
  <c r="H11" i="5"/>
  <c r="E15" i="5"/>
  <c r="D15" i="5"/>
  <c r="F15" i="5"/>
  <c r="H15" i="5" s="1"/>
  <c r="G15" i="5" l="1"/>
  <c r="N13" i="2"/>
  <c r="N27" i="2"/>
  <c r="N26" i="2"/>
  <c r="N25" i="2"/>
  <c r="N24" i="2"/>
  <c r="N23" i="2"/>
  <c r="N22" i="2"/>
  <c r="N21" i="2"/>
  <c r="N20" i="2"/>
  <c r="N19" i="2"/>
  <c r="N18" i="2"/>
  <c r="N17" i="2"/>
  <c r="N16" i="2"/>
  <c r="N3" i="2"/>
  <c r="N4" i="2"/>
  <c r="N5" i="2"/>
  <c r="N6" i="2"/>
  <c r="N7" i="2"/>
  <c r="N8" i="2"/>
  <c r="N9" i="2"/>
  <c r="N10" i="2"/>
  <c r="N11" i="2"/>
  <c r="N12" i="2"/>
  <c r="N2" i="2"/>
  <c r="M17" i="2"/>
  <c r="M18" i="2"/>
  <c r="M19" i="2"/>
  <c r="M20" i="2"/>
  <c r="M21" i="2"/>
  <c r="M22" i="2"/>
  <c r="M23" i="2"/>
  <c r="M24" i="2"/>
  <c r="M25" i="2"/>
  <c r="M26" i="2"/>
  <c r="M27" i="2"/>
  <c r="M16" i="2"/>
  <c r="M3" i="2"/>
  <c r="M4" i="2"/>
  <c r="M5" i="2"/>
  <c r="M6" i="2"/>
  <c r="M7" i="2"/>
  <c r="M8" i="2"/>
  <c r="M9" i="2"/>
  <c r="M10" i="2"/>
  <c r="M11" i="2"/>
  <c r="M12" i="2"/>
  <c r="M2" i="2"/>
  <c r="L55" i="2"/>
  <c r="L54" i="2"/>
  <c r="L53" i="2"/>
  <c r="L52" i="2"/>
  <c r="L51" i="2"/>
  <c r="L50" i="2"/>
  <c r="L49" i="2"/>
  <c r="L48" i="2"/>
  <c r="L47" i="2"/>
  <c r="L46" i="2"/>
  <c r="L45" i="2"/>
  <c r="L44" i="2"/>
  <c r="L28" i="2"/>
  <c r="M28" i="2" s="1"/>
  <c r="L14" i="2"/>
  <c r="M14" i="2" s="1"/>
  <c r="L42" i="2" l="1"/>
  <c r="M42" i="2" s="1"/>
  <c r="L56" i="2"/>
  <c r="M56" i="2" s="1"/>
  <c r="N14" i="2"/>
  <c r="N30" i="2"/>
  <c r="N31" i="2"/>
  <c r="N32" i="2"/>
  <c r="M33" i="2"/>
  <c r="N35" i="2"/>
  <c r="N36" i="2"/>
  <c r="N38" i="2"/>
  <c r="N39" i="2"/>
  <c r="N40" i="2"/>
  <c r="M41" i="2"/>
  <c r="N44" i="2"/>
  <c r="N45" i="2"/>
  <c r="N46" i="2"/>
  <c r="N48" i="2"/>
  <c r="N49" i="2"/>
  <c r="N50" i="2"/>
  <c r="M51" i="2"/>
  <c r="N53" i="2"/>
  <c r="N54" i="2"/>
  <c r="M45" i="2" l="1"/>
  <c r="M35" i="2"/>
  <c r="N33" i="2"/>
  <c r="M32" i="2"/>
  <c r="M50" i="2"/>
  <c r="M48" i="2"/>
  <c r="M31" i="2"/>
  <c r="M53" i="2"/>
  <c r="M39" i="2"/>
  <c r="M44" i="2"/>
  <c r="M38" i="2"/>
  <c r="N51" i="2"/>
  <c r="M36" i="2"/>
  <c r="M46" i="2"/>
  <c r="N52" i="2"/>
  <c r="M52" i="2"/>
  <c r="M40" i="2"/>
  <c r="N34" i="2"/>
  <c r="M34" i="2"/>
  <c r="N55" i="2"/>
  <c r="M55" i="2"/>
  <c r="M54" i="2"/>
  <c r="M49" i="2"/>
  <c r="N37" i="2"/>
  <c r="M37" i="2"/>
  <c r="N41" i="2"/>
  <c r="N47" i="2"/>
  <c r="M47" i="2"/>
  <c r="N28" i="2"/>
  <c r="M30" i="2"/>
  <c r="N56" i="2" l="1"/>
  <c r="N42" i="2"/>
  <c r="F19" i="1"/>
  <c r="G10" i="1" l="1"/>
  <c r="E10" i="1"/>
  <c r="B10" i="1"/>
  <c r="H9" i="1"/>
  <c r="F9" i="1"/>
  <c r="K10" i="1" l="1"/>
  <c r="J10" i="1"/>
  <c r="H10" i="1"/>
  <c r="D10" i="1"/>
  <c r="F10" i="1"/>
</calcChain>
</file>

<file path=xl/sharedStrings.xml><?xml version="1.0" encoding="utf-8"?>
<sst xmlns="http://schemas.openxmlformats.org/spreadsheetml/2006/main" count="199" uniqueCount="46">
  <si>
    <t>Variance</t>
  </si>
  <si>
    <t>Last Year Actual</t>
  </si>
  <si>
    <t>Target</t>
  </si>
  <si>
    <t>OTB vs Target</t>
  </si>
  <si>
    <t>Aug</t>
  </si>
  <si>
    <t>Sept</t>
  </si>
  <si>
    <t>Room Nights</t>
  </si>
  <si>
    <t>ADR</t>
  </si>
  <si>
    <t>Occupancy</t>
  </si>
  <si>
    <t>OTB vs LY</t>
  </si>
  <si>
    <t>TOTAL</t>
  </si>
  <si>
    <t>TOTAL Average</t>
  </si>
  <si>
    <t>Dec</t>
  </si>
  <si>
    <t>Nov</t>
  </si>
  <si>
    <t>Oct</t>
  </si>
  <si>
    <t>Jul</t>
  </si>
  <si>
    <t>Jun</t>
  </si>
  <si>
    <t>May</t>
  </si>
  <si>
    <t>Apr</t>
  </si>
  <si>
    <t>Mar</t>
  </si>
  <si>
    <t>Feb</t>
  </si>
  <si>
    <t>Jan</t>
  </si>
  <si>
    <t>Revenue</t>
  </si>
  <si>
    <t>2025</t>
  </si>
  <si>
    <t>2024 vs 2025</t>
  </si>
  <si>
    <t>2025 vs 2024</t>
  </si>
  <si>
    <t>2025 vs Target</t>
  </si>
  <si>
    <t>Sep</t>
  </si>
  <si>
    <t>9 Rooms</t>
  </si>
  <si>
    <t>28 = 252</t>
  </si>
  <si>
    <t>29 = 261</t>
  </si>
  <si>
    <t>30 = 270</t>
  </si>
  <si>
    <t>31 = 279</t>
  </si>
  <si>
    <t>Until Jan 2020</t>
  </si>
  <si>
    <t>8 Rooms</t>
  </si>
  <si>
    <t>28 = 224</t>
  </si>
  <si>
    <t>29 = 232</t>
  </si>
  <si>
    <t>30 = 240</t>
  </si>
  <si>
    <t>31 = 248</t>
  </si>
  <si>
    <t>Aire Del Mar Guest House | Financial Year</t>
  </si>
  <si>
    <t>without rates</t>
  </si>
  <si>
    <t>vriende</t>
  </si>
  <si>
    <t>familie</t>
  </si>
  <si>
    <t>OTB @ 31 Jul 2026</t>
  </si>
  <si>
    <t>Aire Del Mar Guest House | 14 August 2026</t>
  </si>
  <si>
    <t>OTB @ 14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</si>
</sst>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D9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BCF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1" fontId="9" fillId="0" borderId="12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2" fontId="7" fillId="0" borderId="18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vertical="center"/>
    </xf>
    <xf numFmtId="0" fontId="7" fillId="4" borderId="10" xfId="0" applyFont="1" applyFill="1" applyBorder="1" applyAlignment="1">
      <alignment horizontal="center" vertical="center"/>
    </xf>
    <xf numFmtId="2" fontId="7" fillId="4" borderId="10" xfId="0" applyNumberFormat="1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vertical="center"/>
    </xf>
    <xf numFmtId="9" fontId="9" fillId="0" borderId="12" xfId="1" applyFont="1" applyFill="1" applyBorder="1" applyAlignment="1">
      <alignment horizontal="center" vertical="center"/>
    </xf>
    <xf numFmtId="9" fontId="9" fillId="0" borderId="13" xfId="1" applyFont="1" applyFill="1" applyBorder="1" applyAlignment="1">
      <alignment horizontal="center" vertical="center"/>
    </xf>
    <xf numFmtId="10" fontId="7" fillId="0" borderId="15" xfId="0" applyNumberFormat="1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10" fontId="7" fillId="0" borderId="18" xfId="0" applyNumberFormat="1" applyFont="1" applyBorder="1" applyAlignment="1">
      <alignment horizontal="center" vertical="center"/>
    </xf>
    <xf numFmtId="10" fontId="7" fillId="0" borderId="10" xfId="0" applyNumberFormat="1" applyFont="1" applyBorder="1" applyAlignment="1">
      <alignment horizontal="center" vertical="center"/>
    </xf>
    <xf numFmtId="10" fontId="7" fillId="4" borderId="10" xfId="0" applyNumberFormat="1" applyFont="1" applyFill="1" applyBorder="1" applyAlignment="1">
      <alignment horizontal="center" vertical="center"/>
    </xf>
    <xf numFmtId="1" fontId="9" fillId="0" borderId="12" xfId="1" applyNumberFormat="1" applyFont="1" applyFill="1" applyBorder="1" applyAlignment="1">
      <alignment horizontal="center" vertical="center"/>
    </xf>
    <xf numFmtId="1" fontId="9" fillId="0" borderId="13" xfId="1" applyNumberFormat="1" applyFont="1" applyFill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4" borderId="10" xfId="0" applyNumberFormat="1" applyFont="1" applyFill="1" applyBorder="1" applyAlignment="1">
      <alignment horizontal="center" vertical="center"/>
    </xf>
    <xf numFmtId="3" fontId="9" fillId="0" borderId="12" xfId="0" applyNumberFormat="1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7" fillId="4" borderId="10" xfId="0" applyNumberFormat="1" applyFont="1" applyFill="1" applyBorder="1" applyAlignment="1">
      <alignment horizontal="center" vertical="center"/>
    </xf>
    <xf numFmtId="49" fontId="9" fillId="5" borderId="18" xfId="0" applyNumberFormat="1" applyFont="1" applyFill="1" applyBorder="1" applyAlignment="1">
      <alignment horizontal="center" vertical="center"/>
    </xf>
    <xf numFmtId="49" fontId="9" fillId="5" borderId="10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vertical="center"/>
    </xf>
    <xf numFmtId="17" fontId="10" fillId="0" borderId="1" xfId="0" applyNumberFormat="1" applyFont="1" applyBorder="1" applyAlignment="1">
      <alignment horizontal="left" vertical="center"/>
    </xf>
    <xf numFmtId="17" fontId="10" fillId="0" borderId="2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vertical="center"/>
    </xf>
    <xf numFmtId="3" fontId="10" fillId="0" borderId="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/>
    </xf>
    <xf numFmtId="3" fontId="10" fillId="6" borderId="0" xfId="0" applyNumberFormat="1" applyFont="1" applyFill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3" fontId="11" fillId="6" borderId="5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0" fontId="10" fillId="0" borderId="0" xfId="0" applyFont="1"/>
    <xf numFmtId="0" fontId="13" fillId="0" borderId="0" xfId="0" applyFont="1"/>
    <xf numFmtId="9" fontId="10" fillId="0" borderId="1" xfId="0" applyNumberFormat="1" applyFont="1" applyBorder="1" applyAlignment="1">
      <alignment horizontal="center" vertical="center"/>
    </xf>
    <xf numFmtId="9" fontId="10" fillId="2" borderId="0" xfId="0" applyNumberFormat="1" applyFont="1" applyFill="1" applyAlignment="1">
      <alignment horizontal="center" vertical="center"/>
    </xf>
    <xf numFmtId="9" fontId="10" fillId="0" borderId="2" xfId="0" applyNumberFormat="1" applyFont="1" applyBorder="1" applyAlignment="1">
      <alignment horizontal="center" vertical="center"/>
    </xf>
    <xf numFmtId="9" fontId="10" fillId="2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3" fontId="10" fillId="2" borderId="1" xfId="0" applyNumberFormat="1" applyFont="1" applyFill="1" applyBorder="1" applyAlignment="1">
      <alignment horizontal="center" vertical="center"/>
    </xf>
    <xf numFmtId="9" fontId="10" fillId="6" borderId="1" xfId="1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9" fontId="10" fillId="6" borderId="2" xfId="1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3" fontId="11" fillId="6" borderId="4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9" fontId="10" fillId="2" borderId="1" xfId="0" applyNumberFormat="1" applyFont="1" applyFill="1" applyBorder="1" applyAlignment="1">
      <alignment horizontal="center" vertical="center"/>
    </xf>
    <xf numFmtId="9" fontId="10" fillId="2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9" fontId="10" fillId="0" borderId="2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3" fontId="14" fillId="6" borderId="17" xfId="0" applyNumberFormat="1" applyFont="1" applyFill="1" applyBorder="1" applyAlignment="1">
      <alignment horizontal="center" vertical="center"/>
    </xf>
    <xf numFmtId="3" fontId="9" fillId="6" borderId="11" xfId="0" applyNumberFormat="1" applyFont="1" applyFill="1" applyBorder="1" applyAlignment="1">
      <alignment horizontal="center" vertical="center"/>
    </xf>
    <xf numFmtId="1" fontId="14" fillId="6" borderId="17" xfId="0" applyNumberFormat="1" applyFont="1" applyFill="1" applyBorder="1" applyAlignment="1">
      <alignment horizontal="center" vertical="center"/>
    </xf>
    <xf numFmtId="1" fontId="9" fillId="6" borderId="11" xfId="0" applyNumberFormat="1" applyFont="1" applyFill="1" applyBorder="1" applyAlignment="1">
      <alignment horizontal="center" vertical="center"/>
    </xf>
    <xf numFmtId="10" fontId="14" fillId="6" borderId="17" xfId="0" applyNumberFormat="1" applyFont="1" applyFill="1" applyBorder="1" applyAlignment="1">
      <alignment horizontal="center" vertical="center"/>
    </xf>
    <xf numFmtId="10" fontId="9" fillId="6" borderId="11" xfId="0" applyNumberFormat="1" applyFont="1" applyFill="1" applyBorder="1" applyAlignment="1">
      <alignment horizontal="center" vertical="center"/>
    </xf>
    <xf numFmtId="2" fontId="14" fillId="0" borderId="17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9" fontId="14" fillId="6" borderId="17" xfId="1" applyFont="1" applyFill="1" applyBorder="1" applyAlignment="1">
      <alignment horizontal="center" vertical="center"/>
    </xf>
    <xf numFmtId="9" fontId="9" fillId="6" borderId="11" xfId="1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3" fontId="11" fillId="2" borderId="25" xfId="0" applyNumberFormat="1" applyFont="1" applyFill="1" applyBorder="1" applyAlignment="1">
      <alignment horizontal="center" vertical="center"/>
    </xf>
    <xf numFmtId="9" fontId="10" fillId="2" borderId="24" xfId="1" applyFont="1" applyFill="1" applyBorder="1" applyAlignment="1">
      <alignment horizontal="center" vertical="center"/>
    </xf>
    <xf numFmtId="9" fontId="11" fillId="2" borderId="27" xfId="1" applyFont="1" applyFill="1" applyBorder="1" applyAlignment="1">
      <alignment horizontal="center" vertical="center"/>
    </xf>
    <xf numFmtId="9" fontId="10" fillId="2" borderId="4" xfId="1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/>
    </xf>
    <xf numFmtId="9" fontId="10" fillId="2" borderId="2" xfId="1" applyFont="1" applyFill="1" applyBorder="1" applyAlignment="1">
      <alignment horizontal="center" vertical="center"/>
    </xf>
    <xf numFmtId="3" fontId="10" fillId="6" borderId="4" xfId="0" applyNumberFormat="1" applyFont="1" applyFill="1" applyBorder="1" applyAlignment="1">
      <alignment horizontal="center" vertical="center"/>
    </xf>
    <xf numFmtId="9" fontId="11" fillId="6" borderId="4" xfId="1" applyFont="1" applyFill="1" applyBorder="1" applyAlignment="1">
      <alignment horizontal="center" vertical="center"/>
    </xf>
    <xf numFmtId="9" fontId="10" fillId="2" borderId="0" xfId="1" applyFont="1" applyFill="1" applyAlignment="1">
      <alignment horizontal="center" vertical="center"/>
    </xf>
    <xf numFmtId="17" fontId="10" fillId="0" borderId="4" xfId="0" applyNumberFormat="1" applyFont="1" applyBorder="1" applyAlignment="1">
      <alignment horizontal="left" vertical="center"/>
    </xf>
    <xf numFmtId="3" fontId="7" fillId="0" borderId="23" xfId="0" applyNumberFormat="1" applyFont="1" applyBorder="1" applyAlignment="1">
      <alignment horizontal="center" vertical="center"/>
    </xf>
    <xf numFmtId="3" fontId="7" fillId="0" borderId="27" xfId="0" applyNumberFormat="1" applyFont="1" applyBorder="1" applyAlignment="1">
      <alignment horizontal="center" vertical="center"/>
    </xf>
    <xf numFmtId="3" fontId="9" fillId="0" borderId="28" xfId="0" applyNumberFormat="1" applyFont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1" fontId="9" fillId="0" borderId="28" xfId="1" applyNumberFormat="1" applyFont="1" applyFill="1" applyBorder="1" applyAlignment="1">
      <alignment horizontal="center" vertical="center"/>
    </xf>
    <xf numFmtId="10" fontId="7" fillId="0" borderId="23" xfId="0" applyNumberFormat="1" applyFont="1" applyBorder="1" applyAlignment="1">
      <alignment horizontal="center" vertical="center"/>
    </xf>
    <xf numFmtId="10" fontId="7" fillId="0" borderId="27" xfId="0" applyNumberFormat="1" applyFont="1" applyBorder="1" applyAlignment="1">
      <alignment horizontal="center" vertical="center"/>
    </xf>
    <xf numFmtId="9" fontId="9" fillId="0" borderId="28" xfId="1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7" fillId="0" borderId="23" xfId="0" applyNumberFormat="1" applyFont="1" applyBorder="1" applyAlignment="1">
      <alignment horizontal="center" vertical="center"/>
    </xf>
    <xf numFmtId="2" fontId="7" fillId="0" borderId="27" xfId="0" applyNumberFormat="1" applyFont="1" applyBorder="1" applyAlignment="1">
      <alignment horizontal="center" vertical="center"/>
    </xf>
    <xf numFmtId="1" fontId="9" fillId="0" borderId="28" xfId="0" applyNumberFormat="1" applyFont="1" applyBorder="1" applyAlignment="1">
      <alignment horizontal="center" vertical="center"/>
    </xf>
    <xf numFmtId="9" fontId="10" fillId="2" borderId="26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11" fillId="2" borderId="4" xfId="1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1" fillId="6" borderId="26" xfId="0" applyFont="1" applyFill="1" applyBorder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12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F77FDB"/>
      <color rgb="FFDDD9C4"/>
      <color rgb="FFFFBC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Aire Del Mar | Revenue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RR'!$B$3:$B$9</c:f>
              <c:numCache>
                <c:formatCode>#,##0</c:formatCode>
                <c:ptCount val="7"/>
                <c:pt idx="0">
                  <c:v>19331.32</c:v>
                </c:pt>
                <c:pt idx="1">
                  <c:v>80361.119999999995</c:v>
                </c:pt>
                <c:pt idx="2">
                  <c:v>101774.09000000001</c:v>
                </c:pt>
                <c:pt idx="3">
                  <c:v>122339.55000000003</c:v>
                </c:pt>
                <c:pt idx="4">
                  <c:v>62941.370000000017</c:v>
                </c:pt>
                <c:pt idx="5">
                  <c:v>51117.88</c:v>
                </c:pt>
                <c:pt idx="6">
                  <c:v>46048.83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2-E24E-90C2-D91A3EE328FB}"/>
            </c:ext>
          </c:extLst>
        </c:ser>
        <c:ser>
          <c:idx val="1"/>
          <c:order val="1"/>
          <c:tx>
            <c:strRef>
              <c:f>'OTB RR'!$C$2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RR'!$C$3:$C$9</c:f>
              <c:numCache>
                <c:formatCode>#,##0</c:formatCode>
                <c:ptCount val="7"/>
                <c:pt idx="0">
                  <c:v>19331.32</c:v>
                </c:pt>
                <c:pt idx="1">
                  <c:v>51640.380000000012</c:v>
                </c:pt>
                <c:pt idx="2">
                  <c:v>100643.59000000001</c:v>
                </c:pt>
                <c:pt idx="3">
                  <c:v>108410.57</c:v>
                </c:pt>
                <c:pt idx="4">
                  <c:v>61555.020000000019</c:v>
                </c:pt>
                <c:pt idx="5">
                  <c:v>51117.88</c:v>
                </c:pt>
                <c:pt idx="6">
                  <c:v>46048.83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52-E24E-90C2-D91A3EE328FB}"/>
            </c:ext>
          </c:extLst>
        </c:ser>
        <c:ser>
          <c:idx val="2"/>
          <c:order val="2"/>
          <c:tx>
            <c:strRef>
              <c:f>'OTB RR'!$D$2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RR'!$D$3:$D$9</c:f>
              <c:numCache>
                <c:formatCode>#,##0</c:formatCode>
                <c:ptCount val="7"/>
                <c:pt idx="0">
                  <c:v>0</c:v>
                </c:pt>
                <c:pt idx="1">
                  <c:v>28720.739999999983</c:v>
                </c:pt>
                <c:pt idx="2">
                  <c:v>1130.5</c:v>
                </c:pt>
                <c:pt idx="3">
                  <c:v>13928.980000000025</c:v>
                </c:pt>
                <c:pt idx="4">
                  <c:v>1386.3499999999985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52-E24E-90C2-D91A3EE328FB}"/>
            </c:ext>
          </c:extLst>
        </c:ser>
        <c:ser>
          <c:idx val="3"/>
          <c:order val="3"/>
          <c:tx>
            <c:strRef>
              <c:f>'OTB RR'!$F$2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RR'!$F$3:$F$9</c:f>
              <c:numCache>
                <c:formatCode>#,##0</c:formatCode>
                <c:ptCount val="7"/>
                <c:pt idx="0">
                  <c:v>-28887.559999999998</c:v>
                </c:pt>
                <c:pt idx="1">
                  <c:v>-24338.880000000005</c:v>
                </c:pt>
                <c:pt idx="2">
                  <c:v>-58329.389999999883</c:v>
                </c:pt>
                <c:pt idx="3">
                  <c:v>-89675.449999999968</c:v>
                </c:pt>
                <c:pt idx="4">
                  <c:v>-130830.62999999998</c:v>
                </c:pt>
                <c:pt idx="5">
                  <c:v>-202613.29000000007</c:v>
                </c:pt>
                <c:pt idx="6">
                  <c:v>-147861.52999999997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52-E24E-90C2-D91A3EE328FB}"/>
            </c:ext>
          </c:extLst>
        </c:ser>
        <c:ser>
          <c:idx val="4"/>
          <c:order val="4"/>
          <c:tx>
            <c:strRef>
              <c:f>'OTB RR'!$H$2</c:f>
              <c:strCache>
                <c:ptCount val="1"/>
                <c:pt idx="0">
                  <c:v>OTB vs Target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RR'!$H$3:$H$9</c:f>
              <c:numCache>
                <c:formatCode>#,##0</c:formatCode>
                <c:ptCount val="7"/>
                <c:pt idx="0">
                  <c:v>-130668.68</c:v>
                </c:pt>
                <c:pt idx="1">
                  <c:v>-69638.880000000005</c:v>
                </c:pt>
                <c:pt idx="2">
                  <c:v>-48225.909999999989</c:v>
                </c:pt>
                <c:pt idx="3">
                  <c:v>-27660.449999999968</c:v>
                </c:pt>
                <c:pt idx="4">
                  <c:v>-87058.629999999976</c:v>
                </c:pt>
                <c:pt idx="5">
                  <c:v>-98882.12</c:v>
                </c:pt>
                <c:pt idx="6">
                  <c:v>-103951.17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52-E24E-90C2-D91A3EE32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063951"/>
        <c:axId val="859421887"/>
      </c:barChart>
      <c:catAx>
        <c:axId val="120906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421887"/>
        <c:crosses val="autoZero"/>
        <c:auto val="1"/>
        <c:lblAlgn val="ctr"/>
        <c:lblOffset val="100"/>
        <c:noMultiLvlLbl val="0"/>
      </c:catAx>
      <c:valAx>
        <c:axId val="85942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06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Aire Del Mar | Occupancy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8.9227710172592067E-2"/>
          <c:y val="0.14718253968253969"/>
          <c:w val="0.8829945120496302"/>
          <c:h val="0.71875359330083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'OTB RR'!$G$12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RR'!$G$13:$G$19</c:f>
              <c:numCache>
                <c:formatCode>0%</c:formatCode>
                <c:ptCount val="7"/>
                <c:pt idx="0">
                  <c:v>5.0179211469534052E-2</c:v>
                </c:pt>
                <c:pt idx="1">
                  <c:v>0.2078853046594982</c:v>
                </c:pt>
                <c:pt idx="2">
                  <c:v>0.27407407407407408</c:v>
                </c:pt>
                <c:pt idx="3">
                  <c:v>0.32616487455197135</c:v>
                </c:pt>
                <c:pt idx="4">
                  <c:v>0.16296296296296298</c:v>
                </c:pt>
                <c:pt idx="5">
                  <c:v>0.1111111111111111</c:v>
                </c:pt>
                <c:pt idx="6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D-2D4B-8A72-D39F46B0159B}"/>
            </c:ext>
          </c:extLst>
        </c:ser>
        <c:ser>
          <c:idx val="1"/>
          <c:order val="1"/>
          <c:tx>
            <c:strRef>
              <c:f>'OTB RR'!$H$12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RR'!$H$13:$H$19</c:f>
              <c:numCache>
                <c:formatCode>0%</c:formatCode>
                <c:ptCount val="7"/>
                <c:pt idx="0">
                  <c:v>5.0179211469534052E-2</c:v>
                </c:pt>
                <c:pt idx="1">
                  <c:v>0.13620071684587814</c:v>
                </c:pt>
                <c:pt idx="2">
                  <c:v>0.27037037037037037</c:v>
                </c:pt>
                <c:pt idx="3">
                  <c:v>0.29390681003584229</c:v>
                </c:pt>
                <c:pt idx="4">
                  <c:v>0.15925925925925927</c:v>
                </c:pt>
                <c:pt idx="5">
                  <c:v>0.1111111111111111</c:v>
                </c:pt>
                <c:pt idx="6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D-2D4B-8A72-D39F46B0159B}"/>
            </c:ext>
          </c:extLst>
        </c:ser>
        <c:ser>
          <c:idx val="2"/>
          <c:order val="2"/>
          <c:tx>
            <c:strRef>
              <c:f>'OTB RR'!$I$12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RR'!$I$13:$I$19</c:f>
              <c:numCache>
                <c:formatCode>0%</c:formatCode>
                <c:ptCount val="7"/>
                <c:pt idx="0">
                  <c:v>0</c:v>
                </c:pt>
                <c:pt idx="1">
                  <c:v>7.1684587813620054E-2</c:v>
                </c:pt>
                <c:pt idx="2">
                  <c:v>3.703703703703709E-3</c:v>
                </c:pt>
                <c:pt idx="3">
                  <c:v>3.2258064516129059E-2</c:v>
                </c:pt>
                <c:pt idx="4">
                  <c:v>3.703703703703709E-3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D-2D4B-8A72-D39F46B0159B}"/>
            </c:ext>
          </c:extLst>
        </c:ser>
        <c:ser>
          <c:idx val="3"/>
          <c:order val="3"/>
          <c:tx>
            <c:strRef>
              <c:f>'OTB RR'!$J$12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RR'!$J$13:$J$19</c:f>
              <c:numCache>
                <c:formatCode>0%</c:formatCode>
                <c:ptCount val="7"/>
                <c:pt idx="0">
                  <c:v>0.22222222222222221</c:v>
                </c:pt>
                <c:pt idx="1">
                  <c:v>0.34408602150537637</c:v>
                </c:pt>
                <c:pt idx="2">
                  <c:v>0.51851851851851849</c:v>
                </c:pt>
                <c:pt idx="3">
                  <c:v>0.62365591397849462</c:v>
                </c:pt>
                <c:pt idx="4">
                  <c:v>0.63703703703703707</c:v>
                </c:pt>
                <c:pt idx="5">
                  <c:v>0.62365591397849462</c:v>
                </c:pt>
                <c:pt idx="6">
                  <c:v>0.48745519713261648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D-2D4B-8A72-D39F46B0159B}"/>
            </c:ext>
          </c:extLst>
        </c:ser>
        <c:ser>
          <c:idx val="4"/>
          <c:order val="4"/>
          <c:tx>
            <c:strRef>
              <c:f>'OTB RR'!$K$12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RR'!$K$13:$K$19</c:f>
              <c:numCache>
                <c:formatCode>0%</c:formatCode>
                <c:ptCount val="7"/>
                <c:pt idx="0">
                  <c:v>-0.17204301075268816</c:v>
                </c:pt>
                <c:pt idx="1">
                  <c:v>-0.13620071684587817</c:v>
                </c:pt>
                <c:pt idx="2">
                  <c:v>-0.24444444444444441</c:v>
                </c:pt>
                <c:pt idx="3">
                  <c:v>-0.29749103942652327</c:v>
                </c:pt>
                <c:pt idx="4">
                  <c:v>-0.47407407407407409</c:v>
                </c:pt>
                <c:pt idx="5">
                  <c:v>-0.51254480286738358</c:v>
                </c:pt>
                <c:pt idx="6">
                  <c:v>-0.37634408602150538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0D-2D4B-8A72-D39F46B01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057423"/>
        <c:axId val="842674623"/>
      </c:barChart>
      <c:catAx>
        <c:axId val="11500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74623"/>
        <c:crosses val="autoZero"/>
        <c:auto val="1"/>
        <c:lblAlgn val="ctr"/>
        <c:lblOffset val="100"/>
        <c:noMultiLvlLbl val="0"/>
      </c:catAx>
      <c:valAx>
        <c:axId val="8426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5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70707070707072E-3"/>
          <c:y val="0.9092257217847769"/>
          <c:w val="0.99292929292929288"/>
          <c:h val="6.6964754405699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Aire Del Mar | Average Daily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RR'!$B$21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RR'!$B$22:$B$28</c:f>
              <c:numCache>
                <c:formatCode>#,##0</c:formatCode>
                <c:ptCount val="7"/>
                <c:pt idx="0">
                  <c:v>1380.8085714285714</c:v>
                </c:pt>
                <c:pt idx="1">
                  <c:v>1385.5365517241378</c:v>
                </c:pt>
                <c:pt idx="2">
                  <c:v>1375.3255405405407</c:v>
                </c:pt>
                <c:pt idx="3">
                  <c:v>1344.3906593406598</c:v>
                </c:pt>
                <c:pt idx="4">
                  <c:v>1430.4856818181822</c:v>
                </c:pt>
                <c:pt idx="5">
                  <c:v>1648.9638709677417</c:v>
                </c:pt>
                <c:pt idx="6">
                  <c:v>1485.4461290322581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9-DB43-9039-0DD2C1E2C971}"/>
            </c:ext>
          </c:extLst>
        </c:ser>
        <c:ser>
          <c:idx val="1"/>
          <c:order val="1"/>
          <c:tx>
            <c:strRef>
              <c:f>'OTB RR'!$C$21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RR'!$C$22:$C$28</c:f>
              <c:numCache>
                <c:formatCode>#,##0</c:formatCode>
                <c:ptCount val="7"/>
                <c:pt idx="0">
                  <c:v>1380.8085714285714</c:v>
                </c:pt>
                <c:pt idx="1">
                  <c:v>1358.9573684210529</c:v>
                </c:pt>
                <c:pt idx="2">
                  <c:v>1378.6793150684932</c:v>
                </c:pt>
                <c:pt idx="3">
                  <c:v>1322.0801219512196</c:v>
                </c:pt>
                <c:pt idx="4">
                  <c:v>1431.5120930232563</c:v>
                </c:pt>
                <c:pt idx="5">
                  <c:v>1648.9638709677417</c:v>
                </c:pt>
                <c:pt idx="6">
                  <c:v>1485.4461290322581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9-DB43-9039-0DD2C1E2C971}"/>
            </c:ext>
          </c:extLst>
        </c:ser>
        <c:ser>
          <c:idx val="2"/>
          <c:order val="2"/>
          <c:tx>
            <c:strRef>
              <c:f>'OTB RR'!$D$21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RR'!$D$22:$D$28</c:f>
              <c:numCache>
                <c:formatCode>#,##0</c:formatCode>
                <c:ptCount val="7"/>
                <c:pt idx="0">
                  <c:v>0</c:v>
                </c:pt>
                <c:pt idx="1">
                  <c:v>26.579183303084847</c:v>
                </c:pt>
                <c:pt idx="2">
                  <c:v>-3.3537745279525097</c:v>
                </c:pt>
                <c:pt idx="3">
                  <c:v>22.310537389440242</c:v>
                </c:pt>
                <c:pt idx="4">
                  <c:v>-1.026411205074055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9-DB43-9039-0DD2C1E2C971}"/>
            </c:ext>
          </c:extLst>
        </c:ser>
        <c:ser>
          <c:idx val="3"/>
          <c:order val="3"/>
          <c:tx>
            <c:strRef>
              <c:f>'OTB RR'!$E$21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RR'!$E$22:$E$28</c:f>
              <c:numCache>
                <c:formatCode>#,##0</c:formatCode>
                <c:ptCount val="7"/>
                <c:pt idx="0">
                  <c:v>777.72387096774185</c:v>
                </c:pt>
                <c:pt idx="1">
                  <c:v>1090.625</c:v>
                </c:pt>
                <c:pt idx="2">
                  <c:v>1143.5962857142849</c:v>
                </c:pt>
                <c:pt idx="3">
                  <c:v>1218.4770114942528</c:v>
                </c:pt>
                <c:pt idx="4">
                  <c:v>1126.5813953488373</c:v>
                </c:pt>
                <c:pt idx="5">
                  <c:v>1458.2251149425292</c:v>
                </c:pt>
                <c:pt idx="6">
                  <c:v>1425.8114705882349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09-DB43-9039-0DD2C1E2C971}"/>
            </c:ext>
          </c:extLst>
        </c:ser>
        <c:ser>
          <c:idx val="4"/>
          <c:order val="4"/>
          <c:tx>
            <c:strRef>
              <c:f>'OTB RR'!$F$21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RR'!$F$22:$F$28</c:f>
              <c:numCache>
                <c:formatCode>#,##0</c:formatCode>
                <c:ptCount val="7"/>
                <c:pt idx="0">
                  <c:v>603.08470046082959</c:v>
                </c:pt>
                <c:pt idx="1">
                  <c:v>294.91155172413778</c:v>
                </c:pt>
                <c:pt idx="2">
                  <c:v>231.72925482625578</c:v>
                </c:pt>
                <c:pt idx="3">
                  <c:v>125.913647846407</c:v>
                </c:pt>
                <c:pt idx="4">
                  <c:v>303.90428646934492</c:v>
                </c:pt>
                <c:pt idx="5">
                  <c:v>190.73875602521252</c:v>
                </c:pt>
                <c:pt idx="6">
                  <c:v>59.634658444023216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09-DB43-9039-0DD2C1E2C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05984"/>
        <c:axId val="39660432"/>
      </c:barChart>
      <c:catAx>
        <c:axId val="396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0432"/>
        <c:crosses val="autoZero"/>
        <c:auto val="1"/>
        <c:lblAlgn val="ctr"/>
        <c:lblOffset val="100"/>
        <c:noMultiLvlLbl val="0"/>
      </c:catAx>
      <c:valAx>
        <c:axId val="3966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797979797979799E-2"/>
          <c:y val="0.90443288338957628"/>
          <c:w val="0.9555555555555556"/>
          <c:h val="7.17575928008998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77FD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77FDB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YOY!$B$1:$L$1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YOY!$B$14:$L$14</c:f>
              <c:numCache>
                <c:formatCode>#,##0</c:formatCode>
                <c:ptCount val="11"/>
                <c:pt idx="0">
                  <c:v>577425.9</c:v>
                </c:pt>
                <c:pt idx="1">
                  <c:v>1122620.6299999999</c:v>
                </c:pt>
                <c:pt idx="2">
                  <c:v>1137898.3600000001</c:v>
                </c:pt>
                <c:pt idx="3">
                  <c:v>997832.34</c:v>
                </c:pt>
                <c:pt idx="4">
                  <c:v>650871.82000000007</c:v>
                </c:pt>
                <c:pt idx="5">
                  <c:v>443735.24999999994</c:v>
                </c:pt>
                <c:pt idx="6">
                  <c:v>486916.25</c:v>
                </c:pt>
                <c:pt idx="7">
                  <c:v>1186908.1199999999</c:v>
                </c:pt>
                <c:pt idx="8">
                  <c:v>1543163.8900000001</c:v>
                </c:pt>
                <c:pt idx="9">
                  <c:v>1205513.1199999999</c:v>
                </c:pt>
                <c:pt idx="10">
                  <c:v>1211452.6099999999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99-0047-B9E2-A6AA5F19E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51296"/>
        <c:axId val="209848896"/>
      </c:lineChart>
      <c:catAx>
        <c:axId val="2098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8896"/>
        <c:crosses val="autoZero"/>
        <c:auto val="1"/>
        <c:lblAlgn val="ctr"/>
        <c:lblOffset val="100"/>
        <c:noMultiLvlLbl val="0"/>
      </c:catAx>
      <c:valAx>
        <c:axId val="2098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YOY!$B$29:$L$29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YOY!$B$42:$L$42</c:f>
              <c:numCache>
                <c:formatCode>0%</c:formatCode>
                <c:ptCount val="11"/>
                <c:pt idx="0">
                  <c:v>0.29991935483870968</c:v>
                </c:pt>
                <c:pt idx="1">
                  <c:v>0.38356159621802005</c:v>
                </c:pt>
                <c:pt idx="2">
                  <c:v>0.38342373911930361</c:v>
                </c:pt>
                <c:pt idx="3">
                  <c:v>0.33818724398361494</c:v>
                </c:pt>
                <c:pt idx="4">
                  <c:v>0.28496703789042505</c:v>
                </c:pt>
                <c:pt idx="5">
                  <c:v>0.14726239031022123</c:v>
                </c:pt>
                <c:pt idx="6">
                  <c:v>0.18242518632303581</c:v>
                </c:pt>
                <c:pt idx="7">
                  <c:v>0.37598779655231268</c:v>
                </c:pt>
                <c:pt idx="8">
                  <c:v>0.3953725038402458</c:v>
                </c:pt>
                <c:pt idx="9">
                  <c:v>0.2471418860462242</c:v>
                </c:pt>
                <c:pt idx="10">
                  <c:v>0.31095892359333227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3-954C-907E-3B60D8B72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66656"/>
        <c:axId val="209868576"/>
      </c:lineChart>
      <c:catAx>
        <c:axId val="20986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8576"/>
        <c:crosses val="autoZero"/>
        <c:auto val="1"/>
        <c:lblAlgn val="ctr"/>
        <c:lblOffset val="100"/>
        <c:noMultiLvlLbl val="0"/>
      </c:catAx>
      <c:valAx>
        <c:axId val="20986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YOY!$B$43:$L$43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YOY!$B$56:$L$56</c:f>
              <c:numCache>
                <c:formatCode>0</c:formatCode>
                <c:ptCount val="11"/>
                <c:pt idx="0">
                  <c:v>758.67371815744377</c:v>
                </c:pt>
                <c:pt idx="1">
                  <c:v>956.56031064332376</c:v>
                </c:pt>
                <c:pt idx="2">
                  <c:v>996.38845991492371</c:v>
                </c:pt>
                <c:pt idx="3">
                  <c:v>1006.2210563703084</c:v>
                </c:pt>
                <c:pt idx="4">
                  <c:v>786.34924983088513</c:v>
                </c:pt>
                <c:pt idx="5">
                  <c:v>743.07754853638232</c:v>
                </c:pt>
                <c:pt idx="6">
                  <c:v>745.15705796083785</c:v>
                </c:pt>
                <c:pt idx="7">
                  <c:v>883.92149634934231</c:v>
                </c:pt>
                <c:pt idx="8">
                  <c:v>1175.7138548415235</c:v>
                </c:pt>
                <c:pt idx="9">
                  <c:v>1443.9205764357905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2-E344-9F0C-8C0B51891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72896"/>
        <c:axId val="209855616"/>
      </c:lineChart>
      <c:catAx>
        <c:axId val="20987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5616"/>
        <c:crosses val="autoZero"/>
        <c:auto val="1"/>
        <c:lblAlgn val="ctr"/>
        <c:lblOffset val="100"/>
        <c:noMultiLvlLbl val="0"/>
      </c:catAx>
      <c:valAx>
        <c:axId val="2098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 Year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YOY!$H$2:$H$13</c:f>
              <c:numCache>
                <c:formatCode>#,##0</c:formatCode>
                <c:ptCount val="12"/>
                <c:pt idx="0">
                  <c:v>10596.16</c:v>
                </c:pt>
                <c:pt idx="1">
                  <c:v>4600</c:v>
                </c:pt>
                <c:pt idx="2">
                  <c:v>33184</c:v>
                </c:pt>
                <c:pt idx="3">
                  <c:v>34911.599999999999</c:v>
                </c:pt>
                <c:pt idx="4">
                  <c:v>25415</c:v>
                </c:pt>
                <c:pt idx="5">
                  <c:v>25031.7</c:v>
                </c:pt>
                <c:pt idx="6">
                  <c:v>11965</c:v>
                </c:pt>
                <c:pt idx="7">
                  <c:v>18448.2</c:v>
                </c:pt>
                <c:pt idx="8">
                  <c:v>42543.6</c:v>
                </c:pt>
                <c:pt idx="9">
                  <c:v>66729.600000000006</c:v>
                </c:pt>
                <c:pt idx="10">
                  <c:v>65083.6</c:v>
                </c:pt>
                <c:pt idx="11">
                  <c:v>148407.79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D-0F43-A628-5011CF79AF87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YOY!$I$2:$I$13</c:f>
              <c:numCache>
                <c:formatCode>#,##0</c:formatCode>
                <c:ptCount val="12"/>
                <c:pt idx="0">
                  <c:v>119590.41</c:v>
                </c:pt>
                <c:pt idx="1">
                  <c:v>51958.59</c:v>
                </c:pt>
                <c:pt idx="2">
                  <c:v>141764.4</c:v>
                </c:pt>
                <c:pt idx="3">
                  <c:v>59814.76</c:v>
                </c:pt>
                <c:pt idx="4">
                  <c:v>26469.13</c:v>
                </c:pt>
                <c:pt idx="5">
                  <c:v>24132.6</c:v>
                </c:pt>
                <c:pt idx="6">
                  <c:v>26153.26</c:v>
                </c:pt>
                <c:pt idx="7">
                  <c:v>111556.09</c:v>
                </c:pt>
                <c:pt idx="8">
                  <c:v>131562.49</c:v>
                </c:pt>
                <c:pt idx="9">
                  <c:v>139419.25</c:v>
                </c:pt>
                <c:pt idx="10">
                  <c:v>136462.34</c:v>
                </c:pt>
                <c:pt idx="11">
                  <c:v>218024.8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BD-0F43-A628-5011CF79AF87}"/>
            </c:ext>
          </c:extLst>
        </c:ser>
        <c:ser>
          <c:idx val="2"/>
          <c:order val="2"/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YOY!$J$2:$J$13</c:f>
              <c:numCache>
                <c:formatCode>#,##0</c:formatCode>
                <c:ptCount val="12"/>
                <c:pt idx="0">
                  <c:v>135501.35999999999</c:v>
                </c:pt>
                <c:pt idx="1">
                  <c:v>97448.05</c:v>
                </c:pt>
                <c:pt idx="2">
                  <c:v>66648.5</c:v>
                </c:pt>
                <c:pt idx="3">
                  <c:v>112148.69</c:v>
                </c:pt>
                <c:pt idx="4">
                  <c:v>79960.19</c:v>
                </c:pt>
                <c:pt idx="5">
                  <c:v>88362.59</c:v>
                </c:pt>
                <c:pt idx="6">
                  <c:v>88135.08</c:v>
                </c:pt>
                <c:pt idx="7">
                  <c:v>127592.49</c:v>
                </c:pt>
                <c:pt idx="8">
                  <c:v>124634.05</c:v>
                </c:pt>
                <c:pt idx="9">
                  <c:v>157248.04</c:v>
                </c:pt>
                <c:pt idx="10">
                  <c:v>191330.55</c:v>
                </c:pt>
                <c:pt idx="11">
                  <c:v>274154.3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BD-0F43-A628-5011CF79AF87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YOY!$K$2:$K$13</c:f>
              <c:numCache>
                <c:formatCode>#,##0</c:formatCode>
                <c:ptCount val="12"/>
                <c:pt idx="0">
                  <c:v>135750</c:v>
                </c:pt>
                <c:pt idx="1">
                  <c:v>79084.800000000003</c:v>
                </c:pt>
                <c:pt idx="2">
                  <c:v>166969.14000000001</c:v>
                </c:pt>
                <c:pt idx="3">
                  <c:v>56460.1</c:v>
                </c:pt>
                <c:pt idx="4">
                  <c:v>42434.75</c:v>
                </c:pt>
                <c:pt idx="5">
                  <c:v>43204.28</c:v>
                </c:pt>
                <c:pt idx="6">
                  <c:v>61421.55</c:v>
                </c:pt>
                <c:pt idx="7">
                  <c:v>119541.7</c:v>
                </c:pt>
                <c:pt idx="8">
                  <c:v>92993.59</c:v>
                </c:pt>
                <c:pt idx="9">
                  <c:v>91669.95</c:v>
                </c:pt>
                <c:pt idx="10">
                  <c:v>105076.02</c:v>
                </c:pt>
                <c:pt idx="11">
                  <c:v>210907.24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BD-0F43-A628-5011CF79AF8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YOY!$L$2:$L$13</c:f>
              <c:numCache>
                <c:formatCode>#,##0</c:formatCode>
                <c:ptCount val="12"/>
                <c:pt idx="0">
                  <c:v>92567.13</c:v>
                </c:pt>
                <c:pt idx="1">
                  <c:v>80123.41</c:v>
                </c:pt>
                <c:pt idx="2">
                  <c:v>125931.1</c:v>
                </c:pt>
                <c:pt idx="3">
                  <c:v>99344.26</c:v>
                </c:pt>
                <c:pt idx="4">
                  <c:v>48969.599999999999</c:v>
                </c:pt>
                <c:pt idx="5">
                  <c:v>45707.75</c:v>
                </c:pt>
                <c:pt idx="6">
                  <c:v>48218.879999999997</c:v>
                </c:pt>
                <c:pt idx="7">
                  <c:v>104699.9</c:v>
                </c:pt>
                <c:pt idx="8">
                  <c:v>160103.48000000001</c:v>
                </c:pt>
                <c:pt idx="9">
                  <c:v>212015.44</c:v>
                </c:pt>
                <c:pt idx="10">
                  <c:v>193771.66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6-F447-A44D-05B09660B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77216"/>
        <c:axId val="209860896"/>
      </c:barChart>
      <c:catAx>
        <c:axId val="20987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0896"/>
        <c:crosses val="autoZero"/>
        <c:auto val="1"/>
        <c:lblAlgn val="ctr"/>
        <c:lblOffset val="100"/>
        <c:noMultiLvlLbl val="0"/>
      </c:catAx>
      <c:valAx>
        <c:axId val="20986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</a:t>
            </a:r>
            <a:r>
              <a:rPr lang="en-ZA" baseline="0"/>
              <a:t> Year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YOY!$H$30:$H$41</c:f>
              <c:numCache>
                <c:formatCode>0.00%</c:formatCode>
                <c:ptCount val="12"/>
                <c:pt idx="0">
                  <c:v>5.7347670250896057E-2</c:v>
                </c:pt>
                <c:pt idx="1">
                  <c:v>5.1587301587301584E-2</c:v>
                </c:pt>
                <c:pt idx="2">
                  <c:v>0.12186379928315412</c:v>
                </c:pt>
                <c:pt idx="3">
                  <c:v>0.14814814814814814</c:v>
                </c:pt>
                <c:pt idx="4">
                  <c:v>0.1039426523297491</c:v>
                </c:pt>
                <c:pt idx="5">
                  <c:v>0.15185185185185185</c:v>
                </c:pt>
                <c:pt idx="6">
                  <c:v>7.1684587813620068E-2</c:v>
                </c:pt>
                <c:pt idx="7">
                  <c:v>0.23297491039426524</c:v>
                </c:pt>
                <c:pt idx="8">
                  <c:v>0.17777777777777778</c:v>
                </c:pt>
                <c:pt idx="9">
                  <c:v>0.30824372759856633</c:v>
                </c:pt>
                <c:pt idx="10">
                  <c:v>0.22962962962962963</c:v>
                </c:pt>
                <c:pt idx="11">
                  <c:v>0.53405017921146958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D-FC45-86C7-F89D725A2A41}"/>
            </c:ext>
          </c:extLst>
        </c:ser>
        <c:ser>
          <c:idx val="1"/>
          <c:order val="1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rgbClr val="F9A1E4"/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YOY!$I$30:$I$41</c:f>
              <c:numCache>
                <c:formatCode>0.00%</c:formatCode>
                <c:ptCount val="12"/>
                <c:pt idx="0">
                  <c:v>0.37634408602150538</c:v>
                </c:pt>
                <c:pt idx="1">
                  <c:v>0.22619047619047619</c:v>
                </c:pt>
                <c:pt idx="2">
                  <c:v>0.5161290322580645</c:v>
                </c:pt>
                <c:pt idx="3">
                  <c:v>0.25925925925925924</c:v>
                </c:pt>
                <c:pt idx="4">
                  <c:v>0.22580645161290322</c:v>
                </c:pt>
                <c:pt idx="5">
                  <c:v>0.2074074074074074</c:v>
                </c:pt>
                <c:pt idx="6">
                  <c:v>0.30107526881720431</c:v>
                </c:pt>
                <c:pt idx="7">
                  <c:v>0.34767025089605735</c:v>
                </c:pt>
                <c:pt idx="8">
                  <c:v>0.44444444444444442</c:v>
                </c:pt>
                <c:pt idx="9">
                  <c:v>0.45161290322580644</c:v>
                </c:pt>
                <c:pt idx="10">
                  <c:v>0.5</c:v>
                </c:pt>
                <c:pt idx="11">
                  <c:v>0.65591397849462363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BD-FC45-86C7-F89D725A2A41}"/>
            </c:ext>
          </c:extLst>
        </c:ser>
        <c:ser>
          <c:idx val="2"/>
          <c:order val="2"/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YOY!$J$30:$J$41</c:f>
              <c:numCache>
                <c:formatCode>0.00%</c:formatCode>
                <c:ptCount val="12"/>
                <c:pt idx="0">
                  <c:v>0.47670250896057348</c:v>
                </c:pt>
                <c:pt idx="1">
                  <c:v>0.28174603174603174</c:v>
                </c:pt>
                <c:pt idx="2">
                  <c:v>0.37275985663082439</c:v>
                </c:pt>
                <c:pt idx="3">
                  <c:v>0.3037037037037037</c:v>
                </c:pt>
                <c:pt idx="4">
                  <c:v>0.23655913978494625</c:v>
                </c:pt>
                <c:pt idx="5">
                  <c:v>0.2814814814814815</c:v>
                </c:pt>
                <c:pt idx="6">
                  <c:v>0.31899641577060933</c:v>
                </c:pt>
                <c:pt idx="7">
                  <c:v>0.37275985663082439</c:v>
                </c:pt>
                <c:pt idx="8">
                  <c:v>0.3925925925925926</c:v>
                </c:pt>
                <c:pt idx="9">
                  <c:v>0.43010752688172044</c:v>
                </c:pt>
                <c:pt idx="10">
                  <c:v>0.58888888888888891</c:v>
                </c:pt>
                <c:pt idx="11">
                  <c:v>0.68817204301075274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BD-FC45-86C7-F89D725A2A41}"/>
            </c:ext>
          </c:extLst>
        </c:ser>
        <c:ser>
          <c:idx val="3"/>
          <c:order val="3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rgbClr val="F559D0"/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YOY!$K$30:$K$41</c:f>
              <c:numCache>
                <c:formatCode>0.00%</c:formatCode>
                <c:ptCount val="12"/>
                <c:pt idx="0">
                  <c:v>0.34408602150537637</c:v>
                </c:pt>
                <c:pt idx="1">
                  <c:v>0.21839080459770116</c:v>
                </c:pt>
                <c:pt idx="2">
                  <c:v>0.36559139784946237</c:v>
                </c:pt>
                <c:pt idx="3">
                  <c:v>0.14074074074074075</c:v>
                </c:pt>
                <c:pt idx="4">
                  <c:v>0.10752688172043011</c:v>
                </c:pt>
                <c:pt idx="5">
                  <c:v>0.11851851851851852</c:v>
                </c:pt>
                <c:pt idx="6">
                  <c:v>0.15770609318996415</c:v>
                </c:pt>
                <c:pt idx="7">
                  <c:v>0.30107526881720431</c:v>
                </c:pt>
                <c:pt idx="8">
                  <c:v>0.2814814814814815</c:v>
                </c:pt>
                <c:pt idx="9">
                  <c:v>0.24372759856630824</c:v>
                </c:pt>
                <c:pt idx="10">
                  <c:v>0.29259259259259257</c:v>
                </c:pt>
                <c:pt idx="11">
                  <c:v>0.3942652329749104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BD-FC45-86C7-F89D725A2A4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YOY!$L$30:$L$41</c:f>
              <c:numCache>
                <c:formatCode>0.00%</c:formatCode>
                <c:ptCount val="12"/>
                <c:pt idx="0">
                  <c:v>0.22222222222222221</c:v>
                </c:pt>
                <c:pt idx="1">
                  <c:v>0.25396825396825395</c:v>
                </c:pt>
                <c:pt idx="2">
                  <c:v>0.34408602150537637</c:v>
                </c:pt>
                <c:pt idx="3">
                  <c:v>0.23333333333333334</c:v>
                </c:pt>
                <c:pt idx="4">
                  <c:v>0.13978494623655913</c:v>
                </c:pt>
                <c:pt idx="5">
                  <c:v>0.19259259259259259</c:v>
                </c:pt>
                <c:pt idx="6">
                  <c:v>0.22222222222222221</c:v>
                </c:pt>
                <c:pt idx="7">
                  <c:v>0.34408602150537637</c:v>
                </c:pt>
                <c:pt idx="8">
                  <c:v>0.51851851851851849</c:v>
                </c:pt>
                <c:pt idx="9">
                  <c:v>0.62365591397849462</c:v>
                </c:pt>
                <c:pt idx="10">
                  <c:v>0.63703703703703707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C-454D-9A7D-FC960E1A6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31264"/>
        <c:axId val="210123104"/>
      </c:lineChart>
      <c:catAx>
        <c:axId val="2101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3104"/>
        <c:crosses val="autoZero"/>
        <c:auto val="1"/>
        <c:lblAlgn val="ctr"/>
        <c:lblOffset val="100"/>
        <c:noMultiLvlLbl val="0"/>
      </c:catAx>
      <c:valAx>
        <c:axId val="2101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 4 Year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YOY!$H$44:$H$55</c:f>
              <c:numCache>
                <c:formatCode>0.00</c:formatCode>
                <c:ptCount val="12"/>
                <c:pt idx="0">
                  <c:v>662.26</c:v>
                </c:pt>
                <c:pt idx="1">
                  <c:v>353.84615384615387</c:v>
                </c:pt>
                <c:pt idx="2">
                  <c:v>976</c:v>
                </c:pt>
                <c:pt idx="3">
                  <c:v>872.79</c:v>
                </c:pt>
                <c:pt idx="4">
                  <c:v>876.37931034482756</c:v>
                </c:pt>
                <c:pt idx="5">
                  <c:v>610.5292682926829</c:v>
                </c:pt>
                <c:pt idx="6">
                  <c:v>598.25</c:v>
                </c:pt>
                <c:pt idx="7">
                  <c:v>283.81846153846158</c:v>
                </c:pt>
                <c:pt idx="8">
                  <c:v>886.32499999999993</c:v>
                </c:pt>
                <c:pt idx="9">
                  <c:v>775.9255813953489</c:v>
                </c:pt>
                <c:pt idx="10">
                  <c:v>1049.7354838709678</c:v>
                </c:pt>
                <c:pt idx="11">
                  <c:v>996.02543624161081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2-AA4D-BC39-69C598188384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YOY!$I$44:$I$55</c:f>
              <c:numCache>
                <c:formatCode>0.00</c:formatCode>
                <c:ptCount val="12"/>
                <c:pt idx="0">
                  <c:v>1138.9562857142857</c:v>
                </c:pt>
                <c:pt idx="1">
                  <c:v>911.55421052631573</c:v>
                </c:pt>
                <c:pt idx="2">
                  <c:v>984.47499999999991</c:v>
                </c:pt>
                <c:pt idx="3">
                  <c:v>854.49657142857143</c:v>
                </c:pt>
                <c:pt idx="4">
                  <c:v>420.14492063492065</c:v>
                </c:pt>
                <c:pt idx="5">
                  <c:v>430.93928571428569</c:v>
                </c:pt>
                <c:pt idx="6">
                  <c:v>311.3483333333333</c:v>
                </c:pt>
                <c:pt idx="7">
                  <c:v>1150.0627835051546</c:v>
                </c:pt>
                <c:pt idx="8">
                  <c:v>1096.3540833333332</c:v>
                </c:pt>
                <c:pt idx="9">
                  <c:v>1106.5019841269841</c:v>
                </c:pt>
                <c:pt idx="10">
                  <c:v>1010.8321481481481</c:v>
                </c:pt>
                <c:pt idx="11">
                  <c:v>1191.3923497267758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2-AA4D-BC39-69C598188384}"/>
            </c:ext>
          </c:extLst>
        </c:ser>
        <c:ser>
          <c:idx val="2"/>
          <c:order val="2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YOY!$J$44:$J$55</c:f>
              <c:numCache>
                <c:formatCode>0.00</c:formatCode>
                <c:ptCount val="12"/>
                <c:pt idx="0">
                  <c:v>1018.8072180451127</c:v>
                </c:pt>
                <c:pt idx="1">
                  <c:v>1372.5077464788733</c:v>
                </c:pt>
                <c:pt idx="2">
                  <c:v>640.85096153846155</c:v>
                </c:pt>
                <c:pt idx="3">
                  <c:v>1367.6669512195122</c:v>
                </c:pt>
                <c:pt idx="4">
                  <c:v>1211.5180303030304</c:v>
                </c:pt>
                <c:pt idx="5">
                  <c:v>1162.6656578947368</c:v>
                </c:pt>
                <c:pt idx="6">
                  <c:v>990.28179775280898</c:v>
                </c:pt>
                <c:pt idx="7">
                  <c:v>1226.8508653846154</c:v>
                </c:pt>
                <c:pt idx="8">
                  <c:v>1175.7929245283019</c:v>
                </c:pt>
                <c:pt idx="9">
                  <c:v>1310.4003333333335</c:v>
                </c:pt>
                <c:pt idx="10">
                  <c:v>1203.3367924528302</c:v>
                </c:pt>
                <c:pt idx="11">
                  <c:v>1427.8869791666666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2-AA4D-BC39-69C598188384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YOY!$K$44:$K$55</c:f>
              <c:numCache>
                <c:formatCode>0.00</c:formatCode>
                <c:ptCount val="12"/>
                <c:pt idx="0">
                  <c:v>1414.0625</c:v>
                </c:pt>
                <c:pt idx="1">
                  <c:v>1387.4526315789474</c:v>
                </c:pt>
                <c:pt idx="2">
                  <c:v>1636.9523529411765</c:v>
                </c:pt>
                <c:pt idx="3">
                  <c:v>1485.792105263158</c:v>
                </c:pt>
                <c:pt idx="4">
                  <c:v>1414.4916666666666</c:v>
                </c:pt>
                <c:pt idx="5">
                  <c:v>1350.13375</c:v>
                </c:pt>
                <c:pt idx="6">
                  <c:v>1395.9443181818183</c:v>
                </c:pt>
                <c:pt idx="7">
                  <c:v>1423.1154761904761</c:v>
                </c:pt>
                <c:pt idx="8">
                  <c:v>1223.5998684210526</c:v>
                </c:pt>
                <c:pt idx="9">
                  <c:v>1348.0874999999999</c:v>
                </c:pt>
                <c:pt idx="10">
                  <c:v>1330.0762025316455</c:v>
                </c:pt>
                <c:pt idx="11">
                  <c:v>1917.3385454545453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32-AA4D-BC39-69C59818838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YOY!$L$44:$L$55</c:f>
              <c:numCache>
                <c:formatCode>0.00</c:formatCode>
                <c:ptCount val="12"/>
                <c:pt idx="0">
                  <c:v>1493.0182258064517</c:v>
                </c:pt>
                <c:pt idx="1">
                  <c:v>1251.9282812500001</c:v>
                </c:pt>
                <c:pt idx="2">
                  <c:v>1311.7822916666667</c:v>
                </c:pt>
                <c:pt idx="3">
                  <c:v>1576.8930158730159</c:v>
                </c:pt>
                <c:pt idx="4">
                  <c:v>1255.6307692307691</c:v>
                </c:pt>
                <c:pt idx="5">
                  <c:v>878.99519230769226</c:v>
                </c:pt>
                <c:pt idx="6">
                  <c:v>777.72387096774185</c:v>
                </c:pt>
                <c:pt idx="7">
                  <c:v>1090.6239583333333</c:v>
                </c:pt>
                <c:pt idx="8">
                  <c:v>1143.5962857142858</c:v>
                </c:pt>
                <c:pt idx="9">
                  <c:v>1218.4795402298851</c:v>
                </c:pt>
                <c:pt idx="10">
                  <c:v>1126.5794186046512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A-3F4E-99ED-7547AFB7E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24544"/>
        <c:axId val="210129344"/>
      </c:barChart>
      <c:catAx>
        <c:axId val="21012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9344"/>
        <c:crosses val="autoZero"/>
        <c:auto val="1"/>
        <c:lblAlgn val="ctr"/>
        <c:lblOffset val="100"/>
        <c:noMultiLvlLbl val="0"/>
      </c:catAx>
      <c:valAx>
        <c:axId val="21012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29</xdr:row>
      <xdr:rowOff>101600</xdr:rowOff>
    </xdr:from>
    <xdr:to>
      <xdr:col>6</xdr:col>
      <xdr:colOff>469900</xdr:colOff>
      <xdr:row>45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591DE4-0579-0DDF-4E65-68922E74B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527050</xdr:colOff>
      <xdr:row>29</xdr:row>
      <xdr:rowOff>95250</xdr:rowOff>
    </xdr:from>
    <xdr:to>
      <xdr:col>12</xdr:col>
      <xdr:colOff>704850</xdr:colOff>
      <xdr:row>45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416DA9-9E97-6E63-3434-E10DDCA8E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819150</xdr:colOff>
      <xdr:row>29</xdr:row>
      <xdr:rowOff>107950</xdr:rowOff>
    </xdr:from>
    <xdr:to>
      <xdr:col>19</xdr:col>
      <xdr:colOff>19050</xdr:colOff>
      <xdr:row>45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CDDBE-6951-EA8E-C324-884643C32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327478</xdr:colOff>
      <xdr:row>1</xdr:row>
      <xdr:rowOff>26761</xdr:rowOff>
    </xdr:from>
    <xdr:to>
      <xdr:col>21</xdr:col>
      <xdr:colOff>632278</xdr:colOff>
      <xdr:row>13</xdr:row>
      <xdr:rowOff>146504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7CE4B-CBB0-AD45-98E4-2AD6D254A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65315</xdr:colOff>
      <xdr:row>29</xdr:row>
      <xdr:rowOff>59872</xdr:rowOff>
    </xdr:from>
    <xdr:to>
      <xdr:col>21</xdr:col>
      <xdr:colOff>370115</xdr:colOff>
      <xdr:row>41</xdr:row>
      <xdr:rowOff>179615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767DB2-8E84-6740-BE30-38CF4FE28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65314</xdr:colOff>
      <xdr:row>43</xdr:row>
      <xdr:rowOff>59871</xdr:rowOff>
    </xdr:from>
    <xdr:to>
      <xdr:col>21</xdr:col>
      <xdr:colOff>370114</xdr:colOff>
      <xdr:row>55</xdr:row>
      <xdr:rowOff>179614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58ADF2-AC07-3B44-936A-FB7C32575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65314</xdr:colOff>
      <xdr:row>1</xdr:row>
      <xdr:rowOff>38100</xdr:rowOff>
    </xdr:from>
    <xdr:to>
      <xdr:col>29</xdr:col>
      <xdr:colOff>370114</xdr:colOff>
      <xdr:row>13</xdr:row>
      <xdr:rowOff>157843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044139-CECD-7746-8EF2-3897AACEE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65314</xdr:colOff>
      <xdr:row>29</xdr:row>
      <xdr:rowOff>114300</xdr:rowOff>
    </xdr:from>
    <xdr:to>
      <xdr:col>29</xdr:col>
      <xdr:colOff>370114</xdr:colOff>
      <xdr:row>42</xdr:row>
      <xdr:rowOff>5443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5AFB6D-2D12-4F48-B832-58BEA226C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87085</xdr:colOff>
      <xdr:row>43</xdr:row>
      <xdr:rowOff>38099</xdr:rowOff>
    </xdr:from>
    <xdr:to>
      <xdr:col>29</xdr:col>
      <xdr:colOff>391885</xdr:colOff>
      <xdr:row>55</xdr:row>
      <xdr:rowOff>157842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045E96-31DD-EB4A-84C1-8562FEB14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C22-16E4-5542-87C2-0EE348A6D3D1}">
  <dimension ref="A1:V28"/>
  <sheetViews>
    <sheetView tabSelected="1" zoomScaleNormal="100" workbookViewId="0">
      <selection activeCell="C2" sqref="C2"/>
    </sheetView>
  </sheetViews>
  <sheetFormatPr baseColWidth="10" defaultRowHeight="16" x14ac:dyDescent="0.2"/>
  <cols>
    <col min="1" max="1" width="8.83203125" style="7" customWidth="1"/>
    <col min="2" max="3" width="10.83203125" style="7"/>
    <col min="4" max="4" width="8.83203125" style="7" customWidth="1"/>
    <col min="5" max="8" width="10.83203125" style="7"/>
    <col min="9" max="9" width="8.83203125" style="7" customWidth="1"/>
    <col min="10" max="11" width="10.83203125" style="7"/>
    <col min="12" max="14" width="11.5" style="1" customWidth="1"/>
    <col min="15" max="16" width="11.5" customWidth="1"/>
    <col min="17" max="17" width="8.83203125" customWidth="1"/>
  </cols>
  <sheetData>
    <row r="1" spans="1:22" ht="28" customHeight="1" thickBot="1" x14ac:dyDescent="0.25">
      <c r="A1" s="131" t="s">
        <v>44</v>
      </c>
      <c r="B1" s="132"/>
      <c r="C1" s="132"/>
      <c r="D1" s="132"/>
      <c r="E1" s="132"/>
      <c r="F1" s="132"/>
      <c r="G1" s="132"/>
      <c r="H1" s="132"/>
      <c r="I1" s="132"/>
      <c r="J1" s="132"/>
      <c r="K1" s="133"/>
      <c r="N1" s="67"/>
      <c r="O1" s="67"/>
      <c r="P1" s="67"/>
      <c r="Q1" s="67"/>
      <c r="R1" s="67"/>
      <c r="S1" s="67"/>
    </row>
    <row r="2" spans="1:22" s="5" customFormat="1" ht="32" customHeight="1" x14ac:dyDescent="0.2">
      <c r="A2" s="54"/>
      <c r="B2" s="55" t="s">
        <v>45</v>
      </c>
      <c r="C2" s="55" t="s">
        <v>43</v>
      </c>
      <c r="D2" s="55" t="s">
        <v>0</v>
      </c>
      <c r="E2" s="56" t="s">
        <v>1</v>
      </c>
      <c r="F2" s="57" t="s">
        <v>9</v>
      </c>
      <c r="G2" s="58" t="s">
        <v>2</v>
      </c>
      <c r="H2" s="59" t="s">
        <v>3</v>
      </c>
      <c r="I2" s="4"/>
      <c r="J2" s="57" t="s">
        <v>9</v>
      </c>
      <c r="K2" s="59" t="s">
        <v>3</v>
      </c>
      <c r="L2" s="4"/>
      <c r="M2" s="4"/>
    </row>
    <row r="3" spans="1:22" s="3" customFormat="1" ht="18" customHeight="1" x14ac:dyDescent="0.2">
      <c r="A3" s="50" t="s">
        <v>15</v>
      </c>
      <c r="B3" s="53">
        <v>19331.32</v>
      </c>
      <c r="C3" s="53">
        <v>19331.32</v>
      </c>
      <c r="D3" s="53">
        <f t="shared" ref="D3:D4" si="0">B3-C3</f>
        <v>0</v>
      </c>
      <c r="E3" s="60">
        <v>48218.879999999997</v>
      </c>
      <c r="F3" s="74">
        <f t="shared" ref="F3:F8" si="1">B3-E3</f>
        <v>-28887.559999999998</v>
      </c>
      <c r="G3" s="61">
        <v>150000</v>
      </c>
      <c r="H3" s="78">
        <f t="shared" ref="H3:H8" si="2">B3-G3</f>
        <v>-130668.68</v>
      </c>
      <c r="I3" s="6"/>
      <c r="J3" s="103">
        <f t="shared" ref="J3:J10" si="3">(B3-E3)/E3</f>
        <v>-0.59909230575243555</v>
      </c>
      <c r="K3" s="75">
        <f t="shared" ref="K3:K9" si="4">(B3-G3)/G3</f>
        <v>-0.87112453333333328</v>
      </c>
      <c r="L3" s="2"/>
      <c r="M3" s="2"/>
      <c r="S3" s="67"/>
    </row>
    <row r="4" spans="1:22" s="3" customFormat="1" ht="18" customHeight="1" x14ac:dyDescent="0.2">
      <c r="A4" s="50" t="s">
        <v>4</v>
      </c>
      <c r="B4" s="53">
        <v>80361.119999999995</v>
      </c>
      <c r="C4" s="53">
        <v>51640.380000000012</v>
      </c>
      <c r="D4" s="53">
        <f t="shared" si="0"/>
        <v>28720.739999999983</v>
      </c>
      <c r="E4" s="60">
        <v>104700</v>
      </c>
      <c r="F4" s="74">
        <f t="shared" si="1"/>
        <v>-24338.880000000005</v>
      </c>
      <c r="G4" s="61">
        <v>150000</v>
      </c>
      <c r="H4" s="78">
        <f t="shared" si="2"/>
        <v>-69638.880000000005</v>
      </c>
      <c r="I4" s="6"/>
      <c r="J4" s="103">
        <f t="shared" si="3"/>
        <v>-0.23246303724928372</v>
      </c>
      <c r="K4" s="75">
        <f t="shared" si="4"/>
        <v>-0.46425920000000004</v>
      </c>
      <c r="L4" s="2"/>
      <c r="M4" s="2"/>
      <c r="S4" s="67"/>
    </row>
    <row r="5" spans="1:22" s="3" customFormat="1" ht="18" customHeight="1" x14ac:dyDescent="0.2">
      <c r="A5" s="50" t="s">
        <v>5</v>
      </c>
      <c r="B5" s="53">
        <v>101774.09000000001</v>
      </c>
      <c r="C5" s="53">
        <v>100643.59000000001</v>
      </c>
      <c r="D5" s="53">
        <f t="shared" ref="D5" si="5">B5-C5</f>
        <v>1130.5</v>
      </c>
      <c r="E5" s="60">
        <v>160103.47999999989</v>
      </c>
      <c r="F5" s="74">
        <f t="shared" si="1"/>
        <v>-58329.389999999883</v>
      </c>
      <c r="G5" s="61">
        <v>150000</v>
      </c>
      <c r="H5" s="78">
        <f t="shared" si="2"/>
        <v>-48225.909999999989</v>
      </c>
      <c r="I5" s="6"/>
      <c r="J5" s="103">
        <f t="shared" si="3"/>
        <v>-0.3643230615599356</v>
      </c>
      <c r="K5" s="75">
        <f t="shared" si="4"/>
        <v>-0.32150606666666659</v>
      </c>
      <c r="L5" s="2"/>
      <c r="M5" s="2"/>
      <c r="S5" s="67"/>
    </row>
    <row r="6" spans="1:22" s="3" customFormat="1" ht="18" customHeight="1" x14ac:dyDescent="0.2">
      <c r="A6" s="50" t="s">
        <v>14</v>
      </c>
      <c r="B6" s="53">
        <v>122339.55000000003</v>
      </c>
      <c r="C6" s="53">
        <v>108410.57</v>
      </c>
      <c r="D6" s="53">
        <f>B6-C6</f>
        <v>13928.980000000025</v>
      </c>
      <c r="E6" s="60">
        <v>212015</v>
      </c>
      <c r="F6" s="74">
        <f t="shared" si="1"/>
        <v>-89675.449999999968</v>
      </c>
      <c r="G6" s="61">
        <v>150000</v>
      </c>
      <c r="H6" s="78">
        <f t="shared" si="2"/>
        <v>-27660.449999999968</v>
      </c>
      <c r="I6" s="6"/>
      <c r="J6" s="103">
        <f>(B6-E6)/E6</f>
        <v>-0.42296747871612844</v>
      </c>
      <c r="K6" s="75">
        <f t="shared" si="4"/>
        <v>-0.18440299999999979</v>
      </c>
      <c r="L6" s="2"/>
      <c r="M6" s="2"/>
      <c r="S6" s="67"/>
    </row>
    <row r="7" spans="1:22" s="3" customFormat="1" ht="18" customHeight="1" x14ac:dyDescent="0.2">
      <c r="A7" s="50" t="s">
        <v>13</v>
      </c>
      <c r="B7" s="53">
        <v>62941.370000000017</v>
      </c>
      <c r="C7" s="53">
        <v>61555.020000000019</v>
      </c>
      <c r="D7" s="53">
        <f>B7-C7</f>
        <v>1386.3499999999985</v>
      </c>
      <c r="E7" s="60">
        <v>193772</v>
      </c>
      <c r="F7" s="74">
        <f t="shared" si="1"/>
        <v>-130830.62999999998</v>
      </c>
      <c r="G7" s="61">
        <v>150000</v>
      </c>
      <c r="H7" s="78">
        <f t="shared" si="2"/>
        <v>-87058.629999999976</v>
      </c>
      <c r="I7" s="6"/>
      <c r="J7" s="103">
        <f t="shared" si="3"/>
        <v>-0.67517819912061583</v>
      </c>
      <c r="K7" s="75">
        <f>(B7-G7)/G7</f>
        <v>-0.58039086666666651</v>
      </c>
      <c r="L7" s="2"/>
      <c r="M7" s="2"/>
      <c r="S7" s="67"/>
    </row>
    <row r="8" spans="1:22" s="3" customFormat="1" ht="18" customHeight="1" x14ac:dyDescent="0.2">
      <c r="A8" s="50" t="s">
        <v>12</v>
      </c>
      <c r="B8" s="53">
        <v>51117.88</v>
      </c>
      <c r="C8" s="53">
        <v>51117.88</v>
      </c>
      <c r="D8" s="53">
        <f>B8-C8</f>
        <v>0</v>
      </c>
      <c r="E8" s="60">
        <v>253731.17000000007</v>
      </c>
      <c r="F8" s="74">
        <f t="shared" si="1"/>
        <v>-202613.29000000007</v>
      </c>
      <c r="G8" s="61">
        <v>150000</v>
      </c>
      <c r="H8" s="78">
        <f t="shared" si="2"/>
        <v>-98882.12</v>
      </c>
      <c r="I8" s="6"/>
      <c r="J8" s="103">
        <f t="shared" ref="J8" si="6">(B8-E8)/E8</f>
        <v>-0.79853527652909184</v>
      </c>
      <c r="K8" s="75">
        <f t="shared" ref="K8" si="7">(B8-G8)/G8</f>
        <v>-0.65921413333333334</v>
      </c>
      <c r="L8" s="2"/>
      <c r="M8" s="2"/>
      <c r="S8" s="67"/>
    </row>
    <row r="9" spans="1:22" s="3" customFormat="1" ht="18" customHeight="1" x14ac:dyDescent="0.2">
      <c r="A9" s="51">
        <v>46388</v>
      </c>
      <c r="B9" s="53">
        <v>46048.83</v>
      </c>
      <c r="C9" s="53">
        <v>46048.83</v>
      </c>
      <c r="D9" s="53">
        <f>B9-C9</f>
        <v>0</v>
      </c>
      <c r="E9" s="60">
        <v>193910.35999999996</v>
      </c>
      <c r="F9" s="74">
        <f t="shared" ref="F9" si="8">B9-E9</f>
        <v>-147861.52999999997</v>
      </c>
      <c r="G9" s="61">
        <v>150000</v>
      </c>
      <c r="H9" s="78">
        <f t="shared" ref="H9" si="9">B9-G9</f>
        <v>-103951.17</v>
      </c>
      <c r="I9" s="6"/>
      <c r="J9" s="103">
        <f t="shared" si="3"/>
        <v>-0.76252516884605859</v>
      </c>
      <c r="K9" s="77">
        <f t="shared" si="4"/>
        <v>-0.69300779999999995</v>
      </c>
      <c r="L9" s="2"/>
      <c r="M9" s="2"/>
      <c r="S9" s="67"/>
    </row>
    <row r="10" spans="1:22" s="3" customFormat="1" ht="18" customHeight="1" thickBot="1" x14ac:dyDescent="0.25">
      <c r="A10" s="52" t="s">
        <v>10</v>
      </c>
      <c r="B10" s="62">
        <f>SUM(B3:B9)</f>
        <v>483914.16000000009</v>
      </c>
      <c r="C10" s="62">
        <f>SUM(C3:C9)</f>
        <v>438747.59000000008</v>
      </c>
      <c r="D10" s="62">
        <f>SUM(D3:D9)</f>
        <v>45166.570000000007</v>
      </c>
      <c r="E10" s="63">
        <f>SUM(E3:E9)</f>
        <v>1166450.8899999999</v>
      </c>
      <c r="F10" s="79">
        <f>B10-E10</f>
        <v>-682536.72999999975</v>
      </c>
      <c r="G10" s="64">
        <f>SUM(G3:G9)</f>
        <v>1050000</v>
      </c>
      <c r="H10" s="80">
        <f>(B10-G10)</f>
        <v>-566085.83999999985</v>
      </c>
      <c r="I10" s="6"/>
      <c r="J10" s="125">
        <f t="shared" si="3"/>
        <v>-0.58513970528154835</v>
      </c>
      <c r="K10" s="75">
        <f>(B10-G10)/G10</f>
        <v>-0.53912937142857131</v>
      </c>
      <c r="L10" s="2"/>
      <c r="M10" s="2"/>
      <c r="N10" s="67"/>
      <c r="O10" s="67"/>
      <c r="P10" s="67"/>
      <c r="Q10" s="67"/>
      <c r="R10" s="67"/>
      <c r="S10" s="67"/>
    </row>
    <row r="11" spans="1:22" ht="25" customHeight="1" thickBot="1" x14ac:dyDescent="0.25">
      <c r="A11" s="128" t="s">
        <v>6</v>
      </c>
      <c r="B11" s="129"/>
      <c r="C11" s="129"/>
      <c r="D11" s="129"/>
      <c r="E11" s="129"/>
      <c r="F11" s="130"/>
      <c r="G11" s="128" t="s">
        <v>8</v>
      </c>
      <c r="H11" s="129"/>
      <c r="I11" s="129"/>
      <c r="J11" s="129"/>
      <c r="K11" s="130"/>
      <c r="O11" s="1"/>
      <c r="P11" s="1"/>
      <c r="Q11" s="1"/>
      <c r="R11" s="1"/>
      <c r="S11" s="1"/>
      <c r="T11" s="1"/>
      <c r="U11" s="1"/>
      <c r="V11" s="1"/>
    </row>
    <row r="12" spans="1:22" s="68" customFormat="1" ht="32" customHeight="1" x14ac:dyDescent="0.2">
      <c r="A12" s="54"/>
      <c r="B12" s="55" t="s">
        <v>45</v>
      </c>
      <c r="C12" s="55" t="s">
        <v>43</v>
      </c>
      <c r="D12" s="55" t="s">
        <v>0</v>
      </c>
      <c r="E12" s="56" t="s">
        <v>1</v>
      </c>
      <c r="F12" s="57" t="s">
        <v>9</v>
      </c>
      <c r="G12" s="55" t="s">
        <v>45</v>
      </c>
      <c r="H12" s="55" t="s">
        <v>43</v>
      </c>
      <c r="I12" s="55" t="s">
        <v>0</v>
      </c>
      <c r="J12" s="56" t="s">
        <v>1</v>
      </c>
      <c r="K12" s="57" t="s">
        <v>9</v>
      </c>
      <c r="L12" s="67"/>
      <c r="M12" s="67"/>
      <c r="N12" s="67"/>
      <c r="O12" s="67"/>
      <c r="P12" s="1"/>
      <c r="Q12" s="1"/>
      <c r="R12" s="1"/>
      <c r="S12" s="1"/>
      <c r="T12" s="1"/>
      <c r="U12" s="1"/>
      <c r="V12" s="1"/>
    </row>
    <row r="13" spans="1:22" s="68" customFormat="1" ht="18" customHeight="1" x14ac:dyDescent="0.2">
      <c r="A13" s="50" t="s">
        <v>15</v>
      </c>
      <c r="B13" s="65">
        <v>14</v>
      </c>
      <c r="C13" s="65">
        <v>14</v>
      </c>
      <c r="D13" s="53">
        <f t="shared" ref="D13:D14" si="10">B13-C13</f>
        <v>0</v>
      </c>
      <c r="E13" s="66">
        <v>62</v>
      </c>
      <c r="F13" s="81">
        <f t="shared" ref="F13:F18" si="11">B13-E13</f>
        <v>-48</v>
      </c>
      <c r="G13" s="69">
        <f>B13/279</f>
        <v>5.0179211469534052E-2</v>
      </c>
      <c r="H13" s="69">
        <f>C13/279</f>
        <v>5.0179211469534052E-2</v>
      </c>
      <c r="I13" s="69">
        <f t="shared" ref="I13" si="12">G13-H13</f>
        <v>0</v>
      </c>
      <c r="J13" s="70">
        <f>E13/279</f>
        <v>0.22222222222222221</v>
      </c>
      <c r="K13" s="82">
        <f t="shared" ref="K13:K18" si="13">G13-J13</f>
        <v>-0.17204301075268816</v>
      </c>
      <c r="L13" s="67"/>
      <c r="M13" s="67" t="s">
        <v>28</v>
      </c>
      <c r="N13" s="67"/>
      <c r="O13" s="67"/>
      <c r="P13" s="1"/>
      <c r="Q13" s="1"/>
      <c r="R13" s="1"/>
      <c r="S13" s="1"/>
      <c r="T13" s="1"/>
      <c r="U13" s="1"/>
      <c r="V13" s="1"/>
    </row>
    <row r="14" spans="1:22" s="68" customFormat="1" ht="18" customHeight="1" x14ac:dyDescent="0.2">
      <c r="A14" s="50" t="s">
        <v>4</v>
      </c>
      <c r="B14" s="65">
        <v>58</v>
      </c>
      <c r="C14" s="65">
        <v>38</v>
      </c>
      <c r="D14" s="53">
        <f t="shared" si="10"/>
        <v>20</v>
      </c>
      <c r="E14" s="66">
        <v>96</v>
      </c>
      <c r="F14" s="81">
        <f t="shared" si="11"/>
        <v>-38</v>
      </c>
      <c r="G14" s="69">
        <f>B14/279</f>
        <v>0.2078853046594982</v>
      </c>
      <c r="H14" s="69">
        <f>C14/279</f>
        <v>0.13620071684587814</v>
      </c>
      <c r="I14" s="69">
        <f t="shared" ref="I14:I19" si="14">G14-H14</f>
        <v>7.1684587813620054E-2</v>
      </c>
      <c r="J14" s="70">
        <f>E14/279</f>
        <v>0.34408602150537637</v>
      </c>
      <c r="K14" s="82">
        <f t="shared" si="13"/>
        <v>-0.13620071684587817</v>
      </c>
      <c r="L14" s="67"/>
      <c r="M14" s="67" t="s">
        <v>29</v>
      </c>
      <c r="N14" s="67"/>
      <c r="O14" s="67"/>
      <c r="P14" s="1"/>
      <c r="Q14" s="1"/>
      <c r="R14" s="1"/>
      <c r="S14" s="1"/>
      <c r="T14" s="1"/>
      <c r="U14" s="1"/>
      <c r="V14" s="1"/>
    </row>
    <row r="15" spans="1:22" s="68" customFormat="1" ht="18" customHeight="1" x14ac:dyDescent="0.2">
      <c r="A15" s="50" t="s">
        <v>5</v>
      </c>
      <c r="B15" s="65">
        <v>74</v>
      </c>
      <c r="C15" s="65">
        <v>73</v>
      </c>
      <c r="D15" s="53">
        <f t="shared" ref="D15" si="15">B15-C15</f>
        <v>1</v>
      </c>
      <c r="E15" s="66">
        <v>140</v>
      </c>
      <c r="F15" s="81">
        <f t="shared" si="11"/>
        <v>-66</v>
      </c>
      <c r="G15" s="69">
        <f>B15/270</f>
        <v>0.27407407407407408</v>
      </c>
      <c r="H15" s="69">
        <f>C15/270</f>
        <v>0.27037037037037037</v>
      </c>
      <c r="I15" s="69">
        <f t="shared" si="14"/>
        <v>3.703703703703709E-3</v>
      </c>
      <c r="J15" s="70">
        <f>E15/270</f>
        <v>0.51851851851851849</v>
      </c>
      <c r="K15" s="82">
        <f t="shared" si="13"/>
        <v>-0.24444444444444441</v>
      </c>
      <c r="L15" s="67"/>
      <c r="M15" s="67" t="s">
        <v>30</v>
      </c>
      <c r="N15" s="67"/>
      <c r="O15" s="67"/>
      <c r="P15" s="1"/>
      <c r="Q15" s="1"/>
      <c r="R15" s="1"/>
      <c r="S15" s="1"/>
      <c r="T15" s="1"/>
      <c r="U15" s="1"/>
      <c r="V15" s="1"/>
    </row>
    <row r="16" spans="1:22" s="68" customFormat="1" ht="18" customHeight="1" x14ac:dyDescent="0.2">
      <c r="A16" s="50" t="s">
        <v>14</v>
      </c>
      <c r="B16" s="65">
        <v>91</v>
      </c>
      <c r="C16" s="65">
        <v>82</v>
      </c>
      <c r="D16" s="53">
        <f>B16-C16</f>
        <v>9</v>
      </c>
      <c r="E16" s="66">
        <v>174</v>
      </c>
      <c r="F16" s="81">
        <f t="shared" si="11"/>
        <v>-83</v>
      </c>
      <c r="G16" s="69">
        <f>B16/279</f>
        <v>0.32616487455197135</v>
      </c>
      <c r="H16" s="69">
        <f>C16/279</f>
        <v>0.29390681003584229</v>
      </c>
      <c r="I16" s="69">
        <f t="shared" si="14"/>
        <v>3.2258064516129059E-2</v>
      </c>
      <c r="J16" s="70">
        <f>E16/279</f>
        <v>0.62365591397849462</v>
      </c>
      <c r="K16" s="82">
        <f t="shared" si="13"/>
        <v>-0.29749103942652327</v>
      </c>
      <c r="L16" s="67"/>
      <c r="M16" s="67" t="s">
        <v>31</v>
      </c>
      <c r="N16" s="67"/>
      <c r="O16" s="67"/>
      <c r="P16" s="1"/>
      <c r="Q16" s="1"/>
      <c r="R16" s="1"/>
      <c r="S16" s="1"/>
      <c r="T16" s="1"/>
      <c r="U16" s="1"/>
      <c r="V16" s="1"/>
    </row>
    <row r="17" spans="1:22" s="68" customFormat="1" ht="18" customHeight="1" x14ac:dyDescent="0.2">
      <c r="A17" s="50" t="s">
        <v>13</v>
      </c>
      <c r="B17" s="65">
        <v>44</v>
      </c>
      <c r="C17" s="65">
        <v>43</v>
      </c>
      <c r="D17" s="53">
        <f>B17-C17</f>
        <v>1</v>
      </c>
      <c r="E17" s="66">
        <v>172</v>
      </c>
      <c r="F17" s="81">
        <f t="shared" si="11"/>
        <v>-128</v>
      </c>
      <c r="G17" s="69">
        <f>B17/270</f>
        <v>0.16296296296296298</v>
      </c>
      <c r="H17" s="69">
        <f>C17/270</f>
        <v>0.15925925925925927</v>
      </c>
      <c r="I17" s="69">
        <f t="shared" si="14"/>
        <v>3.703703703703709E-3</v>
      </c>
      <c r="J17" s="70">
        <f>E17/270</f>
        <v>0.63703703703703707</v>
      </c>
      <c r="K17" s="82">
        <f t="shared" si="13"/>
        <v>-0.47407407407407409</v>
      </c>
      <c r="L17" s="67"/>
      <c r="M17" s="67" t="s">
        <v>32</v>
      </c>
      <c r="N17" s="67"/>
      <c r="O17" s="67"/>
      <c r="P17" s="1"/>
      <c r="Q17" s="1"/>
      <c r="R17" s="1"/>
      <c r="S17" s="1"/>
      <c r="T17" s="1"/>
      <c r="U17" s="1"/>
      <c r="V17" s="1"/>
    </row>
    <row r="18" spans="1:22" s="68" customFormat="1" ht="18" customHeight="1" x14ac:dyDescent="0.2">
      <c r="A18" s="50" t="s">
        <v>12</v>
      </c>
      <c r="B18" s="65">
        <v>31</v>
      </c>
      <c r="C18" s="65">
        <v>31</v>
      </c>
      <c r="D18" s="53">
        <f>B18-C18</f>
        <v>0</v>
      </c>
      <c r="E18" s="66">
        <v>174</v>
      </c>
      <c r="F18" s="81">
        <f t="shared" si="11"/>
        <v>-143</v>
      </c>
      <c r="G18" s="69">
        <f>B18/279</f>
        <v>0.1111111111111111</v>
      </c>
      <c r="H18" s="69">
        <f>C18/279</f>
        <v>0.1111111111111111</v>
      </c>
      <c r="I18" s="69">
        <f t="shared" si="14"/>
        <v>0</v>
      </c>
      <c r="J18" s="70">
        <f>E18/279</f>
        <v>0.62365591397849462</v>
      </c>
      <c r="K18" s="82">
        <f t="shared" si="13"/>
        <v>-0.51254480286738358</v>
      </c>
      <c r="L18" s="67"/>
      <c r="M18" s="67"/>
      <c r="N18" s="67"/>
      <c r="O18" s="67"/>
      <c r="P18" s="1"/>
      <c r="Q18" s="1"/>
      <c r="R18" s="1"/>
      <c r="S18" s="1"/>
      <c r="T18" s="1"/>
      <c r="U18" s="1"/>
      <c r="V18" s="1"/>
    </row>
    <row r="19" spans="1:22" s="68" customFormat="1" ht="18" customHeight="1" thickBot="1" x14ac:dyDescent="0.25">
      <c r="A19" s="51">
        <v>46388</v>
      </c>
      <c r="B19" s="65">
        <v>31</v>
      </c>
      <c r="C19" s="65">
        <v>31</v>
      </c>
      <c r="D19" s="53">
        <f>B19-C19</f>
        <v>0</v>
      </c>
      <c r="E19" s="66">
        <v>136</v>
      </c>
      <c r="F19" s="81">
        <f t="shared" ref="F19" si="16">B19-E19</f>
        <v>-105</v>
      </c>
      <c r="G19" s="71">
        <f>B19/279</f>
        <v>0.1111111111111111</v>
      </c>
      <c r="H19" s="71">
        <f>C19/279</f>
        <v>0.1111111111111111</v>
      </c>
      <c r="I19" s="71">
        <f t="shared" si="14"/>
        <v>0</v>
      </c>
      <c r="J19" s="72">
        <f>E19/279</f>
        <v>0.48745519713261648</v>
      </c>
      <c r="K19" s="83">
        <f t="shared" ref="K19" si="17">G19-J19</f>
        <v>-0.37634408602150538</v>
      </c>
      <c r="L19" s="67"/>
      <c r="M19" s="67"/>
      <c r="N19" s="67"/>
      <c r="O19" s="67"/>
      <c r="P19" s="1"/>
      <c r="Q19" s="1"/>
      <c r="R19" s="1"/>
      <c r="S19" s="1"/>
      <c r="T19" s="1"/>
      <c r="U19" s="1"/>
      <c r="V19" s="1"/>
    </row>
    <row r="20" spans="1:22" ht="25" customHeight="1" thickBot="1" x14ac:dyDescent="0.25">
      <c r="A20" s="128" t="s">
        <v>7</v>
      </c>
      <c r="B20" s="129"/>
      <c r="C20" s="129"/>
      <c r="D20" s="129"/>
      <c r="E20" s="129"/>
      <c r="F20" s="129"/>
      <c r="G20" s="130"/>
    </row>
    <row r="21" spans="1:22" s="68" customFormat="1" ht="32" customHeight="1" x14ac:dyDescent="0.2">
      <c r="A21" s="55"/>
      <c r="B21" s="55" t="s">
        <v>45</v>
      </c>
      <c r="C21" s="55" t="s">
        <v>43</v>
      </c>
      <c r="D21" s="55" t="s">
        <v>0</v>
      </c>
      <c r="E21" s="56" t="s">
        <v>1</v>
      </c>
      <c r="F21" s="126" t="s">
        <v>9</v>
      </c>
      <c r="G21" s="127"/>
      <c r="H21" s="73"/>
      <c r="I21" s="73"/>
      <c r="J21" s="73"/>
      <c r="K21" s="73"/>
      <c r="L21" s="67"/>
      <c r="M21" s="67"/>
      <c r="N21" s="67"/>
    </row>
    <row r="22" spans="1:22" s="68" customFormat="1" ht="18" customHeight="1" x14ac:dyDescent="0.2">
      <c r="A22" s="50" t="s">
        <v>15</v>
      </c>
      <c r="B22" s="53">
        <f t="shared" ref="B22:B27" si="18">B3/B13</f>
        <v>1380.8085714285714</v>
      </c>
      <c r="C22" s="53">
        <f t="shared" ref="C22" si="19">C3/C13</f>
        <v>1380.8085714285714</v>
      </c>
      <c r="D22" s="53">
        <f t="shared" ref="D22:D26" si="20">B22-C22</f>
        <v>0</v>
      </c>
      <c r="E22" s="74">
        <f t="shared" ref="E22:E28" si="21">E3/E13</f>
        <v>777.72387096774185</v>
      </c>
      <c r="F22" s="74">
        <f t="shared" ref="F22:F28" si="22">B22-E22</f>
        <v>603.08470046082959</v>
      </c>
      <c r="G22" s="103">
        <f t="shared" ref="G22:G28" si="23">(B22-E22)/E22</f>
        <v>0.77544836023921415</v>
      </c>
      <c r="H22" s="7"/>
      <c r="I22" s="73"/>
      <c r="J22" s="73"/>
      <c r="K22" s="73"/>
      <c r="L22" s="67"/>
      <c r="M22" s="67"/>
      <c r="N22" s="67"/>
    </row>
    <row r="23" spans="1:22" s="68" customFormat="1" ht="18" customHeight="1" x14ac:dyDescent="0.2">
      <c r="A23" s="50" t="s">
        <v>4</v>
      </c>
      <c r="B23" s="53">
        <f t="shared" si="18"/>
        <v>1385.5365517241378</v>
      </c>
      <c r="C23" s="53">
        <f t="shared" ref="C23" si="24">C4/C14</f>
        <v>1358.9573684210529</v>
      </c>
      <c r="D23" s="53">
        <f t="shared" si="20"/>
        <v>26.579183303084847</v>
      </c>
      <c r="E23" s="74">
        <f t="shared" si="21"/>
        <v>1090.625</v>
      </c>
      <c r="F23" s="74">
        <f t="shared" si="22"/>
        <v>294.91155172413778</v>
      </c>
      <c r="G23" s="103">
        <f t="shared" si="23"/>
        <v>0.27040600731153036</v>
      </c>
      <c r="H23" s="7"/>
      <c r="I23" s="73"/>
      <c r="J23" s="73"/>
      <c r="K23" s="73"/>
      <c r="L23" s="67"/>
      <c r="M23" s="67"/>
      <c r="N23" s="67"/>
    </row>
    <row r="24" spans="1:22" s="68" customFormat="1" ht="18" customHeight="1" x14ac:dyDescent="0.2">
      <c r="A24" s="50" t="s">
        <v>5</v>
      </c>
      <c r="B24" s="53">
        <f t="shared" si="18"/>
        <v>1375.3255405405407</v>
      </c>
      <c r="C24" s="53">
        <f t="shared" ref="C24" si="25">C5/C15</f>
        <v>1378.6793150684932</v>
      </c>
      <c r="D24" s="53">
        <f t="shared" si="20"/>
        <v>-3.3537745279525097</v>
      </c>
      <c r="E24" s="74">
        <f t="shared" si="21"/>
        <v>1143.5962857142849</v>
      </c>
      <c r="F24" s="74">
        <f t="shared" si="22"/>
        <v>231.72925482625578</v>
      </c>
      <c r="G24" s="103">
        <f t="shared" si="23"/>
        <v>0.20263204569741913</v>
      </c>
      <c r="H24" s="7"/>
      <c r="I24" s="73"/>
      <c r="J24" s="73"/>
      <c r="K24" s="73"/>
      <c r="L24" s="67"/>
      <c r="M24" s="67"/>
      <c r="N24" s="67"/>
    </row>
    <row r="25" spans="1:22" s="68" customFormat="1" ht="18" customHeight="1" x14ac:dyDescent="0.2">
      <c r="A25" s="50" t="s">
        <v>14</v>
      </c>
      <c r="B25" s="53">
        <f t="shared" si="18"/>
        <v>1344.3906593406598</v>
      </c>
      <c r="C25" s="53">
        <f t="shared" ref="C25" si="26">C6/C16</f>
        <v>1322.0801219512196</v>
      </c>
      <c r="D25" s="53">
        <f t="shared" si="20"/>
        <v>22.310537389440242</v>
      </c>
      <c r="E25" s="74">
        <f t="shared" si="21"/>
        <v>1218.4770114942528</v>
      </c>
      <c r="F25" s="74">
        <f t="shared" si="22"/>
        <v>125.913647846407</v>
      </c>
      <c r="G25" s="103">
        <f t="shared" si="23"/>
        <v>0.10333690882850186</v>
      </c>
      <c r="H25" s="7"/>
      <c r="I25" s="73"/>
      <c r="J25" s="73"/>
      <c r="K25" s="73"/>
      <c r="L25" s="67"/>
      <c r="M25" s="67"/>
      <c r="N25" s="67"/>
    </row>
    <row r="26" spans="1:22" s="68" customFormat="1" ht="18" customHeight="1" x14ac:dyDescent="0.2">
      <c r="A26" s="50" t="s">
        <v>13</v>
      </c>
      <c r="B26" s="53">
        <f t="shared" si="18"/>
        <v>1430.4856818181822</v>
      </c>
      <c r="C26" s="53">
        <f t="shared" ref="C26" si="27">C7/C17</f>
        <v>1431.5120930232563</v>
      </c>
      <c r="D26" s="53">
        <f t="shared" si="20"/>
        <v>-1.026411205074055</v>
      </c>
      <c r="E26" s="74">
        <f t="shared" si="21"/>
        <v>1126.5813953488373</v>
      </c>
      <c r="F26" s="74">
        <f t="shared" si="22"/>
        <v>303.90428646934492</v>
      </c>
      <c r="G26" s="103">
        <f t="shared" si="23"/>
        <v>0.26975794889213778</v>
      </c>
      <c r="H26" s="7"/>
      <c r="I26" s="73"/>
      <c r="J26" s="73"/>
      <c r="K26" s="73"/>
      <c r="L26" s="67"/>
      <c r="M26" s="67"/>
      <c r="N26" s="67"/>
    </row>
    <row r="27" spans="1:22" s="68" customFormat="1" ht="18" customHeight="1" x14ac:dyDescent="0.2">
      <c r="A27" s="50" t="s">
        <v>12</v>
      </c>
      <c r="B27" s="53">
        <f t="shared" si="18"/>
        <v>1648.9638709677417</v>
      </c>
      <c r="C27" s="53">
        <f t="shared" ref="C27" si="28">C8/C18</f>
        <v>1648.9638709677417</v>
      </c>
      <c r="D27" s="53">
        <f t="shared" ref="D27" si="29">B27-C27</f>
        <v>0</v>
      </c>
      <c r="E27" s="74">
        <f t="shared" si="21"/>
        <v>1458.2251149425292</v>
      </c>
      <c r="F27" s="74">
        <f t="shared" ref="F27" si="30">B27-E27</f>
        <v>190.73875602521252</v>
      </c>
      <c r="G27" s="103">
        <f t="shared" ref="G27" si="31">(B27-E27)/E27</f>
        <v>0.1308019962560649</v>
      </c>
      <c r="H27" s="7"/>
      <c r="I27" s="73"/>
      <c r="J27" s="73"/>
      <c r="K27" s="73"/>
      <c r="L27" s="67"/>
      <c r="M27" s="67"/>
      <c r="N27" s="67"/>
    </row>
    <row r="28" spans="1:22" s="68" customFormat="1" ht="18" customHeight="1" x14ac:dyDescent="0.2">
      <c r="A28" s="51">
        <v>46388</v>
      </c>
      <c r="B28" s="84">
        <f>B9/B19</f>
        <v>1485.4461290322581</v>
      </c>
      <c r="C28" s="84">
        <f>C9/C19</f>
        <v>1485.4461290322581</v>
      </c>
      <c r="D28" s="84">
        <f>B28-C28</f>
        <v>0</v>
      </c>
      <c r="E28" s="76">
        <f t="shared" si="21"/>
        <v>1425.8114705882349</v>
      </c>
      <c r="F28" s="76">
        <f t="shared" si="22"/>
        <v>59.634658444023216</v>
      </c>
      <c r="G28" s="104">
        <f t="shared" si="23"/>
        <v>4.1825065707614385E-2</v>
      </c>
      <c r="H28" s="7"/>
      <c r="I28" s="73"/>
      <c r="J28" s="73"/>
      <c r="K28" s="73"/>
      <c r="L28" s="67"/>
      <c r="M28" s="67"/>
      <c r="N28" s="67"/>
    </row>
  </sheetData>
  <mergeCells count="5">
    <mergeCell ref="F21:G21"/>
    <mergeCell ref="A11:F11"/>
    <mergeCell ref="G11:K11"/>
    <mergeCell ref="A1:K1"/>
    <mergeCell ref="A20:G20"/>
  </mergeCells>
  <conditionalFormatting sqref="D1 F1 I1 K1 H3:K8 D3:D11 F3:F11 H9:H10 J9:J10 I9:I11 K9:K11 D13:D20 F13:F20 I13:I20 K13:K20 F22:G27 D22:D1048576 I22:I1048576 K22:K1048576 G28 F28:F1048576">
    <cfRule type="cellIs" dxfId="11" priority="1" operator="lessThan">
      <formula>-0.009</formula>
    </cfRule>
    <cfRule type="cellIs" dxfId="10" priority="2" operator="greaterThan">
      <formula>0.009</formula>
    </cfRule>
  </conditionalFormatting>
  <pageMargins left="0.7" right="0.7" top="0.75" bottom="0.75" header="0.3" footer="0.3"/>
  <pageSetup paperSize="8" orientation="landscape" horizontalDpi="0" verticalDpi="0"/>
  <ignoredErrors>
    <ignoredError sqref="F10 H20:I20 I12:I13 G14:I14 G19 D22:D26 G15:J17 J19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ABDB-C407-E64C-848B-2132CD3F94FC}">
  <dimension ref="A1:N66"/>
  <sheetViews>
    <sheetView zoomScale="67" zoomScaleNormal="70" workbookViewId="0">
      <selection activeCell="F57" sqref="F57"/>
    </sheetView>
  </sheetViews>
  <sheetFormatPr baseColWidth="10" defaultRowHeight="18" x14ac:dyDescent="0.2"/>
  <cols>
    <col min="1" max="1" width="19.83203125" style="9" customWidth="1"/>
    <col min="2" max="12" width="12.6640625" style="9" customWidth="1"/>
    <col min="13" max="13" width="14.6640625" style="8" customWidth="1"/>
    <col min="14" max="14" width="8.6640625" style="8" customWidth="1"/>
  </cols>
  <sheetData>
    <row r="1" spans="1:14" x14ac:dyDescent="0.2">
      <c r="A1" s="49" t="s">
        <v>22</v>
      </c>
      <c r="B1" s="98">
        <v>2015</v>
      </c>
      <c r="C1" s="48">
        <v>2016</v>
      </c>
      <c r="D1" s="48">
        <v>2017</v>
      </c>
      <c r="E1" s="48">
        <v>2018</v>
      </c>
      <c r="F1" s="48">
        <v>2019</v>
      </c>
      <c r="G1" s="48">
        <v>2020</v>
      </c>
      <c r="H1" s="47">
        <v>2021</v>
      </c>
      <c r="I1" s="47">
        <v>2022</v>
      </c>
      <c r="J1" s="47">
        <v>2023</v>
      </c>
      <c r="K1" s="46">
        <v>2024</v>
      </c>
      <c r="L1" s="46" t="s">
        <v>23</v>
      </c>
      <c r="M1" s="134" t="s">
        <v>24</v>
      </c>
      <c r="N1" s="135"/>
    </row>
    <row r="2" spans="1:14" x14ac:dyDescent="0.2">
      <c r="A2" s="19" t="s">
        <v>21</v>
      </c>
      <c r="B2" s="109"/>
      <c r="C2" s="44">
        <v>110723</v>
      </c>
      <c r="D2" s="44">
        <v>134232.5</v>
      </c>
      <c r="E2" s="44">
        <v>92129.96</v>
      </c>
      <c r="F2" s="44">
        <v>65849.38</v>
      </c>
      <c r="G2" s="44">
        <v>128413</v>
      </c>
      <c r="H2" s="44">
        <v>10596.16</v>
      </c>
      <c r="I2" s="44">
        <v>119590.41</v>
      </c>
      <c r="J2" s="44">
        <v>135501.35999999999</v>
      </c>
      <c r="K2" s="43">
        <v>135750</v>
      </c>
      <c r="L2" s="43">
        <v>92567.13</v>
      </c>
      <c r="M2" s="88">
        <f>L2-K2</f>
        <v>-43182.869999999995</v>
      </c>
      <c r="N2" s="96">
        <f>(L2-K2)/K2</f>
        <v>-0.31810585635359112</v>
      </c>
    </row>
    <row r="3" spans="1:14" x14ac:dyDescent="0.2">
      <c r="A3" s="19" t="s">
        <v>20</v>
      </c>
      <c r="B3" s="109"/>
      <c r="C3" s="44">
        <v>130240</v>
      </c>
      <c r="D3" s="44">
        <v>126687.53</v>
      </c>
      <c r="E3" s="44">
        <v>90957.32</v>
      </c>
      <c r="F3" s="44">
        <v>65805</v>
      </c>
      <c r="G3" s="44">
        <v>70518.25</v>
      </c>
      <c r="H3" s="44">
        <v>4600</v>
      </c>
      <c r="I3" s="44">
        <v>51958.59</v>
      </c>
      <c r="J3" s="44">
        <v>97448.05</v>
      </c>
      <c r="K3" s="43">
        <v>79084.800000000003</v>
      </c>
      <c r="L3" s="43">
        <v>80123.41</v>
      </c>
      <c r="M3" s="88">
        <f t="shared" ref="M3:M12" si="0">L3-K3</f>
        <v>1038.6100000000006</v>
      </c>
      <c r="N3" s="96">
        <f t="shared" ref="N3:N13" si="1">(L3-K3)/K3</f>
        <v>1.313286497531764E-2</v>
      </c>
    </row>
    <row r="4" spans="1:14" x14ac:dyDescent="0.2">
      <c r="A4" s="19" t="s">
        <v>19</v>
      </c>
      <c r="B4" s="109">
        <v>1560</v>
      </c>
      <c r="C4" s="44">
        <v>97955</v>
      </c>
      <c r="D4" s="44">
        <v>76778.45</v>
      </c>
      <c r="E4" s="44">
        <v>134744.29999999999</v>
      </c>
      <c r="F4" s="44">
        <v>68588</v>
      </c>
      <c r="G4" s="45">
        <v>38880.239999999998</v>
      </c>
      <c r="H4" s="44">
        <v>33184</v>
      </c>
      <c r="I4" s="44">
        <v>141764.4</v>
      </c>
      <c r="J4" s="44">
        <v>66648.5</v>
      </c>
      <c r="K4" s="43">
        <v>166969.14000000001</v>
      </c>
      <c r="L4" s="43">
        <v>125931.1</v>
      </c>
      <c r="M4" s="88">
        <f t="shared" si="0"/>
        <v>-41038.040000000008</v>
      </c>
      <c r="N4" s="96">
        <f t="shared" si="1"/>
        <v>-0.24578218465999169</v>
      </c>
    </row>
    <row r="5" spans="1:14" x14ac:dyDescent="0.2">
      <c r="A5" s="19" t="s">
        <v>18</v>
      </c>
      <c r="B5" s="109">
        <v>51105</v>
      </c>
      <c r="C5" s="44">
        <v>35660</v>
      </c>
      <c r="D5" s="44">
        <v>93513.9</v>
      </c>
      <c r="E5" s="44">
        <v>80437.25</v>
      </c>
      <c r="F5" s="44">
        <v>60618.64</v>
      </c>
      <c r="G5" s="45">
        <v>0</v>
      </c>
      <c r="H5" s="44">
        <v>34911.599999999999</v>
      </c>
      <c r="I5" s="44">
        <v>59814.76</v>
      </c>
      <c r="J5" s="44">
        <v>112148.69</v>
      </c>
      <c r="K5" s="43">
        <v>56460.1</v>
      </c>
      <c r="L5" s="43">
        <v>99344.26</v>
      </c>
      <c r="M5" s="88">
        <f t="shared" si="0"/>
        <v>42884.159999999996</v>
      </c>
      <c r="N5" s="96">
        <f t="shared" si="1"/>
        <v>0.75954807023012705</v>
      </c>
    </row>
    <row r="6" spans="1:14" x14ac:dyDescent="0.2">
      <c r="A6" s="19" t="s">
        <v>17</v>
      </c>
      <c r="B6" s="109">
        <v>11255</v>
      </c>
      <c r="C6" s="44">
        <v>29440</v>
      </c>
      <c r="D6" s="44">
        <v>27844.25</v>
      </c>
      <c r="E6" s="44">
        <v>65520.63</v>
      </c>
      <c r="F6" s="44">
        <v>39694.76</v>
      </c>
      <c r="G6" s="45">
        <v>0</v>
      </c>
      <c r="H6" s="44">
        <v>25415</v>
      </c>
      <c r="I6" s="44">
        <v>26469.13</v>
      </c>
      <c r="J6" s="44">
        <v>79960.19</v>
      </c>
      <c r="K6" s="43">
        <v>42434.75</v>
      </c>
      <c r="L6" s="43">
        <v>48969.599999999999</v>
      </c>
      <c r="M6" s="88">
        <f t="shared" si="0"/>
        <v>6534.8499999999985</v>
      </c>
      <c r="N6" s="96">
        <f t="shared" si="1"/>
        <v>0.15399760809242422</v>
      </c>
    </row>
    <row r="7" spans="1:14" x14ac:dyDescent="0.2">
      <c r="A7" s="19" t="s">
        <v>16</v>
      </c>
      <c r="B7" s="109">
        <v>29849.9</v>
      </c>
      <c r="C7" s="44">
        <v>45060</v>
      </c>
      <c r="D7" s="44">
        <v>26768.95</v>
      </c>
      <c r="E7" s="44">
        <v>75973.5</v>
      </c>
      <c r="F7" s="44">
        <v>24824.02</v>
      </c>
      <c r="G7" s="44">
        <v>3010</v>
      </c>
      <c r="H7" s="44">
        <v>25031.7</v>
      </c>
      <c r="I7" s="44">
        <v>24132.6</v>
      </c>
      <c r="J7" s="44">
        <v>88362.59</v>
      </c>
      <c r="K7" s="43">
        <v>43204.28</v>
      </c>
      <c r="L7" s="43">
        <v>45707.75</v>
      </c>
      <c r="M7" s="88">
        <f t="shared" si="0"/>
        <v>2503.4700000000012</v>
      </c>
      <c r="N7" s="96">
        <f t="shared" si="1"/>
        <v>5.7944953601819109E-2</v>
      </c>
    </row>
    <row r="8" spans="1:14" x14ac:dyDescent="0.2">
      <c r="A8" s="19" t="s">
        <v>15</v>
      </c>
      <c r="B8" s="109">
        <v>42990</v>
      </c>
      <c r="C8" s="44">
        <v>46024</v>
      </c>
      <c r="D8" s="44">
        <v>50587.5</v>
      </c>
      <c r="E8" s="44">
        <v>93295.6</v>
      </c>
      <c r="F8" s="44">
        <v>17707</v>
      </c>
      <c r="G8" s="44">
        <v>6265</v>
      </c>
      <c r="H8" s="44">
        <v>11965</v>
      </c>
      <c r="I8" s="44">
        <v>26153.26</v>
      </c>
      <c r="J8" s="44">
        <v>88135.08</v>
      </c>
      <c r="K8" s="43">
        <v>61421.55</v>
      </c>
      <c r="L8" s="43">
        <v>48218.879999999997</v>
      </c>
      <c r="M8" s="88">
        <f t="shared" si="0"/>
        <v>-13202.670000000006</v>
      </c>
      <c r="N8" s="96">
        <f t="shared" si="1"/>
        <v>-0.21495175553205684</v>
      </c>
    </row>
    <row r="9" spans="1:14" x14ac:dyDescent="0.2">
      <c r="A9" s="19" t="s">
        <v>4</v>
      </c>
      <c r="B9" s="109">
        <v>66749</v>
      </c>
      <c r="C9" s="44">
        <v>39523.57</v>
      </c>
      <c r="D9" s="44">
        <v>59482.27</v>
      </c>
      <c r="E9" s="44">
        <v>33723.75</v>
      </c>
      <c r="F9" s="44">
        <v>28183.52</v>
      </c>
      <c r="G9" s="44">
        <v>38920</v>
      </c>
      <c r="H9" s="44">
        <v>18448.2</v>
      </c>
      <c r="I9" s="44">
        <v>111556.09</v>
      </c>
      <c r="J9" s="44">
        <v>127592.49</v>
      </c>
      <c r="K9" s="43">
        <v>119541.7</v>
      </c>
      <c r="L9" s="43">
        <v>104699.9</v>
      </c>
      <c r="M9" s="88">
        <f t="shared" si="0"/>
        <v>-14841.800000000003</v>
      </c>
      <c r="N9" s="96">
        <f t="shared" si="1"/>
        <v>-0.124155838506563</v>
      </c>
    </row>
    <row r="10" spans="1:14" x14ac:dyDescent="0.2">
      <c r="A10" s="19" t="s">
        <v>5</v>
      </c>
      <c r="B10" s="109">
        <v>74947</v>
      </c>
      <c r="C10" s="44">
        <v>95325.67</v>
      </c>
      <c r="D10" s="44">
        <v>112202.8</v>
      </c>
      <c r="E10" s="44">
        <v>41207.01</v>
      </c>
      <c r="F10" s="44">
        <v>55140</v>
      </c>
      <c r="G10" s="44">
        <v>52892.6</v>
      </c>
      <c r="H10" s="44">
        <v>42543.6</v>
      </c>
      <c r="I10" s="44">
        <v>131562.49</v>
      </c>
      <c r="J10" s="44">
        <v>124634.05</v>
      </c>
      <c r="K10" s="43">
        <v>92993.59</v>
      </c>
      <c r="L10" s="43">
        <v>160103.48000000001</v>
      </c>
      <c r="M10" s="88">
        <f t="shared" si="0"/>
        <v>67109.890000000014</v>
      </c>
      <c r="N10" s="96">
        <f t="shared" si="1"/>
        <v>0.72166146075229509</v>
      </c>
    </row>
    <row r="11" spans="1:14" x14ac:dyDescent="0.2">
      <c r="A11" s="19" t="s">
        <v>14</v>
      </c>
      <c r="B11" s="109">
        <v>97245</v>
      </c>
      <c r="C11" s="44">
        <v>166108.25</v>
      </c>
      <c r="D11" s="44">
        <v>114301.16</v>
      </c>
      <c r="E11" s="44">
        <v>69031.38</v>
      </c>
      <c r="F11" s="44">
        <v>56540</v>
      </c>
      <c r="G11" s="44">
        <v>6944</v>
      </c>
      <c r="H11" s="44">
        <v>66729.600000000006</v>
      </c>
      <c r="I11" s="44">
        <v>139419.25</v>
      </c>
      <c r="J11" s="44">
        <v>157248.04</v>
      </c>
      <c r="K11" s="43">
        <v>91669.95</v>
      </c>
      <c r="L11" s="43">
        <v>212015.44</v>
      </c>
      <c r="M11" s="88">
        <f t="shared" si="0"/>
        <v>120345.49</v>
      </c>
      <c r="N11" s="96">
        <f t="shared" si="1"/>
        <v>1.3128128683390796</v>
      </c>
    </row>
    <row r="12" spans="1:14" x14ac:dyDescent="0.2">
      <c r="A12" s="19" t="s">
        <v>13</v>
      </c>
      <c r="B12" s="109">
        <v>64265</v>
      </c>
      <c r="C12" s="44">
        <v>131676.45000000001</v>
      </c>
      <c r="D12" s="44">
        <v>155160.25</v>
      </c>
      <c r="E12" s="44">
        <v>83598.39</v>
      </c>
      <c r="F12" s="44">
        <v>74060</v>
      </c>
      <c r="G12" s="44">
        <v>14564.6</v>
      </c>
      <c r="H12" s="44">
        <v>65083.6</v>
      </c>
      <c r="I12" s="44">
        <v>136462.34</v>
      </c>
      <c r="J12" s="44">
        <v>191330.55</v>
      </c>
      <c r="K12" s="43">
        <v>105076.02</v>
      </c>
      <c r="L12" s="43">
        <v>193771.66</v>
      </c>
      <c r="M12" s="88">
        <f t="shared" si="0"/>
        <v>88695.64</v>
      </c>
      <c r="N12" s="96">
        <f t="shared" si="1"/>
        <v>0.84410924585837943</v>
      </c>
    </row>
    <row r="13" spans="1:14" ht="19" thickBot="1" x14ac:dyDescent="0.25">
      <c r="A13" s="16" t="s">
        <v>12</v>
      </c>
      <c r="B13" s="110">
        <v>137460</v>
      </c>
      <c r="C13" s="42">
        <v>194884.69</v>
      </c>
      <c r="D13" s="42">
        <v>160338.79999999999</v>
      </c>
      <c r="E13" s="42">
        <v>137213.25</v>
      </c>
      <c r="F13" s="42">
        <v>93861.5</v>
      </c>
      <c r="G13" s="42">
        <v>83327.56</v>
      </c>
      <c r="H13" s="42">
        <v>148407.79</v>
      </c>
      <c r="I13" s="42">
        <v>218024.8</v>
      </c>
      <c r="J13" s="42">
        <v>274154.3</v>
      </c>
      <c r="K13" s="41">
        <v>210907.24</v>
      </c>
      <c r="L13" s="41"/>
      <c r="M13" s="88">
        <f>L13-K13</f>
        <v>-210907.24</v>
      </c>
      <c r="N13" s="96">
        <f t="shared" si="1"/>
        <v>-1</v>
      </c>
    </row>
    <row r="14" spans="1:14" ht="19" thickBot="1" x14ac:dyDescent="0.25">
      <c r="A14" s="13" t="s">
        <v>10</v>
      </c>
      <c r="B14" s="111">
        <f>SUM(B4:B13)</f>
        <v>577425.9</v>
      </c>
      <c r="C14" s="40">
        <f t="shared" ref="C14:K14" si="2">SUM(C2:C13)</f>
        <v>1122620.6299999999</v>
      </c>
      <c r="D14" s="40">
        <f t="shared" si="2"/>
        <v>1137898.3600000001</v>
      </c>
      <c r="E14" s="40">
        <f t="shared" si="2"/>
        <v>997832.34</v>
      </c>
      <c r="F14" s="40">
        <f t="shared" si="2"/>
        <v>650871.82000000007</v>
      </c>
      <c r="G14" s="40">
        <f t="shared" si="2"/>
        <v>443735.24999999994</v>
      </c>
      <c r="H14" s="40">
        <f t="shared" si="2"/>
        <v>486916.25</v>
      </c>
      <c r="I14" s="40">
        <f t="shared" si="2"/>
        <v>1186908.1199999999</v>
      </c>
      <c r="J14" s="40">
        <f t="shared" si="2"/>
        <v>1543163.8900000001</v>
      </c>
      <c r="K14" s="39">
        <f t="shared" si="2"/>
        <v>1205513.1199999999</v>
      </c>
      <c r="L14" s="39">
        <f t="shared" ref="L14" si="3">SUM(L2:L13)</f>
        <v>1211452.6099999999</v>
      </c>
      <c r="M14" s="89">
        <f>L14-K14</f>
        <v>5939.4899999999907</v>
      </c>
      <c r="N14" s="97">
        <f>(L14-K14)/K14</f>
        <v>4.9269393268818107E-3</v>
      </c>
    </row>
    <row r="15" spans="1:14" x14ac:dyDescent="0.2">
      <c r="A15" s="24" t="s">
        <v>6</v>
      </c>
      <c r="B15" s="112">
        <v>2015</v>
      </c>
      <c r="C15" s="23">
        <v>2016</v>
      </c>
      <c r="D15" s="23">
        <v>2017</v>
      </c>
      <c r="E15" s="23">
        <v>2018</v>
      </c>
      <c r="F15" s="23">
        <v>2019</v>
      </c>
      <c r="G15" s="23">
        <v>2020</v>
      </c>
      <c r="H15" s="23">
        <v>2021</v>
      </c>
      <c r="I15" s="23">
        <v>2022</v>
      </c>
      <c r="J15" s="23">
        <v>2023</v>
      </c>
      <c r="K15" s="22">
        <v>2024</v>
      </c>
      <c r="L15" s="22">
        <v>2025</v>
      </c>
      <c r="M15" s="134" t="s">
        <v>24</v>
      </c>
      <c r="N15" s="135"/>
    </row>
    <row r="16" spans="1:14" x14ac:dyDescent="0.2">
      <c r="A16" s="19" t="s">
        <v>21</v>
      </c>
      <c r="B16" s="113"/>
      <c r="C16" s="37">
        <v>104</v>
      </c>
      <c r="D16" s="37">
        <v>126</v>
      </c>
      <c r="E16" s="37">
        <v>93</v>
      </c>
      <c r="F16" s="37">
        <v>64</v>
      </c>
      <c r="G16" s="37">
        <v>134</v>
      </c>
      <c r="H16" s="37">
        <v>16</v>
      </c>
      <c r="I16" s="37">
        <v>105</v>
      </c>
      <c r="J16" s="37">
        <v>133</v>
      </c>
      <c r="K16" s="36">
        <v>96</v>
      </c>
      <c r="L16" s="36">
        <v>62</v>
      </c>
      <c r="M16" s="90">
        <f>L16-K16</f>
        <v>-34</v>
      </c>
      <c r="N16" s="96">
        <f>(L16-K16)/K16</f>
        <v>-0.35416666666666669</v>
      </c>
    </row>
    <row r="17" spans="1:14" x14ac:dyDescent="0.2">
      <c r="A17" s="19" t="s">
        <v>20</v>
      </c>
      <c r="B17" s="113"/>
      <c r="C17" s="37">
        <v>136</v>
      </c>
      <c r="D17" s="37">
        <v>131</v>
      </c>
      <c r="E17" s="37">
        <v>95</v>
      </c>
      <c r="F17" s="37">
        <v>60</v>
      </c>
      <c r="G17" s="37">
        <v>73</v>
      </c>
      <c r="H17" s="37">
        <v>13</v>
      </c>
      <c r="I17" s="37">
        <v>57</v>
      </c>
      <c r="J17" s="37">
        <v>71</v>
      </c>
      <c r="K17" s="36">
        <v>57</v>
      </c>
      <c r="L17" s="36">
        <v>64</v>
      </c>
      <c r="M17" s="90">
        <f t="shared" ref="M17:M27" si="4">L17-K17</f>
        <v>7</v>
      </c>
      <c r="N17" s="96">
        <f t="shared" ref="N17:N27" si="5">(L17-K17)/K17</f>
        <v>0.12280701754385964</v>
      </c>
    </row>
    <row r="18" spans="1:14" x14ac:dyDescent="0.2">
      <c r="A18" s="19" t="s">
        <v>19</v>
      </c>
      <c r="B18" s="113">
        <v>2</v>
      </c>
      <c r="C18" s="37">
        <v>106</v>
      </c>
      <c r="D18" s="37">
        <v>75</v>
      </c>
      <c r="E18" s="37">
        <v>137</v>
      </c>
      <c r="F18" s="37">
        <v>66</v>
      </c>
      <c r="G18" s="38">
        <v>36</v>
      </c>
      <c r="H18" s="37">
        <v>34</v>
      </c>
      <c r="I18" s="37">
        <v>144</v>
      </c>
      <c r="J18" s="37">
        <v>104</v>
      </c>
      <c r="K18" s="36">
        <v>102</v>
      </c>
      <c r="L18" s="36">
        <v>96</v>
      </c>
      <c r="M18" s="90">
        <f t="shared" si="4"/>
        <v>-6</v>
      </c>
      <c r="N18" s="96">
        <f t="shared" si="5"/>
        <v>-5.8823529411764705E-2</v>
      </c>
    </row>
    <row r="19" spans="1:14" x14ac:dyDescent="0.2">
      <c r="A19" s="19" t="s">
        <v>18</v>
      </c>
      <c r="B19" s="113">
        <v>72</v>
      </c>
      <c r="C19" s="37">
        <v>41</v>
      </c>
      <c r="D19" s="37">
        <v>90</v>
      </c>
      <c r="E19" s="37">
        <v>82</v>
      </c>
      <c r="F19" s="37">
        <v>60</v>
      </c>
      <c r="G19" s="38">
        <v>0</v>
      </c>
      <c r="H19" s="37">
        <v>40</v>
      </c>
      <c r="I19" s="37">
        <v>70</v>
      </c>
      <c r="J19" s="37">
        <v>82</v>
      </c>
      <c r="K19" s="36">
        <v>38</v>
      </c>
      <c r="L19" s="36">
        <v>63</v>
      </c>
      <c r="M19" s="90">
        <f t="shared" si="4"/>
        <v>25</v>
      </c>
      <c r="N19" s="96">
        <f t="shared" si="5"/>
        <v>0.65789473684210531</v>
      </c>
    </row>
    <row r="20" spans="1:14" x14ac:dyDescent="0.2">
      <c r="A20" s="19" t="s">
        <v>17</v>
      </c>
      <c r="B20" s="113">
        <v>16</v>
      </c>
      <c r="C20" s="37">
        <v>39</v>
      </c>
      <c r="D20" s="37">
        <v>31</v>
      </c>
      <c r="E20" s="37">
        <v>84</v>
      </c>
      <c r="F20" s="37">
        <v>38</v>
      </c>
      <c r="G20" s="38">
        <v>0</v>
      </c>
      <c r="H20" s="37">
        <v>29</v>
      </c>
      <c r="I20" s="37">
        <v>63</v>
      </c>
      <c r="J20" s="37">
        <v>66</v>
      </c>
      <c r="K20" s="36">
        <v>30</v>
      </c>
      <c r="L20" s="36">
        <v>39</v>
      </c>
      <c r="M20" s="90">
        <f t="shared" si="4"/>
        <v>9</v>
      </c>
      <c r="N20" s="96">
        <f t="shared" si="5"/>
        <v>0.3</v>
      </c>
    </row>
    <row r="21" spans="1:14" x14ac:dyDescent="0.2">
      <c r="A21" s="19" t="s">
        <v>16</v>
      </c>
      <c r="B21" s="113">
        <v>59</v>
      </c>
      <c r="C21" s="37">
        <v>48</v>
      </c>
      <c r="D21" s="37">
        <v>40</v>
      </c>
      <c r="E21" s="37">
        <v>78</v>
      </c>
      <c r="F21" s="37">
        <v>58</v>
      </c>
      <c r="G21" s="37">
        <v>3</v>
      </c>
      <c r="H21" s="37">
        <v>41</v>
      </c>
      <c r="I21" s="37">
        <v>56</v>
      </c>
      <c r="J21" s="37">
        <v>76</v>
      </c>
      <c r="K21" s="36">
        <v>32</v>
      </c>
      <c r="L21" s="36">
        <v>52</v>
      </c>
      <c r="M21" s="90">
        <f t="shared" si="4"/>
        <v>20</v>
      </c>
      <c r="N21" s="96">
        <f t="shared" si="5"/>
        <v>0.625</v>
      </c>
    </row>
    <row r="22" spans="1:14" x14ac:dyDescent="0.2">
      <c r="A22" s="19" t="s">
        <v>15</v>
      </c>
      <c r="B22" s="113">
        <v>68</v>
      </c>
      <c r="C22" s="37">
        <v>53</v>
      </c>
      <c r="D22" s="37">
        <v>50</v>
      </c>
      <c r="E22" s="37">
        <v>83</v>
      </c>
      <c r="F22" s="37">
        <v>57</v>
      </c>
      <c r="G22" s="37">
        <v>6</v>
      </c>
      <c r="H22" s="37">
        <v>20</v>
      </c>
      <c r="I22" s="37">
        <v>84</v>
      </c>
      <c r="J22" s="37">
        <v>89</v>
      </c>
      <c r="K22" s="36">
        <v>44</v>
      </c>
      <c r="L22" s="36">
        <v>62</v>
      </c>
      <c r="M22" s="90">
        <f t="shared" si="4"/>
        <v>18</v>
      </c>
      <c r="N22" s="96">
        <f t="shared" si="5"/>
        <v>0.40909090909090912</v>
      </c>
    </row>
    <row r="23" spans="1:14" x14ac:dyDescent="0.2">
      <c r="A23" s="19" t="s">
        <v>4</v>
      </c>
      <c r="B23" s="113">
        <v>112</v>
      </c>
      <c r="C23" s="37">
        <v>50</v>
      </c>
      <c r="D23" s="37">
        <v>58</v>
      </c>
      <c r="E23" s="37">
        <v>42</v>
      </c>
      <c r="F23" s="37">
        <v>63</v>
      </c>
      <c r="G23" s="37">
        <v>44</v>
      </c>
      <c r="H23" s="37">
        <v>65</v>
      </c>
      <c r="I23" s="37">
        <v>97</v>
      </c>
      <c r="J23" s="37">
        <v>104</v>
      </c>
      <c r="K23" s="36">
        <v>84</v>
      </c>
      <c r="L23" s="36">
        <v>96</v>
      </c>
      <c r="M23" s="90">
        <f t="shared" si="4"/>
        <v>12</v>
      </c>
      <c r="N23" s="96">
        <f t="shared" si="5"/>
        <v>0.14285714285714285</v>
      </c>
    </row>
    <row r="24" spans="1:14" x14ac:dyDescent="0.2">
      <c r="A24" s="19" t="s">
        <v>5</v>
      </c>
      <c r="B24" s="113">
        <v>95</v>
      </c>
      <c r="C24" s="37">
        <v>89</v>
      </c>
      <c r="D24" s="37">
        <v>105</v>
      </c>
      <c r="E24" s="37">
        <v>37</v>
      </c>
      <c r="F24" s="37">
        <v>82</v>
      </c>
      <c r="G24" s="37">
        <v>70</v>
      </c>
      <c r="H24" s="37">
        <v>48</v>
      </c>
      <c r="I24" s="37">
        <v>120</v>
      </c>
      <c r="J24" s="37">
        <v>106</v>
      </c>
      <c r="K24" s="36">
        <v>76</v>
      </c>
      <c r="L24" s="36">
        <v>140</v>
      </c>
      <c r="M24" s="90">
        <f t="shared" si="4"/>
        <v>64</v>
      </c>
      <c r="N24" s="96">
        <f t="shared" si="5"/>
        <v>0.84210526315789469</v>
      </c>
    </row>
    <row r="25" spans="1:14" x14ac:dyDescent="0.2">
      <c r="A25" s="19" t="s">
        <v>14</v>
      </c>
      <c r="B25" s="113">
        <v>110</v>
      </c>
      <c r="C25" s="37">
        <v>149</v>
      </c>
      <c r="D25" s="37">
        <v>101</v>
      </c>
      <c r="E25" s="37">
        <v>61</v>
      </c>
      <c r="F25" s="37">
        <v>92</v>
      </c>
      <c r="G25" s="37">
        <v>27</v>
      </c>
      <c r="H25" s="37">
        <v>86</v>
      </c>
      <c r="I25" s="37">
        <v>126</v>
      </c>
      <c r="J25" s="37">
        <v>120</v>
      </c>
      <c r="K25" s="36">
        <v>68</v>
      </c>
      <c r="L25" s="36">
        <v>174</v>
      </c>
      <c r="M25" s="90">
        <f t="shared" si="4"/>
        <v>106</v>
      </c>
      <c r="N25" s="96">
        <f t="shared" si="5"/>
        <v>1.5588235294117647</v>
      </c>
    </row>
    <row r="26" spans="1:14" x14ac:dyDescent="0.2">
      <c r="A26" s="19" t="s">
        <v>13</v>
      </c>
      <c r="B26" s="113">
        <v>68</v>
      </c>
      <c r="C26" s="37">
        <v>125</v>
      </c>
      <c r="D26" s="37">
        <v>156</v>
      </c>
      <c r="E26" s="37">
        <v>81</v>
      </c>
      <c r="F26" s="37">
        <v>89</v>
      </c>
      <c r="G26" s="37">
        <v>17</v>
      </c>
      <c r="H26" s="37">
        <v>62</v>
      </c>
      <c r="I26" s="37">
        <v>135</v>
      </c>
      <c r="J26" s="37">
        <v>159</v>
      </c>
      <c r="K26" s="36">
        <v>79</v>
      </c>
      <c r="L26" s="36">
        <v>172</v>
      </c>
      <c r="M26" s="90">
        <f t="shared" si="4"/>
        <v>93</v>
      </c>
      <c r="N26" s="96">
        <f t="shared" si="5"/>
        <v>1.1772151898734178</v>
      </c>
    </row>
    <row r="27" spans="1:14" ht="19" thickBot="1" x14ac:dyDescent="0.25">
      <c r="A27" s="16" t="s">
        <v>12</v>
      </c>
      <c r="B27" s="114">
        <v>132</v>
      </c>
      <c r="C27" s="35">
        <v>182</v>
      </c>
      <c r="D27" s="35">
        <v>151</v>
      </c>
      <c r="E27" s="35">
        <v>114</v>
      </c>
      <c r="F27" s="35">
        <v>103</v>
      </c>
      <c r="G27" s="35">
        <v>75</v>
      </c>
      <c r="H27" s="35">
        <v>149</v>
      </c>
      <c r="I27" s="35">
        <v>183</v>
      </c>
      <c r="J27" s="35">
        <v>192</v>
      </c>
      <c r="K27" s="34">
        <v>110</v>
      </c>
      <c r="L27" s="34"/>
      <c r="M27" s="90">
        <f t="shared" si="4"/>
        <v>-110</v>
      </c>
      <c r="N27" s="96">
        <f t="shared" si="5"/>
        <v>-1</v>
      </c>
    </row>
    <row r="28" spans="1:14" ht="19" thickBot="1" x14ac:dyDescent="0.25">
      <c r="A28" s="13" t="s">
        <v>10</v>
      </c>
      <c r="B28" s="115">
        <f t="shared" ref="B28:K28" si="6">SUM(B16:B27)</f>
        <v>734</v>
      </c>
      <c r="C28" s="33">
        <f t="shared" si="6"/>
        <v>1122</v>
      </c>
      <c r="D28" s="33">
        <f t="shared" si="6"/>
        <v>1114</v>
      </c>
      <c r="E28" s="33">
        <f t="shared" si="6"/>
        <v>987</v>
      </c>
      <c r="F28" s="33">
        <f t="shared" si="6"/>
        <v>832</v>
      </c>
      <c r="G28" s="33">
        <f t="shared" si="6"/>
        <v>485</v>
      </c>
      <c r="H28" s="33">
        <f t="shared" si="6"/>
        <v>603</v>
      </c>
      <c r="I28" s="33">
        <f t="shared" si="6"/>
        <v>1240</v>
      </c>
      <c r="J28" s="33">
        <f t="shared" si="6"/>
        <v>1302</v>
      </c>
      <c r="K28" s="32">
        <f t="shared" si="6"/>
        <v>816</v>
      </c>
      <c r="L28" s="32">
        <f t="shared" ref="L28" si="7">SUM(L16:L27)</f>
        <v>1020</v>
      </c>
      <c r="M28" s="91">
        <f>L28-K28</f>
        <v>204</v>
      </c>
      <c r="N28" s="97">
        <f>(L28-K28)/K28</f>
        <v>0.25</v>
      </c>
    </row>
    <row r="29" spans="1:14" x14ac:dyDescent="0.2">
      <c r="A29" s="24" t="s">
        <v>8</v>
      </c>
      <c r="B29" s="112">
        <v>2015</v>
      </c>
      <c r="C29" s="23">
        <v>2016</v>
      </c>
      <c r="D29" s="23">
        <v>2017</v>
      </c>
      <c r="E29" s="23">
        <v>2018</v>
      </c>
      <c r="F29" s="23">
        <v>2019</v>
      </c>
      <c r="G29" s="23">
        <v>2020</v>
      </c>
      <c r="H29" s="23">
        <v>2021</v>
      </c>
      <c r="I29" s="23">
        <v>2022</v>
      </c>
      <c r="J29" s="23">
        <v>2023</v>
      </c>
      <c r="K29" s="22">
        <v>2024</v>
      </c>
      <c r="L29" s="22">
        <v>2025</v>
      </c>
      <c r="M29" s="134" t="s">
        <v>24</v>
      </c>
      <c r="N29" s="135"/>
    </row>
    <row r="30" spans="1:14" x14ac:dyDescent="0.2">
      <c r="A30" s="19" t="s">
        <v>21</v>
      </c>
      <c r="B30" s="116"/>
      <c r="C30" s="30">
        <f>(C16/248)</f>
        <v>0.41935483870967744</v>
      </c>
      <c r="D30" s="30">
        <f>(D16/248)</f>
        <v>0.50806451612903225</v>
      </c>
      <c r="E30" s="30">
        <f>(E16/248)</f>
        <v>0.375</v>
      </c>
      <c r="F30" s="30">
        <f>(F16/248)</f>
        <v>0.25806451612903225</v>
      </c>
      <c r="G30" s="30">
        <f t="shared" ref="G30:L30" si="8">(G16/279)</f>
        <v>0.48028673835125446</v>
      </c>
      <c r="H30" s="30">
        <f t="shared" si="8"/>
        <v>5.7347670250896057E-2</v>
      </c>
      <c r="I30" s="30">
        <f t="shared" si="8"/>
        <v>0.37634408602150538</v>
      </c>
      <c r="J30" s="30">
        <f t="shared" si="8"/>
        <v>0.47670250896057348</v>
      </c>
      <c r="K30" s="29">
        <f t="shared" si="8"/>
        <v>0.34408602150537637</v>
      </c>
      <c r="L30" s="29">
        <f t="shared" si="8"/>
        <v>0.22222222222222221</v>
      </c>
      <c r="M30" s="92">
        <f>L30-K30</f>
        <v>-0.12186379928315416</v>
      </c>
      <c r="N30" s="96">
        <f>(L30-K30)/K30</f>
        <v>-0.35416666666666674</v>
      </c>
    </row>
    <row r="31" spans="1:14" x14ac:dyDescent="0.2">
      <c r="A31" s="19" t="s">
        <v>20</v>
      </c>
      <c r="B31" s="116"/>
      <c r="C31" s="30">
        <f>(C17/232)</f>
        <v>0.58620689655172409</v>
      </c>
      <c r="D31" s="30">
        <f>(D17/224)</f>
        <v>0.5848214285714286</v>
      </c>
      <c r="E31" s="30">
        <f>(E17/224)</f>
        <v>0.42410714285714285</v>
      </c>
      <c r="F31" s="30">
        <f>(F17/224)</f>
        <v>0.26785714285714285</v>
      </c>
      <c r="G31" s="30">
        <f>(G17/261)</f>
        <v>0.27969348659003829</v>
      </c>
      <c r="H31" s="30">
        <f>(H17/252)</f>
        <v>5.1587301587301584E-2</v>
      </c>
      <c r="I31" s="30">
        <f>(I17/252)</f>
        <v>0.22619047619047619</v>
      </c>
      <c r="J31" s="30">
        <f>(J17/252)</f>
        <v>0.28174603174603174</v>
      </c>
      <c r="K31" s="29">
        <f>(K17/261)</f>
        <v>0.21839080459770116</v>
      </c>
      <c r="L31" s="29">
        <f>(L17/252)</f>
        <v>0.25396825396825395</v>
      </c>
      <c r="M31" s="92">
        <f t="shared" ref="M31:M41" si="9">L31-K31</f>
        <v>3.5577449370552794E-2</v>
      </c>
      <c r="N31" s="96">
        <f t="shared" ref="N31:N41" si="10">(L31-K31)/K31</f>
        <v>0.16290726817042595</v>
      </c>
    </row>
    <row r="32" spans="1:14" x14ac:dyDescent="0.2">
      <c r="A32" s="19" t="s">
        <v>19</v>
      </c>
      <c r="B32" s="116">
        <f>(B18/248)</f>
        <v>8.0645161290322578E-3</v>
      </c>
      <c r="C32" s="30">
        <f>(C18/248)</f>
        <v>0.42741935483870969</v>
      </c>
      <c r="D32" s="30">
        <f>(D18/248)</f>
        <v>0.30241935483870969</v>
      </c>
      <c r="E32" s="30">
        <f>(E18/248)</f>
        <v>0.55241935483870963</v>
      </c>
      <c r="F32" s="30">
        <f>(F18/248)</f>
        <v>0.2661290322580645</v>
      </c>
      <c r="G32" s="31">
        <f t="shared" ref="G32:L32" si="11">(G18/279)</f>
        <v>0.12903225806451613</v>
      </c>
      <c r="H32" s="30">
        <f t="shared" si="11"/>
        <v>0.12186379928315412</v>
      </c>
      <c r="I32" s="30">
        <f t="shared" si="11"/>
        <v>0.5161290322580645</v>
      </c>
      <c r="J32" s="30">
        <f t="shared" si="11"/>
        <v>0.37275985663082439</v>
      </c>
      <c r="K32" s="29">
        <f t="shared" si="11"/>
        <v>0.36559139784946237</v>
      </c>
      <c r="L32" s="29">
        <f t="shared" si="11"/>
        <v>0.34408602150537637</v>
      </c>
      <c r="M32" s="92">
        <f t="shared" si="9"/>
        <v>-2.1505376344086002E-2</v>
      </c>
      <c r="N32" s="96">
        <f t="shared" si="10"/>
        <v>-5.882352941176465E-2</v>
      </c>
    </row>
    <row r="33" spans="1:14" x14ac:dyDescent="0.2">
      <c r="A33" s="19" t="s">
        <v>18</v>
      </c>
      <c r="B33" s="116">
        <f>(B19/240)</f>
        <v>0.3</v>
      </c>
      <c r="C33" s="30">
        <f>(C19/240)</f>
        <v>0.17083333333333334</v>
      </c>
      <c r="D33" s="30">
        <f>(D19/240)</f>
        <v>0.375</v>
      </c>
      <c r="E33" s="30">
        <f>(E19/240)</f>
        <v>0.34166666666666667</v>
      </c>
      <c r="F33" s="30">
        <f>(F19/240)</f>
        <v>0.25</v>
      </c>
      <c r="G33" s="31">
        <f t="shared" ref="G33:L33" si="12">(G19/270)</f>
        <v>0</v>
      </c>
      <c r="H33" s="30">
        <f t="shared" si="12"/>
        <v>0.14814814814814814</v>
      </c>
      <c r="I33" s="30">
        <f t="shared" si="12"/>
        <v>0.25925925925925924</v>
      </c>
      <c r="J33" s="30">
        <f t="shared" si="12"/>
        <v>0.3037037037037037</v>
      </c>
      <c r="K33" s="29">
        <f t="shared" si="12"/>
        <v>0.14074074074074075</v>
      </c>
      <c r="L33" s="29">
        <f t="shared" si="12"/>
        <v>0.23333333333333334</v>
      </c>
      <c r="M33" s="92">
        <f t="shared" si="9"/>
        <v>9.2592592592592587E-2</v>
      </c>
      <c r="N33" s="96">
        <f t="shared" si="10"/>
        <v>0.6578947368421052</v>
      </c>
    </row>
    <row r="34" spans="1:14" x14ac:dyDescent="0.2">
      <c r="A34" s="19" t="s">
        <v>17</v>
      </c>
      <c r="B34" s="116">
        <f>(B20/248)</f>
        <v>6.4516129032258063E-2</v>
      </c>
      <c r="C34" s="30">
        <f>(C20/248)</f>
        <v>0.15725806451612903</v>
      </c>
      <c r="D34" s="30">
        <f>(D20/248)</f>
        <v>0.125</v>
      </c>
      <c r="E34" s="30">
        <f>(E20/248)</f>
        <v>0.33870967741935482</v>
      </c>
      <c r="F34" s="30">
        <f>(F20/248)</f>
        <v>0.15322580645161291</v>
      </c>
      <c r="G34" s="31">
        <f t="shared" ref="G34:L34" si="13">(G20/279)</f>
        <v>0</v>
      </c>
      <c r="H34" s="30">
        <f t="shared" si="13"/>
        <v>0.1039426523297491</v>
      </c>
      <c r="I34" s="30">
        <f t="shared" si="13"/>
        <v>0.22580645161290322</v>
      </c>
      <c r="J34" s="30">
        <f t="shared" si="13"/>
        <v>0.23655913978494625</v>
      </c>
      <c r="K34" s="29">
        <f t="shared" si="13"/>
        <v>0.10752688172043011</v>
      </c>
      <c r="L34" s="29">
        <f t="shared" si="13"/>
        <v>0.13978494623655913</v>
      </c>
      <c r="M34" s="92">
        <f t="shared" si="9"/>
        <v>3.2258064516129017E-2</v>
      </c>
      <c r="N34" s="96">
        <f t="shared" si="10"/>
        <v>0.29999999999999988</v>
      </c>
    </row>
    <row r="35" spans="1:14" x14ac:dyDescent="0.2">
      <c r="A35" s="19" t="s">
        <v>16</v>
      </c>
      <c r="B35" s="116">
        <f>(B21/240)</f>
        <v>0.24583333333333332</v>
      </c>
      <c r="C35" s="30">
        <f>(C21/240)</f>
        <v>0.2</v>
      </c>
      <c r="D35" s="30">
        <f>(D21/240)</f>
        <v>0.16666666666666666</v>
      </c>
      <c r="E35" s="30">
        <f>(E21/240)</f>
        <v>0.32500000000000001</v>
      </c>
      <c r="F35" s="30">
        <f>(F21/240)</f>
        <v>0.24166666666666667</v>
      </c>
      <c r="G35" s="30">
        <f t="shared" ref="G35:L35" si="14">(G21/270)</f>
        <v>1.1111111111111112E-2</v>
      </c>
      <c r="H35" s="30">
        <f t="shared" si="14"/>
        <v>0.15185185185185185</v>
      </c>
      <c r="I35" s="30">
        <f t="shared" si="14"/>
        <v>0.2074074074074074</v>
      </c>
      <c r="J35" s="30">
        <f t="shared" si="14"/>
        <v>0.2814814814814815</v>
      </c>
      <c r="K35" s="29">
        <f t="shared" si="14"/>
        <v>0.11851851851851852</v>
      </c>
      <c r="L35" s="29">
        <f t="shared" si="14"/>
        <v>0.19259259259259259</v>
      </c>
      <c r="M35" s="92">
        <f t="shared" si="9"/>
        <v>7.407407407407407E-2</v>
      </c>
      <c r="N35" s="96">
        <f t="shared" si="10"/>
        <v>0.62499999999999989</v>
      </c>
    </row>
    <row r="36" spans="1:14" x14ac:dyDescent="0.2">
      <c r="A36" s="19" t="s">
        <v>15</v>
      </c>
      <c r="B36" s="116">
        <f t="shared" ref="B36:F37" si="15">(B22/248)</f>
        <v>0.27419354838709675</v>
      </c>
      <c r="C36" s="30">
        <f t="shared" si="15"/>
        <v>0.21370967741935484</v>
      </c>
      <c r="D36" s="30">
        <f t="shared" si="15"/>
        <v>0.20161290322580644</v>
      </c>
      <c r="E36" s="30">
        <f t="shared" si="15"/>
        <v>0.33467741935483869</v>
      </c>
      <c r="F36" s="30">
        <f t="shared" si="15"/>
        <v>0.22983870967741934</v>
      </c>
      <c r="G36" s="30">
        <f t="shared" ref="G36:K37" si="16">(G22/279)</f>
        <v>2.1505376344086023E-2</v>
      </c>
      <c r="H36" s="30">
        <f t="shared" si="16"/>
        <v>7.1684587813620068E-2</v>
      </c>
      <c r="I36" s="30">
        <f t="shared" si="16"/>
        <v>0.30107526881720431</v>
      </c>
      <c r="J36" s="30">
        <f t="shared" si="16"/>
        <v>0.31899641577060933</v>
      </c>
      <c r="K36" s="29">
        <f t="shared" si="16"/>
        <v>0.15770609318996415</v>
      </c>
      <c r="L36" s="29">
        <f t="shared" ref="L36" si="17">(L22/279)</f>
        <v>0.22222222222222221</v>
      </c>
      <c r="M36" s="92">
        <f t="shared" si="9"/>
        <v>6.4516129032258063E-2</v>
      </c>
      <c r="N36" s="96">
        <f t="shared" si="10"/>
        <v>0.40909090909090912</v>
      </c>
    </row>
    <row r="37" spans="1:14" x14ac:dyDescent="0.2">
      <c r="A37" s="19" t="s">
        <v>4</v>
      </c>
      <c r="B37" s="116">
        <f t="shared" si="15"/>
        <v>0.45161290322580644</v>
      </c>
      <c r="C37" s="30">
        <f t="shared" si="15"/>
        <v>0.20161290322580644</v>
      </c>
      <c r="D37" s="30">
        <f t="shared" si="15"/>
        <v>0.23387096774193547</v>
      </c>
      <c r="E37" s="30">
        <f t="shared" si="15"/>
        <v>0.16935483870967741</v>
      </c>
      <c r="F37" s="30">
        <f t="shared" si="15"/>
        <v>0.25403225806451613</v>
      </c>
      <c r="G37" s="30">
        <f t="shared" si="16"/>
        <v>0.15770609318996415</v>
      </c>
      <c r="H37" s="30">
        <f t="shared" si="16"/>
        <v>0.23297491039426524</v>
      </c>
      <c r="I37" s="30">
        <f t="shared" si="16"/>
        <v>0.34767025089605735</v>
      </c>
      <c r="J37" s="30">
        <f t="shared" si="16"/>
        <v>0.37275985663082439</v>
      </c>
      <c r="K37" s="29">
        <f t="shared" si="16"/>
        <v>0.30107526881720431</v>
      </c>
      <c r="L37" s="29">
        <f t="shared" ref="L37" si="18">(L23/279)</f>
        <v>0.34408602150537637</v>
      </c>
      <c r="M37" s="92">
        <f t="shared" si="9"/>
        <v>4.301075268817206E-2</v>
      </c>
      <c r="N37" s="96">
        <f t="shared" si="10"/>
        <v>0.1428571428571429</v>
      </c>
    </row>
    <row r="38" spans="1:14" x14ac:dyDescent="0.2">
      <c r="A38" s="19" t="s">
        <v>5</v>
      </c>
      <c r="B38" s="116">
        <f>(B24/240)</f>
        <v>0.39583333333333331</v>
      </c>
      <c r="C38" s="30">
        <f>(C24/240)</f>
        <v>0.37083333333333335</v>
      </c>
      <c r="D38" s="30">
        <f>(D24/240)</f>
        <v>0.4375</v>
      </c>
      <c r="E38" s="30">
        <f>(E24/240)</f>
        <v>0.15416666666666667</v>
      </c>
      <c r="F38" s="30">
        <f>(F24/240)</f>
        <v>0.34166666666666667</v>
      </c>
      <c r="G38" s="30">
        <f t="shared" ref="G38:L38" si="19">(G24/270)</f>
        <v>0.25925925925925924</v>
      </c>
      <c r="H38" s="30">
        <f t="shared" si="19"/>
        <v>0.17777777777777778</v>
      </c>
      <c r="I38" s="30">
        <f t="shared" si="19"/>
        <v>0.44444444444444442</v>
      </c>
      <c r="J38" s="30">
        <f t="shared" si="19"/>
        <v>0.3925925925925926</v>
      </c>
      <c r="K38" s="29">
        <f t="shared" si="19"/>
        <v>0.2814814814814815</v>
      </c>
      <c r="L38" s="29">
        <f t="shared" si="19"/>
        <v>0.51851851851851849</v>
      </c>
      <c r="M38" s="92">
        <f t="shared" si="9"/>
        <v>0.23703703703703699</v>
      </c>
      <c r="N38" s="96">
        <f t="shared" si="10"/>
        <v>0.84210526315789447</v>
      </c>
    </row>
    <row r="39" spans="1:14" x14ac:dyDescent="0.2">
      <c r="A39" s="19" t="s">
        <v>14</v>
      </c>
      <c r="B39" s="116">
        <f>(B25/248)</f>
        <v>0.44354838709677419</v>
      </c>
      <c r="C39" s="30">
        <f>(C25/248)</f>
        <v>0.60080645161290325</v>
      </c>
      <c r="D39" s="30">
        <f>(D25/248)</f>
        <v>0.40725806451612906</v>
      </c>
      <c r="E39" s="30">
        <f>(E25/248)</f>
        <v>0.24596774193548387</v>
      </c>
      <c r="F39" s="30">
        <f>(F25/248)</f>
        <v>0.37096774193548387</v>
      </c>
      <c r="G39" s="30">
        <f t="shared" ref="G39:L39" si="20">(G25/279)</f>
        <v>9.6774193548387094E-2</v>
      </c>
      <c r="H39" s="30">
        <f t="shared" si="20"/>
        <v>0.30824372759856633</v>
      </c>
      <c r="I39" s="30">
        <f t="shared" si="20"/>
        <v>0.45161290322580644</v>
      </c>
      <c r="J39" s="30">
        <f t="shared" si="20"/>
        <v>0.43010752688172044</v>
      </c>
      <c r="K39" s="29">
        <f t="shared" si="20"/>
        <v>0.24372759856630824</v>
      </c>
      <c r="L39" s="29">
        <f t="shared" si="20"/>
        <v>0.62365591397849462</v>
      </c>
      <c r="M39" s="92">
        <f t="shared" si="9"/>
        <v>0.37992831541218641</v>
      </c>
      <c r="N39" s="96">
        <f t="shared" si="10"/>
        <v>1.5588235294117649</v>
      </c>
    </row>
    <row r="40" spans="1:14" x14ac:dyDescent="0.2">
      <c r="A40" s="19" t="s">
        <v>13</v>
      </c>
      <c r="B40" s="116">
        <f>(B26/240)</f>
        <v>0.28333333333333333</v>
      </c>
      <c r="C40" s="30">
        <f>(C26/240)</f>
        <v>0.52083333333333337</v>
      </c>
      <c r="D40" s="30">
        <f>(D26/240)</f>
        <v>0.65</v>
      </c>
      <c r="E40" s="30">
        <f>(E26/240)</f>
        <v>0.33750000000000002</v>
      </c>
      <c r="F40" s="30">
        <f>(F26/240)</f>
        <v>0.37083333333333335</v>
      </c>
      <c r="G40" s="30">
        <f t="shared" ref="G40:L40" si="21">(G26/270)</f>
        <v>6.2962962962962957E-2</v>
      </c>
      <c r="H40" s="30">
        <f t="shared" si="21"/>
        <v>0.22962962962962963</v>
      </c>
      <c r="I40" s="30">
        <f t="shared" si="21"/>
        <v>0.5</v>
      </c>
      <c r="J40" s="30">
        <f t="shared" si="21"/>
        <v>0.58888888888888891</v>
      </c>
      <c r="K40" s="29">
        <f t="shared" si="21"/>
        <v>0.29259259259259257</v>
      </c>
      <c r="L40" s="29">
        <f t="shared" si="21"/>
        <v>0.63703703703703707</v>
      </c>
      <c r="M40" s="92">
        <f t="shared" si="9"/>
        <v>0.3444444444444445</v>
      </c>
      <c r="N40" s="96">
        <f t="shared" si="10"/>
        <v>1.177215189873418</v>
      </c>
    </row>
    <row r="41" spans="1:14" ht="19" thickBot="1" x14ac:dyDescent="0.25">
      <c r="A41" s="16" t="s">
        <v>12</v>
      </c>
      <c r="B41" s="117">
        <f>(B27/248)</f>
        <v>0.532258064516129</v>
      </c>
      <c r="C41" s="28">
        <f>(C27/248)</f>
        <v>0.7338709677419355</v>
      </c>
      <c r="D41" s="28">
        <f>(D27/248)</f>
        <v>0.6088709677419355</v>
      </c>
      <c r="E41" s="28">
        <f>(E27/248)</f>
        <v>0.45967741935483869</v>
      </c>
      <c r="F41" s="28">
        <f>(F27/248)</f>
        <v>0.41532258064516131</v>
      </c>
      <c r="G41" s="28">
        <f t="shared" ref="G41:L41" si="22">(G27/279)</f>
        <v>0.26881720430107525</v>
      </c>
      <c r="H41" s="28">
        <f t="shared" si="22"/>
        <v>0.53405017921146958</v>
      </c>
      <c r="I41" s="28">
        <f t="shared" si="22"/>
        <v>0.65591397849462363</v>
      </c>
      <c r="J41" s="28">
        <f t="shared" si="22"/>
        <v>0.68817204301075274</v>
      </c>
      <c r="K41" s="27">
        <f t="shared" si="22"/>
        <v>0.3942652329749104</v>
      </c>
      <c r="L41" s="27">
        <f t="shared" si="22"/>
        <v>0</v>
      </c>
      <c r="M41" s="92">
        <f t="shared" si="9"/>
        <v>-0.3942652329749104</v>
      </c>
      <c r="N41" s="96">
        <f t="shared" si="10"/>
        <v>-1</v>
      </c>
    </row>
    <row r="42" spans="1:14" ht="19" thickBot="1" x14ac:dyDescent="0.25">
      <c r="A42" s="13" t="s">
        <v>11</v>
      </c>
      <c r="B42" s="118">
        <f>SUM(B30:B41)/10</f>
        <v>0.29991935483870968</v>
      </c>
      <c r="C42" s="26">
        <f t="shared" ref="C42:K42" si="23">SUM(C30:C41)/12</f>
        <v>0.38356159621802005</v>
      </c>
      <c r="D42" s="26">
        <f t="shared" si="23"/>
        <v>0.38342373911930361</v>
      </c>
      <c r="E42" s="26">
        <f t="shared" si="23"/>
        <v>0.33818724398361494</v>
      </c>
      <c r="F42" s="26">
        <f t="shared" si="23"/>
        <v>0.28496703789042505</v>
      </c>
      <c r="G42" s="26">
        <f t="shared" si="23"/>
        <v>0.14726239031022123</v>
      </c>
      <c r="H42" s="26">
        <f t="shared" si="23"/>
        <v>0.18242518632303581</v>
      </c>
      <c r="I42" s="26">
        <f t="shared" si="23"/>
        <v>0.37598779655231268</v>
      </c>
      <c r="J42" s="26">
        <f t="shared" si="23"/>
        <v>0.3953725038402458</v>
      </c>
      <c r="K42" s="25">
        <f t="shared" si="23"/>
        <v>0.2471418860462242</v>
      </c>
      <c r="L42" s="25">
        <f t="shared" ref="L42" si="24">SUM(L30:L41)/12</f>
        <v>0.31095892359333227</v>
      </c>
      <c r="M42" s="93">
        <f>-L42-K42</f>
        <v>-0.55810080963955644</v>
      </c>
      <c r="N42" s="97">
        <f>(L42-K42)/K42</f>
        <v>0.25822024169214297</v>
      </c>
    </row>
    <row r="43" spans="1:14" x14ac:dyDescent="0.2">
      <c r="A43" s="24" t="s">
        <v>7</v>
      </c>
      <c r="B43" s="112">
        <v>2015</v>
      </c>
      <c r="C43" s="23">
        <v>2016</v>
      </c>
      <c r="D43" s="23">
        <v>2017</v>
      </c>
      <c r="E43" s="23">
        <v>2018</v>
      </c>
      <c r="F43" s="23">
        <v>2019</v>
      </c>
      <c r="G43" s="23">
        <v>2020</v>
      </c>
      <c r="H43" s="23">
        <v>2021</v>
      </c>
      <c r="I43" s="23">
        <v>2022</v>
      </c>
      <c r="J43" s="23">
        <v>2023</v>
      </c>
      <c r="K43" s="22">
        <v>2024</v>
      </c>
      <c r="L43" s="22">
        <v>2025</v>
      </c>
      <c r="M43" s="134" t="s">
        <v>24</v>
      </c>
      <c r="N43" s="135"/>
    </row>
    <row r="44" spans="1:14" x14ac:dyDescent="0.2">
      <c r="A44" s="19" t="s">
        <v>21</v>
      </c>
      <c r="B44" s="119"/>
      <c r="C44" s="18">
        <f t="shared" ref="C44:K55" si="25">C2/C16</f>
        <v>1064.6442307692307</v>
      </c>
      <c r="D44" s="18">
        <f t="shared" si="25"/>
        <v>1065.3373015873017</v>
      </c>
      <c r="E44" s="18">
        <f t="shared" si="25"/>
        <v>990.64473118279579</v>
      </c>
      <c r="F44" s="18">
        <f t="shared" si="25"/>
        <v>1028.8965625000001</v>
      </c>
      <c r="G44" s="18">
        <f t="shared" si="25"/>
        <v>958.30597014925377</v>
      </c>
      <c r="H44" s="18">
        <f t="shared" si="25"/>
        <v>662.26</v>
      </c>
      <c r="I44" s="18">
        <f t="shared" si="25"/>
        <v>1138.9562857142857</v>
      </c>
      <c r="J44" s="18">
        <f t="shared" si="25"/>
        <v>1018.8072180451127</v>
      </c>
      <c r="K44" s="17">
        <f t="shared" si="25"/>
        <v>1414.0625</v>
      </c>
      <c r="L44" s="17">
        <f t="shared" ref="L44" si="26">L2/L16</f>
        <v>1493.0182258064517</v>
      </c>
      <c r="M44" s="94">
        <f>L44-K44</f>
        <v>78.95572580645171</v>
      </c>
      <c r="N44" s="96">
        <f>(L44-K44)/K44</f>
        <v>5.5836093387987951E-2</v>
      </c>
    </row>
    <row r="45" spans="1:14" x14ac:dyDescent="0.2">
      <c r="A45" s="19" t="s">
        <v>20</v>
      </c>
      <c r="B45" s="119"/>
      <c r="C45" s="18">
        <f t="shared" si="25"/>
        <v>957.64705882352939</v>
      </c>
      <c r="D45" s="18">
        <f t="shared" si="25"/>
        <v>967.08038167938935</v>
      </c>
      <c r="E45" s="18">
        <f t="shared" si="25"/>
        <v>957.44547368421058</v>
      </c>
      <c r="F45" s="18">
        <f t="shared" si="25"/>
        <v>1096.75</v>
      </c>
      <c r="G45" s="18">
        <f t="shared" si="25"/>
        <v>966.0034246575342</v>
      </c>
      <c r="H45" s="18">
        <f t="shared" si="25"/>
        <v>353.84615384615387</v>
      </c>
      <c r="I45" s="18">
        <f t="shared" si="25"/>
        <v>911.55421052631573</v>
      </c>
      <c r="J45" s="18">
        <f t="shared" si="25"/>
        <v>1372.5077464788733</v>
      </c>
      <c r="K45" s="17">
        <f t="shared" si="25"/>
        <v>1387.4526315789474</v>
      </c>
      <c r="L45" s="17">
        <f>L3/L17</f>
        <v>1251.9282812500001</v>
      </c>
      <c r="M45" s="94">
        <f t="shared" ref="M45:M55" si="27">L45-K45</f>
        <v>-135.52435032894732</v>
      </c>
      <c r="N45" s="96">
        <f t="shared" ref="N45:N55" si="28">(L45-K45)/K45</f>
        <v>-9.7678542131357696E-2</v>
      </c>
    </row>
    <row r="46" spans="1:14" x14ac:dyDescent="0.2">
      <c r="A46" s="19" t="s">
        <v>19</v>
      </c>
      <c r="B46" s="120">
        <f t="shared" ref="B46:B55" si="29">B4/B18</f>
        <v>780</v>
      </c>
      <c r="C46" s="18">
        <f t="shared" si="25"/>
        <v>924.10377358490564</v>
      </c>
      <c r="D46" s="18">
        <f t="shared" si="25"/>
        <v>1023.7126666666667</v>
      </c>
      <c r="E46" s="18">
        <f t="shared" si="25"/>
        <v>983.53503649635024</v>
      </c>
      <c r="F46" s="18">
        <f t="shared" si="25"/>
        <v>1039.2121212121212</v>
      </c>
      <c r="G46" s="21">
        <f t="shared" si="25"/>
        <v>1080.0066666666667</v>
      </c>
      <c r="H46" s="18">
        <f t="shared" si="25"/>
        <v>976</v>
      </c>
      <c r="I46" s="18">
        <f t="shared" si="25"/>
        <v>984.47499999999991</v>
      </c>
      <c r="J46" s="18">
        <f t="shared" si="25"/>
        <v>640.85096153846155</v>
      </c>
      <c r="K46" s="17">
        <f t="shared" si="25"/>
        <v>1636.9523529411765</v>
      </c>
      <c r="L46" s="17">
        <f>L4/L18</f>
        <v>1311.7822916666667</v>
      </c>
      <c r="M46" s="94">
        <f t="shared" si="27"/>
        <v>-325.17006127450986</v>
      </c>
      <c r="N46" s="96">
        <f t="shared" si="28"/>
        <v>-0.19864357120124118</v>
      </c>
    </row>
    <row r="47" spans="1:14" x14ac:dyDescent="0.2">
      <c r="A47" s="19" t="s">
        <v>18</v>
      </c>
      <c r="B47" s="120">
        <f t="shared" si="29"/>
        <v>709.79166666666663</v>
      </c>
      <c r="C47" s="18">
        <f t="shared" si="25"/>
        <v>869.7560975609756</v>
      </c>
      <c r="D47" s="18">
        <f t="shared" si="25"/>
        <v>1039.0433333333333</v>
      </c>
      <c r="E47" s="18">
        <f t="shared" si="25"/>
        <v>980.94207317073176</v>
      </c>
      <c r="F47" s="18">
        <f t="shared" si="25"/>
        <v>1010.3106666666666</v>
      </c>
      <c r="G47" s="20">
        <v>0</v>
      </c>
      <c r="H47" s="18">
        <f t="shared" si="25"/>
        <v>872.79</v>
      </c>
      <c r="I47" s="18">
        <f t="shared" si="25"/>
        <v>854.49657142857143</v>
      </c>
      <c r="J47" s="18">
        <f t="shared" si="25"/>
        <v>1367.6669512195122</v>
      </c>
      <c r="K47" s="17">
        <f t="shared" si="25"/>
        <v>1485.792105263158</v>
      </c>
      <c r="L47" s="17">
        <f t="shared" ref="L47" si="30">L5/L19</f>
        <v>1576.8930158730159</v>
      </c>
      <c r="M47" s="94">
        <f t="shared" si="27"/>
        <v>91.10091060985792</v>
      </c>
      <c r="N47" s="96">
        <f t="shared" si="28"/>
        <v>6.1314709027695681E-2</v>
      </c>
    </row>
    <row r="48" spans="1:14" x14ac:dyDescent="0.2">
      <c r="A48" s="19" t="s">
        <v>17</v>
      </c>
      <c r="B48" s="120">
        <f t="shared" si="29"/>
        <v>703.4375</v>
      </c>
      <c r="C48" s="18">
        <f t="shared" si="25"/>
        <v>754.87179487179492</v>
      </c>
      <c r="D48" s="18">
        <f t="shared" si="25"/>
        <v>898.20161290322585</v>
      </c>
      <c r="E48" s="18">
        <f t="shared" si="25"/>
        <v>780.00749999999994</v>
      </c>
      <c r="F48" s="18">
        <f t="shared" si="25"/>
        <v>1044.598947368421</v>
      </c>
      <c r="G48" s="20">
        <v>0</v>
      </c>
      <c r="H48" s="18">
        <f t="shared" si="25"/>
        <v>876.37931034482756</v>
      </c>
      <c r="I48" s="18">
        <f t="shared" si="25"/>
        <v>420.14492063492065</v>
      </c>
      <c r="J48" s="18">
        <f t="shared" si="25"/>
        <v>1211.5180303030304</v>
      </c>
      <c r="K48" s="17">
        <f t="shared" si="25"/>
        <v>1414.4916666666666</v>
      </c>
      <c r="L48" s="17">
        <f t="shared" ref="L48" si="31">L6/L20</f>
        <v>1255.6307692307691</v>
      </c>
      <c r="M48" s="94">
        <f t="shared" si="27"/>
        <v>-158.86089743589741</v>
      </c>
      <c r="N48" s="96">
        <f t="shared" si="28"/>
        <v>-0.11230953223659672</v>
      </c>
    </row>
    <row r="49" spans="1:14" x14ac:dyDescent="0.2">
      <c r="A49" s="19" t="s">
        <v>16</v>
      </c>
      <c r="B49" s="120">
        <f t="shared" si="29"/>
        <v>505.9305084745763</v>
      </c>
      <c r="C49" s="18">
        <f t="shared" si="25"/>
        <v>938.75</v>
      </c>
      <c r="D49" s="18">
        <f t="shared" si="25"/>
        <v>669.22375</v>
      </c>
      <c r="E49" s="18">
        <f t="shared" si="25"/>
        <v>974.01923076923072</v>
      </c>
      <c r="F49" s="18">
        <f t="shared" si="25"/>
        <v>428.00034482758622</v>
      </c>
      <c r="G49" s="18">
        <f t="shared" si="25"/>
        <v>1003.3333333333334</v>
      </c>
      <c r="H49" s="18">
        <f t="shared" si="25"/>
        <v>610.5292682926829</v>
      </c>
      <c r="I49" s="18">
        <f t="shared" si="25"/>
        <v>430.93928571428569</v>
      </c>
      <c r="J49" s="18">
        <f t="shared" si="25"/>
        <v>1162.6656578947368</v>
      </c>
      <c r="K49" s="17">
        <f t="shared" si="25"/>
        <v>1350.13375</v>
      </c>
      <c r="L49" s="17">
        <f t="shared" ref="L49" si="32">L7/L21</f>
        <v>878.99519230769226</v>
      </c>
      <c r="M49" s="94">
        <f t="shared" si="27"/>
        <v>-471.1385576923077</v>
      </c>
      <c r="N49" s="96">
        <f t="shared" si="28"/>
        <v>-0.34895695162964979</v>
      </c>
    </row>
    <row r="50" spans="1:14" x14ac:dyDescent="0.2">
      <c r="A50" s="19" t="s">
        <v>15</v>
      </c>
      <c r="B50" s="120">
        <f t="shared" si="29"/>
        <v>632.20588235294122</v>
      </c>
      <c r="C50" s="18">
        <f t="shared" si="25"/>
        <v>868.37735849056605</v>
      </c>
      <c r="D50" s="18">
        <f t="shared" si="25"/>
        <v>1011.75</v>
      </c>
      <c r="E50" s="18">
        <f t="shared" si="25"/>
        <v>1124.0433734939759</v>
      </c>
      <c r="F50" s="18">
        <f t="shared" si="25"/>
        <v>310.64912280701753</v>
      </c>
      <c r="G50" s="18">
        <f t="shared" si="25"/>
        <v>1044.1666666666667</v>
      </c>
      <c r="H50" s="18">
        <f t="shared" si="25"/>
        <v>598.25</v>
      </c>
      <c r="I50" s="18">
        <f t="shared" si="25"/>
        <v>311.3483333333333</v>
      </c>
      <c r="J50" s="18">
        <f t="shared" si="25"/>
        <v>990.28179775280898</v>
      </c>
      <c r="K50" s="17">
        <f t="shared" si="25"/>
        <v>1395.9443181818183</v>
      </c>
      <c r="L50" s="17">
        <f t="shared" ref="L50" si="33">L8/L22</f>
        <v>777.72387096774185</v>
      </c>
      <c r="M50" s="94">
        <f t="shared" si="27"/>
        <v>-618.22044721407644</v>
      </c>
      <c r="N50" s="96">
        <f t="shared" si="28"/>
        <v>-0.44286898779694361</v>
      </c>
    </row>
    <row r="51" spans="1:14" x14ac:dyDescent="0.2">
      <c r="A51" s="19" t="s">
        <v>4</v>
      </c>
      <c r="B51" s="120">
        <f t="shared" si="29"/>
        <v>595.97321428571433</v>
      </c>
      <c r="C51" s="18">
        <f t="shared" si="25"/>
        <v>790.47140000000002</v>
      </c>
      <c r="D51" s="18">
        <f t="shared" si="25"/>
        <v>1025.5563793103447</v>
      </c>
      <c r="E51" s="18">
        <f t="shared" si="25"/>
        <v>802.94642857142856</v>
      </c>
      <c r="F51" s="18">
        <f t="shared" si="25"/>
        <v>447.35746031746032</v>
      </c>
      <c r="G51" s="18">
        <f t="shared" si="25"/>
        <v>884.5454545454545</v>
      </c>
      <c r="H51" s="18">
        <f t="shared" si="25"/>
        <v>283.81846153846158</v>
      </c>
      <c r="I51" s="18">
        <f t="shared" si="25"/>
        <v>1150.0627835051546</v>
      </c>
      <c r="J51" s="18">
        <f t="shared" si="25"/>
        <v>1226.8508653846154</v>
      </c>
      <c r="K51" s="17">
        <f t="shared" si="25"/>
        <v>1423.1154761904761</v>
      </c>
      <c r="L51" s="17">
        <f t="shared" ref="L51" si="34">L9/L23</f>
        <v>1090.6239583333333</v>
      </c>
      <c r="M51" s="94">
        <f t="shared" si="27"/>
        <v>-332.49151785714275</v>
      </c>
      <c r="N51" s="96">
        <f t="shared" si="28"/>
        <v>-0.23363635869324256</v>
      </c>
    </row>
    <row r="52" spans="1:14" x14ac:dyDescent="0.2">
      <c r="A52" s="19" t="s">
        <v>5</v>
      </c>
      <c r="B52" s="120">
        <f t="shared" si="29"/>
        <v>788.91578947368419</v>
      </c>
      <c r="C52" s="18">
        <f t="shared" si="25"/>
        <v>1071.0749438202247</v>
      </c>
      <c r="D52" s="18">
        <f t="shared" si="25"/>
        <v>1068.5980952380953</v>
      </c>
      <c r="E52" s="18">
        <f t="shared" si="25"/>
        <v>1113.7029729729729</v>
      </c>
      <c r="F52" s="18">
        <f t="shared" si="25"/>
        <v>672.43902439024396</v>
      </c>
      <c r="G52" s="18">
        <f t="shared" si="25"/>
        <v>755.60857142857139</v>
      </c>
      <c r="H52" s="18">
        <f t="shared" si="25"/>
        <v>886.32499999999993</v>
      </c>
      <c r="I52" s="18">
        <f t="shared" si="25"/>
        <v>1096.3540833333332</v>
      </c>
      <c r="J52" s="18">
        <f t="shared" si="25"/>
        <v>1175.7929245283019</v>
      </c>
      <c r="K52" s="17">
        <f t="shared" si="25"/>
        <v>1223.5998684210526</v>
      </c>
      <c r="L52" s="17">
        <f t="shared" ref="L52" si="35">L10/L24</f>
        <v>1143.5962857142858</v>
      </c>
      <c r="M52" s="94">
        <f t="shared" si="27"/>
        <v>-80.003582706766792</v>
      </c>
      <c r="N52" s="96">
        <f t="shared" si="28"/>
        <v>-6.5383778448754121E-2</v>
      </c>
    </row>
    <row r="53" spans="1:14" x14ac:dyDescent="0.2">
      <c r="A53" s="19" t="s">
        <v>14</v>
      </c>
      <c r="B53" s="120">
        <f t="shared" si="29"/>
        <v>884.0454545454545</v>
      </c>
      <c r="C53" s="18">
        <f t="shared" si="25"/>
        <v>1114.8204697986578</v>
      </c>
      <c r="D53" s="18">
        <f t="shared" si="25"/>
        <v>1131.6946534653466</v>
      </c>
      <c r="E53" s="18">
        <f t="shared" si="25"/>
        <v>1131.6619672131148</v>
      </c>
      <c r="F53" s="18">
        <f t="shared" si="25"/>
        <v>614.56521739130437</v>
      </c>
      <c r="G53" s="18">
        <f t="shared" si="25"/>
        <v>257.18518518518516</v>
      </c>
      <c r="H53" s="18">
        <f t="shared" si="25"/>
        <v>775.9255813953489</v>
      </c>
      <c r="I53" s="18">
        <f t="shared" si="25"/>
        <v>1106.5019841269841</v>
      </c>
      <c r="J53" s="18">
        <f t="shared" si="25"/>
        <v>1310.4003333333335</v>
      </c>
      <c r="K53" s="17">
        <f t="shared" si="25"/>
        <v>1348.0874999999999</v>
      </c>
      <c r="L53" s="17">
        <f t="shared" ref="L53" si="36">L11/L25</f>
        <v>1218.4795402298851</v>
      </c>
      <c r="M53" s="94">
        <f t="shared" si="27"/>
        <v>-129.6079597701148</v>
      </c>
      <c r="N53" s="96">
        <f t="shared" si="28"/>
        <v>-9.6142097430704468E-2</v>
      </c>
    </row>
    <row r="54" spans="1:14" x14ac:dyDescent="0.2">
      <c r="A54" s="19" t="s">
        <v>13</v>
      </c>
      <c r="B54" s="120">
        <f t="shared" si="29"/>
        <v>945.07352941176475</v>
      </c>
      <c r="C54" s="18">
        <f t="shared" si="25"/>
        <v>1053.4116000000001</v>
      </c>
      <c r="D54" s="18">
        <f t="shared" si="25"/>
        <v>994.61698717948718</v>
      </c>
      <c r="E54" s="18">
        <f t="shared" si="25"/>
        <v>1032.078888888889</v>
      </c>
      <c r="F54" s="18">
        <f t="shared" si="25"/>
        <v>832.13483146067415</v>
      </c>
      <c r="G54" s="18">
        <f t="shared" si="25"/>
        <v>856.74117647058824</v>
      </c>
      <c r="H54" s="18">
        <f t="shared" si="25"/>
        <v>1049.7354838709678</v>
      </c>
      <c r="I54" s="18">
        <f t="shared" si="25"/>
        <v>1010.8321481481481</v>
      </c>
      <c r="J54" s="18">
        <f t="shared" si="25"/>
        <v>1203.3367924528302</v>
      </c>
      <c r="K54" s="17">
        <f t="shared" si="25"/>
        <v>1330.0762025316455</v>
      </c>
      <c r="L54" s="17">
        <f t="shared" ref="L54" si="37">L12/L26</f>
        <v>1126.5794186046512</v>
      </c>
      <c r="M54" s="94">
        <f t="shared" si="27"/>
        <v>-203.49678392699434</v>
      </c>
      <c r="N54" s="96">
        <f t="shared" si="28"/>
        <v>-0.15299633475109309</v>
      </c>
    </row>
    <row r="55" spans="1:14" ht="19" thickBot="1" x14ac:dyDescent="0.25">
      <c r="A55" s="16" t="s">
        <v>12</v>
      </c>
      <c r="B55" s="121">
        <f t="shared" si="29"/>
        <v>1041.3636363636363</v>
      </c>
      <c r="C55" s="15">
        <f t="shared" si="25"/>
        <v>1070.7950000000001</v>
      </c>
      <c r="D55" s="15">
        <f t="shared" si="25"/>
        <v>1061.846357615894</v>
      </c>
      <c r="E55" s="15">
        <f t="shared" si="25"/>
        <v>1203.625</v>
      </c>
      <c r="F55" s="15">
        <f t="shared" si="25"/>
        <v>911.27669902912623</v>
      </c>
      <c r="G55" s="15">
        <f t="shared" si="25"/>
        <v>1111.0341333333333</v>
      </c>
      <c r="H55" s="15">
        <f t="shared" si="25"/>
        <v>996.02543624161081</v>
      </c>
      <c r="I55" s="15">
        <f t="shared" si="25"/>
        <v>1191.3923497267758</v>
      </c>
      <c r="J55" s="15">
        <f t="shared" si="25"/>
        <v>1427.8869791666666</v>
      </c>
      <c r="K55" s="14">
        <f t="shared" si="25"/>
        <v>1917.3385454545453</v>
      </c>
      <c r="L55" s="14" t="e">
        <f t="shared" ref="L55" si="38">L13/L27</f>
        <v>#DIV/0!</v>
      </c>
      <c r="M55" s="94" t="e">
        <f t="shared" si="27"/>
        <v>#DIV/0!</v>
      </c>
      <c r="N55" s="96" t="e">
        <f t="shared" si="28"/>
        <v>#DIV/0!</v>
      </c>
    </row>
    <row r="56" spans="1:14" ht="19" thickBot="1" x14ac:dyDescent="0.25">
      <c r="A56" s="13" t="s">
        <v>11</v>
      </c>
      <c r="B56" s="122">
        <f>SUM(B44:B55)/10</f>
        <v>758.67371815744377</v>
      </c>
      <c r="C56" s="12">
        <f t="shared" ref="C56:K56" si="39">SUM(C44:C55)/12</f>
        <v>956.56031064332376</v>
      </c>
      <c r="D56" s="12">
        <f t="shared" si="39"/>
        <v>996.38845991492371</v>
      </c>
      <c r="E56" s="12">
        <f t="shared" si="39"/>
        <v>1006.2210563703084</v>
      </c>
      <c r="F56" s="12">
        <f t="shared" si="39"/>
        <v>786.34924983088513</v>
      </c>
      <c r="G56" s="12">
        <f t="shared" si="39"/>
        <v>743.07754853638232</v>
      </c>
      <c r="H56" s="12">
        <f t="shared" si="39"/>
        <v>745.15705796083785</v>
      </c>
      <c r="I56" s="12">
        <f t="shared" si="39"/>
        <v>883.92149634934231</v>
      </c>
      <c r="J56" s="12">
        <f t="shared" si="39"/>
        <v>1175.7138548415235</v>
      </c>
      <c r="K56" s="11">
        <f t="shared" si="39"/>
        <v>1443.9205764357905</v>
      </c>
      <c r="L56" s="11" t="e">
        <f t="shared" ref="L56" si="40">SUM(L44:L55)/12</f>
        <v>#DIV/0!</v>
      </c>
      <c r="M56" s="95" t="e">
        <f>L56-K56</f>
        <v>#DIV/0!</v>
      </c>
      <c r="N56" s="97" t="e">
        <f>(L56-K56)/K56</f>
        <v>#DIV/0!</v>
      </c>
    </row>
    <row r="59" spans="1:14" x14ac:dyDescent="0.2">
      <c r="H59" s="9" t="s">
        <v>33</v>
      </c>
      <c r="J59" s="8"/>
      <c r="K59"/>
      <c r="L59"/>
      <c r="M59" s="10"/>
      <c r="N59" s="10"/>
    </row>
    <row r="60" spans="1:14" x14ac:dyDescent="0.2">
      <c r="H60" s="9" t="s">
        <v>34</v>
      </c>
      <c r="J60" s="8" t="s">
        <v>28</v>
      </c>
      <c r="K60"/>
      <c r="L60"/>
      <c r="M60"/>
      <c r="N60"/>
    </row>
    <row r="61" spans="1:14" x14ac:dyDescent="0.2">
      <c r="J61" s="8"/>
      <c r="K61"/>
      <c r="L61"/>
      <c r="M61" s="10"/>
      <c r="N61" s="10"/>
    </row>
    <row r="62" spans="1:14" x14ac:dyDescent="0.2">
      <c r="H62" s="9" t="s">
        <v>35</v>
      </c>
      <c r="J62" s="8" t="s">
        <v>29</v>
      </c>
      <c r="K62"/>
      <c r="L62"/>
      <c r="M62" s="10"/>
      <c r="N62" s="10"/>
    </row>
    <row r="63" spans="1:14" x14ac:dyDescent="0.2">
      <c r="H63" s="9" t="s">
        <v>36</v>
      </c>
      <c r="J63" s="8" t="s">
        <v>30</v>
      </c>
      <c r="K63"/>
      <c r="L63"/>
      <c r="M63" s="10"/>
      <c r="N63" s="10"/>
    </row>
    <row r="64" spans="1:14" x14ac:dyDescent="0.2">
      <c r="H64" s="9" t="s">
        <v>37</v>
      </c>
      <c r="J64" s="8" t="s">
        <v>31</v>
      </c>
      <c r="K64"/>
      <c r="L64"/>
      <c r="M64" s="10"/>
      <c r="N64" s="10"/>
    </row>
    <row r="65" spans="8:10" x14ac:dyDescent="0.2">
      <c r="H65" s="9" t="s">
        <v>38</v>
      </c>
      <c r="J65" s="8" t="s">
        <v>32</v>
      </c>
    </row>
    <row r="66" spans="8:10" x14ac:dyDescent="0.2">
      <c r="J66" s="8"/>
    </row>
  </sheetData>
  <mergeCells count="4">
    <mergeCell ref="M1:N1"/>
    <mergeCell ref="M15:N15"/>
    <mergeCell ref="M29:N29"/>
    <mergeCell ref="M43:N43"/>
  </mergeCells>
  <conditionalFormatting sqref="M2:N14 M16:N28 M30:N42 M44:N56">
    <cfRule type="cellIs" dxfId="9" priority="1" operator="greaterThan">
      <formula>0.009</formula>
    </cfRule>
    <cfRule type="cellIs" dxfId="8" priority="2" operator="lessThan">
      <formula>-0.009</formula>
    </cfRule>
  </conditionalFormatting>
  <pageMargins left="0.7" right="0.7" top="0.75" bottom="0.75" header="0.3" footer="0.3"/>
  <pageSetup paperSize="9" orientation="portrait" horizontalDpi="0" verticalDpi="0"/>
  <ignoredErrors>
    <ignoredError sqref="M31:M40 B31:L40" formula="1"/>
    <ignoredError sqref="L44:N55 L56 N56" evalError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A0A5-2695-EA44-927D-7961F5D9B06B}">
  <dimension ref="A1:N64"/>
  <sheetViews>
    <sheetView workbookViewId="0">
      <selection activeCell="B13" sqref="B13"/>
    </sheetView>
  </sheetViews>
  <sheetFormatPr baseColWidth="10" defaultRowHeight="16" x14ac:dyDescent="0.2"/>
  <cols>
    <col min="1" max="1" width="8.83203125" customWidth="1"/>
  </cols>
  <sheetData>
    <row r="1" spans="1:13" ht="28" customHeight="1" thickBot="1" x14ac:dyDescent="0.25">
      <c r="A1" s="131" t="s">
        <v>39</v>
      </c>
      <c r="B1" s="132"/>
      <c r="C1" s="132"/>
      <c r="D1" s="132"/>
      <c r="E1" s="132"/>
      <c r="F1" s="132"/>
      <c r="G1" s="132"/>
      <c r="H1" s="133"/>
      <c r="I1" s="67"/>
      <c r="J1" s="67"/>
      <c r="K1" s="67"/>
      <c r="L1" s="67"/>
    </row>
    <row r="2" spans="1:13" s="5" customFormat="1" ht="32" customHeight="1" x14ac:dyDescent="0.2">
      <c r="A2" s="55"/>
      <c r="B2" s="55">
        <v>2025</v>
      </c>
      <c r="C2" s="56">
        <v>2024</v>
      </c>
      <c r="D2" s="136" t="s">
        <v>25</v>
      </c>
      <c r="E2" s="137"/>
      <c r="F2" s="58" t="s">
        <v>2</v>
      </c>
      <c r="G2" s="138" t="s">
        <v>26</v>
      </c>
      <c r="H2" s="139"/>
      <c r="I2" s="4"/>
      <c r="J2" s="4"/>
    </row>
    <row r="3" spans="1:13" s="3" customFormat="1" ht="18" customHeight="1" x14ac:dyDescent="0.2">
      <c r="A3" s="50" t="s">
        <v>21</v>
      </c>
      <c r="B3" s="53">
        <v>92567.13</v>
      </c>
      <c r="C3" s="60">
        <v>135750</v>
      </c>
      <c r="D3" s="74">
        <f t="shared" ref="D3:D15" si="0">B3-C3</f>
        <v>-43182.869999999995</v>
      </c>
      <c r="E3" s="100">
        <f>(B3-C3)/C3</f>
        <v>-0.31810585635359112</v>
      </c>
      <c r="F3" s="61">
        <v>150000</v>
      </c>
      <c r="G3" s="78">
        <f>B3-F3</f>
        <v>-57432.869999999995</v>
      </c>
      <c r="H3" s="75">
        <f>(B3-F3)/F3</f>
        <v>-0.38288579999999994</v>
      </c>
      <c r="I3" s="2"/>
      <c r="J3" s="2"/>
    </row>
    <row r="4" spans="1:13" s="3" customFormat="1" ht="18" customHeight="1" x14ac:dyDescent="0.2">
      <c r="A4" s="50" t="s">
        <v>20</v>
      </c>
      <c r="B4" s="53">
        <v>80123.41</v>
      </c>
      <c r="C4" s="60">
        <v>79084.800000000003</v>
      </c>
      <c r="D4" s="74">
        <f t="shared" si="0"/>
        <v>1038.6100000000006</v>
      </c>
      <c r="E4" s="100">
        <f t="shared" ref="E4:E14" si="1">(B4-C4)/C4</f>
        <v>1.313286497531764E-2</v>
      </c>
      <c r="F4" s="61">
        <v>150000</v>
      </c>
      <c r="G4" s="78">
        <f>B4-F4</f>
        <v>-69876.59</v>
      </c>
      <c r="H4" s="75">
        <f t="shared" ref="H4:H14" si="2">(B4-F4)/F4</f>
        <v>-0.46584393333333329</v>
      </c>
      <c r="I4" s="2"/>
      <c r="J4" s="2"/>
    </row>
    <row r="5" spans="1:13" s="3" customFormat="1" ht="18" customHeight="1" x14ac:dyDescent="0.2">
      <c r="A5" s="50" t="s">
        <v>19</v>
      </c>
      <c r="B5" s="53">
        <v>125931.1</v>
      </c>
      <c r="C5" s="60">
        <v>166969.14000000001</v>
      </c>
      <c r="D5" s="74">
        <f t="shared" si="0"/>
        <v>-41038.040000000008</v>
      </c>
      <c r="E5" s="100">
        <f t="shared" si="1"/>
        <v>-0.24578218465999169</v>
      </c>
      <c r="F5" s="61">
        <v>150000</v>
      </c>
      <c r="G5" s="78">
        <f t="shared" ref="G5:G14" si="3">B5-F5</f>
        <v>-24068.899999999994</v>
      </c>
      <c r="H5" s="75">
        <f t="shared" si="2"/>
        <v>-0.16045933333333329</v>
      </c>
      <c r="I5" s="2"/>
      <c r="J5" s="2"/>
    </row>
    <row r="6" spans="1:13" s="3" customFormat="1" ht="18" customHeight="1" x14ac:dyDescent="0.2">
      <c r="A6" s="50" t="s">
        <v>18</v>
      </c>
      <c r="B6" s="53">
        <v>99344.26</v>
      </c>
      <c r="C6" s="60">
        <v>56460.1</v>
      </c>
      <c r="D6" s="74">
        <f t="shared" si="0"/>
        <v>42884.159999999996</v>
      </c>
      <c r="E6" s="100">
        <f t="shared" si="1"/>
        <v>0.75954807023012705</v>
      </c>
      <c r="F6" s="61">
        <v>150000</v>
      </c>
      <c r="G6" s="78">
        <f t="shared" si="3"/>
        <v>-50655.740000000005</v>
      </c>
      <c r="H6" s="75">
        <f t="shared" si="2"/>
        <v>-0.33770493333333335</v>
      </c>
      <c r="I6" s="2"/>
      <c r="J6" s="2"/>
    </row>
    <row r="7" spans="1:13" s="3" customFormat="1" ht="18" customHeight="1" x14ac:dyDescent="0.2">
      <c r="A7" s="50" t="s">
        <v>17</v>
      </c>
      <c r="B7" s="53">
        <v>48969.599999999999</v>
      </c>
      <c r="C7" s="60">
        <v>42434.75</v>
      </c>
      <c r="D7" s="74">
        <f t="shared" si="0"/>
        <v>6534.8499999999985</v>
      </c>
      <c r="E7" s="100">
        <f t="shared" si="1"/>
        <v>0.15399760809242422</v>
      </c>
      <c r="F7" s="61">
        <v>150000</v>
      </c>
      <c r="G7" s="78">
        <f t="shared" si="3"/>
        <v>-101030.39999999999</v>
      </c>
      <c r="H7" s="75">
        <f t="shared" si="2"/>
        <v>-0.67353599999999991</v>
      </c>
      <c r="I7" s="2"/>
      <c r="J7" s="2"/>
    </row>
    <row r="8" spans="1:13" s="3" customFormat="1" ht="18" customHeight="1" x14ac:dyDescent="0.2">
      <c r="A8" s="50" t="s">
        <v>16</v>
      </c>
      <c r="B8" s="53">
        <v>45707.75</v>
      </c>
      <c r="C8" s="60">
        <v>43204.28</v>
      </c>
      <c r="D8" s="74">
        <f t="shared" si="0"/>
        <v>2503.4700000000012</v>
      </c>
      <c r="E8" s="100">
        <f t="shared" si="1"/>
        <v>5.7944953601819109E-2</v>
      </c>
      <c r="F8" s="61">
        <v>150000</v>
      </c>
      <c r="G8" s="78">
        <f t="shared" si="3"/>
        <v>-104292.25</v>
      </c>
      <c r="H8" s="75">
        <f t="shared" si="2"/>
        <v>-0.69528166666666669</v>
      </c>
      <c r="I8" s="2"/>
      <c r="J8" s="2"/>
    </row>
    <row r="9" spans="1:13" s="3" customFormat="1" ht="18" customHeight="1" x14ac:dyDescent="0.2">
      <c r="A9" s="50" t="s">
        <v>15</v>
      </c>
      <c r="B9" s="53">
        <v>48218.879999999997</v>
      </c>
      <c r="C9" s="60">
        <v>61421.55</v>
      </c>
      <c r="D9" s="74">
        <f t="shared" si="0"/>
        <v>-13202.670000000006</v>
      </c>
      <c r="E9" s="100">
        <f t="shared" si="1"/>
        <v>-0.21495175553205684</v>
      </c>
      <c r="F9" s="61">
        <v>150000</v>
      </c>
      <c r="G9" s="78">
        <f t="shared" si="3"/>
        <v>-101781.12</v>
      </c>
      <c r="H9" s="75">
        <f t="shared" si="2"/>
        <v>-0.67854079999999994</v>
      </c>
      <c r="I9" s="2"/>
      <c r="J9" s="2"/>
    </row>
    <row r="10" spans="1:13" s="3" customFormat="1" ht="18" customHeight="1" x14ac:dyDescent="0.2">
      <c r="A10" s="50" t="s">
        <v>4</v>
      </c>
      <c r="B10" s="53">
        <v>104699.9</v>
      </c>
      <c r="C10" s="60">
        <v>119541.7</v>
      </c>
      <c r="D10" s="74">
        <f t="shared" si="0"/>
        <v>-14841.800000000003</v>
      </c>
      <c r="E10" s="100">
        <f t="shared" si="1"/>
        <v>-0.124155838506563</v>
      </c>
      <c r="F10" s="61">
        <v>150000</v>
      </c>
      <c r="G10" s="78">
        <f t="shared" si="3"/>
        <v>-45300.100000000006</v>
      </c>
      <c r="H10" s="75">
        <f t="shared" si="2"/>
        <v>-0.3020006666666667</v>
      </c>
      <c r="I10" s="2"/>
      <c r="J10" s="2"/>
    </row>
    <row r="11" spans="1:13" s="3" customFormat="1" ht="18" customHeight="1" x14ac:dyDescent="0.2">
      <c r="A11" s="50" t="s">
        <v>27</v>
      </c>
      <c r="B11" s="53">
        <v>160103.48000000001</v>
      </c>
      <c r="C11" s="60">
        <v>92993.59</v>
      </c>
      <c r="D11" s="74">
        <f t="shared" si="0"/>
        <v>67109.890000000014</v>
      </c>
      <c r="E11" s="100">
        <f t="shared" si="1"/>
        <v>0.72166146075229509</v>
      </c>
      <c r="F11" s="61">
        <v>150000</v>
      </c>
      <c r="G11" s="78">
        <f t="shared" si="3"/>
        <v>10103.48000000001</v>
      </c>
      <c r="H11" s="75">
        <f t="shared" si="2"/>
        <v>6.7356533333333399E-2</v>
      </c>
      <c r="I11" s="2"/>
      <c r="J11" s="2"/>
    </row>
    <row r="12" spans="1:13" s="3" customFormat="1" ht="18" customHeight="1" x14ac:dyDescent="0.2">
      <c r="A12" s="50" t="s">
        <v>14</v>
      </c>
      <c r="B12" s="53">
        <v>212015.44</v>
      </c>
      <c r="C12" s="60">
        <v>91669.95</v>
      </c>
      <c r="D12" s="74">
        <f t="shared" si="0"/>
        <v>120345.49</v>
      </c>
      <c r="E12" s="100">
        <f t="shared" si="1"/>
        <v>1.3128128683390796</v>
      </c>
      <c r="F12" s="61">
        <v>150000</v>
      </c>
      <c r="G12" s="78">
        <f t="shared" si="3"/>
        <v>62015.44</v>
      </c>
      <c r="H12" s="75">
        <f t="shared" si="2"/>
        <v>0.41343626666666666</v>
      </c>
      <c r="I12" s="2"/>
      <c r="J12" s="2"/>
    </row>
    <row r="13" spans="1:13" s="3" customFormat="1" ht="18" customHeight="1" x14ac:dyDescent="0.2">
      <c r="A13" s="50" t="s">
        <v>13</v>
      </c>
      <c r="B13" s="53">
        <v>193771.66</v>
      </c>
      <c r="C13" s="60">
        <v>105076.02</v>
      </c>
      <c r="D13" s="74">
        <f t="shared" si="0"/>
        <v>88695.64</v>
      </c>
      <c r="E13" s="100">
        <f t="shared" si="1"/>
        <v>0.84410924585837943</v>
      </c>
      <c r="F13" s="61">
        <v>150000</v>
      </c>
      <c r="G13" s="78">
        <f t="shared" si="3"/>
        <v>43771.66</v>
      </c>
      <c r="H13" s="75">
        <f t="shared" si="2"/>
        <v>0.29181106666666667</v>
      </c>
      <c r="I13" s="2"/>
      <c r="J13" s="2"/>
    </row>
    <row r="14" spans="1:13" s="3" customFormat="1" ht="18" customHeight="1" x14ac:dyDescent="0.2">
      <c r="A14" s="50" t="s">
        <v>12</v>
      </c>
      <c r="B14" s="53">
        <v>253731.17</v>
      </c>
      <c r="C14" s="60">
        <v>210907.24</v>
      </c>
      <c r="D14" s="74">
        <f t="shared" si="0"/>
        <v>42823.930000000022</v>
      </c>
      <c r="E14" s="100">
        <f t="shared" si="1"/>
        <v>0.20304627759578109</v>
      </c>
      <c r="F14" s="61">
        <v>150000</v>
      </c>
      <c r="G14" s="78">
        <f t="shared" si="3"/>
        <v>103731.17000000001</v>
      </c>
      <c r="H14" s="75">
        <f t="shared" si="2"/>
        <v>0.69154113333333345</v>
      </c>
      <c r="I14" s="2"/>
      <c r="J14" s="2"/>
    </row>
    <row r="15" spans="1:13" s="3" customFormat="1" ht="18" customHeight="1" thickBot="1" x14ac:dyDescent="0.25">
      <c r="A15" s="52" t="s">
        <v>10</v>
      </c>
      <c r="B15" s="62">
        <f>SUM(B3:B14)</f>
        <v>1465183.7799999998</v>
      </c>
      <c r="C15" s="63">
        <f>SUM(C3:C14)</f>
        <v>1205513.1199999999</v>
      </c>
      <c r="D15" s="99">
        <f t="shared" si="0"/>
        <v>259670.65999999992</v>
      </c>
      <c r="E15" s="101">
        <f>(B15-C15)/C15</f>
        <v>0.21540259968302952</v>
      </c>
      <c r="F15" s="64">
        <f>SUM(F3:F14)</f>
        <v>1800000</v>
      </c>
      <c r="G15" s="105">
        <f>B15-F15</f>
        <v>-334816.2200000002</v>
      </c>
      <c r="H15" s="106">
        <f>(B15-F15)/F15</f>
        <v>-0.18600901111111123</v>
      </c>
      <c r="I15" s="2"/>
      <c r="J15" s="2"/>
      <c r="K15" s="67"/>
      <c r="L15" s="67"/>
      <c r="M15" s="67"/>
    </row>
    <row r="16" spans="1:13" ht="25" customHeight="1" thickBot="1" x14ac:dyDescent="0.25">
      <c r="A16" s="128" t="s">
        <v>6</v>
      </c>
      <c r="B16" s="129"/>
      <c r="C16" s="129"/>
      <c r="D16" s="130"/>
      <c r="E16" s="128" t="s">
        <v>8</v>
      </c>
      <c r="F16" s="129"/>
      <c r="G16" s="129"/>
      <c r="H16" s="130"/>
      <c r="I16" s="1"/>
      <c r="J16" s="1"/>
      <c r="K16" s="1"/>
      <c r="L16" s="1"/>
    </row>
    <row r="17" spans="1:14" s="68" customFormat="1" ht="32" customHeight="1" x14ac:dyDescent="0.2">
      <c r="A17" s="54"/>
      <c r="B17" s="55">
        <v>2025</v>
      </c>
      <c r="C17" s="56">
        <v>2024</v>
      </c>
      <c r="D17" s="85" t="s">
        <v>25</v>
      </c>
      <c r="E17" s="57"/>
      <c r="F17" s="55">
        <v>2025</v>
      </c>
      <c r="G17" s="56">
        <v>2024</v>
      </c>
      <c r="H17" s="57" t="s">
        <v>25</v>
      </c>
      <c r="I17" s="67"/>
      <c r="J17" s="67"/>
      <c r="K17" s="67"/>
      <c r="L17" s="67"/>
      <c r="M17" s="67"/>
      <c r="N17" s="67"/>
    </row>
    <row r="18" spans="1:14" s="68" customFormat="1" ht="18" customHeight="1" x14ac:dyDescent="0.2">
      <c r="A18" s="50" t="s">
        <v>21</v>
      </c>
      <c r="B18" s="65">
        <v>62</v>
      </c>
      <c r="C18" s="66">
        <v>105</v>
      </c>
      <c r="D18" s="81">
        <f>B18-C18</f>
        <v>-43</v>
      </c>
      <c r="E18" s="81"/>
      <c r="F18" s="87">
        <f>B18/279</f>
        <v>0.22222222222222221</v>
      </c>
      <c r="G18" s="107">
        <f>C18/279</f>
        <v>0.37634408602150538</v>
      </c>
      <c r="H18" s="102">
        <f>F18-G18</f>
        <v>-0.15412186379928317</v>
      </c>
      <c r="J18" s="67" t="s">
        <v>28</v>
      </c>
      <c r="K18" s="67"/>
      <c r="L18" s="67"/>
      <c r="M18" s="67"/>
      <c r="N18" s="67"/>
    </row>
    <row r="19" spans="1:14" s="68" customFormat="1" ht="18" customHeight="1" x14ac:dyDescent="0.2">
      <c r="A19" s="50" t="s">
        <v>20</v>
      </c>
      <c r="B19" s="65">
        <v>64</v>
      </c>
      <c r="C19" s="66">
        <v>57</v>
      </c>
      <c r="D19" s="81">
        <f t="shared" ref="D19:D29" si="4">B19-C19</f>
        <v>7</v>
      </c>
      <c r="E19" s="81"/>
      <c r="F19" s="87">
        <f>B19/252</f>
        <v>0.25396825396825395</v>
      </c>
      <c r="G19" s="107">
        <f>C19/261</f>
        <v>0.21839080459770116</v>
      </c>
      <c r="H19" s="103">
        <f t="shared" ref="H19:H29" si="5">F19-G19</f>
        <v>3.5577449370552794E-2</v>
      </c>
      <c r="J19" s="67" t="s">
        <v>29</v>
      </c>
      <c r="K19" s="67"/>
      <c r="L19" s="67"/>
      <c r="M19" s="67"/>
      <c r="N19" s="67"/>
    </row>
    <row r="20" spans="1:14" s="68" customFormat="1" ht="18" customHeight="1" x14ac:dyDescent="0.2">
      <c r="A20" s="50" t="s">
        <v>19</v>
      </c>
      <c r="B20" s="65">
        <v>96</v>
      </c>
      <c r="C20" s="66">
        <v>102</v>
      </c>
      <c r="D20" s="81">
        <f t="shared" si="4"/>
        <v>-6</v>
      </c>
      <c r="E20" s="81"/>
      <c r="F20" s="87">
        <f t="shared" ref="F20:F29" si="6">B20/279</f>
        <v>0.34408602150537637</v>
      </c>
      <c r="G20" s="107">
        <f t="shared" ref="G20:G29" si="7">C20/279</f>
        <v>0.36559139784946237</v>
      </c>
      <c r="H20" s="103">
        <f t="shared" si="5"/>
        <v>-2.1505376344086002E-2</v>
      </c>
      <c r="J20" s="67" t="s">
        <v>30</v>
      </c>
      <c r="K20" s="67"/>
      <c r="L20" s="67"/>
      <c r="M20" s="67"/>
      <c r="N20" s="67"/>
    </row>
    <row r="21" spans="1:14" s="68" customFormat="1" ht="18" customHeight="1" x14ac:dyDescent="0.2">
      <c r="A21" s="50" t="s">
        <v>18</v>
      </c>
      <c r="B21" s="65">
        <v>63</v>
      </c>
      <c r="C21" s="66">
        <v>38</v>
      </c>
      <c r="D21" s="81">
        <f t="shared" si="4"/>
        <v>25</v>
      </c>
      <c r="E21" s="81"/>
      <c r="F21" s="87">
        <f>B21/270</f>
        <v>0.23333333333333334</v>
      </c>
      <c r="G21" s="107">
        <f>C21/270</f>
        <v>0.14074074074074075</v>
      </c>
      <c r="H21" s="103">
        <f t="shared" si="5"/>
        <v>9.2592592592592587E-2</v>
      </c>
      <c r="J21" s="67" t="s">
        <v>31</v>
      </c>
      <c r="K21" s="67"/>
      <c r="L21" s="67"/>
      <c r="M21" s="67"/>
      <c r="N21" s="67"/>
    </row>
    <row r="22" spans="1:14" s="68" customFormat="1" ht="18" customHeight="1" x14ac:dyDescent="0.2">
      <c r="A22" s="50" t="s">
        <v>17</v>
      </c>
      <c r="B22" s="65">
        <v>39</v>
      </c>
      <c r="C22" s="66">
        <v>30</v>
      </c>
      <c r="D22" s="81">
        <f t="shared" si="4"/>
        <v>9</v>
      </c>
      <c r="E22" s="81"/>
      <c r="F22" s="87">
        <f t="shared" si="6"/>
        <v>0.13978494623655913</v>
      </c>
      <c r="G22" s="107">
        <f t="shared" si="7"/>
        <v>0.10752688172043011</v>
      </c>
      <c r="H22" s="103">
        <f t="shared" si="5"/>
        <v>3.2258064516129017E-2</v>
      </c>
      <c r="J22" s="67" t="s">
        <v>32</v>
      </c>
      <c r="K22" s="67"/>
      <c r="L22" s="67"/>
      <c r="M22" s="67"/>
      <c r="N22" s="67"/>
    </row>
    <row r="23" spans="1:14" s="68" customFormat="1" ht="18" customHeight="1" x14ac:dyDescent="0.2">
      <c r="A23" s="50" t="s">
        <v>16</v>
      </c>
      <c r="B23" s="65">
        <v>52</v>
      </c>
      <c r="C23" s="66">
        <v>32</v>
      </c>
      <c r="D23" s="81">
        <f t="shared" si="4"/>
        <v>20</v>
      </c>
      <c r="E23" s="81"/>
      <c r="F23" s="87">
        <f>B23/270</f>
        <v>0.19259259259259259</v>
      </c>
      <c r="G23" s="107">
        <f>C23/270</f>
        <v>0.11851851851851852</v>
      </c>
      <c r="H23" s="103">
        <f t="shared" si="5"/>
        <v>7.407407407407407E-2</v>
      </c>
      <c r="I23" s="67"/>
      <c r="J23" s="67"/>
      <c r="K23" s="67"/>
      <c r="L23" s="67"/>
      <c r="M23" s="67"/>
      <c r="N23" s="67"/>
    </row>
    <row r="24" spans="1:14" s="68" customFormat="1" ht="18" customHeight="1" x14ac:dyDescent="0.2">
      <c r="A24" s="50" t="s">
        <v>15</v>
      </c>
      <c r="B24" s="65">
        <v>62</v>
      </c>
      <c r="C24" s="66">
        <v>44</v>
      </c>
      <c r="D24" s="81">
        <f t="shared" si="4"/>
        <v>18</v>
      </c>
      <c r="E24" s="81"/>
      <c r="F24" s="87">
        <f t="shared" si="6"/>
        <v>0.22222222222222221</v>
      </c>
      <c r="G24" s="107">
        <f t="shared" si="7"/>
        <v>0.15770609318996415</v>
      </c>
      <c r="H24" s="103">
        <f t="shared" si="5"/>
        <v>6.4516129032258063E-2</v>
      </c>
      <c r="I24" s="67"/>
      <c r="J24" s="7"/>
      <c r="K24" s="67"/>
      <c r="L24" s="67"/>
      <c r="M24" s="67"/>
      <c r="N24" s="67"/>
    </row>
    <row r="25" spans="1:14" s="68" customFormat="1" ht="18" customHeight="1" x14ac:dyDescent="0.2">
      <c r="A25" s="50" t="s">
        <v>4</v>
      </c>
      <c r="B25" s="65">
        <v>96</v>
      </c>
      <c r="C25" s="66">
        <v>84</v>
      </c>
      <c r="D25" s="81">
        <f t="shared" si="4"/>
        <v>12</v>
      </c>
      <c r="E25" s="81"/>
      <c r="F25" s="87">
        <f t="shared" si="6"/>
        <v>0.34408602150537637</v>
      </c>
      <c r="G25" s="107">
        <f t="shared" si="7"/>
        <v>0.30107526881720431</v>
      </c>
      <c r="H25" s="103">
        <f t="shared" si="5"/>
        <v>4.301075268817206E-2</v>
      </c>
      <c r="I25" s="67"/>
      <c r="J25" s="7"/>
      <c r="K25" s="67"/>
      <c r="L25" s="67"/>
      <c r="M25" s="67"/>
      <c r="N25" s="67"/>
    </row>
    <row r="26" spans="1:14" s="68" customFormat="1" ht="18" customHeight="1" x14ac:dyDescent="0.2">
      <c r="A26" s="50" t="s">
        <v>27</v>
      </c>
      <c r="B26" s="65">
        <v>140</v>
      </c>
      <c r="C26" s="66">
        <v>76</v>
      </c>
      <c r="D26" s="81">
        <f t="shared" si="4"/>
        <v>64</v>
      </c>
      <c r="E26" s="81"/>
      <c r="F26" s="87">
        <f>B26/270</f>
        <v>0.51851851851851849</v>
      </c>
      <c r="G26" s="107">
        <f>C26/270</f>
        <v>0.2814814814814815</v>
      </c>
      <c r="H26" s="103">
        <f t="shared" si="5"/>
        <v>0.23703703703703699</v>
      </c>
      <c r="I26" s="67"/>
      <c r="J26" s="7"/>
      <c r="K26" s="67"/>
      <c r="L26" s="67"/>
      <c r="M26" s="67"/>
      <c r="N26" s="67"/>
    </row>
    <row r="27" spans="1:14" s="68" customFormat="1" ht="18" customHeight="1" x14ac:dyDescent="0.2">
      <c r="A27" s="50" t="s">
        <v>14</v>
      </c>
      <c r="B27" s="65">
        <v>174</v>
      </c>
      <c r="C27" s="66">
        <v>68</v>
      </c>
      <c r="D27" s="81">
        <f t="shared" si="4"/>
        <v>106</v>
      </c>
      <c r="E27" s="81"/>
      <c r="F27" s="87">
        <f t="shared" si="6"/>
        <v>0.62365591397849462</v>
      </c>
      <c r="G27" s="107">
        <f t="shared" si="7"/>
        <v>0.24372759856630824</v>
      </c>
      <c r="H27" s="103">
        <f t="shared" si="5"/>
        <v>0.37992831541218641</v>
      </c>
      <c r="I27" s="67"/>
      <c r="J27" s="7"/>
      <c r="K27" s="67"/>
      <c r="L27" s="67"/>
      <c r="M27" s="67"/>
      <c r="N27" s="67"/>
    </row>
    <row r="28" spans="1:14" s="68" customFormat="1" ht="18" customHeight="1" x14ac:dyDescent="0.2">
      <c r="A28" s="50" t="s">
        <v>13</v>
      </c>
      <c r="B28" s="65">
        <v>172</v>
      </c>
      <c r="C28" s="66">
        <v>79</v>
      </c>
      <c r="D28" s="81">
        <f t="shared" si="4"/>
        <v>93</v>
      </c>
      <c r="E28" s="81"/>
      <c r="F28" s="87">
        <f>B28/270</f>
        <v>0.63703703703703707</v>
      </c>
      <c r="G28" s="107">
        <f>C28/270</f>
        <v>0.29259259259259257</v>
      </c>
      <c r="H28" s="103">
        <f t="shared" si="5"/>
        <v>0.3444444444444445</v>
      </c>
      <c r="I28" s="67"/>
      <c r="J28" s="7"/>
      <c r="K28" s="67"/>
      <c r="L28" s="67"/>
      <c r="M28" s="67"/>
      <c r="N28" s="67"/>
    </row>
    <row r="29" spans="1:14" s="68" customFormat="1" ht="18" customHeight="1" thickBot="1" x14ac:dyDescent="0.25">
      <c r="A29" s="50" t="s">
        <v>12</v>
      </c>
      <c r="B29" s="65">
        <v>174</v>
      </c>
      <c r="C29" s="66">
        <v>110</v>
      </c>
      <c r="D29" s="81">
        <f t="shared" si="4"/>
        <v>64</v>
      </c>
      <c r="E29" s="81"/>
      <c r="F29" s="86">
        <f t="shared" si="6"/>
        <v>0.62365591397849462</v>
      </c>
      <c r="G29" s="123">
        <f t="shared" si="7"/>
        <v>0.3942652329749104</v>
      </c>
      <c r="H29" s="104">
        <f t="shared" si="5"/>
        <v>0.22939068100358423</v>
      </c>
      <c r="I29" s="67"/>
      <c r="J29" s="7"/>
      <c r="K29" s="67"/>
      <c r="L29" s="67"/>
      <c r="M29" s="67"/>
      <c r="N29" s="67"/>
    </row>
    <row r="30" spans="1:14" ht="25" customHeight="1" thickBot="1" x14ac:dyDescent="0.25">
      <c r="A30" s="128" t="s">
        <v>7</v>
      </c>
      <c r="B30" s="129"/>
      <c r="C30" s="129"/>
      <c r="D30" s="129"/>
      <c r="E30" s="130"/>
      <c r="F30" s="7"/>
      <c r="G30" s="7"/>
      <c r="H30" s="1"/>
      <c r="I30" s="1"/>
    </row>
    <row r="31" spans="1:14" s="68" customFormat="1" ht="32" customHeight="1" x14ac:dyDescent="0.2">
      <c r="A31" s="55"/>
      <c r="B31" s="55">
        <v>2025</v>
      </c>
      <c r="C31" s="56">
        <v>2024</v>
      </c>
      <c r="D31" s="136" t="s">
        <v>25</v>
      </c>
      <c r="E31" s="137"/>
      <c r="F31" s="73"/>
      <c r="G31" s="73"/>
      <c r="H31" s="67"/>
      <c r="I31" s="67"/>
    </row>
    <row r="32" spans="1:14" s="68" customFormat="1" ht="17" customHeight="1" x14ac:dyDescent="0.2">
      <c r="A32" s="108" t="s">
        <v>21</v>
      </c>
      <c r="B32" s="53">
        <f>B3/B18</f>
        <v>1493.0182258064517</v>
      </c>
      <c r="C32" s="74">
        <f>C3/C18</f>
        <v>1292.8571428571429</v>
      </c>
      <c r="D32" s="74">
        <f>B32-C32</f>
        <v>200.16108294930882</v>
      </c>
      <c r="E32" s="102">
        <f>(B32-C32)/C32</f>
        <v>0.15482072714311179</v>
      </c>
      <c r="G32" s="73"/>
      <c r="H32" s="67"/>
      <c r="I32" s="67"/>
    </row>
    <row r="33" spans="1:9" s="68" customFormat="1" ht="17" customHeight="1" x14ac:dyDescent="0.2">
      <c r="A33" s="50" t="s">
        <v>20</v>
      </c>
      <c r="B33" s="53">
        <f t="shared" ref="B33:C43" si="8">B4/B19</f>
        <v>1251.9282812500001</v>
      </c>
      <c r="C33" s="74">
        <f t="shared" si="8"/>
        <v>1387.4526315789474</v>
      </c>
      <c r="D33" s="74">
        <f t="shared" ref="D33:D43" si="9">B33-C33</f>
        <v>-135.52435032894732</v>
      </c>
      <c r="E33" s="103">
        <f t="shared" ref="E33:E43" si="10">(B33-C33)/C33</f>
        <v>-9.7678542131357696E-2</v>
      </c>
      <c r="G33" s="73"/>
      <c r="H33" s="67"/>
      <c r="I33" s="67"/>
    </row>
    <row r="34" spans="1:9" s="68" customFormat="1" ht="17" customHeight="1" x14ac:dyDescent="0.2">
      <c r="A34" s="50" t="s">
        <v>19</v>
      </c>
      <c r="B34" s="53">
        <f t="shared" si="8"/>
        <v>1311.7822916666667</v>
      </c>
      <c r="C34" s="74">
        <f t="shared" si="8"/>
        <v>1636.9523529411765</v>
      </c>
      <c r="D34" s="74">
        <f t="shared" si="9"/>
        <v>-325.17006127450986</v>
      </c>
      <c r="E34" s="103">
        <f t="shared" si="10"/>
        <v>-0.19864357120124118</v>
      </c>
      <c r="G34" s="73"/>
      <c r="H34" s="67"/>
      <c r="I34" s="67"/>
    </row>
    <row r="35" spans="1:9" s="68" customFormat="1" ht="17" customHeight="1" x14ac:dyDescent="0.2">
      <c r="A35" s="50" t="s">
        <v>18</v>
      </c>
      <c r="B35" s="53">
        <f t="shared" si="8"/>
        <v>1576.8930158730159</v>
      </c>
      <c r="C35" s="74">
        <f t="shared" si="8"/>
        <v>1485.792105263158</v>
      </c>
      <c r="D35" s="74">
        <f t="shared" si="9"/>
        <v>91.10091060985792</v>
      </c>
      <c r="E35" s="103">
        <f t="shared" si="10"/>
        <v>6.1314709027695681E-2</v>
      </c>
      <c r="G35" s="73"/>
      <c r="H35" s="67"/>
      <c r="I35" s="67"/>
    </row>
    <row r="36" spans="1:9" s="68" customFormat="1" ht="17" customHeight="1" x14ac:dyDescent="0.2">
      <c r="A36" s="50" t="s">
        <v>17</v>
      </c>
      <c r="B36" s="53">
        <f t="shared" si="8"/>
        <v>1255.6307692307691</v>
      </c>
      <c r="C36" s="74">
        <f t="shared" si="8"/>
        <v>1414.4916666666666</v>
      </c>
      <c r="D36" s="74">
        <f t="shared" si="9"/>
        <v>-158.86089743589741</v>
      </c>
      <c r="E36" s="103">
        <f t="shared" si="10"/>
        <v>-0.11230953223659672</v>
      </c>
      <c r="G36" s="73"/>
      <c r="H36" s="67"/>
      <c r="I36" s="67"/>
    </row>
    <row r="37" spans="1:9" s="68" customFormat="1" ht="17" customHeight="1" x14ac:dyDescent="0.2">
      <c r="A37" s="50" t="s">
        <v>16</v>
      </c>
      <c r="B37" s="53">
        <f t="shared" si="8"/>
        <v>878.99519230769226</v>
      </c>
      <c r="C37" s="74">
        <f t="shared" si="8"/>
        <v>1350.13375</v>
      </c>
      <c r="D37" s="74">
        <f t="shared" si="9"/>
        <v>-471.1385576923077</v>
      </c>
      <c r="E37" s="103">
        <f t="shared" si="10"/>
        <v>-0.34895695162964979</v>
      </c>
      <c r="G37" s="73"/>
      <c r="H37" s="67"/>
      <c r="I37" s="67"/>
    </row>
    <row r="38" spans="1:9" s="68" customFormat="1" ht="17" customHeight="1" x14ac:dyDescent="0.2">
      <c r="A38" s="50" t="s">
        <v>15</v>
      </c>
      <c r="B38" s="53">
        <f t="shared" si="8"/>
        <v>777.72387096774185</v>
      </c>
      <c r="C38" s="74">
        <f t="shared" si="8"/>
        <v>1395.9443181818183</v>
      </c>
      <c r="D38" s="74">
        <f t="shared" si="9"/>
        <v>-618.22044721407644</v>
      </c>
      <c r="E38" s="103">
        <f t="shared" si="10"/>
        <v>-0.44286898779694361</v>
      </c>
      <c r="F38" s="7"/>
      <c r="G38" s="73"/>
      <c r="H38" s="67"/>
      <c r="I38" s="67"/>
    </row>
    <row r="39" spans="1:9" s="68" customFormat="1" ht="17" customHeight="1" x14ac:dyDescent="0.2">
      <c r="A39" s="50" t="s">
        <v>4</v>
      </c>
      <c r="B39" s="53">
        <f t="shared" si="8"/>
        <v>1090.6239583333333</v>
      </c>
      <c r="C39" s="74">
        <f t="shared" si="8"/>
        <v>1423.1154761904761</v>
      </c>
      <c r="D39" s="74">
        <f t="shared" si="9"/>
        <v>-332.49151785714275</v>
      </c>
      <c r="E39" s="103">
        <f t="shared" si="10"/>
        <v>-0.23363635869324256</v>
      </c>
      <c r="F39" s="7"/>
      <c r="G39" s="73"/>
      <c r="H39" s="67"/>
      <c r="I39" s="67"/>
    </row>
    <row r="40" spans="1:9" s="68" customFormat="1" ht="17" customHeight="1" x14ac:dyDescent="0.2">
      <c r="A40" s="50" t="s">
        <v>27</v>
      </c>
      <c r="B40" s="53">
        <f t="shared" si="8"/>
        <v>1143.5962857142858</v>
      </c>
      <c r="C40" s="74">
        <f t="shared" si="8"/>
        <v>1223.5998684210526</v>
      </c>
      <c r="D40" s="74">
        <f t="shared" si="9"/>
        <v>-80.003582706766792</v>
      </c>
      <c r="E40" s="103">
        <f t="shared" si="10"/>
        <v>-6.5383778448754121E-2</v>
      </c>
      <c r="F40" s="7"/>
      <c r="G40" s="73"/>
      <c r="H40" s="67"/>
      <c r="I40" s="67"/>
    </row>
    <row r="41" spans="1:9" s="68" customFormat="1" ht="17" customHeight="1" x14ac:dyDescent="0.2">
      <c r="A41" s="50" t="s">
        <v>14</v>
      </c>
      <c r="B41" s="53">
        <f t="shared" si="8"/>
        <v>1218.4795402298851</v>
      </c>
      <c r="C41" s="74">
        <f t="shared" si="8"/>
        <v>1348.0874999999999</v>
      </c>
      <c r="D41" s="74">
        <f t="shared" si="9"/>
        <v>-129.6079597701148</v>
      </c>
      <c r="E41" s="103">
        <f t="shared" si="10"/>
        <v>-9.6142097430704468E-2</v>
      </c>
      <c r="F41" s="7"/>
      <c r="G41" s="73"/>
      <c r="H41" s="67"/>
      <c r="I41" s="67"/>
    </row>
    <row r="42" spans="1:9" s="68" customFormat="1" ht="17" customHeight="1" x14ac:dyDescent="0.2">
      <c r="A42" s="50" t="s">
        <v>13</v>
      </c>
      <c r="B42" s="53">
        <f t="shared" si="8"/>
        <v>1126.5794186046512</v>
      </c>
      <c r="C42" s="74">
        <f t="shared" si="8"/>
        <v>1330.0762025316455</v>
      </c>
      <c r="D42" s="74">
        <f t="shared" si="9"/>
        <v>-203.49678392699434</v>
      </c>
      <c r="E42" s="103">
        <f t="shared" si="10"/>
        <v>-0.15299633475109309</v>
      </c>
      <c r="F42" s="7"/>
      <c r="G42" s="73"/>
      <c r="H42" s="67"/>
      <c r="I42" s="67"/>
    </row>
    <row r="43" spans="1:9" s="68" customFormat="1" ht="17" customHeight="1" x14ac:dyDescent="0.2">
      <c r="A43" s="51" t="s">
        <v>12</v>
      </c>
      <c r="B43" s="84">
        <f t="shared" si="8"/>
        <v>1458.2251149425288</v>
      </c>
      <c r="C43" s="76">
        <f t="shared" si="8"/>
        <v>1917.3385454545453</v>
      </c>
      <c r="D43" s="76">
        <f t="shared" si="9"/>
        <v>-459.11343051201652</v>
      </c>
      <c r="E43" s="104">
        <f t="shared" si="10"/>
        <v>-0.2394535026693338</v>
      </c>
      <c r="G43" s="73"/>
      <c r="H43" s="67"/>
      <c r="I43" s="67"/>
    </row>
    <row r="48" spans="1:9" x14ac:dyDescent="0.2">
      <c r="A48" t="s">
        <v>21</v>
      </c>
      <c r="B48" s="124">
        <v>6</v>
      </c>
      <c r="C48" t="s">
        <v>40</v>
      </c>
    </row>
    <row r="49" spans="1:7" x14ac:dyDescent="0.2">
      <c r="A49" t="s">
        <v>20</v>
      </c>
      <c r="B49" s="124">
        <v>9</v>
      </c>
      <c r="C49" t="s">
        <v>40</v>
      </c>
      <c r="D49" s="124">
        <v>1</v>
      </c>
      <c r="E49" t="s">
        <v>42</v>
      </c>
    </row>
    <row r="50" spans="1:7" x14ac:dyDescent="0.2">
      <c r="A50" t="s">
        <v>19</v>
      </c>
      <c r="B50" s="124">
        <v>5</v>
      </c>
      <c r="C50" t="s">
        <v>40</v>
      </c>
      <c r="D50" s="124">
        <v>1</v>
      </c>
      <c r="E50" t="s">
        <v>42</v>
      </c>
      <c r="F50" s="124">
        <v>3</v>
      </c>
      <c r="G50" t="s">
        <v>41</v>
      </c>
    </row>
    <row r="51" spans="1:7" x14ac:dyDescent="0.2">
      <c r="A51" t="s">
        <v>18</v>
      </c>
      <c r="B51" s="124"/>
    </row>
    <row r="52" spans="1:7" x14ac:dyDescent="0.2">
      <c r="A52" t="s">
        <v>17</v>
      </c>
      <c r="B52" s="124">
        <v>2</v>
      </c>
      <c r="C52" t="s">
        <v>40</v>
      </c>
    </row>
    <row r="53" spans="1:7" x14ac:dyDescent="0.2">
      <c r="A53" t="s">
        <v>16</v>
      </c>
      <c r="B53" s="124"/>
    </row>
    <row r="54" spans="1:7" x14ac:dyDescent="0.2">
      <c r="A54" t="s">
        <v>15</v>
      </c>
      <c r="B54" s="124"/>
      <c r="C54" s="124">
        <v>11</v>
      </c>
      <c r="D54" t="s">
        <v>41</v>
      </c>
    </row>
    <row r="55" spans="1:7" x14ac:dyDescent="0.2">
      <c r="A55" t="s">
        <v>4</v>
      </c>
      <c r="B55" s="124"/>
    </row>
    <row r="56" spans="1:7" x14ac:dyDescent="0.2">
      <c r="A56" t="s">
        <v>5</v>
      </c>
      <c r="B56" s="124">
        <v>3</v>
      </c>
      <c r="C56" t="s">
        <v>40</v>
      </c>
    </row>
    <row r="57" spans="1:7" x14ac:dyDescent="0.2">
      <c r="A57" t="s">
        <v>14</v>
      </c>
      <c r="B57" s="124"/>
    </row>
    <row r="58" spans="1:7" x14ac:dyDescent="0.2">
      <c r="A58" t="s">
        <v>13</v>
      </c>
      <c r="B58" s="124">
        <v>7</v>
      </c>
      <c r="C58" t="s">
        <v>40</v>
      </c>
    </row>
    <row r="59" spans="1:7" x14ac:dyDescent="0.2">
      <c r="A59" t="s">
        <v>12</v>
      </c>
      <c r="B59" s="124">
        <v>5</v>
      </c>
      <c r="C59" t="s">
        <v>40</v>
      </c>
    </row>
    <row r="60" spans="1:7" x14ac:dyDescent="0.2">
      <c r="B60" s="124"/>
    </row>
    <row r="61" spans="1:7" x14ac:dyDescent="0.2">
      <c r="B61" s="124"/>
    </row>
    <row r="62" spans="1:7" x14ac:dyDescent="0.2">
      <c r="B62" s="124"/>
    </row>
    <row r="63" spans="1:7" x14ac:dyDescent="0.2">
      <c r="B63" s="124"/>
    </row>
    <row r="64" spans="1:7" x14ac:dyDescent="0.2">
      <c r="B64" s="124"/>
    </row>
  </sheetData>
  <mergeCells count="7">
    <mergeCell ref="D31:E31"/>
    <mergeCell ref="G2:H2"/>
    <mergeCell ref="A1:H1"/>
    <mergeCell ref="A16:D16"/>
    <mergeCell ref="E16:H16"/>
    <mergeCell ref="D2:E2"/>
    <mergeCell ref="A30:E30"/>
  </mergeCells>
  <phoneticPr fontId="15" type="noConversion"/>
  <conditionalFormatting sqref="D3:E15 D18:E29 D32:E43">
    <cfRule type="cellIs" dxfId="7" priority="15" operator="equal">
      <formula>0</formula>
    </cfRule>
    <cfRule type="cellIs" dxfId="6" priority="16" operator="lessThan">
      <formula>0</formula>
    </cfRule>
    <cfRule type="cellIs" dxfId="5" priority="17" operator="greaterThan">
      <formula>0</formula>
    </cfRule>
  </conditionalFormatting>
  <conditionalFormatting sqref="G3:H15">
    <cfRule type="cellIs" dxfId="4" priority="3" operator="equal">
      <formula>0</formula>
    </cfRule>
    <cfRule type="cellIs" dxfId="3" priority="4" operator="lessThan">
      <formula>0</formula>
    </cfRule>
    <cfRule type="cellIs" dxfId="2" priority="5" operator="greaterThan">
      <formula>0</formula>
    </cfRule>
  </conditionalFormatting>
  <conditionalFormatting sqref="H18:H29">
    <cfRule type="cellIs" dxfId="1" priority="1" stopIfTrue="1" operator="lessThan">
      <formula>-0.009</formula>
    </cfRule>
    <cfRule type="cellIs" dxfId="0" priority="2" operator="greaterThan">
      <formula>0.009</formula>
    </cfRule>
  </conditionalFormatting>
  <pageMargins left="0.7" right="0.7" top="0.75" bottom="0.75" header="0.3" footer="0.3"/>
  <pageSetup paperSize="9" orientation="portrait" horizontalDpi="0" verticalDpi="0"/>
  <ignoredErrors>
    <ignoredError sqref="B15:D15" formulaRange="1"/>
    <ignoredError sqref="B32:E43 E15:F15 E3 H3 E4 H4 E5:E14 H5:H14 H15" evalError="1"/>
    <ignoredError sqref="F19:G2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OTB RR</vt:lpstr>
      <vt:lpstr>YOY</vt:lpstr>
      <vt:lpstr>Fin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Carike Ligthelm</dc:creator>
  <cp:lastModifiedBy>Carike Ligthelm</cp:lastModifiedBy>
  <cp:lastPrinted>2026-04-15T20:18:34Z</cp:lastPrinted>
  <dcterms:created xsi:type="dcterms:W3CDTF">2025-04-03T10:02:25Z</dcterms:created>
  <dcterms:modified xsi:type="dcterms:W3CDTF">2026-08-14T07:04:55Z</dcterms:modified>
</cp:coreProperties>
</file>