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Ashbourne/Revenue Reports | ASH/2026/"/>
    </mc:Choice>
  </mc:AlternateContent>
  <xr:revisionPtr revIDLastSave="0" documentId="13_ncr:1_{ED40BEE5-8483-6B43-A1F1-4CA0C32A8CDE}" xr6:coauthVersionLast="47" xr6:coauthVersionMax="47" xr10:uidLastSave="{00000000-0000-0000-0000-000000000000}"/>
  <bookViews>
    <workbookView xWindow="16840" yWindow="500" windowWidth="1666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9" i="1"/>
  <c r="C28" i="1"/>
  <c r="C27" i="1"/>
  <c r="C26" i="1"/>
  <c r="C25" i="1"/>
  <c r="C24" i="1"/>
  <c r="C23" i="1"/>
  <c r="C22" i="1"/>
  <c r="C10" i="1"/>
  <c r="E27" i="1"/>
  <c r="B27" i="1"/>
  <c r="J18" i="1"/>
  <c r="H18" i="1"/>
  <c r="G18" i="1"/>
  <c r="F18" i="1"/>
  <c r="D18" i="1"/>
  <c r="J8" i="1"/>
  <c r="G8" i="1"/>
  <c r="F8" i="1"/>
  <c r="D8" i="1"/>
  <c r="B22" i="1"/>
  <c r="E22" i="1"/>
  <c r="D13" i="1"/>
  <c r="F13" i="1"/>
  <c r="G13" i="1"/>
  <c r="H13" i="1"/>
  <c r="J13" i="1"/>
  <c r="D3" i="1"/>
  <c r="F3" i="1"/>
  <c r="G3" i="1"/>
  <c r="H3" i="1"/>
  <c r="J3" i="1"/>
  <c r="K3" i="1"/>
  <c r="E28" i="1"/>
  <c r="B28" i="1"/>
  <c r="D28" i="1" s="1"/>
  <c r="E26" i="1"/>
  <c r="B26" i="1"/>
  <c r="E25" i="1"/>
  <c r="B25" i="1"/>
  <c r="E24" i="1"/>
  <c r="B24" i="1"/>
  <c r="E23" i="1"/>
  <c r="B23" i="1"/>
  <c r="J9" i="1"/>
  <c r="J7" i="1"/>
  <c r="J6" i="1"/>
  <c r="J5" i="1"/>
  <c r="J4" i="1"/>
  <c r="J19" i="1"/>
  <c r="G19" i="1"/>
  <c r="I19" i="1" s="1"/>
  <c r="J17" i="1"/>
  <c r="H17" i="1"/>
  <c r="G17" i="1"/>
  <c r="F17" i="1"/>
  <c r="D17" i="1"/>
  <c r="G7" i="1"/>
  <c r="F7" i="1"/>
  <c r="D7" i="1"/>
  <c r="J16" i="1"/>
  <c r="H16" i="1"/>
  <c r="G16" i="1"/>
  <c r="F16" i="1"/>
  <c r="D16" i="1"/>
  <c r="G6" i="1"/>
  <c r="H6" i="1" s="1"/>
  <c r="F6" i="1"/>
  <c r="D6" i="1"/>
  <c r="J15" i="1"/>
  <c r="H15" i="1"/>
  <c r="G15" i="1"/>
  <c r="F15" i="1"/>
  <c r="D15" i="1"/>
  <c r="G5" i="1"/>
  <c r="H5" i="1" s="1"/>
  <c r="F5" i="1"/>
  <c r="D5" i="1"/>
  <c r="J14" i="1"/>
  <c r="H14" i="1"/>
  <c r="G14" i="1"/>
  <c r="F14" i="1"/>
  <c r="D14" i="1"/>
  <c r="G4" i="1"/>
  <c r="H4" i="1" s="1"/>
  <c r="F4" i="1"/>
  <c r="D4" i="1"/>
  <c r="G30" i="5"/>
  <c r="F30" i="5"/>
  <c r="E30" i="5"/>
  <c r="D30" i="5"/>
  <c r="C30" i="5"/>
  <c r="B30" i="5"/>
  <c r="D29" i="5"/>
  <c r="D28" i="5"/>
  <c r="D27" i="5"/>
  <c r="D26" i="5"/>
  <c r="D25" i="5"/>
  <c r="D24" i="5"/>
  <c r="D23" i="5"/>
  <c r="D22" i="5"/>
  <c r="D21" i="5"/>
  <c r="D20" i="5"/>
  <c r="D19" i="5"/>
  <c r="D18" i="5"/>
  <c r="F29" i="5"/>
  <c r="E29" i="5"/>
  <c r="C43" i="5"/>
  <c r="B43" i="5"/>
  <c r="C42" i="5"/>
  <c r="B42" i="5"/>
  <c r="E42" i="5" s="1"/>
  <c r="F28" i="5"/>
  <c r="E28" i="5"/>
  <c r="F27" i="5"/>
  <c r="E27" i="5"/>
  <c r="E13" i="5"/>
  <c r="D13" i="5"/>
  <c r="E12" i="5"/>
  <c r="D12" i="5"/>
  <c r="F18" i="5"/>
  <c r="F19" i="5"/>
  <c r="F20" i="5"/>
  <c r="F21" i="5"/>
  <c r="F22" i="5"/>
  <c r="F23" i="5"/>
  <c r="F24" i="5"/>
  <c r="F25" i="5"/>
  <c r="F26" i="5"/>
  <c r="G22" i="1" l="1"/>
  <c r="I13" i="1"/>
  <c r="K13" i="1"/>
  <c r="D22" i="1"/>
  <c r="F22" i="1"/>
  <c r="F27" i="1"/>
  <c r="D27" i="1"/>
  <c r="G27" i="1"/>
  <c r="K18" i="1"/>
  <c r="I18" i="1"/>
  <c r="K8" i="1"/>
  <c r="H8" i="1"/>
  <c r="K7" i="1"/>
  <c r="K6" i="1"/>
  <c r="K5" i="1"/>
  <c r="K4" i="1"/>
  <c r="F28" i="1"/>
  <c r="F26" i="1"/>
  <c r="F25" i="1"/>
  <c r="D25" i="1"/>
  <c r="G24" i="1"/>
  <c r="G28" i="1"/>
  <c r="D26" i="1"/>
  <c r="G25" i="1"/>
  <c r="F24" i="1"/>
  <c r="D24" i="1"/>
  <c r="G23" i="1"/>
  <c r="F23" i="1"/>
  <c r="D23" i="1"/>
  <c r="G26" i="1"/>
  <c r="K17" i="1"/>
  <c r="I17" i="1"/>
  <c r="H7" i="1"/>
  <c r="I16" i="1"/>
  <c r="K16" i="1"/>
  <c r="I15" i="1"/>
  <c r="K15" i="1"/>
  <c r="I14" i="1"/>
  <c r="K14" i="1"/>
  <c r="G27" i="5"/>
  <c r="E43" i="5"/>
  <c r="D42" i="5"/>
  <c r="D43" i="5"/>
  <c r="G28" i="5"/>
  <c r="B31" i="2"/>
  <c r="D31" i="2"/>
  <c r="E31" i="2"/>
  <c r="F31" i="2"/>
  <c r="H31" i="2"/>
  <c r="C41" i="2"/>
  <c r="C40" i="2"/>
  <c r="C39" i="2"/>
  <c r="C38" i="2"/>
  <c r="C37" i="2"/>
  <c r="C36" i="2"/>
  <c r="C35" i="2"/>
  <c r="C31" i="2"/>
  <c r="C30" i="2"/>
  <c r="B41" i="2"/>
  <c r="B40" i="2"/>
  <c r="B39" i="2"/>
  <c r="B38" i="2"/>
  <c r="B37" i="2"/>
  <c r="B36" i="2"/>
  <c r="B35" i="2"/>
  <c r="B34" i="2"/>
  <c r="B33" i="2"/>
  <c r="B32" i="2"/>
  <c r="B30" i="2"/>
  <c r="D41" i="2"/>
  <c r="D40" i="2"/>
  <c r="D39" i="2"/>
  <c r="D38" i="2"/>
  <c r="D37" i="2"/>
  <c r="D36" i="2"/>
  <c r="D35" i="2"/>
  <c r="D34" i="2"/>
  <c r="D33" i="2"/>
  <c r="D32" i="2"/>
  <c r="D30" i="2"/>
  <c r="E41" i="2"/>
  <c r="E40" i="2"/>
  <c r="E39" i="2"/>
  <c r="E38" i="2"/>
  <c r="E37" i="2"/>
  <c r="E36" i="2"/>
  <c r="E35" i="2"/>
  <c r="E34" i="2"/>
  <c r="E33" i="2"/>
  <c r="E32" i="2"/>
  <c r="E30" i="2"/>
  <c r="F41" i="2"/>
  <c r="F40" i="2"/>
  <c r="F39" i="2"/>
  <c r="F38" i="2"/>
  <c r="F37" i="2"/>
  <c r="F36" i="2"/>
  <c r="F35" i="2"/>
  <c r="F34" i="2"/>
  <c r="F33" i="2"/>
  <c r="F32" i="2"/>
  <c r="F30" i="2"/>
  <c r="H41" i="2"/>
  <c r="H40" i="2"/>
  <c r="H39" i="2"/>
  <c r="H38" i="2"/>
  <c r="H37" i="2"/>
  <c r="H36" i="2"/>
  <c r="H35" i="2"/>
  <c r="H34" i="2"/>
  <c r="H33" i="2"/>
  <c r="H32" i="2"/>
  <c r="H30" i="2"/>
  <c r="G31" i="2"/>
  <c r="G30" i="2"/>
  <c r="G40" i="2"/>
  <c r="G38" i="2"/>
  <c r="G35" i="2"/>
  <c r="G33" i="2"/>
  <c r="G41" i="2"/>
  <c r="G39" i="2"/>
  <c r="G37" i="2"/>
  <c r="G36" i="2"/>
  <c r="G34" i="2"/>
  <c r="G32" i="2"/>
  <c r="G14" i="2"/>
  <c r="E26" i="5"/>
  <c r="E24" i="5"/>
  <c r="E21" i="5"/>
  <c r="E19" i="5"/>
  <c r="E25" i="5"/>
  <c r="E23" i="5"/>
  <c r="E22" i="5"/>
  <c r="E20" i="5"/>
  <c r="E18" i="5"/>
  <c r="G24" i="5" l="1"/>
  <c r="G18" i="5"/>
  <c r="G26" i="5"/>
  <c r="G21" i="5"/>
  <c r="G19" i="5"/>
  <c r="G29" i="5"/>
  <c r="G25" i="5"/>
  <c r="G23" i="5"/>
  <c r="G22" i="5"/>
  <c r="G20" i="5"/>
  <c r="K19" i="1" l="1"/>
  <c r="C33" i="5" l="1"/>
  <c r="C34" i="5"/>
  <c r="C35" i="5"/>
  <c r="C36" i="5"/>
  <c r="C37" i="5"/>
  <c r="C38" i="5"/>
  <c r="C39" i="5"/>
  <c r="D39" i="5" s="1"/>
  <c r="C40" i="5"/>
  <c r="C41" i="5"/>
  <c r="C44" i="5"/>
  <c r="B33" i="5"/>
  <c r="B34" i="5"/>
  <c r="B35" i="5"/>
  <c r="B36" i="5"/>
  <c r="B37" i="5"/>
  <c r="B38" i="5"/>
  <c r="B39" i="5"/>
  <c r="B40" i="5"/>
  <c r="B41" i="5"/>
  <c r="B44" i="5"/>
  <c r="E3" i="5"/>
  <c r="E4" i="5"/>
  <c r="E5" i="5"/>
  <c r="E6" i="5"/>
  <c r="E7" i="5"/>
  <c r="E8" i="5"/>
  <c r="E9" i="5"/>
  <c r="E10" i="5"/>
  <c r="E11" i="5"/>
  <c r="E14" i="5"/>
  <c r="D14" i="5"/>
  <c r="D11" i="5"/>
  <c r="D10" i="5"/>
  <c r="D9" i="5"/>
  <c r="D8" i="5"/>
  <c r="D7" i="5"/>
  <c r="D6" i="5"/>
  <c r="D5" i="5"/>
  <c r="D4" i="5"/>
  <c r="D3" i="5"/>
  <c r="C15" i="5"/>
  <c r="B15" i="5"/>
  <c r="B45" i="5" l="1"/>
  <c r="C45" i="5"/>
  <c r="D38" i="5"/>
  <c r="E44" i="5"/>
  <c r="E41" i="5"/>
  <c r="D40" i="5"/>
  <c r="D37" i="5"/>
  <c r="D36" i="5"/>
  <c r="D35" i="5"/>
  <c r="E34" i="5"/>
  <c r="E33" i="5"/>
  <c r="E37" i="5"/>
  <c r="D33" i="5"/>
  <c r="E36" i="5"/>
  <c r="E40" i="5"/>
  <c r="E39" i="5"/>
  <c r="E38" i="5"/>
  <c r="D41" i="5"/>
  <c r="D44" i="5"/>
  <c r="D34" i="5"/>
  <c r="E35" i="5"/>
  <c r="E15" i="5"/>
  <c r="D15" i="5"/>
  <c r="E45" i="5" l="1"/>
  <c r="D45" i="5"/>
  <c r="J13" i="2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I33" i="2" l="1"/>
  <c r="J35" i="2"/>
  <c r="J37" i="2"/>
  <c r="J40" i="2"/>
  <c r="J33" i="2"/>
  <c r="J41" i="2"/>
  <c r="H42" i="2"/>
  <c r="H56" i="2"/>
  <c r="B14" i="2"/>
  <c r="C14" i="2"/>
  <c r="D14" i="2"/>
  <c r="E14" i="2"/>
  <c r="F14" i="2"/>
  <c r="B28" i="2"/>
  <c r="C28" i="2"/>
  <c r="D28" i="2"/>
  <c r="E28" i="2"/>
  <c r="F28" i="2"/>
  <c r="G28" i="2"/>
  <c r="J30" i="2"/>
  <c r="I31" i="2"/>
  <c r="J32" i="2"/>
  <c r="J34" i="2"/>
  <c r="I35" i="2"/>
  <c r="I36" i="2"/>
  <c r="I37" i="2"/>
  <c r="I39" i="2"/>
  <c r="I40" i="2"/>
  <c r="B42" i="2"/>
  <c r="I41" i="2"/>
  <c r="C44" i="2"/>
  <c r="D44" i="2"/>
  <c r="E44" i="2"/>
  <c r="F44" i="2"/>
  <c r="G44" i="2"/>
  <c r="J44" i="2" s="1"/>
  <c r="C45" i="2"/>
  <c r="D45" i="2"/>
  <c r="E45" i="2"/>
  <c r="F45" i="2"/>
  <c r="G45" i="2"/>
  <c r="I45" i="2" s="1"/>
  <c r="C46" i="2"/>
  <c r="D46" i="2"/>
  <c r="E46" i="2"/>
  <c r="F46" i="2"/>
  <c r="G46" i="2"/>
  <c r="I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J50" i="2" s="1"/>
  <c r="C51" i="2"/>
  <c r="D51" i="2"/>
  <c r="E51" i="2"/>
  <c r="F51" i="2"/>
  <c r="G51" i="2"/>
  <c r="C52" i="2"/>
  <c r="D52" i="2"/>
  <c r="E52" i="2"/>
  <c r="F52" i="2"/>
  <c r="G52" i="2"/>
  <c r="I52" i="2" s="1"/>
  <c r="C53" i="2"/>
  <c r="D53" i="2"/>
  <c r="E53" i="2"/>
  <c r="F53" i="2"/>
  <c r="G53" i="2"/>
  <c r="I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G9" i="1"/>
  <c r="K9" i="1" s="1"/>
  <c r="I28" i="2" l="1"/>
  <c r="J46" i="2"/>
  <c r="J39" i="2"/>
  <c r="I32" i="2"/>
  <c r="I34" i="2"/>
  <c r="J31" i="2"/>
  <c r="J38" i="2"/>
  <c r="I38" i="2"/>
  <c r="J28" i="2"/>
  <c r="I54" i="2"/>
  <c r="I30" i="2"/>
  <c r="J36" i="2"/>
  <c r="J53" i="2"/>
  <c r="F56" i="2"/>
  <c r="J47" i="2"/>
  <c r="I47" i="2"/>
  <c r="J45" i="2"/>
  <c r="I51" i="2"/>
  <c r="J51" i="2"/>
  <c r="I14" i="2"/>
  <c r="J14" i="2"/>
  <c r="J52" i="2"/>
  <c r="I55" i="2"/>
  <c r="J55" i="2"/>
  <c r="I44" i="2"/>
  <c r="I50" i="2"/>
  <c r="I48" i="2"/>
  <c r="I49" i="2"/>
  <c r="C56" i="2"/>
  <c r="G42" i="2"/>
  <c r="C42" i="2"/>
  <c r="D42" i="2"/>
  <c r="D56" i="2"/>
  <c r="E42" i="2"/>
  <c r="E56" i="2"/>
  <c r="G56" i="2"/>
  <c r="F42" i="2"/>
  <c r="I42" i="2" l="1"/>
  <c r="I56" i="2"/>
  <c r="J42" i="2"/>
  <c r="J56" i="2"/>
  <c r="F19" i="1"/>
  <c r="G10" i="1" l="1"/>
  <c r="E10" i="1"/>
  <c r="B10" i="1"/>
  <c r="H9" i="1"/>
  <c r="F9" i="1"/>
  <c r="K10" i="1" l="1"/>
  <c r="J10" i="1"/>
  <c r="H10" i="1"/>
  <c r="D10" i="1"/>
  <c r="F10" i="1"/>
</calcChain>
</file>

<file path=xl/sharedStrings.xml><?xml version="1.0" encoding="utf-8"?>
<sst xmlns="http://schemas.openxmlformats.org/spreadsheetml/2006/main" count="189" uniqueCount="48">
  <si>
    <t>Variance</t>
  </si>
  <si>
    <t>Last Year Actual</t>
  </si>
  <si>
    <t>OTB vs Target</t>
  </si>
  <si>
    <t>Aug</t>
  </si>
  <si>
    <t>Sept</t>
  </si>
  <si>
    <t>Room Nights</t>
  </si>
  <si>
    <t>ADR</t>
  </si>
  <si>
    <t>Occupancy</t>
  </si>
  <si>
    <t>OTB vs LY</t>
  </si>
  <si>
    <t>TOTAL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</si>
  <si>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</si>
  <si>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</si>
  <si>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</si>
  <si>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</si>
  <si>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</si>
  <si>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</si>
  <si>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</si>
  <si>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</si>
  <si>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</si>
  <si>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</si>
  <si>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</si>
  <si>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</si>
  <si>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</si>
  <si>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2024 vs 2025</t>
  </si>
  <si>
    <t>Target (+10%)</t>
  </si>
  <si>
    <t>2025 vs 2024</t>
  </si>
  <si>
    <t>Sep</t>
  </si>
  <si>
    <t>8 Rooms</t>
  </si>
  <si>
    <t>28 = 224</t>
  </si>
  <si>
    <t>29 = 232</t>
  </si>
  <si>
    <t>30 = 240</t>
  </si>
  <si>
    <t>31 = 248</t>
  </si>
  <si>
    <t>Ashbourne House Guest House | Financial Year</t>
  </si>
  <si>
    <t>10 Rooms until Feb 2024</t>
  </si>
  <si>
    <t>June</t>
  </si>
  <si>
    <t>July</t>
  </si>
  <si>
    <t>1 - Moi</t>
  </si>
  <si>
    <t>1 - Nicki</t>
  </si>
  <si>
    <t>2 - Moi</t>
  </si>
  <si>
    <t>2 - Nicki</t>
  </si>
  <si>
    <t>- Block leave</t>
  </si>
  <si>
    <t>8 - Block leave</t>
  </si>
  <si>
    <t>1 - Carnie's friend</t>
  </si>
  <si>
    <t>1 - Nicole</t>
  </si>
  <si>
    <t>2 - Claudia</t>
  </si>
  <si>
    <t>OTB @ 31 Jul 2026</t>
  </si>
  <si>
    <t>Ashbourne House Guest House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</si>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</sst>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1" fillId="2" borderId="27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7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quotePrefix="1"/>
    <xf numFmtId="17" fontId="1" fillId="0" borderId="0" xfId="0" applyNumberFormat="1" applyFont="1" applyAlignment="1">
      <alignment vertical="center"/>
    </xf>
    <xf numFmtId="17" fontId="16" fillId="0" borderId="1" xfId="0" applyNumberFormat="1" applyFont="1" applyBorder="1" applyAlignment="1">
      <alignment horizontal="left" vertical="center"/>
    </xf>
    <xf numFmtId="16" fontId="1" fillId="0" borderId="0" xfId="0" applyNumberFormat="1" applyFont="1" applyAlignment="1">
      <alignment vertical="center"/>
    </xf>
    <xf numFmtId="9" fontId="10" fillId="2" borderId="0" xfId="1" applyFont="1" applyFill="1" applyBorder="1" applyAlignment="1">
      <alignment horizontal="center" vertical="center"/>
    </xf>
    <xf numFmtId="0" fontId="17" fillId="0" borderId="10" xfId="0" applyFont="1" applyBorder="1"/>
    <xf numFmtId="1" fontId="17" fillId="0" borderId="10" xfId="0" applyNumberFormat="1" applyFont="1" applyBorder="1" applyAlignment="1">
      <alignment horizontal="center"/>
    </xf>
    <xf numFmtId="0" fontId="11" fillId="0" borderId="0" xfId="0" applyFont="1"/>
    <xf numFmtId="0" fontId="18" fillId="0" borderId="0" xfId="0" applyFont="1" applyAlignment="1">
      <alignment vertical="center"/>
    </xf>
    <xf numFmtId="0" fontId="19" fillId="0" borderId="0" xfId="0" applyFont="1"/>
    <xf numFmtId="9" fontId="11" fillId="2" borderId="10" xfId="1" applyFont="1" applyFill="1" applyBorder="1" applyAlignment="1">
      <alignment horizontal="center" vertical="center"/>
    </xf>
    <xf numFmtId="9" fontId="10" fillId="2" borderId="10" xfId="1" applyFont="1" applyFill="1" applyBorder="1" applyAlignment="1">
      <alignment horizontal="center" vertical="center"/>
    </xf>
    <xf numFmtId="17" fontId="11" fillId="0" borderId="4" xfId="0" applyNumberFormat="1" applyFont="1" applyBorder="1" applyAlignment="1">
      <alignment horizontal="left" vertical="center"/>
    </xf>
    <xf numFmtId="1" fontId="11" fillId="0" borderId="4" xfId="0" applyNumberFormat="1" applyFont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9" fontId="11" fillId="2" borderId="4" xfId="1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DDD9C4"/>
      <color rgb="FFFFB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Ashbourne House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185741.66</c:v>
                </c:pt>
                <c:pt idx="1">
                  <c:v>262320.14</c:v>
                </c:pt>
                <c:pt idx="2">
                  <c:v>388914.30000000005</c:v>
                </c:pt>
                <c:pt idx="3">
                  <c:v>641044.05000000005</c:v>
                </c:pt>
                <c:pt idx="4">
                  <c:v>697891.65999999992</c:v>
                </c:pt>
                <c:pt idx="5">
                  <c:v>493582.26</c:v>
                </c:pt>
                <c:pt idx="6">
                  <c:v>583900.65999999992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E24E-90C2-D91A3EE328F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185741.66</c:v>
                </c:pt>
                <c:pt idx="1">
                  <c:v>242962.47999999998</c:v>
                </c:pt>
                <c:pt idx="2">
                  <c:v>400100.12000000005</c:v>
                </c:pt>
                <c:pt idx="3">
                  <c:v>659205.39</c:v>
                </c:pt>
                <c:pt idx="4">
                  <c:v>672576.59999999986</c:v>
                </c:pt>
                <c:pt idx="5">
                  <c:v>529257.46</c:v>
                </c:pt>
                <c:pt idx="6">
                  <c:v>549310.65999999992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2-E24E-90C2-D91A3EE328F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0</c:v>
                </c:pt>
                <c:pt idx="1">
                  <c:v>19357.660000000033</c:v>
                </c:pt>
                <c:pt idx="2">
                  <c:v>-11185.820000000007</c:v>
                </c:pt>
                <c:pt idx="3">
                  <c:v>-18161.339999999967</c:v>
                </c:pt>
                <c:pt idx="4">
                  <c:v>25315.060000000056</c:v>
                </c:pt>
                <c:pt idx="5">
                  <c:v>-35675.199999999953</c:v>
                </c:pt>
                <c:pt idx="6">
                  <c:v>34590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2-E24E-90C2-D91A3EE328FB}"/>
            </c:ext>
          </c:extLst>
        </c:ser>
        <c:ser>
          <c:idx val="3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4900.6600000000035</c:v>
                </c:pt>
                <c:pt idx="1">
                  <c:v>-4245.859999999986</c:v>
                </c:pt>
                <c:pt idx="2">
                  <c:v>56866.520000000019</c:v>
                </c:pt>
                <c:pt idx="3">
                  <c:v>-38770.439999999944</c:v>
                </c:pt>
                <c:pt idx="4">
                  <c:v>-42802.340000000084</c:v>
                </c:pt>
                <c:pt idx="5">
                  <c:v>-259561.20000000007</c:v>
                </c:pt>
                <c:pt idx="6">
                  <c:v>-248186.74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2-E24E-90C2-D91A3EE328FB}"/>
            </c:ext>
          </c:extLst>
        </c:ser>
        <c:ser>
          <c:idx val="4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-13183.440000000002</c:v>
                </c:pt>
                <c:pt idx="1">
                  <c:v>-30902.460000000021</c:v>
                </c:pt>
                <c:pt idx="2">
                  <c:v>23661.741999999969</c:v>
                </c:pt>
                <c:pt idx="3">
                  <c:v>-106751.88899999997</c:v>
                </c:pt>
                <c:pt idx="4">
                  <c:v>-116871.74000000011</c:v>
                </c:pt>
                <c:pt idx="5">
                  <c:v>-334875.54600000009</c:v>
                </c:pt>
                <c:pt idx="6">
                  <c:v>-331395.4800000001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2-E24E-90C2-D91A3EE3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063951"/>
        <c:axId val="859421887"/>
      </c:barChart>
      <c:catAx>
        <c:axId val="1209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1887"/>
        <c:crosses val="autoZero"/>
        <c:auto val="1"/>
        <c:lblAlgn val="ctr"/>
        <c:lblOffset val="100"/>
        <c:noMultiLvlLbl val="0"/>
      </c:catAx>
      <c:valAx>
        <c:axId val="859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Ashbourne House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0.26209677419354838</c:v>
                </c:pt>
                <c:pt idx="1">
                  <c:v>0.3911290322580645</c:v>
                </c:pt>
                <c:pt idx="2">
                  <c:v>0.45833333333333331</c:v>
                </c:pt>
                <c:pt idx="3">
                  <c:v>0.81048387096774188</c:v>
                </c:pt>
                <c:pt idx="4">
                  <c:v>0.89166666666666672</c:v>
                </c:pt>
                <c:pt idx="5">
                  <c:v>0.61693548387096775</c:v>
                </c:pt>
                <c:pt idx="6">
                  <c:v>0.74596774193548387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0.26209677419354838</c:v>
                </c:pt>
                <c:pt idx="1">
                  <c:v>0.36693548387096775</c:v>
                </c:pt>
                <c:pt idx="2">
                  <c:v>0.58333333333333337</c:v>
                </c:pt>
                <c:pt idx="3">
                  <c:v>0.83870967741935487</c:v>
                </c:pt>
                <c:pt idx="4">
                  <c:v>0.8666666666666667</c:v>
                </c:pt>
                <c:pt idx="5">
                  <c:v>0.66532258064516125</c:v>
                </c:pt>
                <c:pt idx="6">
                  <c:v>0.71370967741935487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>
                  <c:v>0</c:v>
                </c:pt>
                <c:pt idx="1">
                  <c:v>2.4193548387096753E-2</c:v>
                </c:pt>
                <c:pt idx="2">
                  <c:v>-0.12500000000000006</c:v>
                </c:pt>
                <c:pt idx="3" formatCode="0.0%">
                  <c:v>-2.8225806451612989E-2</c:v>
                </c:pt>
                <c:pt idx="4" formatCode="0.0%">
                  <c:v>2.5000000000000022E-2</c:v>
                </c:pt>
                <c:pt idx="5" formatCode="0.0%">
                  <c:v>-4.8387096774193505E-2</c:v>
                </c:pt>
                <c:pt idx="6" formatCode="0.0%">
                  <c:v>3.2258064516129004E-2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0.30241935483870969</c:v>
                </c:pt>
                <c:pt idx="1">
                  <c:v>0.44354838709677419</c:v>
                </c:pt>
                <c:pt idx="2">
                  <c:v>0.47499999999999998</c:v>
                </c:pt>
                <c:pt idx="3">
                  <c:v>0.8588709677419355</c:v>
                </c:pt>
                <c:pt idx="4">
                  <c:v>0.97916666666666663</c:v>
                </c:pt>
                <c:pt idx="5">
                  <c:v>0.86693548387096775</c:v>
                </c:pt>
                <c:pt idx="6">
                  <c:v>0.9838709677419355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-4.032258064516131E-2</c:v>
                </c:pt>
                <c:pt idx="1">
                  <c:v>-5.2419354838709686E-2</c:v>
                </c:pt>
                <c:pt idx="2">
                  <c:v>-1.6666666666666663E-2</c:v>
                </c:pt>
                <c:pt idx="3">
                  <c:v>-4.8387096774193616E-2</c:v>
                </c:pt>
                <c:pt idx="4">
                  <c:v>-8.7499999999999911E-2</c:v>
                </c:pt>
                <c:pt idx="5">
                  <c:v>-0.25</c:v>
                </c:pt>
                <c:pt idx="6">
                  <c:v>-0.23790322580645162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Ashbourne House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2857.5639999999999</c:v>
                </c:pt>
                <c:pt idx="1">
                  <c:v>2704.3313402061858</c:v>
                </c:pt>
                <c:pt idx="2">
                  <c:v>3535.5845454545461</c:v>
                </c:pt>
                <c:pt idx="3">
                  <c:v>3189.2738805970152</c:v>
                </c:pt>
                <c:pt idx="4">
                  <c:v>3261.1759813084109</c:v>
                </c:pt>
                <c:pt idx="5">
                  <c:v>3226.0278431372549</c:v>
                </c:pt>
                <c:pt idx="6">
                  <c:v>3156.2197837837834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2857.5639999999999</c:v>
                </c:pt>
                <c:pt idx="1">
                  <c:v>2669.9173626373627</c:v>
                </c:pt>
                <c:pt idx="2">
                  <c:v>2857.8580000000002</c:v>
                </c:pt>
                <c:pt idx="3">
                  <c:v>3169.2566826923075</c:v>
                </c:pt>
                <c:pt idx="4">
                  <c:v>3233.5413461538456</c:v>
                </c:pt>
                <c:pt idx="5">
                  <c:v>3207.6209696969695</c:v>
                </c:pt>
                <c:pt idx="6">
                  <c:v>3103.4500564971745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0</c:v>
                </c:pt>
                <c:pt idx="1">
                  <c:v>34.413977568823157</c:v>
                </c:pt>
                <c:pt idx="2">
                  <c:v>677.72654545454589</c:v>
                </c:pt>
                <c:pt idx="3">
                  <c:v>20.0171979047077</c:v>
                </c:pt>
                <c:pt idx="4">
                  <c:v>27.634635154565331</c:v>
                </c:pt>
                <c:pt idx="5">
                  <c:v>18.406873440285381</c:v>
                </c:pt>
                <c:pt idx="6">
                  <c:v>52.769727286608941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2411.2133333333331</c:v>
                </c:pt>
                <c:pt idx="1">
                  <c:v>2423.3272727272729</c:v>
                </c:pt>
                <c:pt idx="2">
                  <c:v>2912.6998245614036</c:v>
                </c:pt>
                <c:pt idx="3">
                  <c:v>3191.6173239436621</c:v>
                </c:pt>
                <c:pt idx="4">
                  <c:v>3151.8893617021276</c:v>
                </c:pt>
                <c:pt idx="5">
                  <c:v>3502.9928372093027</c:v>
                </c:pt>
                <c:pt idx="6">
                  <c:v>3410.1942622950814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446.35066666666671</c:v>
                </c:pt>
                <c:pt idx="1">
                  <c:v>281.00406747891293</c:v>
                </c:pt>
                <c:pt idx="2">
                  <c:v>622.88472089314246</c:v>
                </c:pt>
                <c:pt idx="3">
                  <c:v>-2.3434433466468363</c:v>
                </c:pt>
                <c:pt idx="4">
                  <c:v>109.28661960628324</c:v>
                </c:pt>
                <c:pt idx="5">
                  <c:v>-276.96499407204783</c:v>
                </c:pt>
                <c:pt idx="6">
                  <c:v>-253.974478511298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5395530.8099999996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0.74967942775923868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2414.3599296270431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  <c:pt idx="0">
                  <c:v>727763.65</c:v>
                </c:pt>
                <c:pt idx="1">
                  <c:v>710331.4</c:v>
                </c:pt>
                <c:pt idx="2">
                  <c:v>619598.85</c:v>
                </c:pt>
                <c:pt idx="3">
                  <c:v>442295.31</c:v>
                </c:pt>
                <c:pt idx="4">
                  <c:v>254077.38</c:v>
                </c:pt>
                <c:pt idx="5">
                  <c:v>30983.16</c:v>
                </c:pt>
                <c:pt idx="6">
                  <c:v>245721.47</c:v>
                </c:pt>
                <c:pt idx="7">
                  <c:v>287573.81</c:v>
                </c:pt>
                <c:pt idx="8">
                  <c:v>308999.11</c:v>
                </c:pt>
                <c:pt idx="9">
                  <c:v>530289.28</c:v>
                </c:pt>
                <c:pt idx="10">
                  <c:v>632104.85</c:v>
                </c:pt>
                <c:pt idx="11">
                  <c:v>605792.54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  <c:pt idx="0">
                  <c:v>1.0403225806451613</c:v>
                </c:pt>
                <c:pt idx="1">
                  <c:v>1.0862068965517242</c:v>
                </c:pt>
                <c:pt idx="2">
                  <c:v>0.86693548387096775</c:v>
                </c:pt>
                <c:pt idx="3">
                  <c:v>0.65</c:v>
                </c:pt>
                <c:pt idx="4">
                  <c:v>0.50403225806451613</c:v>
                </c:pt>
                <c:pt idx="5">
                  <c:v>0.83333333333333337</c:v>
                </c:pt>
                <c:pt idx="6">
                  <c:v>0.45967741935483869</c:v>
                </c:pt>
                <c:pt idx="7">
                  <c:v>0.56048387096774188</c:v>
                </c:pt>
                <c:pt idx="8">
                  <c:v>0.5541666666666667</c:v>
                </c:pt>
                <c:pt idx="9">
                  <c:v>0.7338709677419355</c:v>
                </c:pt>
                <c:pt idx="10">
                  <c:v>0.92083333333333328</c:v>
                </c:pt>
                <c:pt idx="11">
                  <c:v>0.78629032258064513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2820.7893410852712</c:v>
                </c:pt>
                <c:pt idx="1">
                  <c:v>2818.7753968253969</c:v>
                </c:pt>
                <c:pt idx="2">
                  <c:v>2881.8551162790695</c:v>
                </c:pt>
                <c:pt idx="3">
                  <c:v>2835.226346153846</c:v>
                </c:pt>
                <c:pt idx="4">
                  <c:v>2032.61904</c:v>
                </c:pt>
                <c:pt idx="5">
                  <c:v>154.91579999999999</c:v>
                </c:pt>
                <c:pt idx="6">
                  <c:v>2155.4514912280702</c:v>
                </c:pt>
                <c:pt idx="7">
                  <c:v>2068.8763309352516</c:v>
                </c:pt>
                <c:pt idx="8">
                  <c:v>2323.3015789473684</c:v>
                </c:pt>
                <c:pt idx="9">
                  <c:v>2913.6773626373629</c:v>
                </c:pt>
                <c:pt idx="10">
                  <c:v>2860.2029411764706</c:v>
                </c:pt>
                <c:pt idx="11">
                  <c:v>3106.6284102564105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29</xdr:row>
      <xdr:rowOff>101600</xdr:rowOff>
    </xdr:from>
    <xdr:to>
      <xdr:col>6</xdr:col>
      <xdr:colOff>469900</xdr:colOff>
      <xdr:row>45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91DE4-0579-0DDF-4E65-68922E74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819150</xdr:colOff>
      <xdr:row>29</xdr:row>
      <xdr:rowOff>107950</xdr:rowOff>
    </xdr:from>
    <xdr:to>
      <xdr:col>19</xdr:col>
      <xdr:colOff>19050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53"/>
  <sheetViews>
    <sheetView tabSelected="1" zoomScaleNormal="100" workbookViewId="0">
      <selection activeCell="B5" sqref="B5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2" ht="28" customHeight="1" thickBot="1" x14ac:dyDescent="0.25">
      <c r="A1" s="129" t="s">
        <v>46</v>
      </c>
      <c r="B1" s="130"/>
      <c r="C1" s="130"/>
      <c r="D1" s="130"/>
      <c r="E1" s="130"/>
      <c r="F1" s="130"/>
      <c r="G1" s="130"/>
      <c r="H1" s="130"/>
      <c r="I1" s="130"/>
      <c r="J1" s="130"/>
      <c r="K1" s="131"/>
      <c r="N1" s="65"/>
      <c r="O1" s="65"/>
      <c r="P1" s="65"/>
      <c r="Q1" s="65"/>
      <c r="R1" s="65"/>
      <c r="S1" s="65"/>
    </row>
    <row r="2" spans="1:22" s="5" customFormat="1" ht="32" customHeight="1" x14ac:dyDescent="0.2">
      <c r="A2" s="52"/>
      <c r="B2" s="53" t="s">
        <v>47</v>
      </c>
      <c r="C2" s="53" t="s">
        <v>45</v>
      </c>
      <c r="D2" s="53" t="s">
        <v>0</v>
      </c>
      <c r="E2" s="54" t="s">
        <v>1</v>
      </c>
      <c r="F2" s="55" t="s">
        <v>8</v>
      </c>
      <c r="G2" s="56" t="s">
        <v>24</v>
      </c>
      <c r="H2" s="57" t="s">
        <v>2</v>
      </c>
      <c r="I2" s="4"/>
      <c r="J2" s="55" t="s">
        <v>8</v>
      </c>
      <c r="K2" s="57" t="s">
        <v>2</v>
      </c>
      <c r="L2" s="4"/>
      <c r="M2" s="4"/>
    </row>
    <row r="3" spans="1:22" s="3" customFormat="1" ht="18" customHeight="1" x14ac:dyDescent="0.2">
      <c r="A3" s="48" t="s">
        <v>14</v>
      </c>
      <c r="B3" s="51">
        <v>185741.66</v>
      </c>
      <c r="C3" s="51">
        <v>185741.66</v>
      </c>
      <c r="D3" s="51">
        <f t="shared" ref="D3:D4" si="0">B3-C3</f>
        <v>0</v>
      </c>
      <c r="E3" s="58">
        <v>180841</v>
      </c>
      <c r="F3" s="72">
        <f t="shared" ref="F3:F8" si="1">B3-E3</f>
        <v>4900.6600000000035</v>
      </c>
      <c r="G3" s="59">
        <f t="shared" ref="G3:G8" si="2">E3*1.1</f>
        <v>198925.1</v>
      </c>
      <c r="H3" s="76">
        <f t="shared" ref="H3:H8" si="3">B3-G3</f>
        <v>-13183.440000000002</v>
      </c>
      <c r="I3" s="6"/>
      <c r="J3" s="98">
        <f t="shared" ref="J3:J10" si="4">(B3-E3)/E3</f>
        <v>2.7099275053776541E-2</v>
      </c>
      <c r="K3" s="73">
        <f t="shared" ref="K3:K10" si="5">(B3-G3)/G3</f>
        <v>-6.627338631474862E-2</v>
      </c>
      <c r="L3" s="2"/>
      <c r="M3" s="2"/>
      <c r="S3" s="65"/>
    </row>
    <row r="4" spans="1:22" s="3" customFormat="1" ht="18" customHeight="1" x14ac:dyDescent="0.2">
      <c r="A4" s="48" t="s">
        <v>3</v>
      </c>
      <c r="B4" s="51">
        <v>262320.14</v>
      </c>
      <c r="C4" s="51">
        <v>242962.47999999998</v>
      </c>
      <c r="D4" s="51">
        <f t="shared" si="0"/>
        <v>19357.660000000033</v>
      </c>
      <c r="E4" s="58">
        <v>266566</v>
      </c>
      <c r="F4" s="72">
        <f t="shared" si="1"/>
        <v>-4245.859999999986</v>
      </c>
      <c r="G4" s="59">
        <f t="shared" si="2"/>
        <v>293222.60000000003</v>
      </c>
      <c r="H4" s="76">
        <f t="shared" si="3"/>
        <v>-30902.460000000021</v>
      </c>
      <c r="I4" s="6"/>
      <c r="J4" s="122">
        <f t="shared" si="4"/>
        <v>-1.5927987815400262E-2</v>
      </c>
      <c r="K4" s="73">
        <f t="shared" si="5"/>
        <v>-0.10538907983218217</v>
      </c>
      <c r="L4" s="2"/>
      <c r="M4" s="2"/>
      <c r="S4" s="65"/>
    </row>
    <row r="5" spans="1:22" s="3" customFormat="1" ht="18" customHeight="1" x14ac:dyDescent="0.2">
      <c r="A5" s="48" t="s">
        <v>4</v>
      </c>
      <c r="B5" s="51">
        <v>388914.30000000005</v>
      </c>
      <c r="C5" s="51">
        <v>400100.12000000005</v>
      </c>
      <c r="D5" s="51">
        <f t="shared" ref="D5" si="6">B5-C5</f>
        <v>-11185.820000000007</v>
      </c>
      <c r="E5" s="58">
        <v>332047.78000000003</v>
      </c>
      <c r="F5" s="72">
        <f t="shared" si="1"/>
        <v>56866.520000000019</v>
      </c>
      <c r="G5" s="59">
        <f t="shared" si="2"/>
        <v>365252.55800000008</v>
      </c>
      <c r="H5" s="76">
        <f t="shared" si="3"/>
        <v>23661.741999999969</v>
      </c>
      <c r="I5" s="6"/>
      <c r="J5" s="98">
        <f t="shared" si="4"/>
        <v>0.17126005179134163</v>
      </c>
      <c r="K5" s="73">
        <f t="shared" si="5"/>
        <v>6.4781865264855895E-2</v>
      </c>
      <c r="L5" s="2"/>
      <c r="M5" s="2"/>
      <c r="S5" s="65"/>
    </row>
    <row r="6" spans="1:22" s="3" customFormat="1" ht="18" customHeight="1" x14ac:dyDescent="0.2">
      <c r="A6" s="48" t="s">
        <v>13</v>
      </c>
      <c r="B6" s="51">
        <v>641044.05000000005</v>
      </c>
      <c r="C6" s="51">
        <v>659205.39</v>
      </c>
      <c r="D6" s="51">
        <f t="shared" ref="D6" si="7">B6-C6</f>
        <v>-18161.339999999967</v>
      </c>
      <c r="E6" s="58">
        <v>679814.49</v>
      </c>
      <c r="F6" s="72">
        <f t="shared" si="1"/>
        <v>-38770.439999999944</v>
      </c>
      <c r="G6" s="59">
        <f t="shared" si="2"/>
        <v>747795.93900000001</v>
      </c>
      <c r="H6" s="76">
        <f t="shared" si="3"/>
        <v>-106751.88899999997</v>
      </c>
      <c r="I6" s="6"/>
      <c r="J6" s="98">
        <f t="shared" si="4"/>
        <v>-5.703091147704125E-2</v>
      </c>
      <c r="K6" s="73">
        <f t="shared" si="5"/>
        <v>-0.14275537407003752</v>
      </c>
      <c r="L6" s="2"/>
      <c r="M6" s="2"/>
      <c r="S6" s="65"/>
    </row>
    <row r="7" spans="1:22" s="3" customFormat="1" ht="18" customHeight="1" x14ac:dyDescent="0.2">
      <c r="A7" s="48" t="s">
        <v>12</v>
      </c>
      <c r="B7" s="51">
        <v>697891.65999999992</v>
      </c>
      <c r="C7" s="51">
        <v>672576.59999999986</v>
      </c>
      <c r="D7" s="51">
        <f>B7-C7</f>
        <v>25315.060000000056</v>
      </c>
      <c r="E7" s="58">
        <v>740694</v>
      </c>
      <c r="F7" s="72">
        <f t="shared" si="1"/>
        <v>-42802.340000000084</v>
      </c>
      <c r="G7" s="59">
        <f t="shared" si="2"/>
        <v>814763.4</v>
      </c>
      <c r="H7" s="76">
        <f t="shared" si="3"/>
        <v>-116871.74000000011</v>
      </c>
      <c r="I7" s="6"/>
      <c r="J7" s="98">
        <f t="shared" si="4"/>
        <v>-5.7786805347417536E-2</v>
      </c>
      <c r="K7" s="73">
        <f t="shared" si="5"/>
        <v>-0.14344255031583414</v>
      </c>
      <c r="L7" s="2"/>
      <c r="M7" s="2"/>
      <c r="S7" s="65"/>
    </row>
    <row r="8" spans="1:22" s="3" customFormat="1" ht="18" customHeight="1" x14ac:dyDescent="0.2">
      <c r="A8" s="48" t="s">
        <v>11</v>
      </c>
      <c r="B8" s="51">
        <v>493582.26</v>
      </c>
      <c r="C8" s="51">
        <v>529257.46</v>
      </c>
      <c r="D8" s="51">
        <f>B8-C8</f>
        <v>-35675.199999999953</v>
      </c>
      <c r="E8" s="58">
        <v>753143.46000000008</v>
      </c>
      <c r="F8" s="72">
        <f t="shared" si="1"/>
        <v>-259561.20000000007</v>
      </c>
      <c r="G8" s="59">
        <f t="shared" si="2"/>
        <v>828457.8060000001</v>
      </c>
      <c r="H8" s="76">
        <f t="shared" si="3"/>
        <v>-334875.54600000009</v>
      </c>
      <c r="I8" s="6"/>
      <c r="J8" s="98">
        <f t="shared" ref="J8" si="8">(B8-E8)/E8</f>
        <v>-0.34463712929273799</v>
      </c>
      <c r="K8" s="73">
        <f t="shared" ref="K8" si="9">(B8-G8)/G8</f>
        <v>-0.40421557208430725</v>
      </c>
      <c r="L8" s="2"/>
      <c r="M8" s="2"/>
      <c r="S8" s="65"/>
    </row>
    <row r="9" spans="1:22" s="3" customFormat="1" ht="18" customHeight="1" x14ac:dyDescent="0.2">
      <c r="A9" s="49">
        <v>46388</v>
      </c>
      <c r="B9" s="51">
        <v>583900.65999999992</v>
      </c>
      <c r="C9" s="51">
        <v>549310.65999999992</v>
      </c>
      <c r="D9" s="51">
        <f>B9-C9</f>
        <v>34590</v>
      </c>
      <c r="E9" s="58">
        <v>832087.39999999991</v>
      </c>
      <c r="F9" s="72">
        <f t="shared" ref="F9" si="10">B9-E9</f>
        <v>-248186.74</v>
      </c>
      <c r="G9" s="59">
        <f t="shared" ref="G9" si="11">E9*1.1</f>
        <v>915296.14</v>
      </c>
      <c r="H9" s="76">
        <f t="shared" ref="H9" si="12">B9-G9</f>
        <v>-331395.4800000001</v>
      </c>
      <c r="I9" s="6"/>
      <c r="J9" s="98">
        <f t="shared" si="4"/>
        <v>-0.2982700374984647</v>
      </c>
      <c r="K9" s="75">
        <f t="shared" si="5"/>
        <v>-0.36206367045314986</v>
      </c>
      <c r="L9" s="2"/>
      <c r="M9" s="2"/>
      <c r="S9" s="65"/>
    </row>
    <row r="10" spans="1:22" s="3" customFormat="1" ht="18" customHeight="1" thickBot="1" x14ac:dyDescent="0.25">
      <c r="A10" s="50" t="s">
        <v>9</v>
      </c>
      <c r="B10" s="60">
        <f>SUM(B3:B9)</f>
        <v>3253394.7300000004</v>
      </c>
      <c r="C10" s="60">
        <f>SUM(C3:C9)</f>
        <v>3239154.37</v>
      </c>
      <c r="D10" s="60">
        <f>SUM(D3:D9)</f>
        <v>14240.360000000161</v>
      </c>
      <c r="E10" s="61">
        <f>SUM(E3:E9)</f>
        <v>3785194.13</v>
      </c>
      <c r="F10" s="77">
        <f>B10-E10</f>
        <v>-531799.39999999944</v>
      </c>
      <c r="G10" s="62">
        <f>SUM(G3:G9)</f>
        <v>4163713.5430000001</v>
      </c>
      <c r="H10" s="78">
        <f>(B10-G10)</f>
        <v>-910318.81299999962</v>
      </c>
      <c r="I10" s="6"/>
      <c r="J10" s="120">
        <f t="shared" si="4"/>
        <v>-0.14049461711492178</v>
      </c>
      <c r="K10" s="73">
        <f t="shared" si="5"/>
        <v>-0.21863147010447437</v>
      </c>
      <c r="L10" s="2"/>
      <c r="M10" s="2"/>
      <c r="N10" s="65"/>
      <c r="O10" s="65"/>
      <c r="P10" s="65"/>
      <c r="Q10" s="65"/>
      <c r="R10" s="65"/>
      <c r="S10" s="65"/>
    </row>
    <row r="11" spans="1:22" ht="25" customHeight="1" thickBot="1" x14ac:dyDescent="0.25">
      <c r="A11" s="126" t="s">
        <v>5</v>
      </c>
      <c r="B11" s="127"/>
      <c r="C11" s="127"/>
      <c r="D11" s="127"/>
      <c r="E11" s="127"/>
      <c r="F11" s="128"/>
      <c r="G11" s="126" t="s">
        <v>7</v>
      </c>
      <c r="H11" s="127"/>
      <c r="I11" s="127"/>
      <c r="J11" s="127"/>
      <c r="K11" s="128"/>
      <c r="O11" s="1"/>
      <c r="P11" s="1"/>
      <c r="Q11" s="65"/>
      <c r="R11" s="65"/>
      <c r="S11" s="65"/>
      <c r="T11" s="3"/>
      <c r="U11" s="3"/>
      <c r="V11" s="3"/>
    </row>
    <row r="12" spans="1:22" s="66" customFormat="1" ht="32" customHeight="1" x14ac:dyDescent="0.2">
      <c r="A12" s="52"/>
      <c r="B12" s="53" t="s">
        <v>47</v>
      </c>
      <c r="C12" s="53" t="s">
        <v>45</v>
      </c>
      <c r="D12" s="53" t="s">
        <v>0</v>
      </c>
      <c r="E12" s="54" t="s">
        <v>1</v>
      </c>
      <c r="F12" s="55" t="s">
        <v>8</v>
      </c>
      <c r="G12" s="53" t="s">
        <v>47</v>
      </c>
      <c r="H12" s="53" t="s">
        <v>45</v>
      </c>
      <c r="I12" s="53" t="s">
        <v>0</v>
      </c>
      <c r="J12" s="54" t="s">
        <v>1</v>
      </c>
      <c r="K12" s="55" t="s">
        <v>8</v>
      </c>
      <c r="L12" s="65"/>
      <c r="M12" s="65"/>
      <c r="N12" s="65"/>
      <c r="O12" s="65"/>
      <c r="P12" s="65"/>
      <c r="Q12" s="65"/>
      <c r="R12" s="65"/>
      <c r="S12" s="65"/>
      <c r="T12" s="3"/>
      <c r="U12" s="3"/>
      <c r="V12" s="3"/>
    </row>
    <row r="13" spans="1:22" s="66" customFormat="1" ht="18" customHeight="1" x14ac:dyDescent="0.2">
      <c r="A13" s="105" t="s">
        <v>14</v>
      </c>
      <c r="B13" s="63">
        <v>65</v>
      </c>
      <c r="C13" s="63">
        <v>65</v>
      </c>
      <c r="D13" s="63">
        <f t="shared" ref="D13:D14" si="13">B13-C13</f>
        <v>0</v>
      </c>
      <c r="E13" s="64">
        <v>75</v>
      </c>
      <c r="F13" s="79">
        <f t="shared" ref="F13:F18" si="14">B13-E13</f>
        <v>-10</v>
      </c>
      <c r="G13" s="67">
        <f>B13/248</f>
        <v>0.26209677419354838</v>
      </c>
      <c r="H13" s="67">
        <f>C13/248</f>
        <v>0.26209677419354838</v>
      </c>
      <c r="I13" s="67">
        <f t="shared" ref="I13" si="15">G13-H13</f>
        <v>0</v>
      </c>
      <c r="J13" s="68">
        <f>E13/248</f>
        <v>0.30241935483870969</v>
      </c>
      <c r="K13" s="80">
        <f t="shared" ref="K13:K18" si="16">G13-J13</f>
        <v>-4.032258064516131E-2</v>
      </c>
      <c r="L13" s="65"/>
      <c r="M13" s="65" t="s">
        <v>27</v>
      </c>
      <c r="N13" s="65"/>
      <c r="O13" s="65"/>
      <c r="P13" s="65"/>
      <c r="Q13" s="65"/>
      <c r="R13" s="65"/>
      <c r="S13" s="65"/>
      <c r="T13" s="3"/>
      <c r="U13" s="3"/>
      <c r="V13" s="3"/>
    </row>
    <row r="14" spans="1:22" s="66" customFormat="1" ht="18" customHeight="1" x14ac:dyDescent="0.2">
      <c r="A14" s="48" t="s">
        <v>3</v>
      </c>
      <c r="B14" s="63">
        <v>97</v>
      </c>
      <c r="C14" s="63">
        <v>91</v>
      </c>
      <c r="D14" s="63">
        <f t="shared" si="13"/>
        <v>6</v>
      </c>
      <c r="E14" s="64">
        <v>110</v>
      </c>
      <c r="F14" s="79">
        <f t="shared" si="14"/>
        <v>-13</v>
      </c>
      <c r="G14" s="67">
        <f>B14/248</f>
        <v>0.3911290322580645</v>
      </c>
      <c r="H14" s="67">
        <f>C14/248</f>
        <v>0.36693548387096775</v>
      </c>
      <c r="I14" s="67">
        <f t="shared" ref="I14:I19" si="17">G14-H14</f>
        <v>2.4193548387096753E-2</v>
      </c>
      <c r="J14" s="68">
        <f>E14/248</f>
        <v>0.44354838709677419</v>
      </c>
      <c r="K14" s="80">
        <f t="shared" si="16"/>
        <v>-5.2419354838709686E-2</v>
      </c>
      <c r="L14" s="65"/>
      <c r="M14" s="65" t="s">
        <v>28</v>
      </c>
      <c r="N14" s="65"/>
      <c r="O14" s="65"/>
      <c r="P14" s="65"/>
      <c r="Q14" s="65"/>
      <c r="R14" s="65"/>
      <c r="S14" s="65"/>
      <c r="T14" s="3"/>
      <c r="U14" s="3"/>
      <c r="V14" s="3"/>
    </row>
    <row r="15" spans="1:22" s="66" customFormat="1" ht="18" customHeight="1" x14ac:dyDescent="0.2">
      <c r="A15" s="48" t="s">
        <v>4</v>
      </c>
      <c r="B15" s="63">
        <v>110</v>
      </c>
      <c r="C15" s="63">
        <v>140</v>
      </c>
      <c r="D15" s="63">
        <f t="shared" ref="D15" si="18">B15-C15</f>
        <v>-30</v>
      </c>
      <c r="E15" s="64">
        <v>114</v>
      </c>
      <c r="F15" s="79">
        <f t="shared" si="14"/>
        <v>-4</v>
      </c>
      <c r="G15" s="67">
        <f>B15/240</f>
        <v>0.45833333333333331</v>
      </c>
      <c r="H15" s="67">
        <f>C15/240</f>
        <v>0.58333333333333337</v>
      </c>
      <c r="I15" s="67">
        <f t="shared" si="17"/>
        <v>-0.12500000000000006</v>
      </c>
      <c r="J15" s="68">
        <f>E15/240</f>
        <v>0.47499999999999998</v>
      </c>
      <c r="K15" s="80">
        <f t="shared" si="16"/>
        <v>-1.6666666666666663E-2</v>
      </c>
      <c r="L15" s="65"/>
      <c r="M15" s="65" t="s">
        <v>29</v>
      </c>
      <c r="N15" s="65"/>
      <c r="O15" s="65"/>
      <c r="P15" s="65"/>
      <c r="Q15" s="65"/>
      <c r="R15" s="65"/>
      <c r="S15" s="65"/>
      <c r="T15" s="3"/>
      <c r="U15" s="3"/>
      <c r="V15" s="3"/>
    </row>
    <row r="16" spans="1:22" s="66" customFormat="1" ht="18" customHeight="1" x14ac:dyDescent="0.2">
      <c r="A16" s="48" t="s">
        <v>13</v>
      </c>
      <c r="B16" s="63">
        <v>201</v>
      </c>
      <c r="C16" s="63">
        <v>208</v>
      </c>
      <c r="D16" s="63">
        <f t="shared" ref="D16" si="19">B16-C16</f>
        <v>-7</v>
      </c>
      <c r="E16" s="64">
        <v>213</v>
      </c>
      <c r="F16" s="79">
        <f t="shared" si="14"/>
        <v>-12</v>
      </c>
      <c r="G16" s="67">
        <f>B16/248</f>
        <v>0.81048387096774188</v>
      </c>
      <c r="H16" s="67">
        <f>C16/248</f>
        <v>0.83870967741935487</v>
      </c>
      <c r="I16" s="123">
        <f t="shared" si="17"/>
        <v>-2.8225806451612989E-2</v>
      </c>
      <c r="J16" s="68">
        <f>E16/248</f>
        <v>0.8588709677419355</v>
      </c>
      <c r="K16" s="80">
        <f t="shared" si="16"/>
        <v>-4.8387096774193616E-2</v>
      </c>
      <c r="L16" s="65"/>
      <c r="M16" s="65" t="s">
        <v>30</v>
      </c>
      <c r="N16" s="65"/>
      <c r="O16" s="65"/>
      <c r="P16" s="65"/>
      <c r="Q16" s="65"/>
      <c r="R16" s="65"/>
      <c r="S16" s="65"/>
      <c r="T16" s="3"/>
      <c r="U16" s="3"/>
      <c r="V16" s="3"/>
    </row>
    <row r="17" spans="1:22" s="66" customFormat="1" ht="18" customHeight="1" x14ac:dyDescent="0.2">
      <c r="A17" s="48" t="s">
        <v>12</v>
      </c>
      <c r="B17" s="63">
        <v>214</v>
      </c>
      <c r="C17" s="63">
        <v>208</v>
      </c>
      <c r="D17" s="63">
        <f>B17-C17</f>
        <v>6</v>
      </c>
      <c r="E17" s="64">
        <v>235</v>
      </c>
      <c r="F17" s="79">
        <f t="shared" si="14"/>
        <v>-21</v>
      </c>
      <c r="G17" s="67">
        <f>B17/240</f>
        <v>0.89166666666666672</v>
      </c>
      <c r="H17" s="67">
        <f>C17/240</f>
        <v>0.8666666666666667</v>
      </c>
      <c r="I17" s="123">
        <f t="shared" si="17"/>
        <v>2.5000000000000022E-2</v>
      </c>
      <c r="J17" s="68">
        <f>E17/240</f>
        <v>0.97916666666666663</v>
      </c>
      <c r="K17" s="80">
        <f t="shared" si="16"/>
        <v>-8.7499999999999911E-2</v>
      </c>
      <c r="L17" s="65"/>
      <c r="M17" s="65" t="s">
        <v>31</v>
      </c>
      <c r="N17" s="65"/>
      <c r="O17" s="65"/>
      <c r="P17" s="65"/>
      <c r="Q17" s="65"/>
      <c r="R17" s="65"/>
      <c r="S17" s="65"/>
      <c r="T17" s="3"/>
      <c r="U17" s="3"/>
      <c r="V17" s="3"/>
    </row>
    <row r="18" spans="1:22" s="66" customFormat="1" ht="18" customHeight="1" x14ac:dyDescent="0.2">
      <c r="A18" s="48" t="s">
        <v>11</v>
      </c>
      <c r="B18" s="63">
        <v>153</v>
      </c>
      <c r="C18" s="63">
        <v>165</v>
      </c>
      <c r="D18" s="63">
        <f>B18-C18</f>
        <v>-12</v>
      </c>
      <c r="E18" s="64">
        <v>215</v>
      </c>
      <c r="F18" s="79">
        <f t="shared" si="14"/>
        <v>-62</v>
      </c>
      <c r="G18" s="67">
        <f>B18/248</f>
        <v>0.61693548387096775</v>
      </c>
      <c r="H18" s="67">
        <f>C18/248</f>
        <v>0.66532258064516125</v>
      </c>
      <c r="I18" s="123">
        <f t="shared" si="17"/>
        <v>-4.8387096774193505E-2</v>
      </c>
      <c r="J18" s="68">
        <f>E18/248</f>
        <v>0.86693548387096775</v>
      </c>
      <c r="K18" s="80">
        <f t="shared" si="16"/>
        <v>-0.25</v>
      </c>
      <c r="L18" s="65"/>
      <c r="M18" s="65"/>
      <c r="N18" s="65"/>
      <c r="O18" s="65"/>
      <c r="P18" s="65"/>
      <c r="Q18" s="65"/>
      <c r="R18" s="65"/>
      <c r="S18" s="65"/>
      <c r="T18" s="3"/>
      <c r="U18" s="3"/>
      <c r="V18" s="3"/>
    </row>
    <row r="19" spans="1:22" s="66" customFormat="1" ht="18" customHeight="1" thickBot="1" x14ac:dyDescent="0.25">
      <c r="A19" s="49">
        <v>46388</v>
      </c>
      <c r="B19" s="63">
        <v>185</v>
      </c>
      <c r="C19" s="63">
        <v>177</v>
      </c>
      <c r="D19" s="63">
        <f>B19-C19</f>
        <v>8</v>
      </c>
      <c r="E19" s="64">
        <v>244</v>
      </c>
      <c r="F19" s="79">
        <f t="shared" ref="F19" si="20">B19-E19</f>
        <v>-59</v>
      </c>
      <c r="G19" s="69">
        <f>B19/248</f>
        <v>0.74596774193548387</v>
      </c>
      <c r="H19" s="69">
        <f>C19/248</f>
        <v>0.71370967741935487</v>
      </c>
      <c r="I19" s="121">
        <f t="shared" si="17"/>
        <v>3.2258064516129004E-2</v>
      </c>
      <c r="J19" s="70">
        <f>E19/248</f>
        <v>0.9838709677419355</v>
      </c>
      <c r="K19" s="81">
        <f t="shared" ref="K19" si="21">G19-J19</f>
        <v>-0.23790322580645162</v>
      </c>
      <c r="L19" s="65"/>
      <c r="M19" s="65"/>
      <c r="N19" s="65"/>
      <c r="O19" s="65"/>
      <c r="P19" s="65"/>
      <c r="Q19" s="65"/>
      <c r="R19" s="65"/>
      <c r="S19" s="65"/>
      <c r="T19" s="3"/>
      <c r="U19" s="3"/>
      <c r="V19" s="3"/>
    </row>
    <row r="20" spans="1:22" ht="25" customHeight="1" thickBot="1" x14ac:dyDescent="0.25">
      <c r="A20" s="126" t="s">
        <v>6</v>
      </c>
      <c r="B20" s="127"/>
      <c r="C20" s="127"/>
      <c r="D20" s="127"/>
      <c r="E20" s="127"/>
      <c r="F20" s="127"/>
      <c r="G20" s="128"/>
      <c r="Q20" s="65"/>
      <c r="R20" s="65"/>
      <c r="S20" s="65"/>
      <c r="T20" s="3"/>
      <c r="U20" s="3"/>
      <c r="V20" s="3"/>
    </row>
    <row r="21" spans="1:22" s="66" customFormat="1" ht="32" customHeight="1" x14ac:dyDescent="0.2">
      <c r="A21" s="53"/>
      <c r="B21" s="53" t="s">
        <v>47</v>
      </c>
      <c r="C21" s="53" t="s">
        <v>45</v>
      </c>
      <c r="D21" s="53" t="s">
        <v>0</v>
      </c>
      <c r="E21" s="54" t="s">
        <v>1</v>
      </c>
      <c r="F21" s="124" t="s">
        <v>8</v>
      </c>
      <c r="G21" s="125"/>
      <c r="H21" s="71"/>
      <c r="I21" s="71"/>
      <c r="J21" s="71"/>
      <c r="K21" s="71"/>
      <c r="L21" s="65"/>
      <c r="M21" s="65"/>
      <c r="N21" s="65"/>
    </row>
    <row r="22" spans="1:22" s="66" customFormat="1" ht="18" customHeight="1" x14ac:dyDescent="0.2">
      <c r="A22" s="48" t="s">
        <v>14</v>
      </c>
      <c r="B22" s="51">
        <f t="shared" ref="B22:C28" si="22">B3/B13</f>
        <v>2857.5639999999999</v>
      </c>
      <c r="C22" s="51">
        <f t="shared" si="22"/>
        <v>2857.5639999999999</v>
      </c>
      <c r="D22" s="51">
        <f t="shared" ref="D22:D26" si="23">B22-C22</f>
        <v>0</v>
      </c>
      <c r="E22" s="72">
        <f t="shared" ref="E22" si="24">E3/E13</f>
        <v>2411.2133333333331</v>
      </c>
      <c r="F22" s="72">
        <f t="shared" ref="F22:F28" si="25">B22-E22</f>
        <v>446.35066666666671</v>
      </c>
      <c r="G22" s="98">
        <f t="shared" ref="G22:G28" si="26">(B22-E22)/E22</f>
        <v>0.18511454813897293</v>
      </c>
      <c r="H22" s="7"/>
      <c r="I22" s="71"/>
      <c r="J22" s="71"/>
      <c r="K22" s="71"/>
      <c r="L22" s="65"/>
      <c r="M22" s="65"/>
      <c r="N22" s="65"/>
    </row>
    <row r="23" spans="1:22" s="66" customFormat="1" ht="18" customHeight="1" x14ac:dyDescent="0.2">
      <c r="A23" s="48" t="s">
        <v>3</v>
      </c>
      <c r="B23" s="51">
        <f t="shared" si="22"/>
        <v>2704.3313402061858</v>
      </c>
      <c r="C23" s="51">
        <f t="shared" si="22"/>
        <v>2669.9173626373627</v>
      </c>
      <c r="D23" s="51">
        <f t="shared" si="23"/>
        <v>34.413977568823157</v>
      </c>
      <c r="E23" s="72">
        <f t="shared" ref="E23:E28" si="27">E4/E14</f>
        <v>2423.3272727272729</v>
      </c>
      <c r="F23" s="72">
        <f t="shared" si="25"/>
        <v>281.00406747891293</v>
      </c>
      <c r="G23" s="98">
        <f t="shared" si="26"/>
        <v>0.1159579519619172</v>
      </c>
      <c r="H23" s="7"/>
      <c r="I23" s="71"/>
      <c r="J23" s="71"/>
      <c r="K23" s="71"/>
      <c r="L23" s="65"/>
      <c r="M23" s="65"/>
      <c r="N23" s="65"/>
    </row>
    <row r="24" spans="1:22" s="66" customFormat="1" ht="18" customHeight="1" x14ac:dyDescent="0.2">
      <c r="A24" s="48" t="s">
        <v>4</v>
      </c>
      <c r="B24" s="51">
        <f t="shared" si="22"/>
        <v>3535.5845454545461</v>
      </c>
      <c r="C24" s="51">
        <f t="shared" si="22"/>
        <v>2857.8580000000002</v>
      </c>
      <c r="D24" s="51">
        <f t="shared" si="23"/>
        <v>677.72654545454589</v>
      </c>
      <c r="E24" s="72">
        <f t="shared" si="27"/>
        <v>2912.6998245614036</v>
      </c>
      <c r="F24" s="72">
        <f t="shared" si="25"/>
        <v>622.88472089314246</v>
      </c>
      <c r="G24" s="98">
        <f t="shared" si="26"/>
        <v>0.21385132640193599</v>
      </c>
      <c r="H24" s="7"/>
      <c r="I24" s="71"/>
      <c r="J24" s="71"/>
      <c r="K24" s="71"/>
      <c r="L24" s="65"/>
      <c r="M24" s="65"/>
      <c r="N24" s="65"/>
    </row>
    <row r="25" spans="1:22" s="66" customFormat="1" ht="18" customHeight="1" x14ac:dyDescent="0.2">
      <c r="A25" s="48" t="s">
        <v>13</v>
      </c>
      <c r="B25" s="51">
        <f t="shared" si="22"/>
        <v>3189.2738805970152</v>
      </c>
      <c r="C25" s="51">
        <f t="shared" si="22"/>
        <v>3169.2566826923075</v>
      </c>
      <c r="D25" s="51">
        <f t="shared" si="23"/>
        <v>20.0171979047077</v>
      </c>
      <c r="E25" s="72">
        <f t="shared" si="27"/>
        <v>3191.6173239436621</v>
      </c>
      <c r="F25" s="72">
        <f t="shared" si="25"/>
        <v>-2.3434433466468363</v>
      </c>
      <c r="G25" s="98">
        <f t="shared" si="26"/>
        <v>-7.3424947567059967E-4</v>
      </c>
      <c r="H25" s="7"/>
      <c r="I25" s="71"/>
      <c r="J25" s="71"/>
      <c r="K25" s="71"/>
      <c r="L25" s="65"/>
      <c r="M25" s="65"/>
      <c r="N25" s="65"/>
    </row>
    <row r="26" spans="1:22" s="66" customFormat="1" ht="18" customHeight="1" x14ac:dyDescent="0.2">
      <c r="A26" s="48" t="s">
        <v>12</v>
      </c>
      <c r="B26" s="51">
        <f t="shared" si="22"/>
        <v>3261.1759813084109</v>
      </c>
      <c r="C26" s="51">
        <f t="shared" si="22"/>
        <v>3233.5413461538456</v>
      </c>
      <c r="D26" s="51">
        <f t="shared" si="23"/>
        <v>27.634635154565331</v>
      </c>
      <c r="E26" s="72">
        <f t="shared" si="27"/>
        <v>3151.8893617021276</v>
      </c>
      <c r="F26" s="72">
        <f t="shared" si="25"/>
        <v>109.28661960628324</v>
      </c>
      <c r="G26" s="98">
        <f t="shared" si="26"/>
        <v>3.4673367959611609E-2</v>
      </c>
      <c r="H26" s="7"/>
      <c r="I26" s="71"/>
      <c r="J26" s="71"/>
      <c r="K26" s="71"/>
      <c r="L26" s="65"/>
      <c r="M26" s="65"/>
      <c r="N26" s="65"/>
    </row>
    <row r="27" spans="1:22" s="66" customFormat="1" ht="18" customHeight="1" x14ac:dyDescent="0.2">
      <c r="A27" s="48" t="s">
        <v>11</v>
      </c>
      <c r="B27" s="51">
        <f t="shared" si="22"/>
        <v>3226.0278431372549</v>
      </c>
      <c r="C27" s="51">
        <f t="shared" si="22"/>
        <v>3207.6209696969695</v>
      </c>
      <c r="D27" s="51">
        <f t="shared" ref="D27" si="28">B27-C27</f>
        <v>18.406873440285381</v>
      </c>
      <c r="E27" s="72">
        <f t="shared" si="27"/>
        <v>3502.9928372093027</v>
      </c>
      <c r="F27" s="72">
        <f t="shared" ref="F27" si="29">B27-E27</f>
        <v>-276.96499407204783</v>
      </c>
      <c r="G27" s="98">
        <f t="shared" ref="G27" si="30">(B27-E27)/E27</f>
        <v>-7.9065247045350798E-2</v>
      </c>
      <c r="H27" s="7"/>
      <c r="I27" s="71"/>
      <c r="J27" s="71"/>
      <c r="K27" s="71"/>
      <c r="L27" s="65"/>
      <c r="M27" s="65"/>
      <c r="N27" s="65"/>
    </row>
    <row r="28" spans="1:22" s="66" customFormat="1" ht="18" customHeight="1" x14ac:dyDescent="0.2">
      <c r="A28" s="49">
        <v>46388</v>
      </c>
      <c r="B28" s="82">
        <f t="shared" si="22"/>
        <v>3156.2197837837834</v>
      </c>
      <c r="C28" s="82">
        <f t="shared" si="22"/>
        <v>3103.4500564971745</v>
      </c>
      <c r="D28" s="82">
        <f>B28-C28</f>
        <v>52.769727286608941</v>
      </c>
      <c r="E28" s="74">
        <f t="shared" si="27"/>
        <v>3410.1942622950814</v>
      </c>
      <c r="F28" s="74">
        <f t="shared" si="25"/>
        <v>-253.974478511298</v>
      </c>
      <c r="G28" s="99">
        <f t="shared" si="26"/>
        <v>-7.4475076484461514E-2</v>
      </c>
      <c r="H28" s="7"/>
      <c r="I28" s="71"/>
      <c r="J28" s="71"/>
      <c r="K28" s="71"/>
      <c r="L28" s="65"/>
      <c r="M28" s="65"/>
      <c r="N28" s="65"/>
    </row>
    <row r="52" spans="2:3" x14ac:dyDescent="0.2">
      <c r="B52" s="104"/>
      <c r="C52" s="104"/>
    </row>
    <row r="53" spans="2:3" x14ac:dyDescent="0.2">
      <c r="B53" s="106"/>
      <c r="C53" s="106"/>
    </row>
  </sheetData>
  <mergeCells count="5">
    <mergeCell ref="F21:G21"/>
    <mergeCell ref="A11:F11"/>
    <mergeCell ref="G11:K11"/>
    <mergeCell ref="A1:K1"/>
    <mergeCell ref="A20:G20"/>
  </mergeCells>
  <conditionalFormatting sqref="D1 F1 I1 K1 H3:K8 D3:D11 F3:F11 H9:H10 J9:J10 I9:I11 K9:K11 D13:D20 F13:F20 I13:I20 K13:K20 F22:G27 D22:D1048576 I22:I1048576 K22:K1048576 G28 F28:F1048576">
    <cfRule type="cellIs" dxfId="11" priority="1" operator="lessThan">
      <formula>-0.0009</formula>
    </cfRule>
    <cfRule type="cellIs" dxfId="10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H20:I20 I13:I14 G19 E28:G28 D22:G26 G15:J17 J1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sheetPr>
    <pageSetUpPr fitToPage="1"/>
  </sheetPr>
  <dimension ref="A1:M55"/>
  <sheetViews>
    <sheetView zoomScaleNormal="100" workbookViewId="0">
      <selection activeCell="B11" sqref="B11"/>
    </sheetView>
  </sheetViews>
  <sheetFormatPr baseColWidth="10" defaultRowHeight="16" x14ac:dyDescent="0.2"/>
  <cols>
    <col min="1" max="1" width="8.83203125" customWidth="1"/>
    <col min="9" max="9" width="0" hidden="1" customWidth="1"/>
  </cols>
  <sheetData>
    <row r="1" spans="1:12" ht="28" customHeight="1" thickBot="1" x14ac:dyDescent="0.25">
      <c r="A1" s="129" t="s">
        <v>32</v>
      </c>
      <c r="B1" s="130"/>
      <c r="C1" s="130"/>
      <c r="D1" s="130"/>
      <c r="E1" s="130"/>
      <c r="F1" s="130"/>
      <c r="G1" s="131"/>
      <c r="H1" s="1"/>
      <c r="I1" s="65"/>
      <c r="J1" s="65"/>
      <c r="K1" s="65"/>
      <c r="L1" s="65"/>
    </row>
    <row r="2" spans="1:12" s="5" customFormat="1" ht="32" customHeight="1" x14ac:dyDescent="0.2">
      <c r="A2" s="53"/>
      <c r="B2" s="53">
        <v>2025</v>
      </c>
      <c r="C2" s="54">
        <v>2024</v>
      </c>
      <c r="D2" s="132" t="s">
        <v>25</v>
      </c>
      <c r="E2" s="133"/>
      <c r="F2" s="4"/>
      <c r="G2" s="4"/>
    </row>
    <row r="3" spans="1:12" s="3" customFormat="1" ht="18" customHeight="1" x14ac:dyDescent="0.2">
      <c r="A3" s="48" t="s">
        <v>18</v>
      </c>
      <c r="B3" s="51">
        <v>662217.29</v>
      </c>
      <c r="C3" s="58">
        <v>619598.85</v>
      </c>
      <c r="D3" s="72">
        <f t="shared" ref="D3:D15" si="0">B3-C3</f>
        <v>42618.440000000061</v>
      </c>
      <c r="E3" s="96">
        <f t="shared" ref="E3:E14" si="1">(B3-C3)/C3</f>
        <v>6.8783923662866814E-2</v>
      </c>
      <c r="F3" s="6"/>
      <c r="G3" s="2"/>
    </row>
    <row r="4" spans="1:12" s="3" customFormat="1" ht="18" customHeight="1" x14ac:dyDescent="0.2">
      <c r="A4" s="48" t="s">
        <v>17</v>
      </c>
      <c r="B4" s="51">
        <v>476767.51</v>
      </c>
      <c r="C4" s="58">
        <v>442295.31</v>
      </c>
      <c r="D4" s="72">
        <f t="shared" si="0"/>
        <v>34472.200000000012</v>
      </c>
      <c r="E4" s="96">
        <f t="shared" si="1"/>
        <v>7.7939329720679185E-2</v>
      </c>
      <c r="F4" s="6"/>
      <c r="G4" s="2"/>
    </row>
    <row r="5" spans="1:12" s="3" customFormat="1" ht="18" customHeight="1" x14ac:dyDescent="0.2">
      <c r="A5" s="48" t="s">
        <v>16</v>
      </c>
      <c r="B5" s="51">
        <v>241812.71</v>
      </c>
      <c r="C5" s="58">
        <v>254077.38</v>
      </c>
      <c r="D5" s="72">
        <f t="shared" si="0"/>
        <v>-12264.670000000013</v>
      </c>
      <c r="E5" s="96">
        <f t="shared" si="1"/>
        <v>-4.8271396690252447E-2</v>
      </c>
      <c r="F5" s="6"/>
      <c r="G5" s="2"/>
    </row>
    <row r="6" spans="1:12" s="3" customFormat="1" ht="18" customHeight="1" x14ac:dyDescent="0.2">
      <c r="A6" s="48" t="s">
        <v>15</v>
      </c>
      <c r="B6" s="51">
        <v>11579.93</v>
      </c>
      <c r="C6" s="58">
        <v>30983.16</v>
      </c>
      <c r="D6" s="72">
        <f t="shared" si="0"/>
        <v>-19403.23</v>
      </c>
      <c r="E6" s="96">
        <f t="shared" si="1"/>
        <v>-0.6262508407793137</v>
      </c>
      <c r="F6" s="6"/>
      <c r="G6" s="2"/>
    </row>
    <row r="7" spans="1:12" s="3" customFormat="1" ht="18" customHeight="1" x14ac:dyDescent="0.2">
      <c r="A7" s="48" t="s">
        <v>14</v>
      </c>
      <c r="B7" s="51">
        <v>180841.26</v>
      </c>
      <c r="C7" s="58">
        <v>245721.47</v>
      </c>
      <c r="D7" s="72">
        <f t="shared" si="0"/>
        <v>-64880.209999999992</v>
      </c>
      <c r="E7" s="96">
        <f t="shared" si="1"/>
        <v>-0.26403964618964715</v>
      </c>
      <c r="F7" s="6"/>
      <c r="G7" s="2"/>
    </row>
    <row r="8" spans="1:12" s="3" customFormat="1" ht="18" customHeight="1" x14ac:dyDescent="0.2">
      <c r="A8" s="48" t="s">
        <v>3</v>
      </c>
      <c r="B8" s="51">
        <v>266566.13</v>
      </c>
      <c r="C8" s="58">
        <v>287573.81</v>
      </c>
      <c r="D8" s="72">
        <f t="shared" si="0"/>
        <v>-21007.679999999993</v>
      </c>
      <c r="E8" s="96">
        <f t="shared" si="1"/>
        <v>-7.3051436777222492E-2</v>
      </c>
      <c r="F8" s="6"/>
      <c r="G8" s="2"/>
    </row>
    <row r="9" spans="1:12" s="3" customFormat="1" ht="18" customHeight="1" x14ac:dyDescent="0.2">
      <c r="A9" s="48" t="s">
        <v>26</v>
      </c>
      <c r="B9" s="51">
        <v>332047.78000000003</v>
      </c>
      <c r="C9" s="58">
        <v>308999.11</v>
      </c>
      <c r="D9" s="72">
        <f t="shared" si="0"/>
        <v>23048.670000000042</v>
      </c>
      <c r="E9" s="96">
        <f t="shared" si="1"/>
        <v>7.4591379891029597E-2</v>
      </c>
      <c r="F9" s="6"/>
      <c r="G9" s="2"/>
    </row>
    <row r="10" spans="1:12" s="3" customFormat="1" ht="18" customHeight="1" x14ac:dyDescent="0.2">
      <c r="A10" s="48" t="s">
        <v>13</v>
      </c>
      <c r="B10" s="51">
        <v>679814.49</v>
      </c>
      <c r="C10" s="58">
        <v>530289.28</v>
      </c>
      <c r="D10" s="72">
        <f t="shared" si="0"/>
        <v>149525.20999999996</v>
      </c>
      <c r="E10" s="96">
        <f t="shared" si="1"/>
        <v>0.28196913578943167</v>
      </c>
      <c r="F10" s="6"/>
      <c r="G10" s="2"/>
    </row>
    <row r="11" spans="1:12" s="3" customFormat="1" ht="18" customHeight="1" x14ac:dyDescent="0.2">
      <c r="A11" s="48" t="s">
        <v>12</v>
      </c>
      <c r="B11" s="51">
        <v>740694.11</v>
      </c>
      <c r="C11" s="58">
        <v>632104.85</v>
      </c>
      <c r="D11" s="72">
        <f t="shared" si="0"/>
        <v>108589.26000000001</v>
      </c>
      <c r="E11" s="96">
        <f t="shared" si="1"/>
        <v>0.17178994908835143</v>
      </c>
      <c r="F11" s="6"/>
      <c r="G11" s="2"/>
    </row>
    <row r="12" spans="1:12" s="3" customFormat="1" ht="18" customHeight="1" x14ac:dyDescent="0.2">
      <c r="A12" s="48" t="s">
        <v>11</v>
      </c>
      <c r="B12" s="51">
        <v>753143.46</v>
      </c>
      <c r="C12" s="58">
        <v>605792.54</v>
      </c>
      <c r="D12" s="72">
        <f t="shared" ref="D12:D13" si="2">B12-C12</f>
        <v>147350.91999999993</v>
      </c>
      <c r="E12" s="96">
        <f t="shared" ref="E12:E13" si="3">(B12-C12)/C12</f>
        <v>0.24323660373896303</v>
      </c>
      <c r="F12" s="6"/>
      <c r="G12" s="2"/>
    </row>
    <row r="13" spans="1:12" s="3" customFormat="1" ht="18" customHeight="1" x14ac:dyDescent="0.2">
      <c r="A13" s="48" t="s">
        <v>20</v>
      </c>
      <c r="B13" s="51">
        <v>832087.4</v>
      </c>
      <c r="C13" s="58">
        <v>727523.66</v>
      </c>
      <c r="D13" s="72">
        <f t="shared" si="2"/>
        <v>104563.73999999999</v>
      </c>
      <c r="E13" s="96">
        <f t="shared" si="3"/>
        <v>0.14372555251330243</v>
      </c>
      <c r="F13" s="6"/>
      <c r="G13" s="2"/>
    </row>
    <row r="14" spans="1:12" s="3" customFormat="1" ht="18" customHeight="1" x14ac:dyDescent="0.2">
      <c r="A14" s="48" t="s">
        <v>19</v>
      </c>
      <c r="B14" s="51">
        <v>750325.23</v>
      </c>
      <c r="C14" s="58">
        <v>662483.93000000005</v>
      </c>
      <c r="D14" s="72">
        <f t="shared" si="0"/>
        <v>87841.29999999993</v>
      </c>
      <c r="E14" s="96">
        <f t="shared" si="1"/>
        <v>0.13259385778610497</v>
      </c>
      <c r="F14" s="6"/>
      <c r="G14" s="2"/>
    </row>
    <row r="15" spans="1:12" s="3" customFormat="1" ht="18" customHeight="1" thickBot="1" x14ac:dyDescent="0.25">
      <c r="A15" s="50" t="s">
        <v>9</v>
      </c>
      <c r="B15" s="60">
        <f>SUM(B3:B14)</f>
        <v>5927897.3000000007</v>
      </c>
      <c r="C15" s="61">
        <f>SUM(C3:C14)</f>
        <v>5347443.3499999996</v>
      </c>
      <c r="D15" s="95">
        <f t="shared" si="0"/>
        <v>580453.95000000112</v>
      </c>
      <c r="E15" s="97">
        <f>(B15-C15)/C15</f>
        <v>0.10854793814692794</v>
      </c>
      <c r="F15" s="6"/>
      <c r="G15" s="2"/>
      <c r="H15" s="65"/>
      <c r="I15" s="65"/>
      <c r="J15" s="65"/>
    </row>
    <row r="16" spans="1:12" ht="25" customHeight="1" thickBot="1" x14ac:dyDescent="0.25">
      <c r="A16" s="126" t="s">
        <v>5</v>
      </c>
      <c r="B16" s="127"/>
      <c r="C16" s="127"/>
      <c r="D16" s="128"/>
      <c r="E16" s="126" t="s">
        <v>7</v>
      </c>
      <c r="F16" s="127"/>
      <c r="G16" s="128"/>
      <c r="H16" s="1"/>
      <c r="I16" s="1"/>
      <c r="J16" s="1"/>
      <c r="K16" s="1"/>
      <c r="L16" s="1"/>
    </row>
    <row r="17" spans="1:13" s="66" customFormat="1" ht="32" customHeight="1" x14ac:dyDescent="0.2">
      <c r="A17" s="52"/>
      <c r="B17" s="53">
        <v>2025</v>
      </c>
      <c r="C17" s="54">
        <v>2024</v>
      </c>
      <c r="D17" s="83" t="s">
        <v>25</v>
      </c>
      <c r="E17" s="53">
        <v>2025</v>
      </c>
      <c r="F17" s="54">
        <v>2024</v>
      </c>
      <c r="G17" s="55" t="s">
        <v>25</v>
      </c>
      <c r="H17" s="65"/>
      <c r="I17" s="65"/>
      <c r="J17" s="65"/>
      <c r="K17" s="65"/>
      <c r="L17" s="65"/>
      <c r="M17" s="65"/>
    </row>
    <row r="18" spans="1:13" s="66" customFormat="1" ht="18" customHeight="1" x14ac:dyDescent="0.2">
      <c r="A18" s="48" t="s">
        <v>18</v>
      </c>
      <c r="B18" s="63">
        <v>214</v>
      </c>
      <c r="C18" s="64">
        <v>215</v>
      </c>
      <c r="D18" s="79">
        <f>B18-C18</f>
        <v>-1</v>
      </c>
      <c r="E18" s="84">
        <f>B18/248</f>
        <v>0.86290322580645162</v>
      </c>
      <c r="F18" s="100">
        <f>C18/248</f>
        <v>0.86693548387096775</v>
      </c>
      <c r="G18" s="98">
        <f t="shared" ref="G18:G26" si="4">E18-F18</f>
        <v>-4.0322580645161255E-3</v>
      </c>
      <c r="I18" s="65" t="s">
        <v>29</v>
      </c>
      <c r="J18" s="65"/>
      <c r="K18" s="65"/>
      <c r="L18" s="65"/>
      <c r="M18" s="65"/>
    </row>
    <row r="19" spans="1:13" s="66" customFormat="1" ht="18" customHeight="1" x14ac:dyDescent="0.2">
      <c r="A19" s="48" t="s">
        <v>17</v>
      </c>
      <c r="B19" s="63">
        <v>155</v>
      </c>
      <c r="C19" s="64">
        <v>156</v>
      </c>
      <c r="D19" s="79">
        <f>B19-C19</f>
        <v>-1</v>
      </c>
      <c r="E19" s="84">
        <f>B19/240</f>
        <v>0.64583333333333337</v>
      </c>
      <c r="F19" s="100">
        <f>C19/240</f>
        <v>0.65</v>
      </c>
      <c r="G19" s="98">
        <f t="shared" si="4"/>
        <v>-4.1666666666666519E-3</v>
      </c>
      <c r="I19" s="65" t="s">
        <v>30</v>
      </c>
      <c r="J19" s="65"/>
      <c r="K19" s="65"/>
      <c r="L19" s="65"/>
      <c r="M19" s="65"/>
    </row>
    <row r="20" spans="1:13" s="66" customFormat="1" ht="18" customHeight="1" x14ac:dyDescent="0.2">
      <c r="A20" s="48" t="s">
        <v>16</v>
      </c>
      <c r="B20" s="63">
        <v>97</v>
      </c>
      <c r="C20" s="64">
        <v>125</v>
      </c>
      <c r="D20" s="79">
        <f t="shared" ref="D20:D30" si="5">B20-C20</f>
        <v>-28</v>
      </c>
      <c r="E20" s="84">
        <f>B20/248</f>
        <v>0.3911290322580645</v>
      </c>
      <c r="F20" s="100">
        <f>C20/248</f>
        <v>0.50403225806451613</v>
      </c>
      <c r="G20" s="98">
        <f t="shared" si="4"/>
        <v>-0.11290322580645162</v>
      </c>
      <c r="I20" s="65" t="s">
        <v>31</v>
      </c>
      <c r="J20" s="65"/>
      <c r="K20" s="65"/>
      <c r="L20" s="65"/>
      <c r="M20" s="65"/>
    </row>
    <row r="21" spans="1:13" s="66" customFormat="1" ht="18" customHeight="1" x14ac:dyDescent="0.2">
      <c r="A21" s="48" t="s">
        <v>15</v>
      </c>
      <c r="B21" s="63">
        <v>5</v>
      </c>
      <c r="C21" s="64">
        <v>16</v>
      </c>
      <c r="D21" s="79">
        <f t="shared" si="5"/>
        <v>-11</v>
      </c>
      <c r="E21" s="84">
        <f>B21/240</f>
        <v>2.0833333333333332E-2</v>
      </c>
      <c r="F21" s="100">
        <f>C21/240</f>
        <v>6.6666666666666666E-2</v>
      </c>
      <c r="G21" s="98">
        <f t="shared" si="4"/>
        <v>-4.5833333333333337E-2</v>
      </c>
      <c r="H21" s="65"/>
      <c r="I21" s="65"/>
      <c r="J21" s="65"/>
      <c r="K21" s="65"/>
      <c r="L21" s="65"/>
      <c r="M21" s="65"/>
    </row>
    <row r="22" spans="1:13" s="66" customFormat="1" ht="18" customHeight="1" x14ac:dyDescent="0.2">
      <c r="A22" s="48" t="s">
        <v>14</v>
      </c>
      <c r="B22" s="63">
        <v>75</v>
      </c>
      <c r="C22" s="64">
        <v>114</v>
      </c>
      <c r="D22" s="79">
        <f t="shared" si="5"/>
        <v>-39</v>
      </c>
      <c r="E22" s="84">
        <f>B22/248</f>
        <v>0.30241935483870969</v>
      </c>
      <c r="F22" s="100">
        <f>C22/248</f>
        <v>0.45967741935483869</v>
      </c>
      <c r="G22" s="98">
        <f t="shared" si="4"/>
        <v>-0.157258064516129</v>
      </c>
      <c r="H22" s="65"/>
      <c r="I22" s="7"/>
      <c r="J22" s="65"/>
      <c r="K22" s="65"/>
      <c r="L22" s="65"/>
      <c r="M22" s="65"/>
    </row>
    <row r="23" spans="1:13" s="66" customFormat="1" ht="18" customHeight="1" x14ac:dyDescent="0.2">
      <c r="A23" s="48" t="s">
        <v>3</v>
      </c>
      <c r="B23" s="63">
        <v>110</v>
      </c>
      <c r="C23" s="64">
        <v>139</v>
      </c>
      <c r="D23" s="79">
        <f t="shared" si="5"/>
        <v>-29</v>
      </c>
      <c r="E23" s="84">
        <f>B23/248</f>
        <v>0.44354838709677419</v>
      </c>
      <c r="F23" s="100">
        <f>C23/248</f>
        <v>0.56048387096774188</v>
      </c>
      <c r="G23" s="98">
        <f t="shared" si="4"/>
        <v>-0.11693548387096769</v>
      </c>
      <c r="H23" s="65"/>
      <c r="I23" s="7"/>
      <c r="J23" s="65"/>
      <c r="K23" s="65"/>
      <c r="L23" s="65"/>
      <c r="M23" s="65"/>
    </row>
    <row r="24" spans="1:13" s="66" customFormat="1" ht="18" customHeight="1" x14ac:dyDescent="0.2">
      <c r="A24" s="48" t="s">
        <v>26</v>
      </c>
      <c r="B24" s="63">
        <v>114</v>
      </c>
      <c r="C24" s="64">
        <v>133</v>
      </c>
      <c r="D24" s="79">
        <f t="shared" si="5"/>
        <v>-19</v>
      </c>
      <c r="E24" s="84">
        <f>B24/240</f>
        <v>0.47499999999999998</v>
      </c>
      <c r="F24" s="100">
        <f>C24/240</f>
        <v>0.5541666666666667</v>
      </c>
      <c r="G24" s="98">
        <f t="shared" si="4"/>
        <v>-7.9166666666666718E-2</v>
      </c>
      <c r="H24" s="65"/>
      <c r="I24" s="7"/>
      <c r="J24" s="65"/>
      <c r="K24" s="65"/>
      <c r="L24" s="65"/>
      <c r="M24" s="65"/>
    </row>
    <row r="25" spans="1:13" s="66" customFormat="1" ht="18" customHeight="1" x14ac:dyDescent="0.2">
      <c r="A25" s="48" t="s">
        <v>13</v>
      </c>
      <c r="B25" s="63">
        <v>213</v>
      </c>
      <c r="C25" s="64">
        <v>182</v>
      </c>
      <c r="D25" s="79">
        <f t="shared" si="5"/>
        <v>31</v>
      </c>
      <c r="E25" s="84">
        <f>B25/248</f>
        <v>0.8588709677419355</v>
      </c>
      <c r="F25" s="100">
        <f>C25/248</f>
        <v>0.7338709677419355</v>
      </c>
      <c r="G25" s="98">
        <f t="shared" si="4"/>
        <v>0.125</v>
      </c>
      <c r="H25" s="65"/>
      <c r="I25" s="7"/>
      <c r="J25" s="65"/>
      <c r="K25" s="65"/>
      <c r="L25" s="65"/>
      <c r="M25" s="65"/>
    </row>
    <row r="26" spans="1:13" s="66" customFormat="1" ht="18" customHeight="1" x14ac:dyDescent="0.2">
      <c r="A26" s="48" t="s">
        <v>12</v>
      </c>
      <c r="B26" s="63">
        <v>235</v>
      </c>
      <c r="C26" s="64">
        <v>221</v>
      </c>
      <c r="D26" s="79">
        <f t="shared" si="5"/>
        <v>14</v>
      </c>
      <c r="E26" s="84">
        <f>B26/240</f>
        <v>0.97916666666666663</v>
      </c>
      <c r="F26" s="100">
        <f>C26/240</f>
        <v>0.92083333333333328</v>
      </c>
      <c r="G26" s="98">
        <f t="shared" si="4"/>
        <v>5.8333333333333348E-2</v>
      </c>
      <c r="H26" s="65"/>
      <c r="I26" s="7"/>
      <c r="J26" s="65"/>
      <c r="K26" s="65"/>
      <c r="L26" s="65"/>
      <c r="M26" s="65"/>
    </row>
    <row r="27" spans="1:13" s="66" customFormat="1" ht="18" customHeight="1" x14ac:dyDescent="0.2">
      <c r="A27" s="48" t="s">
        <v>11</v>
      </c>
      <c r="B27" s="63">
        <v>215</v>
      </c>
      <c r="C27" s="64">
        <v>195</v>
      </c>
      <c r="D27" s="79">
        <f t="shared" si="5"/>
        <v>20</v>
      </c>
      <c r="E27" s="84">
        <f t="shared" ref="E27:E28" si="6">B27/248</f>
        <v>0.86693548387096775</v>
      </c>
      <c r="F27" s="107">
        <f t="shared" ref="F27:F28" si="7">C27/248</f>
        <v>0.78629032258064513</v>
      </c>
      <c r="G27" s="98">
        <f t="shared" ref="G27:G28" si="8">E27-F27</f>
        <v>8.064516129032262E-2</v>
      </c>
      <c r="H27" s="65"/>
      <c r="I27" s="7"/>
      <c r="J27" s="65"/>
      <c r="K27" s="65"/>
      <c r="L27" s="65"/>
      <c r="M27" s="65"/>
    </row>
    <row r="28" spans="1:13" s="66" customFormat="1" ht="18" customHeight="1" x14ac:dyDescent="0.2">
      <c r="A28" s="48" t="s">
        <v>20</v>
      </c>
      <c r="B28" s="63">
        <v>244</v>
      </c>
      <c r="C28" s="64">
        <v>228</v>
      </c>
      <c r="D28" s="79">
        <f t="shared" si="5"/>
        <v>16</v>
      </c>
      <c r="E28" s="84">
        <f t="shared" si="6"/>
        <v>0.9838709677419355</v>
      </c>
      <c r="F28" s="107">
        <f t="shared" si="7"/>
        <v>0.91935483870967738</v>
      </c>
      <c r="G28" s="98">
        <f t="shared" si="8"/>
        <v>6.4516129032258118E-2</v>
      </c>
      <c r="H28" s="65"/>
      <c r="I28" s="7"/>
      <c r="J28" s="65"/>
      <c r="K28" s="65"/>
      <c r="L28" s="65"/>
      <c r="M28" s="65"/>
    </row>
    <row r="29" spans="1:13" s="66" customFormat="1" ht="18" customHeight="1" x14ac:dyDescent="0.2">
      <c r="A29" s="48" t="s">
        <v>19</v>
      </c>
      <c r="B29" s="63">
        <v>221</v>
      </c>
      <c r="C29" s="64">
        <v>211</v>
      </c>
      <c r="D29" s="79">
        <f t="shared" si="5"/>
        <v>10</v>
      </c>
      <c r="E29" s="84">
        <f>B29/232</f>
        <v>0.95258620689655171</v>
      </c>
      <c r="F29" s="107">
        <f>C29/232</f>
        <v>0.90948275862068961</v>
      </c>
      <c r="G29" s="98">
        <f>E29-F29</f>
        <v>4.31034482758621E-2</v>
      </c>
      <c r="H29" s="65"/>
      <c r="I29" s="7"/>
      <c r="J29" s="65"/>
      <c r="K29" s="65"/>
      <c r="L29" s="65"/>
      <c r="M29" s="65"/>
    </row>
    <row r="30" spans="1:13" s="112" customFormat="1" ht="18" customHeight="1" thickBot="1" x14ac:dyDescent="0.25">
      <c r="A30" s="115" t="s">
        <v>9</v>
      </c>
      <c r="B30" s="116">
        <f>SUM(B18:B29)</f>
        <v>1898</v>
      </c>
      <c r="C30" s="117">
        <f>SUM(C18:C29)</f>
        <v>1935</v>
      </c>
      <c r="D30" s="118">
        <f t="shared" si="5"/>
        <v>-37</v>
      </c>
      <c r="E30" s="119">
        <f>SUM(E18:E29)/12</f>
        <v>0.64859141329872694</v>
      </c>
      <c r="F30" s="113">
        <f>SUM(F18:F29)/12</f>
        <v>0.66098288221480661</v>
      </c>
      <c r="G30" s="114">
        <f>E30-F30</f>
        <v>-1.2391468916079673E-2</v>
      </c>
      <c r="H30" s="110"/>
      <c r="I30" s="111"/>
      <c r="J30" s="110"/>
      <c r="K30" s="110"/>
      <c r="L30" s="110"/>
      <c r="M30" s="110"/>
    </row>
    <row r="31" spans="1:13" ht="25" customHeight="1" thickBot="1" x14ac:dyDescent="0.25">
      <c r="A31" s="126" t="s">
        <v>6</v>
      </c>
      <c r="B31" s="127"/>
      <c r="C31" s="127"/>
      <c r="D31" s="127"/>
      <c r="E31" s="128"/>
      <c r="F31" s="7"/>
      <c r="G31" s="7"/>
      <c r="H31" s="1"/>
      <c r="I31" s="1"/>
    </row>
    <row r="32" spans="1:13" s="66" customFormat="1" ht="32" customHeight="1" x14ac:dyDescent="0.2">
      <c r="A32" s="53"/>
      <c r="B32" s="53">
        <v>2025</v>
      </c>
      <c r="C32" s="54">
        <v>2024</v>
      </c>
      <c r="D32" s="132" t="s">
        <v>25</v>
      </c>
      <c r="E32" s="133"/>
      <c r="F32" s="71"/>
      <c r="G32" s="71"/>
      <c r="H32" s="65"/>
      <c r="I32" s="65"/>
    </row>
    <row r="33" spans="1:9" s="66" customFormat="1" ht="17" customHeight="1" x14ac:dyDescent="0.2">
      <c r="A33" s="48" t="s">
        <v>18</v>
      </c>
      <c r="B33" s="51">
        <f t="shared" ref="B33:C41" si="9">B3/B18</f>
        <v>3094.4733177570097</v>
      </c>
      <c r="C33" s="72">
        <f t="shared" si="9"/>
        <v>2881.8551162790695</v>
      </c>
      <c r="D33" s="72">
        <f t="shared" ref="D33:D44" si="10">B33-C33</f>
        <v>212.61820147794015</v>
      </c>
      <c r="E33" s="98">
        <f t="shared" ref="E33:E44" si="11">(B33-C33)/C33</f>
        <v>7.3778241063160679E-2</v>
      </c>
      <c r="G33" s="71"/>
      <c r="H33" s="65"/>
      <c r="I33" s="65"/>
    </row>
    <row r="34" spans="1:9" s="66" customFormat="1" ht="17" customHeight="1" x14ac:dyDescent="0.2">
      <c r="A34" s="48" t="s">
        <v>17</v>
      </c>
      <c r="B34" s="51">
        <f t="shared" si="9"/>
        <v>3075.9194193548387</v>
      </c>
      <c r="C34" s="72">
        <f t="shared" si="9"/>
        <v>2835.226346153846</v>
      </c>
      <c r="D34" s="72">
        <f t="shared" si="10"/>
        <v>240.69307320099279</v>
      </c>
      <c r="E34" s="98">
        <f t="shared" si="11"/>
        <v>8.4893777009199756E-2</v>
      </c>
      <c r="G34" s="71"/>
      <c r="H34" s="65"/>
      <c r="I34" s="65"/>
    </row>
    <row r="35" spans="1:9" s="66" customFormat="1" ht="17" customHeight="1" x14ac:dyDescent="0.2">
      <c r="A35" s="48" t="s">
        <v>16</v>
      </c>
      <c r="B35" s="51">
        <f t="shared" si="9"/>
        <v>2492.9145360824741</v>
      </c>
      <c r="C35" s="72">
        <f t="shared" si="9"/>
        <v>2032.61904</v>
      </c>
      <c r="D35" s="72">
        <f t="shared" si="10"/>
        <v>460.29549608247407</v>
      </c>
      <c r="E35" s="98">
        <f t="shared" si="11"/>
        <v>0.22645438570843757</v>
      </c>
      <c r="G35" s="71"/>
      <c r="H35" s="65"/>
      <c r="I35" s="65"/>
    </row>
    <row r="36" spans="1:9" s="66" customFormat="1" ht="17" customHeight="1" x14ac:dyDescent="0.2">
      <c r="A36" s="48" t="s">
        <v>15</v>
      </c>
      <c r="B36" s="51">
        <f t="shared" si="9"/>
        <v>2315.9859999999999</v>
      </c>
      <c r="C36" s="72">
        <f t="shared" si="9"/>
        <v>1936.4475</v>
      </c>
      <c r="D36" s="72">
        <f t="shared" si="10"/>
        <v>379.53849999999989</v>
      </c>
      <c r="E36" s="98">
        <f t="shared" si="11"/>
        <v>0.1959973095061962</v>
      </c>
      <c r="G36" s="71"/>
      <c r="H36" s="65"/>
      <c r="I36" s="65"/>
    </row>
    <row r="37" spans="1:9" s="66" customFormat="1" ht="17" customHeight="1" x14ac:dyDescent="0.2">
      <c r="A37" s="48" t="s">
        <v>14</v>
      </c>
      <c r="B37" s="51">
        <f t="shared" si="9"/>
        <v>2411.2168000000001</v>
      </c>
      <c r="C37" s="72">
        <f t="shared" si="9"/>
        <v>2155.4514912280702</v>
      </c>
      <c r="D37" s="72">
        <f t="shared" si="10"/>
        <v>255.76530877192999</v>
      </c>
      <c r="E37" s="98">
        <f t="shared" si="11"/>
        <v>0.11865973779173639</v>
      </c>
      <c r="F37" s="7"/>
      <c r="G37" s="71"/>
      <c r="H37" s="65"/>
      <c r="I37" s="65"/>
    </row>
    <row r="38" spans="1:9" s="66" customFormat="1" ht="17" customHeight="1" x14ac:dyDescent="0.2">
      <c r="A38" s="48" t="s">
        <v>3</v>
      </c>
      <c r="B38" s="51">
        <f t="shared" si="9"/>
        <v>2423.3284545454544</v>
      </c>
      <c r="C38" s="72">
        <f t="shared" si="9"/>
        <v>2068.8763309352516</v>
      </c>
      <c r="D38" s="72">
        <f t="shared" si="10"/>
        <v>354.45212361020276</v>
      </c>
      <c r="E38" s="98">
        <f t="shared" si="11"/>
        <v>0.17132591170878247</v>
      </c>
      <c r="F38" s="7"/>
      <c r="G38" s="71"/>
      <c r="H38" s="65"/>
      <c r="I38" s="65"/>
    </row>
    <row r="39" spans="1:9" s="66" customFormat="1" ht="17" customHeight="1" x14ac:dyDescent="0.2">
      <c r="A39" s="48" t="s">
        <v>26</v>
      </c>
      <c r="B39" s="51">
        <f t="shared" si="9"/>
        <v>2912.6998245614036</v>
      </c>
      <c r="C39" s="72">
        <f t="shared" si="9"/>
        <v>2323.3015789473684</v>
      </c>
      <c r="D39" s="72">
        <f t="shared" si="10"/>
        <v>589.3982456140352</v>
      </c>
      <c r="E39" s="98">
        <f t="shared" si="11"/>
        <v>0.25368994320620109</v>
      </c>
      <c r="F39" s="7"/>
      <c r="G39" s="71"/>
      <c r="H39" s="65"/>
      <c r="I39" s="65"/>
    </row>
    <row r="40" spans="1:9" s="66" customFormat="1" ht="17" customHeight="1" x14ac:dyDescent="0.2">
      <c r="A40" s="48" t="s">
        <v>13</v>
      </c>
      <c r="B40" s="51">
        <f t="shared" si="9"/>
        <v>3191.6173239436621</v>
      </c>
      <c r="C40" s="72">
        <f t="shared" si="9"/>
        <v>2913.6773626373629</v>
      </c>
      <c r="D40" s="72">
        <f t="shared" si="10"/>
        <v>277.93996130629921</v>
      </c>
      <c r="E40" s="98">
        <f t="shared" si="11"/>
        <v>9.5391468139326613E-2</v>
      </c>
      <c r="F40" s="7"/>
      <c r="G40" s="71"/>
      <c r="H40" s="65"/>
      <c r="I40" s="65"/>
    </row>
    <row r="41" spans="1:9" s="66" customFormat="1" ht="17" customHeight="1" x14ac:dyDescent="0.2">
      <c r="A41" s="48" t="s">
        <v>12</v>
      </c>
      <c r="B41" s="51">
        <f t="shared" si="9"/>
        <v>3151.8898297872338</v>
      </c>
      <c r="C41" s="72">
        <f t="shared" si="9"/>
        <v>2860.2029411764706</v>
      </c>
      <c r="D41" s="72">
        <f t="shared" si="10"/>
        <v>291.68688861076316</v>
      </c>
      <c r="E41" s="98">
        <f t="shared" si="11"/>
        <v>0.10198118616393888</v>
      </c>
      <c r="F41" s="7"/>
      <c r="G41" s="71"/>
      <c r="H41" s="65"/>
      <c r="I41" s="65"/>
    </row>
    <row r="42" spans="1:9" s="66" customFormat="1" ht="17" customHeight="1" x14ac:dyDescent="0.2">
      <c r="A42" s="48" t="s">
        <v>11</v>
      </c>
      <c r="B42" s="51">
        <f t="shared" ref="B42:C42" si="12">B12/B27</f>
        <v>3502.9928372093023</v>
      </c>
      <c r="C42" s="72">
        <f t="shared" si="12"/>
        <v>3106.6284102564105</v>
      </c>
      <c r="D42" s="72">
        <f t="shared" ref="D42:D43" si="13">B42-C42</f>
        <v>396.36442695289179</v>
      </c>
      <c r="E42" s="98">
        <f t="shared" ref="E42:E43" si="14">(B42-C42)/C42</f>
        <v>0.12758668711208279</v>
      </c>
      <c r="G42" s="71"/>
      <c r="H42" s="65"/>
      <c r="I42" s="65"/>
    </row>
    <row r="43" spans="1:9" s="66" customFormat="1" ht="17" customHeight="1" x14ac:dyDescent="0.2">
      <c r="A43" s="48" t="s">
        <v>11</v>
      </c>
      <c r="B43" s="51">
        <f t="shared" ref="B43:C43" si="15">B13/B28</f>
        <v>3410.1942622950819</v>
      </c>
      <c r="C43" s="72">
        <f t="shared" si="15"/>
        <v>3190.8932456140351</v>
      </c>
      <c r="D43" s="72">
        <f t="shared" si="13"/>
        <v>219.3010166810468</v>
      </c>
      <c r="E43" s="98">
        <f t="shared" si="14"/>
        <v>6.8727155627184233E-2</v>
      </c>
      <c r="G43" s="71"/>
      <c r="H43" s="65"/>
      <c r="I43" s="65"/>
    </row>
    <row r="44" spans="1:9" s="66" customFormat="1" ht="17" customHeight="1" x14ac:dyDescent="0.2">
      <c r="A44" s="49" t="s">
        <v>11</v>
      </c>
      <c r="B44" s="82">
        <f>B14/B29</f>
        <v>3395.1367873303166</v>
      </c>
      <c r="C44" s="74">
        <f>C14/C29</f>
        <v>3139.7342654028439</v>
      </c>
      <c r="D44" s="74">
        <f t="shared" si="10"/>
        <v>255.40252192747266</v>
      </c>
      <c r="E44" s="99">
        <f t="shared" si="11"/>
        <v>8.1345266936054927E-2</v>
      </c>
      <c r="G44" s="71"/>
      <c r="H44" s="65"/>
      <c r="I44" s="65"/>
    </row>
    <row r="45" spans="1:9" x14ac:dyDescent="0.2">
      <c r="A45" s="108" t="s">
        <v>9</v>
      </c>
      <c r="B45" s="109">
        <f>SUM(B33:B44)/12</f>
        <v>2948.1974494055644</v>
      </c>
      <c r="C45" s="74">
        <f>SUM(C33:C44)/12</f>
        <v>2620.4094690525603</v>
      </c>
      <c r="D45" s="74">
        <f t="shared" ref="D45" si="16">B45-C45</f>
        <v>327.78798035300406</v>
      </c>
      <c r="E45" s="99">
        <f t="shared" ref="E45" si="17">(B45-C45)/C45</f>
        <v>0.12509036630504913</v>
      </c>
    </row>
    <row r="46" spans="1:9" hidden="1" x14ac:dyDescent="0.2">
      <c r="A46" s="101" t="s">
        <v>18</v>
      </c>
      <c r="B46" s="102">
        <v>1</v>
      </c>
      <c r="C46" t="s">
        <v>36</v>
      </c>
    </row>
    <row r="47" spans="1:9" hidden="1" x14ac:dyDescent="0.2">
      <c r="A47" s="101" t="s">
        <v>17</v>
      </c>
      <c r="B47" s="102">
        <v>3</v>
      </c>
      <c r="C47" t="s">
        <v>37</v>
      </c>
      <c r="D47" t="s">
        <v>38</v>
      </c>
    </row>
    <row r="48" spans="1:9" hidden="1" x14ac:dyDescent="0.2">
      <c r="A48" s="101" t="s">
        <v>16</v>
      </c>
      <c r="B48" s="102"/>
      <c r="C48" t="s">
        <v>39</v>
      </c>
      <c r="D48" t="s">
        <v>41</v>
      </c>
    </row>
    <row r="49" spans="1:3" hidden="1" x14ac:dyDescent="0.2">
      <c r="A49" s="101" t="s">
        <v>34</v>
      </c>
      <c r="B49" s="102">
        <v>184</v>
      </c>
      <c r="C49" s="103" t="s">
        <v>40</v>
      </c>
    </row>
    <row r="50" spans="1:3" hidden="1" x14ac:dyDescent="0.2">
      <c r="A50" s="101" t="s">
        <v>35</v>
      </c>
      <c r="B50" s="102">
        <v>1</v>
      </c>
      <c r="C50" t="s">
        <v>42</v>
      </c>
    </row>
    <row r="51" spans="1:3" hidden="1" x14ac:dyDescent="0.2">
      <c r="A51" s="101" t="s">
        <v>3</v>
      </c>
    </row>
    <row r="52" spans="1:3" hidden="1" x14ac:dyDescent="0.2">
      <c r="A52" s="101" t="s">
        <v>4</v>
      </c>
      <c r="B52" s="102">
        <v>1</v>
      </c>
      <c r="C52" t="s">
        <v>43</v>
      </c>
    </row>
    <row r="53" spans="1:3" hidden="1" x14ac:dyDescent="0.2">
      <c r="A53" s="101" t="s">
        <v>13</v>
      </c>
    </row>
    <row r="54" spans="1:3" hidden="1" x14ac:dyDescent="0.2">
      <c r="A54" s="101" t="s">
        <v>12</v>
      </c>
      <c r="B54" s="102">
        <v>1</v>
      </c>
      <c r="C54" t="s">
        <v>36</v>
      </c>
    </row>
    <row r="55" spans="1:3" hidden="1" x14ac:dyDescent="0.2">
      <c r="A55" s="101" t="s">
        <v>11</v>
      </c>
      <c r="B55" s="102"/>
      <c r="C55" t="s">
        <v>44</v>
      </c>
    </row>
  </sheetData>
  <mergeCells count="6">
    <mergeCell ref="D32:E32"/>
    <mergeCell ref="A1:G1"/>
    <mergeCell ref="A16:D16"/>
    <mergeCell ref="E16:G16"/>
    <mergeCell ref="D2:E2"/>
    <mergeCell ref="A31:E31"/>
  </mergeCells>
  <phoneticPr fontId="15" type="noConversion"/>
  <conditionalFormatting sqref="D3:E15 D18:D30">
    <cfRule type="cellIs" dxfId="9" priority="18" operator="equal">
      <formula>0</formula>
    </cfRule>
    <cfRule type="cellIs" dxfId="8" priority="19" operator="lessThan">
      <formula>0</formula>
    </cfRule>
    <cfRule type="cellIs" dxfId="7" priority="20" operator="greaterThan">
      <formula>0</formula>
    </cfRule>
  </conditionalFormatting>
  <conditionalFormatting sqref="D33:E45">
    <cfRule type="cellIs" dxfId="6" priority="1" operator="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conditionalFormatting sqref="G18:G30">
    <cfRule type="cellIs" dxfId="3" priority="4" stopIfTrue="1" operator="lessThan">
      <formula>-0.009</formula>
    </cfRule>
    <cfRule type="cellIs" dxfId="2" priority="5" operator="greaterThan">
      <formula>0.009</formula>
    </cfRule>
  </conditionalFormatting>
  <pageMargins left="0.25" right="0.25" top="0.75" bottom="0.75" header="0.3" footer="0.3"/>
  <pageSetup paperSize="9" scale="90" orientation="portrait" horizontalDpi="0" verticalDpi="0"/>
  <ignoredErrors>
    <ignoredError sqref="B15:D15" formulaRange="1"/>
    <ignoredError sqref="B44:E44 E3:E11 E14:E15 B33:E41" evalError="1"/>
    <ignoredError sqref="E18:F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Normal="100" workbookViewId="0"/>
  </sheetViews>
  <sheetFormatPr baseColWidth="10" defaultRowHeight="18" x14ac:dyDescent="0.2"/>
  <cols>
    <col min="1" max="1" width="19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0" x14ac:dyDescent="0.2">
      <c r="A1" s="47" t="s">
        <v>21</v>
      </c>
      <c r="B1" s="46">
        <v>2019</v>
      </c>
      <c r="C1" s="46">
        <v>2020</v>
      </c>
      <c r="D1" s="45">
        <v>2021</v>
      </c>
      <c r="E1" s="45">
        <v>2022</v>
      </c>
      <c r="F1" s="45">
        <v>2023</v>
      </c>
      <c r="G1" s="44">
        <v>2024</v>
      </c>
      <c r="H1" s="44" t="s">
        <v>22</v>
      </c>
      <c r="I1" s="134" t="s">
        <v>23</v>
      </c>
      <c r="J1" s="135"/>
    </row>
    <row r="2" spans="1:10" x14ac:dyDescent="0.2">
      <c r="A2" s="19" t="s">
        <v>20</v>
      </c>
      <c r="B2" s="42"/>
      <c r="C2" s="42"/>
      <c r="D2" s="42"/>
      <c r="E2" s="42"/>
      <c r="F2" s="42"/>
      <c r="G2" s="41">
        <v>727763.65</v>
      </c>
      <c r="H2" s="41"/>
      <c r="I2" s="85">
        <f>H2-G2</f>
        <v>-727763.65</v>
      </c>
      <c r="J2" s="93">
        <f>(H2-G2)/G2</f>
        <v>-1</v>
      </c>
    </row>
    <row r="3" spans="1:10" x14ac:dyDescent="0.2">
      <c r="A3" s="19" t="s">
        <v>19</v>
      </c>
      <c r="B3" s="42"/>
      <c r="C3" s="42"/>
      <c r="D3" s="42"/>
      <c r="E3" s="42"/>
      <c r="F3" s="42"/>
      <c r="G3" s="41">
        <v>710331.4</v>
      </c>
      <c r="H3" s="41"/>
      <c r="I3" s="85">
        <f t="shared" ref="I3:I13" si="0">H3-G3</f>
        <v>-710331.4</v>
      </c>
      <c r="J3" s="93">
        <f t="shared" ref="J3:J13" si="1">(H3-G3)/G3</f>
        <v>-1</v>
      </c>
    </row>
    <row r="4" spans="1:10" x14ac:dyDescent="0.2">
      <c r="A4" s="19" t="s">
        <v>18</v>
      </c>
      <c r="B4" s="42"/>
      <c r="C4" s="43"/>
      <c r="D4" s="42"/>
      <c r="E4" s="42"/>
      <c r="F4" s="42"/>
      <c r="G4" s="41">
        <v>619598.85</v>
      </c>
      <c r="H4" s="41"/>
      <c r="I4" s="85">
        <f t="shared" si="0"/>
        <v>-619598.85</v>
      </c>
      <c r="J4" s="93">
        <f t="shared" si="1"/>
        <v>-1</v>
      </c>
    </row>
    <row r="5" spans="1:10" x14ac:dyDescent="0.2">
      <c r="A5" s="19" t="s">
        <v>17</v>
      </c>
      <c r="B5" s="42"/>
      <c r="C5" s="43"/>
      <c r="D5" s="42"/>
      <c r="E5" s="42"/>
      <c r="F5" s="42"/>
      <c r="G5" s="41">
        <v>442295.31</v>
      </c>
      <c r="H5" s="41"/>
      <c r="I5" s="85">
        <f t="shared" si="0"/>
        <v>-442295.31</v>
      </c>
      <c r="J5" s="93">
        <f t="shared" si="1"/>
        <v>-1</v>
      </c>
    </row>
    <row r="6" spans="1:10" x14ac:dyDescent="0.2">
      <c r="A6" s="19" t="s">
        <v>16</v>
      </c>
      <c r="B6" s="42"/>
      <c r="C6" s="43"/>
      <c r="D6" s="42"/>
      <c r="E6" s="42"/>
      <c r="F6" s="42"/>
      <c r="G6" s="41">
        <v>254077.38</v>
      </c>
      <c r="H6" s="41"/>
      <c r="I6" s="85">
        <f t="shared" si="0"/>
        <v>-254077.38</v>
      </c>
      <c r="J6" s="93">
        <f t="shared" si="1"/>
        <v>-1</v>
      </c>
    </row>
    <row r="7" spans="1:10" x14ac:dyDescent="0.2">
      <c r="A7" s="19" t="s">
        <v>15</v>
      </c>
      <c r="B7" s="42"/>
      <c r="C7" s="42"/>
      <c r="D7" s="42"/>
      <c r="E7" s="42"/>
      <c r="F7" s="42"/>
      <c r="G7" s="41">
        <v>30983.16</v>
      </c>
      <c r="H7" s="41"/>
      <c r="I7" s="85">
        <f t="shared" si="0"/>
        <v>-30983.16</v>
      </c>
      <c r="J7" s="93">
        <f t="shared" si="1"/>
        <v>-1</v>
      </c>
    </row>
    <row r="8" spans="1:10" x14ac:dyDescent="0.2">
      <c r="A8" s="19" t="s">
        <v>14</v>
      </c>
      <c r="B8" s="42"/>
      <c r="C8" s="42"/>
      <c r="D8" s="42"/>
      <c r="E8" s="42"/>
      <c r="F8" s="42"/>
      <c r="G8" s="41">
        <v>245721.47</v>
      </c>
      <c r="H8" s="41"/>
      <c r="I8" s="85">
        <f t="shared" si="0"/>
        <v>-245721.47</v>
      </c>
      <c r="J8" s="93">
        <f t="shared" si="1"/>
        <v>-1</v>
      </c>
    </row>
    <row r="9" spans="1:10" x14ac:dyDescent="0.2">
      <c r="A9" s="19" t="s">
        <v>3</v>
      </c>
      <c r="B9" s="42"/>
      <c r="C9" s="42"/>
      <c r="D9" s="42"/>
      <c r="E9" s="42"/>
      <c r="F9" s="42"/>
      <c r="G9" s="41">
        <v>287573.81</v>
      </c>
      <c r="H9" s="41"/>
      <c r="I9" s="85">
        <f t="shared" si="0"/>
        <v>-287573.81</v>
      </c>
      <c r="J9" s="93">
        <f t="shared" si="1"/>
        <v>-1</v>
      </c>
    </row>
    <row r="10" spans="1:10" x14ac:dyDescent="0.2">
      <c r="A10" s="19" t="s">
        <v>4</v>
      </c>
      <c r="B10" s="42"/>
      <c r="C10" s="42"/>
      <c r="D10" s="42"/>
      <c r="E10" s="42"/>
      <c r="F10" s="42"/>
      <c r="G10" s="41">
        <v>308999.11</v>
      </c>
      <c r="H10" s="41"/>
      <c r="I10" s="85">
        <f t="shared" si="0"/>
        <v>-308999.11</v>
      </c>
      <c r="J10" s="93">
        <f t="shared" si="1"/>
        <v>-1</v>
      </c>
    </row>
    <row r="11" spans="1:10" x14ac:dyDescent="0.2">
      <c r="A11" s="19" t="s">
        <v>13</v>
      </c>
      <c r="B11" s="42"/>
      <c r="C11" s="42"/>
      <c r="D11" s="42"/>
      <c r="E11" s="42"/>
      <c r="F11" s="42"/>
      <c r="G11" s="41">
        <v>530289.28</v>
      </c>
      <c r="H11" s="41"/>
      <c r="I11" s="85">
        <f t="shared" si="0"/>
        <v>-530289.28</v>
      </c>
      <c r="J11" s="93">
        <f t="shared" si="1"/>
        <v>-1</v>
      </c>
    </row>
    <row r="12" spans="1:10" x14ac:dyDescent="0.2">
      <c r="A12" s="19" t="s">
        <v>12</v>
      </c>
      <c r="B12" s="42"/>
      <c r="C12" s="42"/>
      <c r="D12" s="42"/>
      <c r="E12" s="42"/>
      <c r="F12" s="42"/>
      <c r="G12" s="41">
        <v>632104.85</v>
      </c>
      <c r="H12" s="41"/>
      <c r="I12" s="85">
        <f t="shared" si="0"/>
        <v>-632104.85</v>
      </c>
      <c r="J12" s="93">
        <f t="shared" si="1"/>
        <v>-1</v>
      </c>
    </row>
    <row r="13" spans="1:10" ht="19" thickBot="1" x14ac:dyDescent="0.25">
      <c r="A13" s="16" t="s">
        <v>11</v>
      </c>
      <c r="B13" s="40"/>
      <c r="C13" s="40"/>
      <c r="D13" s="40"/>
      <c r="E13" s="40"/>
      <c r="F13" s="40"/>
      <c r="G13" s="39">
        <v>605792.54</v>
      </c>
      <c r="H13" s="39"/>
      <c r="I13" s="85">
        <f t="shared" si="0"/>
        <v>-605792.54</v>
      </c>
      <c r="J13" s="93">
        <f t="shared" si="1"/>
        <v>-1</v>
      </c>
    </row>
    <row r="14" spans="1:10" ht="19" thickBot="1" x14ac:dyDescent="0.25">
      <c r="A14" s="13" t="s">
        <v>9</v>
      </c>
      <c r="B14" s="38">
        <f t="shared" ref="B14:F14" si="2">SUM(B2:B13)</f>
        <v>0</v>
      </c>
      <c r="C14" s="38">
        <f t="shared" si="2"/>
        <v>0</v>
      </c>
      <c r="D14" s="38">
        <f t="shared" si="2"/>
        <v>0</v>
      </c>
      <c r="E14" s="38">
        <f t="shared" si="2"/>
        <v>0</v>
      </c>
      <c r="F14" s="38">
        <f t="shared" si="2"/>
        <v>0</v>
      </c>
      <c r="G14" s="37">
        <f>SUM(G2:G13)</f>
        <v>5395530.8099999996</v>
      </c>
      <c r="H14" s="37">
        <f t="shared" ref="H14" si="3">SUM(H2:H13)</f>
        <v>0</v>
      </c>
      <c r="I14" s="86">
        <f t="shared" ref="I14" si="4">G14-F14</f>
        <v>5395530.8099999996</v>
      </c>
      <c r="J14" s="94">
        <f>(H14-G14)/G14</f>
        <v>-1</v>
      </c>
    </row>
    <row r="15" spans="1:10" x14ac:dyDescent="0.2">
      <c r="A15" s="24" t="s">
        <v>5</v>
      </c>
      <c r="B15" s="23">
        <v>2019</v>
      </c>
      <c r="C15" s="23">
        <v>2020</v>
      </c>
      <c r="D15" s="23">
        <v>2021</v>
      </c>
      <c r="E15" s="23">
        <v>2022</v>
      </c>
      <c r="F15" s="23">
        <v>2023</v>
      </c>
      <c r="G15" s="22">
        <v>2024</v>
      </c>
      <c r="H15" s="22">
        <v>2025</v>
      </c>
      <c r="I15" s="134" t="s">
        <v>23</v>
      </c>
      <c r="J15" s="135"/>
    </row>
    <row r="16" spans="1:10" x14ac:dyDescent="0.2">
      <c r="A16" s="19" t="s">
        <v>20</v>
      </c>
      <c r="B16" s="35"/>
      <c r="C16" s="35"/>
      <c r="D16" s="35"/>
      <c r="E16" s="35"/>
      <c r="F16" s="35"/>
      <c r="G16" s="34">
        <v>258</v>
      </c>
      <c r="H16" s="34"/>
      <c r="I16" s="87">
        <f>H16-G16</f>
        <v>-258</v>
      </c>
      <c r="J16" s="93">
        <f>(H16-G16)/G16</f>
        <v>-1</v>
      </c>
    </row>
    <row r="17" spans="1:10" x14ac:dyDescent="0.2">
      <c r="A17" s="19" t="s">
        <v>19</v>
      </c>
      <c r="B17" s="35"/>
      <c r="C17" s="35"/>
      <c r="D17" s="35"/>
      <c r="E17" s="35"/>
      <c r="F17" s="35"/>
      <c r="G17" s="34">
        <v>252</v>
      </c>
      <c r="H17" s="34"/>
      <c r="I17" s="87">
        <f t="shared" ref="I17:I27" si="5">H17-G17</f>
        <v>-252</v>
      </c>
      <c r="J17" s="93">
        <f t="shared" ref="J17:J27" si="6">(H17-G17)/G17</f>
        <v>-1</v>
      </c>
    </row>
    <row r="18" spans="1:10" x14ac:dyDescent="0.2">
      <c r="A18" s="19" t="s">
        <v>18</v>
      </c>
      <c r="B18" s="35"/>
      <c r="C18" s="36"/>
      <c r="D18" s="35"/>
      <c r="E18" s="35"/>
      <c r="F18" s="35"/>
      <c r="G18" s="34">
        <v>215</v>
      </c>
      <c r="H18" s="34"/>
      <c r="I18" s="87">
        <f t="shared" si="5"/>
        <v>-215</v>
      </c>
      <c r="J18" s="93">
        <f t="shared" si="6"/>
        <v>-1</v>
      </c>
    </row>
    <row r="19" spans="1:10" x14ac:dyDescent="0.2">
      <c r="A19" s="19" t="s">
        <v>17</v>
      </c>
      <c r="B19" s="35"/>
      <c r="C19" s="36"/>
      <c r="D19" s="35"/>
      <c r="E19" s="35"/>
      <c r="F19" s="35"/>
      <c r="G19" s="34">
        <v>156</v>
      </c>
      <c r="H19" s="34"/>
      <c r="I19" s="87">
        <f t="shared" si="5"/>
        <v>-156</v>
      </c>
      <c r="J19" s="93">
        <f t="shared" si="6"/>
        <v>-1</v>
      </c>
    </row>
    <row r="20" spans="1:10" x14ac:dyDescent="0.2">
      <c r="A20" s="19" t="s">
        <v>16</v>
      </c>
      <c r="B20" s="35"/>
      <c r="C20" s="36"/>
      <c r="D20" s="35"/>
      <c r="E20" s="35"/>
      <c r="F20" s="35"/>
      <c r="G20" s="34">
        <v>125</v>
      </c>
      <c r="H20" s="34"/>
      <c r="I20" s="87">
        <f t="shared" si="5"/>
        <v>-125</v>
      </c>
      <c r="J20" s="93">
        <f t="shared" si="6"/>
        <v>-1</v>
      </c>
    </row>
    <row r="21" spans="1:10" x14ac:dyDescent="0.2">
      <c r="A21" s="19" t="s">
        <v>15</v>
      </c>
      <c r="B21" s="35"/>
      <c r="C21" s="35"/>
      <c r="D21" s="35"/>
      <c r="E21" s="35"/>
      <c r="F21" s="35"/>
      <c r="G21" s="34">
        <v>200</v>
      </c>
      <c r="H21" s="34"/>
      <c r="I21" s="87">
        <f t="shared" si="5"/>
        <v>-200</v>
      </c>
      <c r="J21" s="93">
        <f t="shared" si="6"/>
        <v>-1</v>
      </c>
    </row>
    <row r="22" spans="1:10" x14ac:dyDescent="0.2">
      <c r="A22" s="19" t="s">
        <v>14</v>
      </c>
      <c r="B22" s="35"/>
      <c r="C22" s="35"/>
      <c r="D22" s="35"/>
      <c r="E22" s="35"/>
      <c r="F22" s="35"/>
      <c r="G22" s="34">
        <v>114</v>
      </c>
      <c r="H22" s="34"/>
      <c r="I22" s="87">
        <f t="shared" si="5"/>
        <v>-114</v>
      </c>
      <c r="J22" s="93">
        <f t="shared" si="6"/>
        <v>-1</v>
      </c>
    </row>
    <row r="23" spans="1:10" x14ac:dyDescent="0.2">
      <c r="A23" s="19" t="s">
        <v>3</v>
      </c>
      <c r="B23" s="35"/>
      <c r="C23" s="35"/>
      <c r="D23" s="35"/>
      <c r="E23" s="35"/>
      <c r="F23" s="35"/>
      <c r="G23" s="34">
        <v>139</v>
      </c>
      <c r="H23" s="34"/>
      <c r="I23" s="87">
        <f t="shared" si="5"/>
        <v>-139</v>
      </c>
      <c r="J23" s="93">
        <f t="shared" si="6"/>
        <v>-1</v>
      </c>
    </row>
    <row r="24" spans="1:10" x14ac:dyDescent="0.2">
      <c r="A24" s="19" t="s">
        <v>4</v>
      </c>
      <c r="B24" s="35"/>
      <c r="C24" s="35"/>
      <c r="D24" s="35"/>
      <c r="E24" s="35"/>
      <c r="F24" s="35"/>
      <c r="G24" s="34">
        <v>133</v>
      </c>
      <c r="H24" s="34"/>
      <c r="I24" s="87">
        <f t="shared" si="5"/>
        <v>-133</v>
      </c>
      <c r="J24" s="93">
        <f t="shared" si="6"/>
        <v>-1</v>
      </c>
    </row>
    <row r="25" spans="1:10" x14ac:dyDescent="0.2">
      <c r="A25" s="19" t="s">
        <v>13</v>
      </c>
      <c r="B25" s="35"/>
      <c r="C25" s="35"/>
      <c r="D25" s="35"/>
      <c r="E25" s="35"/>
      <c r="F25" s="35"/>
      <c r="G25" s="34">
        <v>182</v>
      </c>
      <c r="H25" s="34"/>
      <c r="I25" s="87">
        <f t="shared" si="5"/>
        <v>-182</v>
      </c>
      <c r="J25" s="93">
        <f t="shared" si="6"/>
        <v>-1</v>
      </c>
    </row>
    <row r="26" spans="1:10" x14ac:dyDescent="0.2">
      <c r="A26" s="19" t="s">
        <v>12</v>
      </c>
      <c r="B26" s="35"/>
      <c r="C26" s="35"/>
      <c r="D26" s="35"/>
      <c r="E26" s="35"/>
      <c r="F26" s="35"/>
      <c r="G26" s="34">
        <v>221</v>
      </c>
      <c r="H26" s="34"/>
      <c r="I26" s="87">
        <f t="shared" si="5"/>
        <v>-221</v>
      </c>
      <c r="J26" s="93">
        <f t="shared" si="6"/>
        <v>-1</v>
      </c>
    </row>
    <row r="27" spans="1:10" ht="19" thickBot="1" x14ac:dyDescent="0.25">
      <c r="A27" s="16" t="s">
        <v>11</v>
      </c>
      <c r="B27" s="33"/>
      <c r="C27" s="33"/>
      <c r="D27" s="33"/>
      <c r="E27" s="33"/>
      <c r="F27" s="33"/>
      <c r="G27" s="32">
        <v>195</v>
      </c>
      <c r="H27" s="32"/>
      <c r="I27" s="87">
        <f t="shared" si="5"/>
        <v>-195</v>
      </c>
      <c r="J27" s="93">
        <f t="shared" si="6"/>
        <v>-1</v>
      </c>
    </row>
    <row r="28" spans="1:10" ht="19" thickBot="1" x14ac:dyDescent="0.25">
      <c r="A28" s="13" t="s">
        <v>9</v>
      </c>
      <c r="B28" s="31">
        <f t="shared" ref="B28:G28" si="7">SUM(B16:B27)</f>
        <v>0</v>
      </c>
      <c r="C28" s="31">
        <f t="shared" si="7"/>
        <v>0</v>
      </c>
      <c r="D28" s="31">
        <f t="shared" si="7"/>
        <v>0</v>
      </c>
      <c r="E28" s="31">
        <f t="shared" si="7"/>
        <v>0</v>
      </c>
      <c r="F28" s="31">
        <f t="shared" si="7"/>
        <v>0</v>
      </c>
      <c r="G28" s="30">
        <f t="shared" si="7"/>
        <v>2190</v>
      </c>
      <c r="H28" s="30">
        <f t="shared" ref="H28" si="8">SUM(H16:H27)</f>
        <v>0</v>
      </c>
      <c r="I28" s="88">
        <f t="shared" ref="I28" si="9">G28-F28</f>
        <v>2190</v>
      </c>
      <c r="J28" s="94">
        <f>(H28-G28)/G28</f>
        <v>-1</v>
      </c>
    </row>
    <row r="29" spans="1:10" x14ac:dyDescent="0.2">
      <c r="A29" s="24" t="s">
        <v>7</v>
      </c>
      <c r="B29" s="23">
        <v>2019</v>
      </c>
      <c r="C29" s="23">
        <v>2020</v>
      </c>
      <c r="D29" s="23">
        <v>2021</v>
      </c>
      <c r="E29" s="23">
        <v>2022</v>
      </c>
      <c r="F29" s="23">
        <v>2023</v>
      </c>
      <c r="G29" s="22">
        <v>2024</v>
      </c>
      <c r="H29" s="22">
        <v>2025</v>
      </c>
      <c r="I29" s="134" t="s">
        <v>23</v>
      </c>
      <c r="J29" s="135"/>
    </row>
    <row r="30" spans="1:10" x14ac:dyDescent="0.2">
      <c r="A30" s="19" t="s">
        <v>20</v>
      </c>
      <c r="B30" s="28">
        <f t="shared" ref="B30:H30" si="10">B16/248</f>
        <v>0</v>
      </c>
      <c r="C30" s="28">
        <f t="shared" si="10"/>
        <v>0</v>
      </c>
      <c r="D30" s="28">
        <f t="shared" si="10"/>
        <v>0</v>
      </c>
      <c r="E30" s="28">
        <f t="shared" si="10"/>
        <v>0</v>
      </c>
      <c r="F30" s="28">
        <f t="shared" si="10"/>
        <v>0</v>
      </c>
      <c r="G30" s="28">
        <f t="shared" si="10"/>
        <v>1.0403225806451613</v>
      </c>
      <c r="H30" s="28">
        <f t="shared" si="10"/>
        <v>0</v>
      </c>
      <c r="I30" s="89">
        <f>H30-G30</f>
        <v>-1.0403225806451613</v>
      </c>
      <c r="J30" s="93">
        <f>(H30-G30)/G30</f>
        <v>-1</v>
      </c>
    </row>
    <row r="31" spans="1:10" x14ac:dyDescent="0.2">
      <c r="A31" s="19" t="s">
        <v>19</v>
      </c>
      <c r="B31" s="28">
        <f>B17/224</f>
        <v>0</v>
      </c>
      <c r="C31" s="28">
        <f>C17/232</f>
        <v>0</v>
      </c>
      <c r="D31" s="28">
        <f>D17/224</f>
        <v>0</v>
      </c>
      <c r="E31" s="28">
        <f>E17/224</f>
        <v>0</v>
      </c>
      <c r="F31" s="28">
        <f>F17/224</f>
        <v>0</v>
      </c>
      <c r="G31" s="28">
        <f>G17/232</f>
        <v>1.0862068965517242</v>
      </c>
      <c r="H31" s="28">
        <f>H17/224</f>
        <v>0</v>
      </c>
      <c r="I31" s="89">
        <f t="shared" ref="I31:I41" si="11">H31-G31</f>
        <v>-1.0862068965517242</v>
      </c>
      <c r="J31" s="93">
        <f t="shared" ref="J31:J41" si="12">(H31-G31)/G31</f>
        <v>-1</v>
      </c>
    </row>
    <row r="32" spans="1:10" x14ac:dyDescent="0.2">
      <c r="A32" s="19" t="s">
        <v>18</v>
      </c>
      <c r="B32" s="28">
        <f>B18/248</f>
        <v>0</v>
      </c>
      <c r="C32" s="29"/>
      <c r="D32" s="28">
        <f>D18/248</f>
        <v>0</v>
      </c>
      <c r="E32" s="28">
        <f>E18/248</f>
        <v>0</v>
      </c>
      <c r="F32" s="28">
        <f>F18/248</f>
        <v>0</v>
      </c>
      <c r="G32" s="28">
        <f>G18/248</f>
        <v>0.86693548387096775</v>
      </c>
      <c r="H32" s="28">
        <f>H18/248</f>
        <v>0</v>
      </c>
      <c r="I32" s="89">
        <f t="shared" si="11"/>
        <v>-0.86693548387096775</v>
      </c>
      <c r="J32" s="93">
        <f t="shared" si="12"/>
        <v>-1</v>
      </c>
    </row>
    <row r="33" spans="1:10" x14ac:dyDescent="0.2">
      <c r="A33" s="19" t="s">
        <v>17</v>
      </c>
      <c r="B33" s="28">
        <f>B19/240</f>
        <v>0</v>
      </c>
      <c r="C33" s="29"/>
      <c r="D33" s="28">
        <f>D19/240</f>
        <v>0</v>
      </c>
      <c r="E33" s="28">
        <f>E19/240</f>
        <v>0</v>
      </c>
      <c r="F33" s="28">
        <f>F19/240</f>
        <v>0</v>
      </c>
      <c r="G33" s="28">
        <f>G19/240</f>
        <v>0.65</v>
      </c>
      <c r="H33" s="28">
        <f>H19/240</f>
        <v>0</v>
      </c>
      <c r="I33" s="89">
        <f t="shared" si="11"/>
        <v>-0.65</v>
      </c>
      <c r="J33" s="93">
        <f t="shared" si="12"/>
        <v>-1</v>
      </c>
    </row>
    <row r="34" spans="1:10" x14ac:dyDescent="0.2">
      <c r="A34" s="19" t="s">
        <v>16</v>
      </c>
      <c r="B34" s="28">
        <f>B20/248</f>
        <v>0</v>
      </c>
      <c r="C34" s="29"/>
      <c r="D34" s="28">
        <f>D20/248</f>
        <v>0</v>
      </c>
      <c r="E34" s="28">
        <f>E20/248</f>
        <v>0</v>
      </c>
      <c r="F34" s="28">
        <f>F20/248</f>
        <v>0</v>
      </c>
      <c r="G34" s="28">
        <f>G20/248</f>
        <v>0.50403225806451613</v>
      </c>
      <c r="H34" s="28">
        <f>H20/248</f>
        <v>0</v>
      </c>
      <c r="I34" s="89">
        <f t="shared" si="11"/>
        <v>-0.50403225806451613</v>
      </c>
      <c r="J34" s="93">
        <f t="shared" si="12"/>
        <v>-1</v>
      </c>
    </row>
    <row r="35" spans="1:10" x14ac:dyDescent="0.2">
      <c r="A35" s="19" t="s">
        <v>15</v>
      </c>
      <c r="B35" s="28">
        <f t="shared" ref="B35:H35" si="13">B21/240</f>
        <v>0</v>
      </c>
      <c r="C35" s="28">
        <f t="shared" si="13"/>
        <v>0</v>
      </c>
      <c r="D35" s="28">
        <f t="shared" si="13"/>
        <v>0</v>
      </c>
      <c r="E35" s="28">
        <f t="shared" si="13"/>
        <v>0</v>
      </c>
      <c r="F35" s="28">
        <f t="shared" si="13"/>
        <v>0</v>
      </c>
      <c r="G35" s="28">
        <f t="shared" si="13"/>
        <v>0.83333333333333337</v>
      </c>
      <c r="H35" s="28">
        <f t="shared" si="13"/>
        <v>0</v>
      </c>
      <c r="I35" s="89">
        <f t="shared" si="11"/>
        <v>-0.83333333333333337</v>
      </c>
      <c r="J35" s="93">
        <f t="shared" si="12"/>
        <v>-1</v>
      </c>
    </row>
    <row r="36" spans="1:10" x14ac:dyDescent="0.2">
      <c r="A36" s="19" t="s">
        <v>14</v>
      </c>
      <c r="B36" s="28">
        <f t="shared" ref="B36:H37" si="14">B22/248</f>
        <v>0</v>
      </c>
      <c r="C36" s="28">
        <f t="shared" si="14"/>
        <v>0</v>
      </c>
      <c r="D36" s="28">
        <f t="shared" si="14"/>
        <v>0</v>
      </c>
      <c r="E36" s="28">
        <f t="shared" si="14"/>
        <v>0</v>
      </c>
      <c r="F36" s="28">
        <f t="shared" si="14"/>
        <v>0</v>
      </c>
      <c r="G36" s="28">
        <f t="shared" si="14"/>
        <v>0.45967741935483869</v>
      </c>
      <c r="H36" s="28">
        <f t="shared" si="14"/>
        <v>0</v>
      </c>
      <c r="I36" s="89">
        <f t="shared" si="11"/>
        <v>-0.45967741935483869</v>
      </c>
      <c r="J36" s="93">
        <f t="shared" si="12"/>
        <v>-1</v>
      </c>
    </row>
    <row r="37" spans="1:10" x14ac:dyDescent="0.2">
      <c r="A37" s="19" t="s">
        <v>3</v>
      </c>
      <c r="B37" s="28">
        <f t="shared" si="14"/>
        <v>0</v>
      </c>
      <c r="C37" s="28">
        <f t="shared" si="14"/>
        <v>0</v>
      </c>
      <c r="D37" s="28">
        <f t="shared" si="14"/>
        <v>0</v>
      </c>
      <c r="E37" s="28">
        <f t="shared" si="14"/>
        <v>0</v>
      </c>
      <c r="F37" s="28">
        <f t="shared" si="14"/>
        <v>0</v>
      </c>
      <c r="G37" s="28">
        <f t="shared" si="14"/>
        <v>0.56048387096774188</v>
      </c>
      <c r="H37" s="28">
        <f t="shared" si="14"/>
        <v>0</v>
      </c>
      <c r="I37" s="89">
        <f t="shared" si="11"/>
        <v>-0.56048387096774188</v>
      </c>
      <c r="J37" s="93">
        <f t="shared" si="12"/>
        <v>-1</v>
      </c>
    </row>
    <row r="38" spans="1:10" x14ac:dyDescent="0.2">
      <c r="A38" s="19" t="s">
        <v>4</v>
      </c>
      <c r="B38" s="28">
        <f t="shared" ref="B38:H38" si="15">B24/240</f>
        <v>0</v>
      </c>
      <c r="C38" s="28">
        <f t="shared" si="15"/>
        <v>0</v>
      </c>
      <c r="D38" s="28">
        <f t="shared" si="15"/>
        <v>0</v>
      </c>
      <c r="E38" s="28">
        <f t="shared" si="15"/>
        <v>0</v>
      </c>
      <c r="F38" s="28">
        <f t="shared" si="15"/>
        <v>0</v>
      </c>
      <c r="G38" s="28">
        <f t="shared" si="15"/>
        <v>0.5541666666666667</v>
      </c>
      <c r="H38" s="28">
        <f t="shared" si="15"/>
        <v>0</v>
      </c>
      <c r="I38" s="89">
        <f t="shared" si="11"/>
        <v>-0.5541666666666667</v>
      </c>
      <c r="J38" s="93">
        <f t="shared" si="12"/>
        <v>-1</v>
      </c>
    </row>
    <row r="39" spans="1:10" x14ac:dyDescent="0.2">
      <c r="A39" s="19" t="s">
        <v>13</v>
      </c>
      <c r="B39" s="28">
        <f t="shared" ref="B39:H39" si="16">B25/248</f>
        <v>0</v>
      </c>
      <c r="C39" s="28">
        <f t="shared" si="16"/>
        <v>0</v>
      </c>
      <c r="D39" s="28">
        <f t="shared" si="16"/>
        <v>0</v>
      </c>
      <c r="E39" s="28">
        <f t="shared" si="16"/>
        <v>0</v>
      </c>
      <c r="F39" s="28">
        <f t="shared" si="16"/>
        <v>0</v>
      </c>
      <c r="G39" s="28">
        <f t="shared" si="16"/>
        <v>0.7338709677419355</v>
      </c>
      <c r="H39" s="28">
        <f t="shared" si="16"/>
        <v>0</v>
      </c>
      <c r="I39" s="89">
        <f t="shared" si="11"/>
        <v>-0.7338709677419355</v>
      </c>
      <c r="J39" s="93">
        <f t="shared" si="12"/>
        <v>-1</v>
      </c>
    </row>
    <row r="40" spans="1:10" x14ac:dyDescent="0.2">
      <c r="A40" s="19" t="s">
        <v>12</v>
      </c>
      <c r="B40" s="28">
        <f t="shared" ref="B40:H40" si="17">B26/240</f>
        <v>0</v>
      </c>
      <c r="C40" s="28">
        <f t="shared" si="17"/>
        <v>0</v>
      </c>
      <c r="D40" s="28">
        <f t="shared" si="17"/>
        <v>0</v>
      </c>
      <c r="E40" s="28">
        <f t="shared" si="17"/>
        <v>0</v>
      </c>
      <c r="F40" s="28">
        <f t="shared" si="17"/>
        <v>0</v>
      </c>
      <c r="G40" s="28">
        <f t="shared" si="17"/>
        <v>0.92083333333333328</v>
      </c>
      <c r="H40" s="28">
        <f t="shared" si="17"/>
        <v>0</v>
      </c>
      <c r="I40" s="89">
        <f t="shared" si="11"/>
        <v>-0.92083333333333328</v>
      </c>
      <c r="J40" s="93">
        <f t="shared" si="12"/>
        <v>-1</v>
      </c>
    </row>
    <row r="41" spans="1:10" ht="19" thickBot="1" x14ac:dyDescent="0.25">
      <c r="A41" s="16" t="s">
        <v>11</v>
      </c>
      <c r="B41" s="27">
        <f t="shared" ref="B41:H41" si="18">B27/248</f>
        <v>0</v>
      </c>
      <c r="C41" s="27">
        <f t="shared" si="18"/>
        <v>0</v>
      </c>
      <c r="D41" s="27">
        <f t="shared" si="18"/>
        <v>0</v>
      </c>
      <c r="E41" s="27">
        <f t="shared" si="18"/>
        <v>0</v>
      </c>
      <c r="F41" s="27">
        <f t="shared" si="18"/>
        <v>0</v>
      </c>
      <c r="G41" s="27">
        <f t="shared" si="18"/>
        <v>0.78629032258064513</v>
      </c>
      <c r="H41" s="27">
        <f t="shared" si="18"/>
        <v>0</v>
      </c>
      <c r="I41" s="89">
        <f t="shared" si="11"/>
        <v>-0.78629032258064513</v>
      </c>
      <c r="J41" s="93">
        <f t="shared" si="12"/>
        <v>-1</v>
      </c>
    </row>
    <row r="42" spans="1:10" ht="19" thickBot="1" x14ac:dyDescent="0.25">
      <c r="A42" s="13" t="s">
        <v>10</v>
      </c>
      <c r="B42" s="26">
        <f t="shared" ref="B42:G42" si="19">SUM(B30:B41)/12</f>
        <v>0</v>
      </c>
      <c r="C42" s="26">
        <f t="shared" si="19"/>
        <v>0</v>
      </c>
      <c r="D42" s="26">
        <f t="shared" si="19"/>
        <v>0</v>
      </c>
      <c r="E42" s="26">
        <f t="shared" si="19"/>
        <v>0</v>
      </c>
      <c r="F42" s="26">
        <f t="shared" si="19"/>
        <v>0</v>
      </c>
      <c r="G42" s="25">
        <f t="shared" si="19"/>
        <v>0.74967942775923868</v>
      </c>
      <c r="H42" s="25">
        <f t="shared" ref="H42" si="20">SUM(H30:H41)/12</f>
        <v>0</v>
      </c>
      <c r="I42" s="90">
        <f t="shared" ref="I42" si="21">G42-F42</f>
        <v>0.74967942775923868</v>
      </c>
      <c r="J42" s="94">
        <f>(H42-G42)/G42</f>
        <v>-1</v>
      </c>
    </row>
    <row r="43" spans="1:10" x14ac:dyDescent="0.2">
      <c r="A43" s="24" t="s">
        <v>6</v>
      </c>
      <c r="B43" s="23">
        <v>2019</v>
      </c>
      <c r="C43" s="23">
        <v>2020</v>
      </c>
      <c r="D43" s="23">
        <v>2021</v>
      </c>
      <c r="E43" s="23">
        <v>2022</v>
      </c>
      <c r="F43" s="23">
        <v>2023</v>
      </c>
      <c r="G43" s="22">
        <v>2024</v>
      </c>
      <c r="H43" s="22">
        <v>2025</v>
      </c>
      <c r="I43" s="134" t="s">
        <v>23</v>
      </c>
      <c r="J43" s="135"/>
    </row>
    <row r="44" spans="1:10" x14ac:dyDescent="0.2">
      <c r="A44" s="19" t="s">
        <v>20</v>
      </c>
      <c r="B44" s="18"/>
      <c r="C44" s="18" t="e">
        <f t="shared" ref="C44:G46" si="22">C2/C16</f>
        <v>#DIV/0!</v>
      </c>
      <c r="D44" s="18" t="e">
        <f t="shared" si="22"/>
        <v>#DIV/0!</v>
      </c>
      <c r="E44" s="18" t="e">
        <f t="shared" si="22"/>
        <v>#DIV/0!</v>
      </c>
      <c r="F44" s="18" t="e">
        <f t="shared" si="22"/>
        <v>#DIV/0!</v>
      </c>
      <c r="G44" s="17">
        <f t="shared" si="22"/>
        <v>2820.7893410852712</v>
      </c>
      <c r="H44" s="17" t="e">
        <f t="shared" ref="H44" si="23">H2/H16</f>
        <v>#DIV/0!</v>
      </c>
      <c r="I44" s="91" t="e">
        <f>H44-G44</f>
        <v>#DIV/0!</v>
      </c>
      <c r="J44" s="93" t="e">
        <f>(H44-G44)/G44</f>
        <v>#DIV/0!</v>
      </c>
    </row>
    <row r="45" spans="1:10" x14ac:dyDescent="0.2">
      <c r="A45" s="19" t="s">
        <v>19</v>
      </c>
      <c r="B45" s="18"/>
      <c r="C45" s="18" t="e">
        <f t="shared" si="22"/>
        <v>#DIV/0!</v>
      </c>
      <c r="D45" s="18" t="e">
        <f t="shared" si="22"/>
        <v>#DIV/0!</v>
      </c>
      <c r="E45" s="18" t="e">
        <f t="shared" si="22"/>
        <v>#DIV/0!</v>
      </c>
      <c r="F45" s="18" t="e">
        <f t="shared" si="22"/>
        <v>#DIV/0!</v>
      </c>
      <c r="G45" s="17">
        <f t="shared" si="22"/>
        <v>2818.7753968253969</v>
      </c>
      <c r="H45" s="17" t="e">
        <f>H3/H17</f>
        <v>#DIV/0!</v>
      </c>
      <c r="I45" s="91" t="e">
        <f t="shared" ref="I45:I55" si="24">H45-G45</f>
        <v>#DIV/0!</v>
      </c>
      <c r="J45" s="93" t="e">
        <f t="shared" ref="J45:J55" si="25">(H45-G45)/G45</f>
        <v>#DIV/0!</v>
      </c>
    </row>
    <row r="46" spans="1:10" x14ac:dyDescent="0.2">
      <c r="A46" s="19" t="s">
        <v>18</v>
      </c>
      <c r="B46" s="18"/>
      <c r="C46" s="21" t="e">
        <f t="shared" si="22"/>
        <v>#DIV/0!</v>
      </c>
      <c r="D46" s="18" t="e">
        <f t="shared" si="22"/>
        <v>#DIV/0!</v>
      </c>
      <c r="E46" s="18" t="e">
        <f t="shared" si="22"/>
        <v>#DIV/0!</v>
      </c>
      <c r="F46" s="18" t="e">
        <f t="shared" si="22"/>
        <v>#DIV/0!</v>
      </c>
      <c r="G46" s="17">
        <f t="shared" si="22"/>
        <v>2881.8551162790695</v>
      </c>
      <c r="H46" s="17" t="e">
        <f>H4/H18</f>
        <v>#DIV/0!</v>
      </c>
      <c r="I46" s="91" t="e">
        <f t="shared" si="24"/>
        <v>#DIV/0!</v>
      </c>
      <c r="J46" s="93" t="e">
        <f t="shared" si="25"/>
        <v>#DIV/0!</v>
      </c>
    </row>
    <row r="47" spans="1:10" x14ac:dyDescent="0.2">
      <c r="A47" s="19" t="s">
        <v>17</v>
      </c>
      <c r="B47" s="18"/>
      <c r="C47" s="20">
        <v>0</v>
      </c>
      <c r="D47" s="18" t="e">
        <f t="shared" ref="D47:G55" si="26">D5/D19</f>
        <v>#DIV/0!</v>
      </c>
      <c r="E47" s="18" t="e">
        <f t="shared" si="26"/>
        <v>#DIV/0!</v>
      </c>
      <c r="F47" s="18" t="e">
        <f t="shared" si="26"/>
        <v>#DIV/0!</v>
      </c>
      <c r="G47" s="17">
        <f t="shared" si="26"/>
        <v>2835.226346153846</v>
      </c>
      <c r="H47" s="17" t="e">
        <f t="shared" ref="H47" si="27">H5/H19</f>
        <v>#DIV/0!</v>
      </c>
      <c r="I47" s="91" t="e">
        <f t="shared" si="24"/>
        <v>#DIV/0!</v>
      </c>
      <c r="J47" s="93" t="e">
        <f t="shared" si="25"/>
        <v>#DIV/0!</v>
      </c>
    </row>
    <row r="48" spans="1:10" x14ac:dyDescent="0.2">
      <c r="A48" s="19" t="s">
        <v>16</v>
      </c>
      <c r="B48" s="18"/>
      <c r="C48" s="20">
        <v>0</v>
      </c>
      <c r="D48" s="18" t="e">
        <f t="shared" si="26"/>
        <v>#DIV/0!</v>
      </c>
      <c r="E48" s="18" t="e">
        <f t="shared" si="26"/>
        <v>#DIV/0!</v>
      </c>
      <c r="F48" s="18" t="e">
        <f t="shared" si="26"/>
        <v>#DIV/0!</v>
      </c>
      <c r="G48" s="17">
        <f t="shared" si="26"/>
        <v>2032.61904</v>
      </c>
      <c r="H48" s="17" t="e">
        <f t="shared" ref="H48" si="28">H6/H20</f>
        <v>#DIV/0!</v>
      </c>
      <c r="I48" s="91" t="e">
        <f t="shared" si="24"/>
        <v>#DIV/0!</v>
      </c>
      <c r="J48" s="93" t="e">
        <f t="shared" si="25"/>
        <v>#DIV/0!</v>
      </c>
    </row>
    <row r="49" spans="1:10" x14ac:dyDescent="0.2">
      <c r="A49" s="19" t="s">
        <v>15</v>
      </c>
      <c r="B49" s="18"/>
      <c r="C49" s="18">
        <v>0</v>
      </c>
      <c r="D49" s="18" t="e">
        <f t="shared" si="26"/>
        <v>#DIV/0!</v>
      </c>
      <c r="E49" s="18" t="e">
        <f t="shared" si="26"/>
        <v>#DIV/0!</v>
      </c>
      <c r="F49" s="18" t="e">
        <f t="shared" si="26"/>
        <v>#DIV/0!</v>
      </c>
      <c r="G49" s="17">
        <f t="shared" si="26"/>
        <v>154.91579999999999</v>
      </c>
      <c r="H49" s="17" t="e">
        <f t="shared" ref="H49" si="29">H7/H21</f>
        <v>#DIV/0!</v>
      </c>
      <c r="I49" s="91" t="e">
        <f t="shared" si="24"/>
        <v>#DIV/0!</v>
      </c>
      <c r="J49" s="93" t="e">
        <f t="shared" si="25"/>
        <v>#DIV/0!</v>
      </c>
    </row>
    <row r="50" spans="1:10" x14ac:dyDescent="0.2">
      <c r="A50" s="19" t="s">
        <v>14</v>
      </c>
      <c r="B50" s="18"/>
      <c r="C50" s="18">
        <v>0</v>
      </c>
      <c r="D50" s="18" t="e">
        <f t="shared" si="26"/>
        <v>#DIV/0!</v>
      </c>
      <c r="E50" s="18" t="e">
        <f t="shared" si="26"/>
        <v>#DIV/0!</v>
      </c>
      <c r="F50" s="18" t="e">
        <f t="shared" si="26"/>
        <v>#DIV/0!</v>
      </c>
      <c r="G50" s="17">
        <f t="shared" si="26"/>
        <v>2155.4514912280702</v>
      </c>
      <c r="H50" s="17" t="e">
        <f t="shared" ref="H50" si="30">H8/H22</f>
        <v>#DIV/0!</v>
      </c>
      <c r="I50" s="91" t="e">
        <f t="shared" si="24"/>
        <v>#DIV/0!</v>
      </c>
      <c r="J50" s="93" t="e">
        <f t="shared" si="25"/>
        <v>#DIV/0!</v>
      </c>
    </row>
    <row r="51" spans="1:10" x14ac:dyDescent="0.2">
      <c r="A51" s="19" t="s">
        <v>3</v>
      </c>
      <c r="B51" s="18"/>
      <c r="C51" s="18" t="e">
        <f>C9/C23</f>
        <v>#DIV/0!</v>
      </c>
      <c r="D51" s="18" t="e">
        <f t="shared" si="26"/>
        <v>#DIV/0!</v>
      </c>
      <c r="E51" s="18" t="e">
        <f t="shared" si="26"/>
        <v>#DIV/0!</v>
      </c>
      <c r="F51" s="18" t="e">
        <f t="shared" si="26"/>
        <v>#DIV/0!</v>
      </c>
      <c r="G51" s="17">
        <f t="shared" si="26"/>
        <v>2068.8763309352516</v>
      </c>
      <c r="H51" s="17" t="e">
        <f t="shared" ref="H51" si="31">H9/H23</f>
        <v>#DIV/0!</v>
      </c>
      <c r="I51" s="91" t="e">
        <f t="shared" si="24"/>
        <v>#DIV/0!</v>
      </c>
      <c r="J51" s="93" t="e">
        <f t="shared" si="25"/>
        <v>#DIV/0!</v>
      </c>
    </row>
    <row r="52" spans="1:10" x14ac:dyDescent="0.2">
      <c r="A52" s="19" t="s">
        <v>4</v>
      </c>
      <c r="B52" s="18"/>
      <c r="C52" s="18" t="e">
        <f>C10/C24</f>
        <v>#DIV/0!</v>
      </c>
      <c r="D52" s="18" t="e">
        <f t="shared" si="26"/>
        <v>#DIV/0!</v>
      </c>
      <c r="E52" s="18" t="e">
        <f t="shared" si="26"/>
        <v>#DIV/0!</v>
      </c>
      <c r="F52" s="18" t="e">
        <f t="shared" si="26"/>
        <v>#DIV/0!</v>
      </c>
      <c r="G52" s="17">
        <f t="shared" si="26"/>
        <v>2323.3015789473684</v>
      </c>
      <c r="H52" s="17" t="e">
        <f t="shared" ref="H52" si="32">H10/H24</f>
        <v>#DIV/0!</v>
      </c>
      <c r="I52" s="91" t="e">
        <f t="shared" si="24"/>
        <v>#DIV/0!</v>
      </c>
      <c r="J52" s="93" t="e">
        <f t="shared" si="25"/>
        <v>#DIV/0!</v>
      </c>
    </row>
    <row r="53" spans="1:10" x14ac:dyDescent="0.2">
      <c r="A53" s="19" t="s">
        <v>13</v>
      </c>
      <c r="B53" s="18"/>
      <c r="C53" s="18" t="e">
        <f>C11/C25</f>
        <v>#DIV/0!</v>
      </c>
      <c r="D53" s="18" t="e">
        <f t="shared" si="26"/>
        <v>#DIV/0!</v>
      </c>
      <c r="E53" s="18" t="e">
        <f t="shared" si="26"/>
        <v>#DIV/0!</v>
      </c>
      <c r="F53" s="18" t="e">
        <f t="shared" si="26"/>
        <v>#DIV/0!</v>
      </c>
      <c r="G53" s="17">
        <f t="shared" si="26"/>
        <v>2913.6773626373629</v>
      </c>
      <c r="H53" s="17" t="e">
        <f t="shared" ref="H53" si="33">H11/H25</f>
        <v>#DIV/0!</v>
      </c>
      <c r="I53" s="91" t="e">
        <f t="shared" si="24"/>
        <v>#DIV/0!</v>
      </c>
      <c r="J53" s="93" t="e">
        <f t="shared" si="25"/>
        <v>#DIV/0!</v>
      </c>
    </row>
    <row r="54" spans="1:10" x14ac:dyDescent="0.2">
      <c r="A54" s="19" t="s">
        <v>12</v>
      </c>
      <c r="B54" s="18"/>
      <c r="C54" s="18" t="e">
        <f>C12/C26</f>
        <v>#DIV/0!</v>
      </c>
      <c r="D54" s="18" t="e">
        <f t="shared" si="26"/>
        <v>#DIV/0!</v>
      </c>
      <c r="E54" s="18" t="e">
        <f t="shared" si="26"/>
        <v>#DIV/0!</v>
      </c>
      <c r="F54" s="18" t="e">
        <f t="shared" si="26"/>
        <v>#DIV/0!</v>
      </c>
      <c r="G54" s="17">
        <f t="shared" si="26"/>
        <v>2860.2029411764706</v>
      </c>
      <c r="H54" s="17" t="e">
        <f t="shared" ref="H54" si="34">H12/H26</f>
        <v>#DIV/0!</v>
      </c>
      <c r="I54" s="91" t="e">
        <f t="shared" si="24"/>
        <v>#DIV/0!</v>
      </c>
      <c r="J54" s="93" t="e">
        <f t="shared" si="25"/>
        <v>#DIV/0!</v>
      </c>
    </row>
    <row r="55" spans="1:10" ht="19" thickBot="1" x14ac:dyDescent="0.25">
      <c r="A55" s="16" t="s">
        <v>11</v>
      </c>
      <c r="B55" s="15" t="e">
        <f>B13/B27</f>
        <v>#DIV/0!</v>
      </c>
      <c r="C55" s="15" t="e">
        <f>C13/C27</f>
        <v>#DIV/0!</v>
      </c>
      <c r="D55" s="15" t="e">
        <f t="shared" si="26"/>
        <v>#DIV/0!</v>
      </c>
      <c r="E55" s="15" t="e">
        <f t="shared" si="26"/>
        <v>#DIV/0!</v>
      </c>
      <c r="F55" s="15" t="e">
        <f t="shared" si="26"/>
        <v>#DIV/0!</v>
      </c>
      <c r="G55" s="14">
        <f t="shared" si="26"/>
        <v>3106.6284102564105</v>
      </c>
      <c r="H55" s="14" t="e">
        <f t="shared" ref="H55" si="35">H13/H27</f>
        <v>#DIV/0!</v>
      </c>
      <c r="I55" s="91" t="e">
        <f t="shared" si="24"/>
        <v>#DIV/0!</v>
      </c>
      <c r="J55" s="93" t="e">
        <f t="shared" si="25"/>
        <v>#DIV/0!</v>
      </c>
    </row>
    <row r="56" spans="1:10" ht="19" thickBot="1" x14ac:dyDescent="0.25">
      <c r="A56" s="13" t="s">
        <v>10</v>
      </c>
      <c r="B56" s="12" t="e">
        <f t="shared" ref="B56:G56" si="36">SUM(B44:B55)/12</f>
        <v>#DIV/0!</v>
      </c>
      <c r="C56" s="12" t="e">
        <f t="shared" si="36"/>
        <v>#DIV/0!</v>
      </c>
      <c r="D56" s="12" t="e">
        <f t="shared" si="36"/>
        <v>#DIV/0!</v>
      </c>
      <c r="E56" s="12" t="e">
        <f t="shared" si="36"/>
        <v>#DIV/0!</v>
      </c>
      <c r="F56" s="12" t="e">
        <f t="shared" si="36"/>
        <v>#DIV/0!</v>
      </c>
      <c r="G56" s="11">
        <f t="shared" si="36"/>
        <v>2414.3599296270431</v>
      </c>
      <c r="H56" s="11" t="e">
        <f t="shared" ref="H56" si="37">SUM(H44:H55)/12</f>
        <v>#DIV/0!</v>
      </c>
      <c r="I56" s="92" t="e">
        <f t="shared" ref="I56" si="38">G56-F56</f>
        <v>#DIV/0!</v>
      </c>
      <c r="J56" s="94" t="e">
        <f>(H56-G56)/G56</f>
        <v>#DIV/0!</v>
      </c>
    </row>
    <row r="59" spans="1:10" x14ac:dyDescent="0.2">
      <c r="D59" s="10"/>
      <c r="E59"/>
      <c r="F59" s="10"/>
      <c r="G59"/>
      <c r="H59"/>
      <c r="I59" s="10"/>
      <c r="J59" s="10"/>
    </row>
    <row r="60" spans="1:10" x14ac:dyDescent="0.2">
      <c r="D60"/>
      <c r="E60"/>
      <c r="F60"/>
      <c r="G60"/>
      <c r="H60" s="65" t="s">
        <v>27</v>
      </c>
      <c r="I60" s="65" t="s">
        <v>33</v>
      </c>
      <c r="J60"/>
    </row>
    <row r="61" spans="1:10" x14ac:dyDescent="0.2">
      <c r="D61" s="10"/>
      <c r="E61"/>
      <c r="F61" s="10"/>
      <c r="G61"/>
      <c r="H61" s="65" t="s">
        <v>28</v>
      </c>
      <c r="I61" s="65"/>
      <c r="J61" s="10"/>
    </row>
    <row r="62" spans="1:10" x14ac:dyDescent="0.2">
      <c r="D62" s="10"/>
      <c r="E62"/>
      <c r="F62" s="10"/>
      <c r="G62"/>
      <c r="H62" s="65" t="s">
        <v>29</v>
      </c>
      <c r="I62" s="65"/>
      <c r="J62" s="10"/>
    </row>
    <row r="63" spans="1:10" x14ac:dyDescent="0.2">
      <c r="D63" s="10"/>
      <c r="E63"/>
      <c r="F63" s="10"/>
      <c r="G63"/>
      <c r="H63" s="65" t="s">
        <v>30</v>
      </c>
      <c r="I63" s="65"/>
      <c r="J63" s="10"/>
    </row>
    <row r="64" spans="1:10" x14ac:dyDescent="0.2">
      <c r="D64" s="10"/>
      <c r="E64"/>
      <c r="F64" s="10"/>
      <c r="G64"/>
      <c r="H64" s="65" t="s">
        <v>31</v>
      </c>
      <c r="I64" s="65"/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I31:I40 G33:G40 B31:H32 B41:H41 B33:F40 H33:H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2026-08-14T07:20:15Z</dcterms:modified>
</cp:coreProperties>
</file>