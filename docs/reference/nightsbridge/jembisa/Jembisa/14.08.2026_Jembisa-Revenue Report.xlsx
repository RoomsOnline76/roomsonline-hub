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Jembisa Properties/Revenue Reports | JEM/Jembisa/"/>
    </mc:Choice>
  </mc:AlternateContent>
  <xr:revisionPtr revIDLastSave="0" documentId="13_ncr:1_{2758524B-C3F4-DD40-AE1B-359B4C54D183}" xr6:coauthVersionLast="47" xr6:coauthVersionMax="47" xr10:uidLastSave="{00000000-0000-0000-0000-000000000000}"/>
  <bookViews>
    <workbookView xWindow="16800" yWindow="500" windowWidth="16800" windowHeight="20480" xr2:uid="{529B9ECD-34EE-5444-862A-AF4A04B83C61}"/>
  </bookViews>
  <sheets>
    <sheet name="OTB" sheetId="1" r:id="rId1"/>
    <sheet name="Fin Year" sheetId="5" r:id="rId2"/>
    <sheet name="YOY" sheetId="2" r:id="rId3"/>
    <sheet name="Fin Year (2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6" i="1"/>
  <c r="C55" i="1"/>
  <c r="C54" i="1"/>
  <c r="C53" i="1"/>
  <c r="C52" i="1"/>
  <c r="C51" i="1"/>
  <c r="C50" i="1"/>
  <c r="C49" i="1"/>
  <c r="C48" i="1"/>
  <c r="C47" i="1"/>
  <c r="C46" i="1"/>
  <c r="C15" i="1"/>
  <c r="D29" i="1"/>
  <c r="D28" i="1"/>
  <c r="D13" i="1"/>
  <c r="D14" i="1"/>
  <c r="H29" i="1"/>
  <c r="H28" i="1"/>
  <c r="H27" i="1"/>
  <c r="H26" i="1"/>
  <c r="H25" i="1"/>
  <c r="H24" i="1"/>
  <c r="H23" i="1"/>
  <c r="H22" i="1"/>
  <c r="H21" i="1"/>
  <c r="H20" i="1"/>
  <c r="H19" i="1"/>
  <c r="H18" i="1"/>
  <c r="J29" i="1"/>
  <c r="J20" i="1"/>
  <c r="J18" i="1"/>
  <c r="G29" i="1"/>
  <c r="G20" i="1"/>
  <c r="G18" i="1"/>
  <c r="E56" i="1"/>
  <c r="B56" i="1"/>
  <c r="E55" i="1"/>
  <c r="B55" i="1"/>
  <c r="E49" i="1"/>
  <c r="B49" i="1"/>
  <c r="E48" i="1"/>
  <c r="B48" i="1"/>
  <c r="E47" i="1"/>
  <c r="B47" i="1"/>
  <c r="J27" i="1"/>
  <c r="G27" i="1"/>
  <c r="F27" i="1"/>
  <c r="D27" i="1"/>
  <c r="J28" i="1"/>
  <c r="G28" i="1"/>
  <c r="F28" i="1"/>
  <c r="J21" i="1"/>
  <c r="G21" i="1"/>
  <c r="F21" i="1"/>
  <c r="F20" i="1"/>
  <c r="J19" i="1"/>
  <c r="G19" i="1"/>
  <c r="F19" i="1"/>
  <c r="J13" i="1"/>
  <c r="G13" i="1"/>
  <c r="F13" i="1"/>
  <c r="J12" i="1"/>
  <c r="G12" i="1"/>
  <c r="F12" i="1"/>
  <c r="D12" i="1"/>
  <c r="J6" i="1"/>
  <c r="G6" i="1"/>
  <c r="F6" i="1"/>
  <c r="J5" i="1"/>
  <c r="G5" i="1"/>
  <c r="F5" i="1"/>
  <c r="J4" i="1"/>
  <c r="G4" i="1"/>
  <c r="F4" i="1"/>
  <c r="E57" i="1"/>
  <c r="B57" i="1"/>
  <c r="E54" i="1"/>
  <c r="B54" i="1"/>
  <c r="E53" i="1"/>
  <c r="B53" i="1"/>
  <c r="E52" i="1"/>
  <c r="B52" i="1"/>
  <c r="E51" i="1"/>
  <c r="B51" i="1"/>
  <c r="E50" i="1"/>
  <c r="B50" i="1"/>
  <c r="B46" i="1"/>
  <c r="J26" i="1"/>
  <c r="G26" i="1"/>
  <c r="F26" i="1"/>
  <c r="D26" i="1"/>
  <c r="J11" i="1"/>
  <c r="G11" i="1"/>
  <c r="F11" i="1"/>
  <c r="D11" i="1"/>
  <c r="C31" i="2"/>
  <c r="D31" i="2"/>
  <c r="E31" i="2"/>
  <c r="G31" i="2"/>
  <c r="C30" i="2"/>
  <c r="D30" i="2"/>
  <c r="E30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G28" i="2"/>
  <c r="G14" i="2"/>
  <c r="H31" i="2"/>
  <c r="G30" i="2"/>
  <c r="H30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F41" i="2"/>
  <c r="F40" i="2"/>
  <c r="F39" i="2"/>
  <c r="F38" i="2"/>
  <c r="F37" i="2"/>
  <c r="F36" i="2"/>
  <c r="F35" i="2"/>
  <c r="F34" i="2"/>
  <c r="F33" i="2"/>
  <c r="F32" i="2"/>
  <c r="F30" i="2"/>
  <c r="F31" i="2"/>
  <c r="I2" i="2"/>
  <c r="I20" i="2"/>
  <c r="I37" i="2"/>
  <c r="J36" i="2"/>
  <c r="I36" i="2"/>
  <c r="J35" i="2"/>
  <c r="I35" i="2"/>
  <c r="J34" i="2"/>
  <c r="I34" i="2"/>
  <c r="J33" i="2"/>
  <c r="I33" i="2"/>
  <c r="I32" i="2"/>
  <c r="J30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J19" i="2"/>
  <c r="I19" i="2"/>
  <c r="I18" i="2"/>
  <c r="J17" i="2"/>
  <c r="I17" i="2"/>
  <c r="J16" i="2"/>
  <c r="I16" i="2"/>
  <c r="J3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G44" i="2"/>
  <c r="G55" i="2"/>
  <c r="G54" i="2"/>
  <c r="G53" i="2"/>
  <c r="G52" i="2"/>
  <c r="G51" i="2"/>
  <c r="G50" i="2"/>
  <c r="G49" i="2"/>
  <c r="G48" i="2"/>
  <c r="G47" i="2"/>
  <c r="G45" i="2"/>
  <c r="C61" i="5"/>
  <c r="F33" i="5"/>
  <c r="F34" i="5"/>
  <c r="F35" i="5"/>
  <c r="F36" i="5"/>
  <c r="F37" i="5"/>
  <c r="F38" i="5"/>
  <c r="F39" i="5"/>
  <c r="F40" i="5"/>
  <c r="F41" i="5"/>
  <c r="F42" i="5"/>
  <c r="F43" i="5"/>
  <c r="F32" i="5"/>
  <c r="C32" i="5"/>
  <c r="B32" i="5"/>
  <c r="J19" i="5"/>
  <c r="J18" i="5"/>
  <c r="J29" i="5"/>
  <c r="J28" i="5"/>
  <c r="J27" i="5"/>
  <c r="J26" i="5"/>
  <c r="J25" i="5"/>
  <c r="J24" i="5"/>
  <c r="J23" i="5"/>
  <c r="J22" i="5"/>
  <c r="J21" i="5"/>
  <c r="J20" i="5"/>
  <c r="H18" i="5"/>
  <c r="G18" i="5"/>
  <c r="H29" i="5"/>
  <c r="H28" i="5"/>
  <c r="H27" i="5"/>
  <c r="H26" i="5"/>
  <c r="H25" i="5"/>
  <c r="H24" i="5"/>
  <c r="H23" i="5"/>
  <c r="H22" i="5"/>
  <c r="H21" i="5"/>
  <c r="H20" i="5"/>
  <c r="H19" i="5"/>
  <c r="G28" i="5"/>
  <c r="G26" i="5"/>
  <c r="G23" i="5"/>
  <c r="G21" i="5"/>
  <c r="G29" i="5"/>
  <c r="G27" i="5"/>
  <c r="G25" i="5"/>
  <c r="G24" i="5"/>
  <c r="G22" i="5"/>
  <c r="G20" i="5"/>
  <c r="G19" i="5"/>
  <c r="D32" i="5"/>
  <c r="D19" i="5"/>
  <c r="F19" i="5"/>
  <c r="D20" i="5"/>
  <c r="F20" i="5"/>
  <c r="D21" i="5"/>
  <c r="F21" i="5"/>
  <c r="D22" i="5"/>
  <c r="F22" i="5"/>
  <c r="D23" i="5"/>
  <c r="F23" i="5"/>
  <c r="D24" i="5"/>
  <c r="F24" i="5"/>
  <c r="D25" i="5"/>
  <c r="F25" i="5"/>
  <c r="D26" i="5"/>
  <c r="F26" i="5"/>
  <c r="D27" i="5"/>
  <c r="F27" i="5"/>
  <c r="D28" i="5"/>
  <c r="F28" i="5"/>
  <c r="D29" i="5"/>
  <c r="F29" i="5"/>
  <c r="F18" i="5"/>
  <c r="D18" i="5"/>
  <c r="K26" i="5"/>
  <c r="K28" i="5"/>
  <c r="K18" i="5"/>
  <c r="I24" i="5"/>
  <c r="C43" i="6"/>
  <c r="B43" i="6"/>
  <c r="C42" i="6"/>
  <c r="B42" i="6"/>
  <c r="C41" i="6"/>
  <c r="B41" i="6"/>
  <c r="C40" i="6"/>
  <c r="B40" i="6"/>
  <c r="C39" i="6"/>
  <c r="B39" i="6"/>
  <c r="H38" i="6"/>
  <c r="G38" i="6"/>
  <c r="E38" i="6"/>
  <c r="D38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M25" i="6"/>
  <c r="F15" i="6"/>
  <c r="C15" i="6"/>
  <c r="B15" i="6"/>
  <c r="H14" i="6"/>
  <c r="G14" i="6"/>
  <c r="E14" i="6"/>
  <c r="D14" i="6"/>
  <c r="H13" i="6"/>
  <c r="G13" i="6"/>
  <c r="E13" i="6"/>
  <c r="D13" i="6"/>
  <c r="H12" i="6"/>
  <c r="G12" i="6"/>
  <c r="E12" i="6"/>
  <c r="D12" i="6"/>
  <c r="H11" i="6"/>
  <c r="G11" i="6"/>
  <c r="E11" i="6"/>
  <c r="D11" i="6"/>
  <c r="H10" i="6"/>
  <c r="G10" i="6"/>
  <c r="E10" i="6"/>
  <c r="D10" i="6"/>
  <c r="H9" i="6"/>
  <c r="G9" i="6"/>
  <c r="E9" i="6"/>
  <c r="D9" i="6"/>
  <c r="H8" i="6"/>
  <c r="G8" i="6"/>
  <c r="E8" i="6"/>
  <c r="D8" i="6"/>
  <c r="H7" i="6"/>
  <c r="G7" i="6"/>
  <c r="E7" i="6"/>
  <c r="D7" i="6"/>
  <c r="H6" i="6"/>
  <c r="G6" i="6"/>
  <c r="E6" i="6"/>
  <c r="D6" i="6"/>
  <c r="H5" i="6"/>
  <c r="G5" i="6"/>
  <c r="E5" i="6"/>
  <c r="D5" i="6"/>
  <c r="H4" i="6"/>
  <c r="G4" i="6"/>
  <c r="E4" i="6"/>
  <c r="D4" i="6"/>
  <c r="H3" i="6"/>
  <c r="G3" i="6"/>
  <c r="E3" i="6"/>
  <c r="D3" i="6"/>
  <c r="F15" i="5"/>
  <c r="D4" i="5"/>
  <c r="E4" i="5"/>
  <c r="G4" i="5"/>
  <c r="H4" i="5"/>
  <c r="D5" i="5"/>
  <c r="G5" i="5"/>
  <c r="H5" i="5"/>
  <c r="D6" i="5"/>
  <c r="E6" i="5"/>
  <c r="G6" i="5"/>
  <c r="H6" i="5"/>
  <c r="D7" i="5"/>
  <c r="E7" i="5"/>
  <c r="G7" i="5"/>
  <c r="H7" i="5"/>
  <c r="D8" i="5"/>
  <c r="E8" i="5"/>
  <c r="G8" i="5"/>
  <c r="H8" i="5"/>
  <c r="D9" i="5"/>
  <c r="E9" i="5"/>
  <c r="G9" i="5"/>
  <c r="H9" i="5"/>
  <c r="D10" i="5"/>
  <c r="E10" i="5"/>
  <c r="G10" i="5"/>
  <c r="H10" i="5"/>
  <c r="D11" i="5"/>
  <c r="E11" i="5"/>
  <c r="G11" i="5"/>
  <c r="H11" i="5"/>
  <c r="D12" i="5"/>
  <c r="E12" i="5"/>
  <c r="G12" i="5"/>
  <c r="H12" i="5"/>
  <c r="D13" i="5"/>
  <c r="E13" i="5"/>
  <c r="G13" i="5"/>
  <c r="H13" i="5"/>
  <c r="D14" i="5"/>
  <c r="E14" i="5"/>
  <c r="G14" i="5"/>
  <c r="H14" i="5"/>
  <c r="H3" i="5"/>
  <c r="E3" i="5"/>
  <c r="G3" i="5"/>
  <c r="D3" i="5"/>
  <c r="C43" i="5"/>
  <c r="C42" i="5"/>
  <c r="C41" i="5"/>
  <c r="C40" i="5"/>
  <c r="C39" i="5"/>
  <c r="C38" i="5"/>
  <c r="C37" i="5"/>
  <c r="C36" i="5"/>
  <c r="C35" i="5"/>
  <c r="C33" i="5"/>
  <c r="C15" i="5"/>
  <c r="J25" i="1"/>
  <c r="J24" i="1"/>
  <c r="J23" i="1"/>
  <c r="J22" i="1"/>
  <c r="G24" i="1"/>
  <c r="G22" i="1"/>
  <c r="G23" i="1"/>
  <c r="G25" i="1"/>
  <c r="N20" i="1"/>
  <c r="N21" i="1"/>
  <c r="N22" i="1"/>
  <c r="N19" i="1"/>
  <c r="I28" i="1" l="1"/>
  <c r="I29" i="1"/>
  <c r="D56" i="1"/>
  <c r="D57" i="1"/>
  <c r="D55" i="1"/>
  <c r="G56" i="1"/>
  <c r="G55" i="1"/>
  <c r="F55" i="1"/>
  <c r="F56" i="1"/>
  <c r="G49" i="1"/>
  <c r="F47" i="1"/>
  <c r="F49" i="1"/>
  <c r="G47" i="1"/>
  <c r="G48" i="1"/>
  <c r="F48" i="1"/>
  <c r="K27" i="1"/>
  <c r="I27" i="1"/>
  <c r="K28" i="1"/>
  <c r="K21" i="1"/>
  <c r="K20" i="1"/>
  <c r="K19" i="1"/>
  <c r="K13" i="1"/>
  <c r="K12" i="1"/>
  <c r="H12" i="1"/>
  <c r="H13" i="1"/>
  <c r="K6" i="1"/>
  <c r="K5" i="1"/>
  <c r="K4" i="1"/>
  <c r="H6" i="1"/>
  <c r="H5" i="1"/>
  <c r="H4" i="1"/>
  <c r="G57" i="1"/>
  <c r="F54" i="1"/>
  <c r="D54" i="1"/>
  <c r="D53" i="1"/>
  <c r="D51" i="1"/>
  <c r="F50" i="1"/>
  <c r="D50" i="1"/>
  <c r="G54" i="1"/>
  <c r="F57" i="1"/>
  <c r="G53" i="1"/>
  <c r="F53" i="1"/>
  <c r="G52" i="1"/>
  <c r="F52" i="1"/>
  <c r="D52" i="1"/>
  <c r="G51" i="1"/>
  <c r="F51" i="1"/>
  <c r="G50" i="1"/>
  <c r="F46" i="1"/>
  <c r="K26" i="1"/>
  <c r="I26" i="1"/>
  <c r="K11" i="1"/>
  <c r="H11" i="1"/>
  <c r="G42" i="2"/>
  <c r="I30" i="2"/>
  <c r="G56" i="2"/>
  <c r="J31" i="2"/>
  <c r="I31" i="2"/>
  <c r="J41" i="2"/>
  <c r="I41" i="2"/>
  <c r="J40" i="2"/>
  <c r="I40" i="2"/>
  <c r="J39" i="2"/>
  <c r="I39" i="2"/>
  <c r="J38" i="2"/>
  <c r="I38" i="2"/>
  <c r="J37" i="2"/>
  <c r="E43" i="5"/>
  <c r="D43" i="5"/>
  <c r="E42" i="5"/>
  <c r="D42" i="5"/>
  <c r="E41" i="5"/>
  <c r="D41" i="5"/>
  <c r="D40" i="5"/>
  <c r="E40" i="5"/>
  <c r="E39" i="5"/>
  <c r="D39" i="5"/>
  <c r="E38" i="5"/>
  <c r="D38" i="5"/>
  <c r="D37" i="5"/>
  <c r="G37" i="5"/>
  <c r="E37" i="5"/>
  <c r="H35" i="5"/>
  <c r="G35" i="5"/>
  <c r="H34" i="5"/>
  <c r="G34" i="5"/>
  <c r="H33" i="5"/>
  <c r="G33" i="5"/>
  <c r="E32" i="5"/>
  <c r="D15" i="5"/>
  <c r="K27" i="5"/>
  <c r="H37" i="5"/>
  <c r="H36" i="5"/>
  <c r="G36" i="5"/>
  <c r="H15" i="5"/>
  <c r="G32" i="5"/>
  <c r="G15" i="5"/>
  <c r="H32" i="5"/>
  <c r="H43" i="5"/>
  <c r="G42" i="5"/>
  <c r="G41" i="5"/>
  <c r="G40" i="5"/>
  <c r="G39" i="5"/>
  <c r="G38" i="5"/>
  <c r="G43" i="5"/>
  <c r="H42" i="5"/>
  <c r="H41" i="5"/>
  <c r="H40" i="5"/>
  <c r="H39" i="5"/>
  <c r="H38" i="5"/>
  <c r="K22" i="5"/>
  <c r="K23" i="5"/>
  <c r="K24" i="5"/>
  <c r="K25" i="5"/>
  <c r="K29" i="5"/>
  <c r="K19" i="5"/>
  <c r="K20" i="5"/>
  <c r="K21" i="5"/>
  <c r="I28" i="5"/>
  <c r="I26" i="5"/>
  <c r="I23" i="5"/>
  <c r="I21" i="5"/>
  <c r="I29" i="5"/>
  <c r="I27" i="5"/>
  <c r="I25" i="5"/>
  <c r="I22" i="5"/>
  <c r="I20" i="5"/>
  <c r="I19" i="5"/>
  <c r="I18" i="5"/>
  <c r="H43" i="6"/>
  <c r="G43" i="6"/>
  <c r="E43" i="6"/>
  <c r="D43" i="6"/>
  <c r="H42" i="6"/>
  <c r="G42" i="6"/>
  <c r="E42" i="6"/>
  <c r="D42" i="6"/>
  <c r="H41" i="6"/>
  <c r="G41" i="6"/>
  <c r="E41" i="6"/>
  <c r="D41" i="6"/>
  <c r="H40" i="6"/>
  <c r="G40" i="6"/>
  <c r="E40" i="6"/>
  <c r="D40" i="6"/>
  <c r="H39" i="6"/>
  <c r="G39" i="6"/>
  <c r="E39" i="6"/>
  <c r="D39" i="6"/>
  <c r="H33" i="6"/>
  <c r="D33" i="6"/>
  <c r="H32" i="6"/>
  <c r="E32" i="6"/>
  <c r="E15" i="6"/>
  <c r="D15" i="6"/>
  <c r="H37" i="6"/>
  <c r="G37" i="6"/>
  <c r="E37" i="6"/>
  <c r="D37" i="6"/>
  <c r="H36" i="6"/>
  <c r="G36" i="6"/>
  <c r="E36" i="6"/>
  <c r="D36" i="6"/>
  <c r="H35" i="6"/>
  <c r="G35" i="6"/>
  <c r="E35" i="6"/>
  <c r="D35" i="6"/>
  <c r="H34" i="6"/>
  <c r="G34" i="6"/>
  <c r="E34" i="6"/>
  <c r="D34" i="6"/>
  <c r="G33" i="6"/>
  <c r="E33" i="6"/>
  <c r="G32" i="6"/>
  <c r="H15" i="6"/>
  <c r="G15" i="6"/>
  <c r="D32" i="6"/>
  <c r="G3" i="1"/>
  <c r="G7" i="1"/>
  <c r="G8" i="1"/>
  <c r="G9" i="1"/>
  <c r="G10" i="1"/>
  <c r="G14" i="1"/>
  <c r="K29" i="1"/>
  <c r="K25" i="1"/>
  <c r="K24" i="1"/>
  <c r="K23" i="1"/>
  <c r="K22" i="1"/>
  <c r="K18" i="1"/>
  <c r="F29" i="1"/>
  <c r="F25" i="1"/>
  <c r="F24" i="1"/>
  <c r="F23" i="1"/>
  <c r="F22" i="1"/>
  <c r="F18" i="1"/>
  <c r="I25" i="1"/>
  <c r="I24" i="1"/>
  <c r="I23" i="1"/>
  <c r="I22" i="1"/>
  <c r="D25" i="1"/>
  <c r="D24" i="1"/>
  <c r="D23" i="1"/>
  <c r="D22" i="1"/>
  <c r="J14" i="1" l="1"/>
  <c r="H14" i="1"/>
  <c r="K14" i="1"/>
  <c r="F14" i="1"/>
  <c r="K10" i="1"/>
  <c r="J10" i="1"/>
  <c r="H10" i="1"/>
  <c r="F10" i="1"/>
  <c r="D10" i="1"/>
  <c r="J9" i="1"/>
  <c r="H9" i="1"/>
  <c r="F9" i="1"/>
  <c r="D9" i="1"/>
  <c r="J8" i="1"/>
  <c r="H8" i="1"/>
  <c r="F8" i="1"/>
  <c r="D8" i="1"/>
  <c r="J7" i="1"/>
  <c r="K7" i="1"/>
  <c r="F7" i="1"/>
  <c r="D7" i="1"/>
  <c r="K9" i="1" l="1"/>
  <c r="K8" i="1"/>
  <c r="H7" i="1"/>
  <c r="H3" i="1" l="1"/>
  <c r="F3" i="1"/>
  <c r="B33" i="5"/>
  <c r="B34" i="5"/>
  <c r="B35" i="5"/>
  <c r="B36" i="5"/>
  <c r="B37" i="5"/>
  <c r="B38" i="5"/>
  <c r="B39" i="5"/>
  <c r="B40" i="5"/>
  <c r="B41" i="5"/>
  <c r="B42" i="5"/>
  <c r="B43" i="5"/>
  <c r="B15" i="5"/>
  <c r="E15" i="5" s="1"/>
  <c r="E36" i="5" l="1"/>
  <c r="D36" i="5"/>
  <c r="E35" i="5"/>
  <c r="D35" i="5"/>
  <c r="D34" i="5"/>
  <c r="E33" i="5"/>
  <c r="D33" i="5"/>
  <c r="H55" i="2" l="1"/>
  <c r="H54" i="2"/>
  <c r="H53" i="2"/>
  <c r="H52" i="2"/>
  <c r="H51" i="2"/>
  <c r="H50" i="2"/>
  <c r="H49" i="2"/>
  <c r="H48" i="2"/>
  <c r="H47" i="2"/>
  <c r="H46" i="2"/>
  <c r="H45" i="2"/>
  <c r="H44" i="2"/>
  <c r="I44" i="2" s="1"/>
  <c r="H28" i="2"/>
  <c r="H14" i="2"/>
  <c r="J14" i="2" s="1"/>
  <c r="J55" i="2" l="1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I28" i="2"/>
  <c r="J28" i="2"/>
  <c r="J48" i="2"/>
  <c r="I48" i="2"/>
  <c r="J47" i="2"/>
  <c r="I47" i="2"/>
  <c r="I46" i="2"/>
  <c r="J45" i="2"/>
  <c r="I45" i="2"/>
  <c r="J44" i="2"/>
  <c r="I14" i="2"/>
  <c r="H42" i="2"/>
  <c r="H56" i="2"/>
  <c r="B14" i="2"/>
  <c r="C14" i="2"/>
  <c r="D14" i="2"/>
  <c r="E14" i="2"/>
  <c r="F14" i="2"/>
  <c r="B28" i="2"/>
  <c r="C28" i="2"/>
  <c r="D28" i="2"/>
  <c r="E28" i="2"/>
  <c r="F28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D49" i="2"/>
  <c r="E49" i="2"/>
  <c r="F49" i="2"/>
  <c r="C50" i="2"/>
  <c r="D50" i="2"/>
  <c r="E50" i="2"/>
  <c r="F50" i="2"/>
  <c r="C51" i="2"/>
  <c r="D51" i="2"/>
  <c r="E51" i="2"/>
  <c r="F51" i="2"/>
  <c r="B52" i="2"/>
  <c r="C52" i="2"/>
  <c r="D52" i="2"/>
  <c r="E52" i="2"/>
  <c r="F52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J42" i="2" l="1"/>
  <c r="I42" i="2"/>
  <c r="J56" i="2"/>
  <c r="I56" i="2"/>
  <c r="E56" i="2"/>
  <c r="B56" i="2"/>
  <c r="F42" i="2"/>
  <c r="B42" i="2"/>
  <c r="C42" i="2"/>
  <c r="C56" i="2"/>
  <c r="D42" i="2"/>
  <c r="D56" i="2"/>
  <c r="F56" i="2"/>
  <c r="E42" i="2"/>
  <c r="E15" i="1" l="1"/>
  <c r="G15" i="1" s="1"/>
  <c r="B15" i="1"/>
  <c r="J15" i="1" l="1"/>
  <c r="K15" i="1"/>
  <c r="H15" i="1"/>
  <c r="D15" i="1"/>
  <c r="F15" i="1"/>
</calcChain>
</file>

<file path=xl/sharedStrings.xml><?xml version="1.0" encoding="utf-8"?>
<sst xmlns="http://schemas.openxmlformats.org/spreadsheetml/2006/main" count="286" uniqueCount="53">
  <si>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</si>
  <si>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</si>
  <si>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</si>
  <si>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</si>
  <si>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</si>
  <si>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</si>
  <si>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</si>
  <si>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</si>
  <si>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</si>
  <si>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28 = 420</t>
  </si>
  <si>
    <t>29 = 435</t>
  </si>
  <si>
    <t>30 = 450</t>
  </si>
  <si>
    <t>31 = 465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</si>
  <si>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</si>
  <si>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</si>
  <si>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</si>
  <si>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</si>
  <si>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</si>
  <si>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</si>
  <si>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</si>
  <si>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</si>
  <si>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</si>
  <si>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</si>
  <si>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</si>
  <si>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</si>
  <si>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2025 vs 2024</t>
  </si>
  <si>
    <t>Sep</t>
  </si>
  <si>
    <t>OTB vs Target</t>
  </si>
  <si>
    <t xml:space="preserve"> | Financial Year</t>
  </si>
  <si>
    <t>Target (+7%)</t>
  </si>
  <si>
    <t>7 Rooms</t>
  </si>
  <si>
    <t>2026 vs 2025</t>
  </si>
  <si>
    <t>28 = 196</t>
  </si>
  <si>
    <t>29 = 203</t>
  </si>
  <si>
    <t>30 = 210</t>
  </si>
  <si>
    <t>31 = 217</t>
  </si>
  <si>
    <t>75 nights for Whitbreads - excluded</t>
  </si>
  <si>
    <t>-</t>
  </si>
  <si>
    <t>Reservations places the total in 1 room; so it looks like there are comps but theyre not</t>
  </si>
  <si>
    <t>7-comp incl</t>
  </si>
  <si>
    <t>35-comp incl</t>
  </si>
  <si>
    <t>25 - jane</t>
  </si>
  <si>
    <t>70 - jane 6</t>
  </si>
  <si>
    <t>14 - rudi wagenaar</t>
  </si>
  <si>
    <t>1 - site ins excl</t>
  </si>
  <si>
    <t>35 - jane</t>
  </si>
  <si>
    <t>105 - jane</t>
  </si>
  <si>
    <t>Jembisa Bush Home | YOY</t>
  </si>
  <si>
    <t>2026</t>
  </si>
  <si>
    <t>TOTAL Avg</t>
  </si>
  <si>
    <t>OTB @ 31 Jul 2026</t>
  </si>
  <si>
    <t>Jembisa Bush Home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</si>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</sst>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14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0" fontId="16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1" fillId="6" borderId="4" xfId="0" applyNumberFormat="1" applyFont="1" applyFill="1" applyBorder="1" applyAlignment="1">
      <alignment horizontal="center" vertical="center"/>
    </xf>
    <xf numFmtId="3" fontId="11" fillId="6" borderId="25" xfId="0" applyNumberFormat="1" applyFont="1" applyFill="1" applyBorder="1" applyAlignment="1">
      <alignment horizontal="center" vertical="center"/>
    </xf>
    <xf numFmtId="9" fontId="11" fillId="2" borderId="25" xfId="1" applyFont="1" applyFill="1" applyBorder="1" applyAlignment="1">
      <alignment horizontal="center" vertical="center"/>
    </xf>
    <xf numFmtId="9" fontId="11" fillId="6" borderId="25" xfId="1" applyFont="1" applyFill="1" applyBorder="1" applyAlignment="1">
      <alignment horizontal="center" vertical="center"/>
    </xf>
    <xf numFmtId="9" fontId="10" fillId="2" borderId="26" xfId="1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9" fontId="10" fillId="0" borderId="24" xfId="1" applyFont="1" applyBorder="1" applyAlignment="1">
      <alignment horizontal="center" vertical="center"/>
    </xf>
    <xf numFmtId="9" fontId="10" fillId="0" borderId="26" xfId="1" applyFont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 wrapText="1"/>
    </xf>
    <xf numFmtId="1" fontId="10" fillId="2" borderId="32" xfId="0" applyNumberFormat="1" applyFont="1" applyFill="1" applyBorder="1" applyAlignment="1">
      <alignment horizontal="center" vertical="center"/>
    </xf>
    <xf numFmtId="1" fontId="10" fillId="2" borderId="33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1" fillId="2" borderId="29" xfId="0" applyNumberFormat="1" applyFont="1" applyFill="1" applyBorder="1" applyAlignment="1">
      <alignment horizontal="center" vertical="center"/>
    </xf>
    <xf numFmtId="9" fontId="11" fillId="2" borderId="30" xfId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17" fontId="10" fillId="0" borderId="0" xfId="0" applyNumberFormat="1" applyFont="1" applyAlignment="1">
      <alignment horizontal="left" vertical="center"/>
    </xf>
    <xf numFmtId="9" fontId="7" fillId="0" borderId="10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4" borderId="10" xfId="0" applyNumberFormat="1" applyFont="1" applyFill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4"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Jembisa Bush Home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OTB!$G$17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OTB!$G$18:$G$29</c:f>
              <c:numCache>
                <c:formatCode>0.0%</c:formatCode>
                <c:ptCount val="12"/>
                <c:pt idx="0">
                  <c:v>3.2258064516129031E-2</c:v>
                </c:pt>
                <c:pt idx="1">
                  <c:v>0.11904761904761904</c:v>
                </c:pt>
                <c:pt idx="2">
                  <c:v>0.1152073732718894</c:v>
                </c:pt>
                <c:pt idx="3">
                  <c:v>0.11904761904761904</c:v>
                </c:pt>
                <c:pt idx="4">
                  <c:v>0.2304147465437788</c:v>
                </c:pt>
                <c:pt idx="5">
                  <c:v>9.2165898617511524E-2</c:v>
                </c:pt>
                <c:pt idx="6">
                  <c:v>4.7619047619047616E-2</c:v>
                </c:pt>
                <c:pt idx="7">
                  <c:v>2.7649769585253458E-2</c:v>
                </c:pt>
                <c:pt idx="8">
                  <c:v>2.8571428571428571E-2</c:v>
                </c:pt>
                <c:pt idx="9">
                  <c:v>0.35944700460829493</c:v>
                </c:pt>
                <c:pt idx="10">
                  <c:v>9.6774193548387094E-2</c:v>
                </c:pt>
                <c:pt idx="11">
                  <c:v>7.6530612244897961E-2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OTB!$H$17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OTB!$H$18:$H$29</c:f>
              <c:numCache>
                <c:formatCode>0.0%</c:formatCode>
                <c:ptCount val="12"/>
                <c:pt idx="0">
                  <c:v>3.2258064516129031E-2</c:v>
                </c:pt>
                <c:pt idx="1">
                  <c:v>0.11904761904761904</c:v>
                </c:pt>
                <c:pt idx="2">
                  <c:v>0.1152073732718894</c:v>
                </c:pt>
                <c:pt idx="3">
                  <c:v>0.11904761904761904</c:v>
                </c:pt>
                <c:pt idx="4">
                  <c:v>0.2304147465437788</c:v>
                </c:pt>
                <c:pt idx="5">
                  <c:v>0.13824884792626729</c:v>
                </c:pt>
                <c:pt idx="6">
                  <c:v>5.2380952380952382E-2</c:v>
                </c:pt>
                <c:pt idx="7">
                  <c:v>2.7649769585253458E-2</c:v>
                </c:pt>
                <c:pt idx="8">
                  <c:v>3.3333333333333333E-2</c:v>
                </c:pt>
                <c:pt idx="9">
                  <c:v>0.33179723502304148</c:v>
                </c:pt>
                <c:pt idx="10">
                  <c:v>9.6774193548387094E-2</c:v>
                </c:pt>
                <c:pt idx="11">
                  <c:v>0.20408163265306123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OTB!$I$17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OTB!$I$18:$I$29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%">
                  <c:v>0</c:v>
                </c:pt>
                <c:pt idx="5" formatCode="0%">
                  <c:v>-4.6082949308755769E-2</c:v>
                </c:pt>
                <c:pt idx="6" formatCode="0%">
                  <c:v>-4.7619047619047658E-3</c:v>
                </c:pt>
                <c:pt idx="7" formatCode="0%">
                  <c:v>0</c:v>
                </c:pt>
                <c:pt idx="8" formatCode="0%">
                  <c:v>-4.7619047619047623E-3</c:v>
                </c:pt>
                <c:pt idx="9" formatCode="0%">
                  <c:v>2.7649769585253448E-2</c:v>
                </c:pt>
                <c:pt idx="10" formatCode="0%">
                  <c:v>0</c:v>
                </c:pt>
                <c:pt idx="11" formatCode="0%">
                  <c:v>-0.12755102040816327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OTB!$J$17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OTB!$J$18:$J$29</c:f>
              <c:numCache>
                <c:formatCode>0.0%</c:formatCode>
                <c:ptCount val="12"/>
                <c:pt idx="0">
                  <c:v>0</c:v>
                </c:pt>
                <c:pt idx="1">
                  <c:v>0.18095238095238095</c:v>
                </c:pt>
                <c:pt idx="2">
                  <c:v>7.8341013824884786E-2</c:v>
                </c:pt>
                <c:pt idx="3">
                  <c:v>0.10952380952380952</c:v>
                </c:pt>
                <c:pt idx="4">
                  <c:v>0.15668202764976957</c:v>
                </c:pt>
                <c:pt idx="5">
                  <c:v>7.3732718894009217E-2</c:v>
                </c:pt>
                <c:pt idx="6">
                  <c:v>9.0476190476190474E-2</c:v>
                </c:pt>
                <c:pt idx="7">
                  <c:v>7.3732718894009217E-2</c:v>
                </c:pt>
                <c:pt idx="8">
                  <c:v>2.8571428571428571E-2</c:v>
                </c:pt>
                <c:pt idx="9">
                  <c:v>4.1474654377880185E-2</c:v>
                </c:pt>
                <c:pt idx="10">
                  <c:v>4.1474654377880185E-2</c:v>
                </c:pt>
                <c:pt idx="11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OTB!$K$17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OTB!$K$18:$K$29</c:f>
              <c:numCache>
                <c:formatCode>0%</c:formatCode>
                <c:ptCount val="12"/>
                <c:pt idx="0">
                  <c:v>3.2258064516129031E-2</c:v>
                </c:pt>
                <c:pt idx="1">
                  <c:v>-6.1904761904761907E-2</c:v>
                </c:pt>
                <c:pt idx="2">
                  <c:v>3.6866359447004615E-2</c:v>
                </c:pt>
                <c:pt idx="3">
                  <c:v>9.5238095238095177E-3</c:v>
                </c:pt>
                <c:pt idx="4">
                  <c:v>7.373271889400923E-2</c:v>
                </c:pt>
                <c:pt idx="5">
                  <c:v>1.8433179723502308E-2</c:v>
                </c:pt>
                <c:pt idx="6">
                  <c:v>-4.2857142857142858E-2</c:v>
                </c:pt>
                <c:pt idx="7">
                  <c:v>-4.6082949308755755E-2</c:v>
                </c:pt>
                <c:pt idx="8">
                  <c:v>0</c:v>
                </c:pt>
                <c:pt idx="9">
                  <c:v>0.31797235023041476</c:v>
                </c:pt>
                <c:pt idx="10">
                  <c:v>5.5299539170506909E-2</c:v>
                </c:pt>
                <c:pt idx="11">
                  <c:v>-6.6326530612244888E-2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Jembisa</a:t>
            </a:r>
            <a:r>
              <a:rPr lang="en-GB" baseline="0"/>
              <a:t> Bush Home </a:t>
            </a:r>
            <a:r>
              <a:rPr lang="en-GB"/>
              <a:t>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OTB!$B$45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OTB!$B$46:$B$57</c:f>
              <c:numCache>
                <c:formatCode>#,##0</c:formatCode>
                <c:ptCount val="12"/>
                <c:pt idx="0">
                  <c:v>3528.5714285714284</c:v>
                </c:pt>
                <c:pt idx="1">
                  <c:v>4452</c:v>
                </c:pt>
                <c:pt idx="2">
                  <c:v>2735</c:v>
                </c:pt>
                <c:pt idx="3">
                  <c:v>4580</c:v>
                </c:pt>
                <c:pt idx="4">
                  <c:v>10642.9</c:v>
                </c:pt>
                <c:pt idx="5">
                  <c:v>9585.25</c:v>
                </c:pt>
                <c:pt idx="6">
                  <c:v>10800</c:v>
                </c:pt>
                <c:pt idx="7">
                  <c:v>8900</c:v>
                </c:pt>
                <c:pt idx="8">
                  <c:v>10850</c:v>
                </c:pt>
                <c:pt idx="9">
                  <c:v>9384.3589743589746</c:v>
                </c:pt>
                <c:pt idx="10">
                  <c:v>9380</c:v>
                </c:pt>
                <c:pt idx="11">
                  <c:v>10893.333333333334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OTB!$C$45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OTB!$C$46:$C$57</c:f>
              <c:numCache>
                <c:formatCode>#,##0</c:formatCode>
                <c:ptCount val="12"/>
                <c:pt idx="0">
                  <c:v>3528.5714285714284</c:v>
                </c:pt>
                <c:pt idx="1">
                  <c:v>4452</c:v>
                </c:pt>
                <c:pt idx="2">
                  <c:v>2735</c:v>
                </c:pt>
                <c:pt idx="3">
                  <c:v>4580</c:v>
                </c:pt>
                <c:pt idx="4">
                  <c:v>10642.9</c:v>
                </c:pt>
                <c:pt idx="5">
                  <c:v>10477.666999999999</c:v>
                </c:pt>
                <c:pt idx="6">
                  <c:v>9309.0909090909099</c:v>
                </c:pt>
                <c:pt idx="7">
                  <c:v>16100</c:v>
                </c:pt>
                <c:pt idx="8">
                  <c:v>10857.142857142857</c:v>
                </c:pt>
                <c:pt idx="9">
                  <c:v>10077.777777777777</c:v>
                </c:pt>
                <c:pt idx="10">
                  <c:v>9380</c:v>
                </c:pt>
                <c:pt idx="11">
                  <c:v>5738.25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OTB!$D$45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OTB!$D$46:$D$57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-892.41699999999946</c:v>
                </c:pt>
                <c:pt idx="6">
                  <c:v>1490.9090909090901</c:v>
                </c:pt>
                <c:pt idx="7">
                  <c:v>-7200</c:v>
                </c:pt>
                <c:pt idx="8">
                  <c:v>-7.142857142856883</c:v>
                </c:pt>
                <c:pt idx="9">
                  <c:v>-693.41880341880278</c:v>
                </c:pt>
                <c:pt idx="10">
                  <c:v>0</c:v>
                </c:pt>
                <c:pt idx="11">
                  <c:v>5155.0833333333339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OTB!$E$45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OTB!$E$46:$E$57</c:f>
              <c:numCache>
                <c:formatCode>#,##0</c:formatCode>
                <c:ptCount val="12"/>
                <c:pt idx="0">
                  <c:v>0</c:v>
                </c:pt>
                <c:pt idx="1">
                  <c:v>6450</c:v>
                </c:pt>
                <c:pt idx="2">
                  <c:v>5735.2941176470586</c:v>
                </c:pt>
                <c:pt idx="3">
                  <c:v>6428.260869565217</c:v>
                </c:pt>
                <c:pt idx="4">
                  <c:v>22852.205882352941</c:v>
                </c:pt>
                <c:pt idx="5">
                  <c:v>12346.875</c:v>
                </c:pt>
                <c:pt idx="6">
                  <c:v>15052.631578947368</c:v>
                </c:pt>
                <c:pt idx="7">
                  <c:v>23215</c:v>
                </c:pt>
                <c:pt idx="8">
                  <c:v>5237.5</c:v>
                </c:pt>
                <c:pt idx="9">
                  <c:v>3522.2222222222222</c:v>
                </c:pt>
                <c:pt idx="10">
                  <c:v>7755.5555555555557</c:v>
                </c:pt>
                <c:pt idx="11">
                  <c:v>12214.285714285714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OTB!$F$45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OTB!$F$46:$F$57</c:f>
              <c:numCache>
                <c:formatCode>#,##0</c:formatCode>
                <c:ptCount val="12"/>
                <c:pt idx="0">
                  <c:v>3528.5714285714284</c:v>
                </c:pt>
                <c:pt idx="1">
                  <c:v>-1998</c:v>
                </c:pt>
                <c:pt idx="2">
                  <c:v>-3000.2941176470586</c:v>
                </c:pt>
                <c:pt idx="3">
                  <c:v>-1848.260869565217</c:v>
                </c:pt>
                <c:pt idx="4">
                  <c:v>-12209.305882352941</c:v>
                </c:pt>
                <c:pt idx="5">
                  <c:v>-2761.625</c:v>
                </c:pt>
                <c:pt idx="6">
                  <c:v>-4252.6315789473683</c:v>
                </c:pt>
                <c:pt idx="7">
                  <c:v>-14315</c:v>
                </c:pt>
                <c:pt idx="8">
                  <c:v>5612.5</c:v>
                </c:pt>
                <c:pt idx="9">
                  <c:v>5862.136752136752</c:v>
                </c:pt>
                <c:pt idx="10">
                  <c:v>1624.4444444444443</c:v>
                </c:pt>
                <c:pt idx="11">
                  <c:v>-1320.9523809523798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Jembisa Bush Home 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OTB!$B$3:$B$14</c:f>
              <c:numCache>
                <c:formatCode>#,##0</c:formatCode>
                <c:ptCount val="12"/>
                <c:pt idx="0">
                  <c:v>24700</c:v>
                </c:pt>
                <c:pt idx="1">
                  <c:v>111300</c:v>
                </c:pt>
                <c:pt idx="2">
                  <c:v>68375</c:v>
                </c:pt>
                <c:pt idx="3">
                  <c:v>114500</c:v>
                </c:pt>
                <c:pt idx="4">
                  <c:v>532145</c:v>
                </c:pt>
                <c:pt idx="5">
                  <c:v>191705</c:v>
                </c:pt>
                <c:pt idx="6">
                  <c:v>108000</c:v>
                </c:pt>
                <c:pt idx="7">
                  <c:v>53400</c:v>
                </c:pt>
                <c:pt idx="8">
                  <c:v>65100</c:v>
                </c:pt>
                <c:pt idx="9">
                  <c:v>731980</c:v>
                </c:pt>
                <c:pt idx="10">
                  <c:v>196980</c:v>
                </c:pt>
                <c:pt idx="11">
                  <c:v>163400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664B-8178-DC0C2B0A6C68}"/>
            </c:ext>
          </c:extLst>
        </c:ser>
        <c:ser>
          <c:idx val="1"/>
          <c:order val="1"/>
          <c:tx>
            <c:strRef>
              <c:f>OTB!$C$2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OTB!$C$3:$C$14</c:f>
              <c:numCache>
                <c:formatCode>#,##0</c:formatCode>
                <c:ptCount val="12"/>
                <c:pt idx="0">
                  <c:v>24700</c:v>
                </c:pt>
                <c:pt idx="1">
                  <c:v>111300</c:v>
                </c:pt>
                <c:pt idx="2">
                  <c:v>68375</c:v>
                </c:pt>
                <c:pt idx="3">
                  <c:v>114500</c:v>
                </c:pt>
                <c:pt idx="4">
                  <c:v>532145</c:v>
                </c:pt>
                <c:pt idx="5">
                  <c:v>314330.01</c:v>
                </c:pt>
                <c:pt idx="6">
                  <c:v>102400</c:v>
                </c:pt>
                <c:pt idx="7">
                  <c:v>96600</c:v>
                </c:pt>
                <c:pt idx="8">
                  <c:v>76000</c:v>
                </c:pt>
                <c:pt idx="9">
                  <c:v>725600</c:v>
                </c:pt>
                <c:pt idx="10">
                  <c:v>196980</c:v>
                </c:pt>
                <c:pt idx="11">
                  <c:v>229530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664B-8178-DC0C2B0A6C68}"/>
            </c:ext>
          </c:extLst>
        </c:ser>
        <c:ser>
          <c:idx val="2"/>
          <c:order val="2"/>
          <c:tx>
            <c:strRef>
              <c:f>OTB!$D$2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OTB!$D$3:$D$14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-122625.01000000001</c:v>
                </c:pt>
                <c:pt idx="6">
                  <c:v>5600</c:v>
                </c:pt>
                <c:pt idx="7">
                  <c:v>-43200</c:v>
                </c:pt>
                <c:pt idx="8">
                  <c:v>-10900</c:v>
                </c:pt>
                <c:pt idx="9">
                  <c:v>6380</c:v>
                </c:pt>
                <c:pt idx="10">
                  <c:v>0</c:v>
                </c:pt>
                <c:pt idx="11">
                  <c:v>-66130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2-664B-8178-DC0C2B0A6C68}"/>
            </c:ext>
          </c:extLst>
        </c:ser>
        <c:ser>
          <c:idx val="4"/>
          <c:order val="3"/>
          <c:tx>
            <c:strRef>
              <c:f>OTB!$F$2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OTB!$F$3:$F$14</c:f>
              <c:numCache>
                <c:formatCode>#,##0</c:formatCode>
                <c:ptCount val="12"/>
                <c:pt idx="0">
                  <c:v>24700</c:v>
                </c:pt>
                <c:pt idx="1">
                  <c:v>-133800</c:v>
                </c:pt>
                <c:pt idx="2">
                  <c:v>-29125</c:v>
                </c:pt>
                <c:pt idx="3">
                  <c:v>-33350</c:v>
                </c:pt>
                <c:pt idx="4">
                  <c:v>-244830</c:v>
                </c:pt>
                <c:pt idx="5">
                  <c:v>-5845</c:v>
                </c:pt>
                <c:pt idx="6">
                  <c:v>-178000</c:v>
                </c:pt>
                <c:pt idx="7">
                  <c:v>-318040</c:v>
                </c:pt>
                <c:pt idx="8">
                  <c:v>33675</c:v>
                </c:pt>
                <c:pt idx="9">
                  <c:v>700280</c:v>
                </c:pt>
                <c:pt idx="10">
                  <c:v>127180</c:v>
                </c:pt>
                <c:pt idx="11">
                  <c:v>-178600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664B-8178-DC0C2B0A6C68}"/>
            </c:ext>
          </c:extLst>
        </c:ser>
        <c:ser>
          <c:idx val="6"/>
          <c:order val="4"/>
          <c:tx>
            <c:strRef>
              <c:f>OTB!$H$2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OTB!$H$3:$H$14</c:f>
              <c:numCache>
                <c:formatCode>#,##0</c:formatCode>
                <c:ptCount val="12"/>
                <c:pt idx="0">
                  <c:v>24700</c:v>
                </c:pt>
                <c:pt idx="1">
                  <c:v>-150957</c:v>
                </c:pt>
                <c:pt idx="2">
                  <c:v>-35950</c:v>
                </c:pt>
                <c:pt idx="3">
                  <c:v>-43699.5</c:v>
                </c:pt>
                <c:pt idx="4">
                  <c:v>-299218.25</c:v>
                </c:pt>
                <c:pt idx="5">
                  <c:v>-19673.5</c:v>
                </c:pt>
                <c:pt idx="6">
                  <c:v>-198020</c:v>
                </c:pt>
                <c:pt idx="7">
                  <c:v>-344040.80000000005</c:v>
                </c:pt>
                <c:pt idx="8">
                  <c:v>31475.25</c:v>
                </c:pt>
                <c:pt idx="9">
                  <c:v>698061</c:v>
                </c:pt>
                <c:pt idx="10">
                  <c:v>122294</c:v>
                </c:pt>
                <c:pt idx="11">
                  <c:v>-202540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5-E749-9A57-662875C0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15071"/>
        <c:axId val="389616783"/>
      </c:barChart>
      <c:catAx>
        <c:axId val="3896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6783"/>
        <c:crosses val="autoZero"/>
        <c:auto val="1"/>
        <c:lblAlgn val="ctr"/>
        <c:lblOffset val="100"/>
        <c:noMultiLvlLbl val="1"/>
      </c:catAx>
      <c:valAx>
        <c:axId val="389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YOY!$B$1:$H$1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YOY!$B$14:$H$14</c:f>
              <c:numCache>
                <c:formatCode>#,##0</c:formatCode>
                <c:ptCount val="7"/>
                <c:pt idx="0">
                  <c:v>322375</c:v>
                </c:pt>
                <c:pt idx="1">
                  <c:v>990900</c:v>
                </c:pt>
                <c:pt idx="2">
                  <c:v>2345250</c:v>
                </c:pt>
                <c:pt idx="3">
                  <c:v>2717825</c:v>
                </c:pt>
                <c:pt idx="4">
                  <c:v>3004490</c:v>
                </c:pt>
                <c:pt idx="5">
                  <c:v>2491264.5</c:v>
                </c:pt>
                <c:pt idx="6">
                  <c:v>616175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YOY!$B$29:$H$29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YOY!$B$42:$H$42</c:f>
              <c:numCache>
                <c:formatCode>0%</c:formatCode>
                <c:ptCount val="7"/>
                <c:pt idx="0">
                  <c:v>3.8082437275985669E-2</c:v>
                </c:pt>
                <c:pt idx="1">
                  <c:v>8.4750566893424029E-2</c:v>
                </c:pt>
                <c:pt idx="2">
                  <c:v>0.16208031599736669</c:v>
                </c:pt>
                <c:pt idx="3">
                  <c:v>0.18938263477433984</c:v>
                </c:pt>
                <c:pt idx="4">
                  <c:v>0.18682530854388471</c:v>
                </c:pt>
                <c:pt idx="5">
                  <c:v>0.13068722112500911</c:v>
                </c:pt>
                <c:pt idx="6">
                  <c:v>3.7570404505888375E-2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YOY!$B$43:$H$43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YOY!$B$56:$H$56</c:f>
              <c:numCache>
                <c:formatCode>#,##0</c:formatCode>
                <c:ptCount val="7"/>
                <c:pt idx="0">
                  <c:v>804.06746031746036</c:v>
                </c:pt>
                <c:pt idx="1">
                  <c:v>3404.9669184981681</c:v>
                </c:pt>
                <c:pt idx="2">
                  <c:v>5852.9040003556265</c:v>
                </c:pt>
                <c:pt idx="3">
                  <c:v>5509.7401648575405</c:v>
                </c:pt>
                <c:pt idx="4">
                  <c:v>6802.7785471609013</c:v>
                </c:pt>
                <c:pt idx="5">
                  <c:v>5998.936332374974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YOY!$C$2:$C$13</c:f>
              <c:numCache>
                <c:formatCode>#,##0</c:formatCode>
                <c:ptCount val="12"/>
                <c:pt idx="0">
                  <c:v>0</c:v>
                </c:pt>
                <c:pt idx="1">
                  <c:v>40000</c:v>
                </c:pt>
                <c:pt idx="2">
                  <c:v>61250</c:v>
                </c:pt>
                <c:pt idx="3">
                  <c:v>247350</c:v>
                </c:pt>
                <c:pt idx="4">
                  <c:v>1000</c:v>
                </c:pt>
                <c:pt idx="5">
                  <c:v>0</c:v>
                </c:pt>
                <c:pt idx="6">
                  <c:v>9600</c:v>
                </c:pt>
                <c:pt idx="7">
                  <c:v>87550</c:v>
                </c:pt>
                <c:pt idx="8">
                  <c:v>129200</c:v>
                </c:pt>
                <c:pt idx="9">
                  <c:v>93050</c:v>
                </c:pt>
                <c:pt idx="10">
                  <c:v>201200</c:v>
                </c:pt>
                <c:pt idx="11">
                  <c:v>120700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YOY!$D$2:$D$13</c:f>
              <c:numCache>
                <c:formatCode>#,##0</c:formatCode>
                <c:ptCount val="12"/>
                <c:pt idx="0">
                  <c:v>54400</c:v>
                </c:pt>
                <c:pt idx="1">
                  <c:v>100000</c:v>
                </c:pt>
                <c:pt idx="2">
                  <c:v>366000</c:v>
                </c:pt>
                <c:pt idx="3">
                  <c:v>525400</c:v>
                </c:pt>
                <c:pt idx="4">
                  <c:v>70900</c:v>
                </c:pt>
                <c:pt idx="5">
                  <c:v>48000</c:v>
                </c:pt>
                <c:pt idx="6">
                  <c:v>107000</c:v>
                </c:pt>
                <c:pt idx="7">
                  <c:v>236800</c:v>
                </c:pt>
                <c:pt idx="8">
                  <c:v>107200</c:v>
                </c:pt>
                <c:pt idx="9">
                  <c:v>183000</c:v>
                </c:pt>
                <c:pt idx="10">
                  <c:v>150250</c:v>
                </c:pt>
                <c:pt idx="11">
                  <c:v>396300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YOY!$E$2:$E$13</c:f>
              <c:numCache>
                <c:formatCode>#,##0</c:formatCode>
                <c:ptCount val="12"/>
                <c:pt idx="0">
                  <c:v>14600</c:v>
                </c:pt>
                <c:pt idx="1">
                  <c:v>359000</c:v>
                </c:pt>
                <c:pt idx="2">
                  <c:v>198500</c:v>
                </c:pt>
                <c:pt idx="3">
                  <c:v>143700</c:v>
                </c:pt>
                <c:pt idx="4">
                  <c:v>57800</c:v>
                </c:pt>
                <c:pt idx="5">
                  <c:v>84100</c:v>
                </c:pt>
                <c:pt idx="6">
                  <c:v>345630</c:v>
                </c:pt>
                <c:pt idx="7">
                  <c:v>121800</c:v>
                </c:pt>
                <c:pt idx="8">
                  <c:v>231050</c:v>
                </c:pt>
                <c:pt idx="9">
                  <c:v>305900</c:v>
                </c:pt>
                <c:pt idx="10">
                  <c:v>320925</c:v>
                </c:pt>
                <c:pt idx="11">
                  <c:v>534820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YOY!$F$2:$F$13</c:f>
              <c:numCache>
                <c:formatCode>#,##0</c:formatCode>
                <c:ptCount val="12"/>
                <c:pt idx="0">
                  <c:v>49500</c:v>
                </c:pt>
                <c:pt idx="1">
                  <c:v>136900</c:v>
                </c:pt>
                <c:pt idx="2">
                  <c:v>207580</c:v>
                </c:pt>
                <c:pt idx="3">
                  <c:v>199260</c:v>
                </c:pt>
                <c:pt idx="4">
                  <c:v>113850</c:v>
                </c:pt>
                <c:pt idx="5">
                  <c:v>92000</c:v>
                </c:pt>
                <c:pt idx="6">
                  <c:v>318480</c:v>
                </c:pt>
                <c:pt idx="7">
                  <c:v>34800</c:v>
                </c:pt>
                <c:pt idx="8">
                  <c:v>266200</c:v>
                </c:pt>
                <c:pt idx="9">
                  <c:v>142600</c:v>
                </c:pt>
                <c:pt idx="10">
                  <c:v>915420</c:v>
                </c:pt>
                <c:pt idx="11">
                  <c:v>527900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YOY!$H$2:$H$13</c:f>
              <c:numCache>
                <c:formatCode>#,##0</c:formatCode>
                <c:ptCount val="12"/>
                <c:pt idx="0">
                  <c:v>69800</c:v>
                </c:pt>
                <c:pt idx="1">
                  <c:v>342000</c:v>
                </c:pt>
                <c:pt idx="2">
                  <c:v>24700</c:v>
                </c:pt>
                <c:pt idx="3">
                  <c:v>111300</c:v>
                </c:pt>
                <c:pt idx="4">
                  <c:v>68375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YOY!$C$30:$C$41</c:f>
              <c:numCache>
                <c:formatCode>0%</c:formatCode>
                <c:ptCount val="12"/>
                <c:pt idx="0">
                  <c:v>0</c:v>
                </c:pt>
                <c:pt idx="1">
                  <c:v>4.0816326530612242E-2</c:v>
                </c:pt>
                <c:pt idx="2">
                  <c:v>5.9907834101382486E-2</c:v>
                </c:pt>
                <c:pt idx="3">
                  <c:v>0.22857142857142856</c:v>
                </c:pt>
                <c:pt idx="4">
                  <c:v>9.2165898617511521E-3</c:v>
                </c:pt>
                <c:pt idx="5">
                  <c:v>0</c:v>
                </c:pt>
                <c:pt idx="6">
                  <c:v>1.8433179723502304E-2</c:v>
                </c:pt>
                <c:pt idx="7">
                  <c:v>0.12903225806451613</c:v>
                </c:pt>
                <c:pt idx="8">
                  <c:v>0.18571428571428572</c:v>
                </c:pt>
                <c:pt idx="9">
                  <c:v>0.1152073732718894</c:v>
                </c:pt>
                <c:pt idx="10">
                  <c:v>0.13333333333333333</c:v>
                </c:pt>
                <c:pt idx="11">
                  <c:v>9.6774193548387094E-2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YOY!$D$30:$D$41</c:f>
              <c:numCache>
                <c:formatCode>0%</c:formatCode>
                <c:ptCount val="12"/>
                <c:pt idx="0">
                  <c:v>3.6866359447004608E-2</c:v>
                </c:pt>
                <c:pt idx="1">
                  <c:v>4.0816326530612242E-2</c:v>
                </c:pt>
                <c:pt idx="2">
                  <c:v>0.29953917050691242</c:v>
                </c:pt>
                <c:pt idx="3">
                  <c:v>0.38095238095238093</c:v>
                </c:pt>
                <c:pt idx="4">
                  <c:v>0.11059907834101383</c:v>
                </c:pt>
                <c:pt idx="5">
                  <c:v>8.0952380952380956E-2</c:v>
                </c:pt>
                <c:pt idx="6">
                  <c:v>7.3732718894009217E-2</c:v>
                </c:pt>
                <c:pt idx="7">
                  <c:v>0.17511520737327188</c:v>
                </c:pt>
                <c:pt idx="8">
                  <c:v>0.10476190476190476</c:v>
                </c:pt>
                <c:pt idx="9">
                  <c:v>0.17511520737327188</c:v>
                </c:pt>
                <c:pt idx="10">
                  <c:v>0.1761904761904762</c:v>
                </c:pt>
                <c:pt idx="11">
                  <c:v>0.29032258064516131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YOY!$E$30:$E$41</c:f>
              <c:numCache>
                <c:formatCode>0%</c:formatCode>
                <c:ptCount val="12"/>
                <c:pt idx="0">
                  <c:v>1.8433179723502304E-2</c:v>
                </c:pt>
                <c:pt idx="1">
                  <c:v>0.27551020408163263</c:v>
                </c:pt>
                <c:pt idx="2">
                  <c:v>0.15668202764976957</c:v>
                </c:pt>
                <c:pt idx="3">
                  <c:v>0.14285714285714285</c:v>
                </c:pt>
                <c:pt idx="4">
                  <c:v>3.6866359447004608E-2</c:v>
                </c:pt>
                <c:pt idx="5">
                  <c:v>0.10476190476190476</c:v>
                </c:pt>
                <c:pt idx="6">
                  <c:v>0.3686635944700461</c:v>
                </c:pt>
                <c:pt idx="7">
                  <c:v>0.15207373271889402</c:v>
                </c:pt>
                <c:pt idx="8">
                  <c:v>0.17142857142857143</c:v>
                </c:pt>
                <c:pt idx="9">
                  <c:v>0.22119815668202766</c:v>
                </c:pt>
                <c:pt idx="10">
                  <c:v>0.20476190476190476</c:v>
                </c:pt>
                <c:pt idx="11">
                  <c:v>0.41935483870967744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YOY!$F$30:$F$41</c:f>
              <c:numCache>
                <c:formatCode>0%</c:formatCode>
                <c:ptCount val="12"/>
                <c:pt idx="0">
                  <c:v>1.3824884792626729E-2</c:v>
                </c:pt>
                <c:pt idx="1">
                  <c:v>0.12807881773399016</c:v>
                </c:pt>
                <c:pt idx="2">
                  <c:v>0.13824884792626729</c:v>
                </c:pt>
                <c:pt idx="3">
                  <c:v>0.11428571428571428</c:v>
                </c:pt>
                <c:pt idx="4">
                  <c:v>0.12903225806451613</c:v>
                </c:pt>
                <c:pt idx="5">
                  <c:v>0.10476190476190476</c:v>
                </c:pt>
                <c:pt idx="6">
                  <c:v>0.29953917050691242</c:v>
                </c:pt>
                <c:pt idx="7">
                  <c:v>4.1474654377880185E-2</c:v>
                </c:pt>
                <c:pt idx="8">
                  <c:v>0.17142857142857143</c:v>
                </c:pt>
                <c:pt idx="9">
                  <c:v>0.29953917050691242</c:v>
                </c:pt>
                <c:pt idx="10">
                  <c:v>0.56666666666666665</c:v>
                </c:pt>
                <c:pt idx="11">
                  <c:v>0.23502304147465439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YOY!$H$30:$H$41</c:f>
              <c:numCache>
                <c:formatCode>0%</c:formatCode>
                <c:ptCount val="12"/>
                <c:pt idx="0">
                  <c:v>4.1474654377880185E-2</c:v>
                </c:pt>
                <c:pt idx="1">
                  <c:v>0.14285714285714285</c:v>
                </c:pt>
                <c:pt idx="2">
                  <c:v>3.2258064516129031E-2</c:v>
                </c:pt>
                <c:pt idx="3">
                  <c:v>0.11904761904761904</c:v>
                </c:pt>
                <c:pt idx="4">
                  <c:v>0.1152073732718894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YOY!$C$44:$C$55</c:f>
              <c:numCache>
                <c:formatCode>#,##0</c:formatCode>
                <c:ptCount val="12"/>
                <c:pt idx="0">
                  <c:v>0</c:v>
                </c:pt>
                <c:pt idx="1">
                  <c:v>5000</c:v>
                </c:pt>
                <c:pt idx="2">
                  <c:v>4711.5384615384619</c:v>
                </c:pt>
                <c:pt idx="3">
                  <c:v>5153.125</c:v>
                </c:pt>
                <c:pt idx="4">
                  <c:v>500</c:v>
                </c:pt>
                <c:pt idx="5">
                  <c:v>0</c:v>
                </c:pt>
                <c:pt idx="6">
                  <c:v>2400</c:v>
                </c:pt>
                <c:pt idx="7">
                  <c:v>3126.7857142857142</c:v>
                </c:pt>
                <c:pt idx="8">
                  <c:v>3312.8205128205127</c:v>
                </c:pt>
                <c:pt idx="9">
                  <c:v>3722</c:v>
                </c:pt>
                <c:pt idx="10">
                  <c:v>7185.7142857142853</c:v>
                </c:pt>
                <c:pt idx="11">
                  <c:v>5747.6190476190477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YOY!$D$44:$D$55</c:f>
              <c:numCache>
                <c:formatCode>#,##0</c:formatCode>
                <c:ptCount val="12"/>
                <c:pt idx="0">
                  <c:v>6800</c:v>
                </c:pt>
                <c:pt idx="1">
                  <c:v>12500</c:v>
                </c:pt>
                <c:pt idx="2">
                  <c:v>5630.7692307692305</c:v>
                </c:pt>
                <c:pt idx="3">
                  <c:v>6567.5</c:v>
                </c:pt>
                <c:pt idx="4">
                  <c:v>2954.1666666666665</c:v>
                </c:pt>
                <c:pt idx="5">
                  <c:v>2823.5294117647059</c:v>
                </c:pt>
                <c:pt idx="6">
                  <c:v>6687.5</c:v>
                </c:pt>
                <c:pt idx="7">
                  <c:v>6231.5789473684208</c:v>
                </c:pt>
                <c:pt idx="8">
                  <c:v>4872.727272727273</c:v>
                </c:pt>
                <c:pt idx="9">
                  <c:v>4815.7894736842109</c:v>
                </c:pt>
                <c:pt idx="10">
                  <c:v>4060.8108108108108</c:v>
                </c:pt>
                <c:pt idx="11">
                  <c:v>6290.4761904761908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YOY!$E$44:$E$55</c:f>
              <c:numCache>
                <c:formatCode>#,##0</c:formatCode>
                <c:ptCount val="12"/>
                <c:pt idx="0">
                  <c:v>3650</c:v>
                </c:pt>
                <c:pt idx="1">
                  <c:v>6648.1481481481478</c:v>
                </c:pt>
                <c:pt idx="2">
                  <c:v>5838.2352941176468</c:v>
                </c:pt>
                <c:pt idx="3">
                  <c:v>4790</c:v>
                </c:pt>
                <c:pt idx="4">
                  <c:v>7225</c:v>
                </c:pt>
                <c:pt idx="5">
                  <c:v>3822.7272727272725</c:v>
                </c:pt>
                <c:pt idx="6">
                  <c:v>4320.375</c:v>
                </c:pt>
                <c:pt idx="7">
                  <c:v>3690.909090909091</c:v>
                </c:pt>
                <c:pt idx="8">
                  <c:v>6418.0555555555557</c:v>
                </c:pt>
                <c:pt idx="9">
                  <c:v>6372.916666666667</c:v>
                </c:pt>
                <c:pt idx="10">
                  <c:v>7463.3720930232557</c:v>
                </c:pt>
                <c:pt idx="11">
                  <c:v>5877.1428571428569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YOY!$F$44:$F$55</c:f>
              <c:numCache>
                <c:formatCode>#,##0</c:formatCode>
                <c:ptCount val="12"/>
                <c:pt idx="0">
                  <c:v>16500</c:v>
                </c:pt>
                <c:pt idx="1">
                  <c:v>5265.3846153846152</c:v>
                </c:pt>
                <c:pt idx="2">
                  <c:v>6919.333333333333</c:v>
                </c:pt>
                <c:pt idx="3">
                  <c:v>8302.5</c:v>
                </c:pt>
                <c:pt idx="4">
                  <c:v>4066.0714285714284</c:v>
                </c:pt>
                <c:pt idx="5">
                  <c:v>4181.818181818182</c:v>
                </c:pt>
                <c:pt idx="6">
                  <c:v>4899.6923076923076</c:v>
                </c:pt>
                <c:pt idx="7">
                  <c:v>3866.6666666666665</c:v>
                </c:pt>
                <c:pt idx="8">
                  <c:v>7394.4444444444443</c:v>
                </c:pt>
                <c:pt idx="9">
                  <c:v>2193.8461538461538</c:v>
                </c:pt>
                <c:pt idx="10">
                  <c:v>7692.6050420168067</c:v>
                </c:pt>
                <c:pt idx="11">
                  <c:v>10350.980392156862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YOY!$H$44:$H$55</c:f>
              <c:numCache>
                <c:formatCode>#,##0</c:formatCode>
                <c:ptCount val="12"/>
                <c:pt idx="0">
                  <c:v>7755.5555555555557</c:v>
                </c:pt>
                <c:pt idx="1">
                  <c:v>12214.285714285714</c:v>
                </c:pt>
                <c:pt idx="2">
                  <c:v>3528.5714285714284</c:v>
                </c:pt>
                <c:pt idx="3">
                  <c:v>4452</c:v>
                </c:pt>
                <c:pt idx="4">
                  <c:v>2735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58</xdr:row>
      <xdr:rowOff>95250</xdr:rowOff>
    </xdr:from>
    <xdr:to>
      <xdr:col>12</xdr:col>
      <xdr:colOff>749300</xdr:colOff>
      <xdr:row>74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850900</xdr:colOff>
      <xdr:row>58</xdr:row>
      <xdr:rowOff>107950</xdr:rowOff>
    </xdr:from>
    <xdr:to>
      <xdr:col>19</xdr:col>
      <xdr:colOff>50800</xdr:colOff>
      <xdr:row>74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58</xdr:row>
      <xdr:rowOff>82550</xdr:rowOff>
    </xdr:from>
    <xdr:to>
      <xdr:col>6</xdr:col>
      <xdr:colOff>482600</xdr:colOff>
      <xdr:row>74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00619-3300-822B-E600-C6626A9A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S58"/>
  <sheetViews>
    <sheetView tabSelected="1" zoomScaleNormal="100" workbookViewId="0">
      <selection activeCell="B9" sqref="B9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5" width="10.83203125" style="7" customWidth="1"/>
    <col min="6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19" ht="28" customHeight="1" thickBot="1" x14ac:dyDescent="0.25">
      <c r="A1" s="120" t="s">
        <v>51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  <c r="N1" s="50"/>
      <c r="O1" s="50"/>
      <c r="P1" s="50"/>
      <c r="Q1" s="50"/>
      <c r="R1" s="50"/>
      <c r="S1" s="50"/>
    </row>
    <row r="2" spans="1:19" s="5" customFormat="1" ht="32" customHeight="1" x14ac:dyDescent="0.2">
      <c r="A2" s="42"/>
      <c r="B2" s="42" t="s">
        <v>52</v>
      </c>
      <c r="C2" s="42" t="s">
        <v>50</v>
      </c>
      <c r="D2" s="42" t="s">
        <v>0</v>
      </c>
      <c r="E2" s="43" t="s">
        <v>1</v>
      </c>
      <c r="F2" s="44" t="s">
        <v>7</v>
      </c>
      <c r="G2" s="81" t="s">
        <v>29</v>
      </c>
      <c r="H2" s="82" t="s">
        <v>27</v>
      </c>
      <c r="I2" s="4"/>
      <c r="J2" s="44" t="s">
        <v>7</v>
      </c>
      <c r="K2" s="82" t="s">
        <v>27</v>
      </c>
      <c r="L2" s="4"/>
      <c r="M2" s="4"/>
    </row>
    <row r="3" spans="1:19" s="3" customFormat="1" ht="18" customHeight="1" x14ac:dyDescent="0.2">
      <c r="A3" s="37" t="s">
        <v>20</v>
      </c>
      <c r="B3" s="40">
        <v>24700</v>
      </c>
      <c r="C3" s="40">
        <v>24700</v>
      </c>
      <c r="D3" s="40" t="s">
        <v>37</v>
      </c>
      <c r="E3" s="45">
        <v>0</v>
      </c>
      <c r="F3" s="53">
        <f t="shared" ref="F3:F14" si="0">B3-E3</f>
        <v>24700</v>
      </c>
      <c r="G3" s="56">
        <f t="shared" ref="G3:G14" si="1">E3*1.07</f>
        <v>0</v>
      </c>
      <c r="H3" s="56">
        <f t="shared" ref="H3:H15" si="2">B3-G3</f>
        <v>24700</v>
      </c>
      <c r="I3" s="6"/>
      <c r="J3" s="71" t="s">
        <v>37</v>
      </c>
      <c r="K3" s="54" t="s">
        <v>37</v>
      </c>
      <c r="L3" s="2"/>
      <c r="M3" s="2"/>
      <c r="S3" s="50"/>
    </row>
    <row r="4" spans="1:19" s="3" customFormat="1" ht="18" customHeight="1" x14ac:dyDescent="0.2">
      <c r="A4" s="37" t="s">
        <v>19</v>
      </c>
      <c r="B4" s="40">
        <v>111300</v>
      </c>
      <c r="C4" s="40">
        <v>111300</v>
      </c>
      <c r="D4" s="40" t="s">
        <v>37</v>
      </c>
      <c r="E4" s="45">
        <v>245100</v>
      </c>
      <c r="F4" s="53">
        <f t="shared" ref="F4:F6" si="3">B4-E4</f>
        <v>-133800</v>
      </c>
      <c r="G4" s="56">
        <f t="shared" ref="G4:G6" si="4">E4*1.07</f>
        <v>262257</v>
      </c>
      <c r="H4" s="56">
        <f t="shared" ref="H4:H6" si="5">B4-G4</f>
        <v>-150957</v>
      </c>
      <c r="I4" s="6"/>
      <c r="J4" s="71">
        <f t="shared" ref="J4:J6" si="6">(B4-E4)/E4</f>
        <v>-0.54589963280293763</v>
      </c>
      <c r="K4" s="54">
        <f t="shared" ref="K4:K6" si="7">(B4-G4)/G4</f>
        <v>-0.57560713346068937</v>
      </c>
      <c r="L4" s="2"/>
      <c r="M4" s="2"/>
      <c r="S4" s="50"/>
    </row>
    <row r="5" spans="1:19" s="3" customFormat="1" ht="18" customHeight="1" x14ac:dyDescent="0.2">
      <c r="A5" s="37" t="s">
        <v>18</v>
      </c>
      <c r="B5" s="40">
        <v>68375</v>
      </c>
      <c r="C5" s="40">
        <v>68375</v>
      </c>
      <c r="D5" s="40" t="s">
        <v>37</v>
      </c>
      <c r="E5" s="45">
        <v>97500</v>
      </c>
      <c r="F5" s="53">
        <f t="shared" si="3"/>
        <v>-29125</v>
      </c>
      <c r="G5" s="56">
        <f t="shared" si="4"/>
        <v>104325</v>
      </c>
      <c r="H5" s="56">
        <f t="shared" si="5"/>
        <v>-35950</v>
      </c>
      <c r="I5" s="6"/>
      <c r="J5" s="71">
        <f t="shared" si="6"/>
        <v>-0.29871794871794871</v>
      </c>
      <c r="K5" s="54">
        <f t="shared" si="7"/>
        <v>-0.34459621375509225</v>
      </c>
      <c r="L5" s="2"/>
      <c r="M5" s="2"/>
      <c r="S5" s="50"/>
    </row>
    <row r="6" spans="1:19" s="3" customFormat="1" ht="18" customHeight="1" x14ac:dyDescent="0.2">
      <c r="A6" s="37" t="s">
        <v>17</v>
      </c>
      <c r="B6" s="40">
        <v>114500</v>
      </c>
      <c r="C6" s="40">
        <v>114500</v>
      </c>
      <c r="D6" s="40" t="s">
        <v>37</v>
      </c>
      <c r="E6" s="45">
        <v>147850</v>
      </c>
      <c r="F6" s="53">
        <f t="shared" si="3"/>
        <v>-33350</v>
      </c>
      <c r="G6" s="56">
        <f t="shared" si="4"/>
        <v>158199.5</v>
      </c>
      <c r="H6" s="56">
        <f t="shared" si="5"/>
        <v>-43699.5</v>
      </c>
      <c r="I6" s="6"/>
      <c r="J6" s="71">
        <f t="shared" si="6"/>
        <v>-0.22556645248562732</v>
      </c>
      <c r="K6" s="54">
        <f t="shared" si="7"/>
        <v>-0.27623032942581993</v>
      </c>
      <c r="L6" s="2"/>
      <c r="M6" s="2"/>
      <c r="S6" s="50"/>
    </row>
    <row r="7" spans="1:19" s="3" customFormat="1" ht="18" customHeight="1" x14ac:dyDescent="0.2">
      <c r="A7" s="37" t="s">
        <v>16</v>
      </c>
      <c r="B7" s="40">
        <v>532145</v>
      </c>
      <c r="C7" s="40">
        <v>532145</v>
      </c>
      <c r="D7" s="40">
        <f t="shared" ref="D7:D10" si="8">B7-C7</f>
        <v>0</v>
      </c>
      <c r="E7" s="45">
        <v>776975</v>
      </c>
      <c r="F7" s="53">
        <f t="shared" si="0"/>
        <v>-244830</v>
      </c>
      <c r="G7" s="56">
        <f t="shared" si="1"/>
        <v>831363.25</v>
      </c>
      <c r="H7" s="56">
        <f t="shared" ref="H7:H14" si="9">B7-G7</f>
        <v>-299218.25</v>
      </c>
      <c r="I7" s="6"/>
      <c r="J7" s="71">
        <f t="shared" ref="J7:J14" si="10">(B7-E7)/E7</f>
        <v>-0.31510666366356704</v>
      </c>
      <c r="K7" s="54">
        <f t="shared" ref="K7:K14" si="11">(B7-G7)/G7</f>
        <v>-0.35991276977903464</v>
      </c>
      <c r="L7" s="2"/>
      <c r="M7" s="2"/>
      <c r="S7" s="50"/>
    </row>
    <row r="8" spans="1:19" s="3" customFormat="1" ht="18" customHeight="1" x14ac:dyDescent="0.2">
      <c r="A8" s="37" t="s">
        <v>2</v>
      </c>
      <c r="B8" s="40">
        <v>191705</v>
      </c>
      <c r="C8" s="40">
        <v>314330.01</v>
      </c>
      <c r="D8" s="40">
        <f t="shared" si="8"/>
        <v>-122625.01000000001</v>
      </c>
      <c r="E8" s="45">
        <v>197550</v>
      </c>
      <c r="F8" s="53">
        <f t="shared" si="0"/>
        <v>-5845</v>
      </c>
      <c r="G8" s="56">
        <f t="shared" si="1"/>
        <v>211378.5</v>
      </c>
      <c r="H8" s="56">
        <f t="shared" si="9"/>
        <v>-19673.5</v>
      </c>
      <c r="I8" s="6"/>
      <c r="J8" s="71">
        <f t="shared" si="10"/>
        <v>-2.9587446216147811E-2</v>
      </c>
      <c r="K8" s="54">
        <f t="shared" si="11"/>
        <v>-9.3072379641259639E-2</v>
      </c>
      <c r="L8" s="2"/>
      <c r="M8" s="2"/>
      <c r="S8" s="50"/>
    </row>
    <row r="9" spans="1:19" s="3" customFormat="1" ht="18" customHeight="1" x14ac:dyDescent="0.2">
      <c r="A9" s="37" t="s">
        <v>3</v>
      </c>
      <c r="B9" s="40">
        <v>108000</v>
      </c>
      <c r="C9" s="40">
        <v>102400</v>
      </c>
      <c r="D9" s="40">
        <f t="shared" si="8"/>
        <v>5600</v>
      </c>
      <c r="E9" s="45">
        <v>286000</v>
      </c>
      <c r="F9" s="53">
        <f t="shared" si="0"/>
        <v>-178000</v>
      </c>
      <c r="G9" s="56">
        <f t="shared" si="1"/>
        <v>306020</v>
      </c>
      <c r="H9" s="56">
        <f t="shared" si="9"/>
        <v>-198020</v>
      </c>
      <c r="I9" s="6"/>
      <c r="J9" s="71">
        <f t="shared" si="10"/>
        <v>-0.6223776223776224</v>
      </c>
      <c r="K9" s="54">
        <f t="shared" si="11"/>
        <v>-0.64708189007254424</v>
      </c>
      <c r="L9" s="2"/>
      <c r="M9" s="2"/>
      <c r="S9" s="50"/>
    </row>
    <row r="10" spans="1:19" s="3" customFormat="1" ht="18" customHeight="1" x14ac:dyDescent="0.2">
      <c r="A10" s="37" t="s">
        <v>15</v>
      </c>
      <c r="B10" s="40">
        <v>53400</v>
      </c>
      <c r="C10" s="40">
        <v>96600</v>
      </c>
      <c r="D10" s="40">
        <f t="shared" si="8"/>
        <v>-43200</v>
      </c>
      <c r="E10" s="45">
        <v>371440</v>
      </c>
      <c r="F10" s="53">
        <f t="shared" si="0"/>
        <v>-318040</v>
      </c>
      <c r="G10" s="56">
        <f t="shared" si="1"/>
        <v>397440.80000000005</v>
      </c>
      <c r="H10" s="56">
        <f t="shared" si="9"/>
        <v>-344040.80000000005</v>
      </c>
      <c r="I10" s="6"/>
      <c r="J10" s="71">
        <f t="shared" si="10"/>
        <v>-0.85623519276329962</v>
      </c>
      <c r="K10" s="54">
        <f t="shared" si="11"/>
        <v>-0.86564036706850434</v>
      </c>
      <c r="L10" s="2"/>
      <c r="M10" s="2"/>
      <c r="S10" s="50"/>
    </row>
    <row r="11" spans="1:19" s="3" customFormat="1" ht="18" customHeight="1" x14ac:dyDescent="0.2">
      <c r="A11" s="37" t="s">
        <v>14</v>
      </c>
      <c r="B11" s="40">
        <v>65100</v>
      </c>
      <c r="C11" s="40">
        <v>76000</v>
      </c>
      <c r="D11" s="40">
        <f t="shared" ref="D11" si="12">B11-C11</f>
        <v>-10900</v>
      </c>
      <c r="E11" s="45">
        <v>31425</v>
      </c>
      <c r="F11" s="53">
        <f t="shared" ref="F11:F13" si="13">B11-E11</f>
        <v>33675</v>
      </c>
      <c r="G11" s="56">
        <f t="shared" ref="G11:G13" si="14">E11*1.07</f>
        <v>33624.75</v>
      </c>
      <c r="H11" s="56">
        <f t="shared" ref="H11:H13" si="15">B11-G11</f>
        <v>31475.25</v>
      </c>
      <c r="I11" s="6"/>
      <c r="J11" s="71">
        <f t="shared" ref="J11:J13" si="16">(B11-E11)/E11</f>
        <v>1.071599045346062</v>
      </c>
      <c r="K11" s="54">
        <f t="shared" ref="K11:K13" si="17">(B11-G11)/G11</f>
        <v>0.93607387415519816</v>
      </c>
      <c r="L11" s="2"/>
      <c r="M11" s="2"/>
      <c r="S11" s="50"/>
    </row>
    <row r="12" spans="1:19" s="3" customFormat="1" ht="18" customHeight="1" x14ac:dyDescent="0.2">
      <c r="A12" s="37" t="s">
        <v>13</v>
      </c>
      <c r="B12" s="40">
        <v>731980</v>
      </c>
      <c r="C12" s="40">
        <v>725600</v>
      </c>
      <c r="D12" s="40">
        <f>B12-C12</f>
        <v>6380</v>
      </c>
      <c r="E12" s="45">
        <v>31700</v>
      </c>
      <c r="F12" s="53">
        <f t="shared" si="13"/>
        <v>700280</v>
      </c>
      <c r="G12" s="56">
        <f t="shared" si="14"/>
        <v>33919</v>
      </c>
      <c r="H12" s="56">
        <f t="shared" si="15"/>
        <v>698061</v>
      </c>
      <c r="I12" s="6"/>
      <c r="J12" s="71">
        <f t="shared" si="16"/>
        <v>22.090851735015772</v>
      </c>
      <c r="K12" s="54">
        <f t="shared" si="17"/>
        <v>20.580235266369883</v>
      </c>
      <c r="L12" s="2"/>
      <c r="M12" s="2"/>
      <c r="S12" s="50"/>
    </row>
    <row r="13" spans="1:19" s="3" customFormat="1" ht="18" customHeight="1" x14ac:dyDescent="0.2">
      <c r="A13" s="37" t="s">
        <v>22</v>
      </c>
      <c r="B13" s="40">
        <v>196980</v>
      </c>
      <c r="C13" s="40">
        <v>196980</v>
      </c>
      <c r="D13" s="40">
        <f t="shared" ref="D13:D14" si="18">B13-C13</f>
        <v>0</v>
      </c>
      <c r="E13" s="45">
        <v>69800</v>
      </c>
      <c r="F13" s="53">
        <f t="shared" si="13"/>
        <v>127180</v>
      </c>
      <c r="G13" s="56">
        <f t="shared" si="14"/>
        <v>74686</v>
      </c>
      <c r="H13" s="56">
        <f t="shared" si="15"/>
        <v>122294</v>
      </c>
      <c r="I13" s="6"/>
      <c r="J13" s="71">
        <f t="shared" si="16"/>
        <v>1.8220630372492836</v>
      </c>
      <c r="K13" s="54">
        <f t="shared" si="17"/>
        <v>1.637442090887181</v>
      </c>
      <c r="L13" s="2"/>
      <c r="M13" s="2"/>
      <c r="S13" s="50"/>
    </row>
    <row r="14" spans="1:19" s="3" customFormat="1" ht="18" customHeight="1" x14ac:dyDescent="0.2">
      <c r="A14" s="37" t="s">
        <v>21</v>
      </c>
      <c r="B14" s="40">
        <v>163400</v>
      </c>
      <c r="C14" s="40">
        <v>229530</v>
      </c>
      <c r="D14" s="40">
        <f t="shared" si="18"/>
        <v>-66130</v>
      </c>
      <c r="E14" s="45">
        <v>342000</v>
      </c>
      <c r="F14" s="53">
        <f t="shared" si="0"/>
        <v>-178600</v>
      </c>
      <c r="G14" s="56">
        <f t="shared" si="1"/>
        <v>365940</v>
      </c>
      <c r="H14" s="56">
        <f t="shared" si="9"/>
        <v>-202540</v>
      </c>
      <c r="I14" s="6"/>
      <c r="J14" s="71">
        <f t="shared" si="10"/>
        <v>-0.52222222222222225</v>
      </c>
      <c r="K14" s="54">
        <f t="shared" si="11"/>
        <v>-0.55347871235721702</v>
      </c>
      <c r="L14" s="2"/>
      <c r="M14" s="2"/>
      <c r="S14" s="50"/>
    </row>
    <row r="15" spans="1:19" s="3" customFormat="1" ht="18" customHeight="1" thickBot="1" x14ac:dyDescent="0.25">
      <c r="A15" s="39" t="s">
        <v>8</v>
      </c>
      <c r="B15" s="46">
        <f>SUM(B3:B14)</f>
        <v>2361585</v>
      </c>
      <c r="C15" s="46">
        <f>SUM(C3:C14)</f>
        <v>2592460.0099999998</v>
      </c>
      <c r="D15" s="46">
        <f>SUM(D3:D14)</f>
        <v>-230875.01</v>
      </c>
      <c r="E15" s="47">
        <f>SUM(E3:E14)</f>
        <v>2597340</v>
      </c>
      <c r="F15" s="57">
        <f>B15-E15</f>
        <v>-235755</v>
      </c>
      <c r="G15" s="84">
        <f>E15*1.07</f>
        <v>2779153.8000000003</v>
      </c>
      <c r="H15" s="83">
        <f t="shared" si="2"/>
        <v>-417568.80000000028</v>
      </c>
      <c r="I15" s="6"/>
      <c r="J15" s="85">
        <f>(B15-E15)/E15</f>
        <v>-9.076786250548638E-2</v>
      </c>
      <c r="K15" s="86">
        <f>(B15-G15)/G15</f>
        <v>-0.15025033879017427</v>
      </c>
      <c r="L15" s="2"/>
      <c r="M15" s="2"/>
      <c r="N15" s="50"/>
      <c r="O15" s="50"/>
      <c r="P15" s="50"/>
      <c r="Q15" s="50"/>
      <c r="R15" s="50"/>
      <c r="S15" s="50"/>
    </row>
    <row r="16" spans="1:19" ht="25" customHeight="1" thickBot="1" x14ac:dyDescent="0.25">
      <c r="A16" s="117" t="s">
        <v>4</v>
      </c>
      <c r="B16" s="118"/>
      <c r="C16" s="118"/>
      <c r="D16" s="118"/>
      <c r="E16" s="118"/>
      <c r="F16" s="119"/>
      <c r="G16" s="117" t="s">
        <v>6</v>
      </c>
      <c r="H16" s="118"/>
      <c r="I16" s="118"/>
      <c r="J16" s="118"/>
      <c r="K16" s="119"/>
      <c r="O16" s="1"/>
      <c r="P16" s="1"/>
    </row>
    <row r="17" spans="1:16" s="51" customFormat="1" ht="32" customHeight="1" x14ac:dyDescent="0.2">
      <c r="A17" s="41"/>
      <c r="B17" s="42" t="s">
        <v>52</v>
      </c>
      <c r="C17" s="42" t="s">
        <v>50</v>
      </c>
      <c r="D17" s="42" t="s">
        <v>0</v>
      </c>
      <c r="E17" s="43" t="s">
        <v>1</v>
      </c>
      <c r="F17" s="44" t="s">
        <v>7</v>
      </c>
      <c r="G17" s="42" t="s">
        <v>52</v>
      </c>
      <c r="H17" s="42" t="s">
        <v>50</v>
      </c>
      <c r="I17" s="42" t="s">
        <v>0</v>
      </c>
      <c r="J17" s="43" t="s">
        <v>1</v>
      </c>
      <c r="K17" s="44" t="s">
        <v>7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20</v>
      </c>
      <c r="B18" s="48">
        <v>7</v>
      </c>
      <c r="C18" s="48">
        <v>7</v>
      </c>
      <c r="D18" s="40" t="s">
        <v>37</v>
      </c>
      <c r="E18" s="49">
        <v>0</v>
      </c>
      <c r="F18" s="53">
        <f t="shared" ref="F18:F29" si="19">B18-E18</f>
        <v>7</v>
      </c>
      <c r="G18" s="77">
        <f>B18/217</f>
        <v>3.2258064516129031E-2</v>
      </c>
      <c r="H18" s="77">
        <f>C18/217</f>
        <v>3.2258064516129031E-2</v>
      </c>
      <c r="I18" s="40" t="s">
        <v>37</v>
      </c>
      <c r="J18" s="79">
        <f>E18/217</f>
        <v>0</v>
      </c>
      <c r="K18" s="71">
        <f t="shared" ref="K18:K29" si="20">G18-J18</f>
        <v>3.2258064516129031E-2</v>
      </c>
      <c r="L18" s="50"/>
      <c r="M18" s="116" t="s">
        <v>30</v>
      </c>
      <c r="N18" s="116"/>
      <c r="O18" s="50"/>
      <c r="P18" s="50"/>
    </row>
    <row r="19" spans="1:16" s="51" customFormat="1" ht="18" customHeight="1" x14ac:dyDescent="0.2">
      <c r="A19" s="37" t="s">
        <v>19</v>
      </c>
      <c r="B19" s="48">
        <v>25</v>
      </c>
      <c r="C19" s="48">
        <v>25</v>
      </c>
      <c r="D19" s="40" t="s">
        <v>37</v>
      </c>
      <c r="E19" s="49">
        <v>38</v>
      </c>
      <c r="F19" s="53">
        <f t="shared" ref="F19:F21" si="21">B19-E19</f>
        <v>-13</v>
      </c>
      <c r="G19" s="77">
        <f>B19/210</f>
        <v>0.11904761904761904</v>
      </c>
      <c r="H19" s="77">
        <f>C19/210</f>
        <v>0.11904761904761904</v>
      </c>
      <c r="I19" s="40" t="s">
        <v>37</v>
      </c>
      <c r="J19" s="79">
        <f>E19/210</f>
        <v>0.18095238095238095</v>
      </c>
      <c r="K19" s="71">
        <f t="shared" ref="K19:K21" si="22">G19-J19</f>
        <v>-6.1904761904761907E-2</v>
      </c>
      <c r="L19" s="50"/>
      <c r="M19" s="50">
        <v>28</v>
      </c>
      <c r="N19" s="50">
        <f>M19*7</f>
        <v>196</v>
      </c>
      <c r="O19" s="50"/>
      <c r="P19" s="50"/>
    </row>
    <row r="20" spans="1:16" s="51" customFormat="1" ht="18" customHeight="1" x14ac:dyDescent="0.2">
      <c r="A20" s="37" t="s">
        <v>18</v>
      </c>
      <c r="B20" s="48">
        <v>25</v>
      </c>
      <c r="C20" s="48">
        <v>25</v>
      </c>
      <c r="D20" s="40" t="s">
        <v>37</v>
      </c>
      <c r="E20" s="49">
        <v>17</v>
      </c>
      <c r="F20" s="53">
        <f t="shared" si="21"/>
        <v>8</v>
      </c>
      <c r="G20" s="77">
        <f>B20/217</f>
        <v>0.1152073732718894</v>
      </c>
      <c r="H20" s="77">
        <f>C20/217</f>
        <v>0.1152073732718894</v>
      </c>
      <c r="I20" s="40" t="s">
        <v>37</v>
      </c>
      <c r="J20" s="79">
        <f>E20/217</f>
        <v>7.8341013824884786E-2</v>
      </c>
      <c r="K20" s="71">
        <f t="shared" si="22"/>
        <v>3.6866359447004615E-2</v>
      </c>
      <c r="L20" s="50"/>
      <c r="M20" s="50">
        <v>29</v>
      </c>
      <c r="N20" s="50">
        <f t="shared" ref="N20:N22" si="23">M20*7</f>
        <v>203</v>
      </c>
      <c r="O20" s="50"/>
      <c r="P20" s="50"/>
    </row>
    <row r="21" spans="1:16" s="51" customFormat="1" ht="18" customHeight="1" x14ac:dyDescent="0.2">
      <c r="A21" s="37" t="s">
        <v>17</v>
      </c>
      <c r="B21" s="48">
        <v>25</v>
      </c>
      <c r="C21" s="48">
        <v>25</v>
      </c>
      <c r="D21" s="40" t="s">
        <v>37</v>
      </c>
      <c r="E21" s="49">
        <v>23</v>
      </c>
      <c r="F21" s="53">
        <f t="shared" si="21"/>
        <v>2</v>
      </c>
      <c r="G21" s="77">
        <f>B21/210</f>
        <v>0.11904761904761904</v>
      </c>
      <c r="H21" s="77">
        <f>C21/210</f>
        <v>0.11904761904761904</v>
      </c>
      <c r="I21" s="40" t="s">
        <v>37</v>
      </c>
      <c r="J21" s="79">
        <f>E21/210</f>
        <v>0.10952380952380952</v>
      </c>
      <c r="K21" s="71">
        <f t="shared" si="22"/>
        <v>9.5238095238095177E-3</v>
      </c>
      <c r="L21" s="50"/>
      <c r="M21" s="50">
        <v>30</v>
      </c>
      <c r="N21" s="50">
        <f t="shared" si="23"/>
        <v>210</v>
      </c>
      <c r="O21" s="50"/>
      <c r="P21" s="50"/>
    </row>
    <row r="22" spans="1:16" s="51" customFormat="1" ht="18" customHeight="1" x14ac:dyDescent="0.2">
      <c r="A22" s="37" t="s">
        <v>16</v>
      </c>
      <c r="B22" s="48">
        <v>50</v>
      </c>
      <c r="C22" s="48">
        <v>50</v>
      </c>
      <c r="D22" s="40">
        <f t="shared" ref="D22:D25" si="24">B22-C22</f>
        <v>0</v>
      </c>
      <c r="E22" s="49">
        <v>34</v>
      </c>
      <c r="F22" s="53">
        <f t="shared" si="19"/>
        <v>16</v>
      </c>
      <c r="G22" s="77">
        <f t="shared" ref="G22:H25" si="25">B22/217</f>
        <v>0.2304147465437788</v>
      </c>
      <c r="H22" s="77">
        <f t="shared" si="25"/>
        <v>0.2304147465437788</v>
      </c>
      <c r="I22" s="61">
        <f t="shared" ref="I22:I25" si="26">G22-H22</f>
        <v>0</v>
      </c>
      <c r="J22" s="79">
        <f t="shared" ref="J22:J25" si="27">E22/217</f>
        <v>0.15668202764976957</v>
      </c>
      <c r="K22" s="71">
        <f t="shared" si="20"/>
        <v>7.373271889400923E-2</v>
      </c>
      <c r="L22" s="50"/>
      <c r="M22" s="50">
        <v>31</v>
      </c>
      <c r="N22" s="50">
        <f t="shared" si="23"/>
        <v>217</v>
      </c>
      <c r="O22" s="50"/>
      <c r="P22" s="50"/>
    </row>
    <row r="23" spans="1:16" s="51" customFormat="1" ht="18" customHeight="1" x14ac:dyDescent="0.2">
      <c r="A23" s="37" t="s">
        <v>2</v>
      </c>
      <c r="B23" s="48">
        <v>20</v>
      </c>
      <c r="C23" s="48">
        <v>30</v>
      </c>
      <c r="D23" s="40">
        <f t="shared" si="24"/>
        <v>-10</v>
      </c>
      <c r="E23" s="49">
        <v>16</v>
      </c>
      <c r="F23" s="53">
        <f t="shared" si="19"/>
        <v>4</v>
      </c>
      <c r="G23" s="77">
        <f t="shared" si="25"/>
        <v>9.2165898617511524E-2</v>
      </c>
      <c r="H23" s="77">
        <f t="shared" si="25"/>
        <v>0.13824884792626729</v>
      </c>
      <c r="I23" s="61">
        <f t="shared" si="26"/>
        <v>-4.6082949308755769E-2</v>
      </c>
      <c r="J23" s="79">
        <f t="shared" si="27"/>
        <v>7.3732718894009217E-2</v>
      </c>
      <c r="K23" s="71">
        <f t="shared" si="20"/>
        <v>1.8433179723502308E-2</v>
      </c>
      <c r="L23" s="50"/>
      <c r="O23" s="50"/>
      <c r="P23" s="50"/>
    </row>
    <row r="24" spans="1:16" s="51" customFormat="1" ht="18" customHeight="1" x14ac:dyDescent="0.2">
      <c r="A24" s="37" t="s">
        <v>3</v>
      </c>
      <c r="B24" s="48">
        <v>10</v>
      </c>
      <c r="C24" s="48">
        <v>11</v>
      </c>
      <c r="D24" s="40">
        <f t="shared" si="24"/>
        <v>-1</v>
      </c>
      <c r="E24" s="49">
        <v>19</v>
      </c>
      <c r="F24" s="53">
        <f t="shared" si="19"/>
        <v>-9</v>
      </c>
      <c r="G24" s="77">
        <f>B24/210</f>
        <v>4.7619047619047616E-2</v>
      </c>
      <c r="H24" s="77">
        <f>C24/210</f>
        <v>5.2380952380952382E-2</v>
      </c>
      <c r="I24" s="61">
        <f t="shared" si="26"/>
        <v>-4.7619047619047658E-3</v>
      </c>
      <c r="J24" s="79">
        <f>E24/210</f>
        <v>9.0476190476190474E-2</v>
      </c>
      <c r="K24" s="71">
        <f t="shared" si="20"/>
        <v>-4.2857142857142858E-2</v>
      </c>
      <c r="L24" s="50"/>
      <c r="O24" s="50"/>
      <c r="P24" s="50"/>
    </row>
    <row r="25" spans="1:16" s="51" customFormat="1" ht="18" customHeight="1" x14ac:dyDescent="0.2">
      <c r="A25" s="37" t="s">
        <v>15</v>
      </c>
      <c r="B25" s="48">
        <v>6</v>
      </c>
      <c r="C25" s="48">
        <v>6</v>
      </c>
      <c r="D25" s="40">
        <f t="shared" si="24"/>
        <v>0</v>
      </c>
      <c r="E25" s="49">
        <v>16</v>
      </c>
      <c r="F25" s="53">
        <f t="shared" si="19"/>
        <v>-10</v>
      </c>
      <c r="G25" s="77">
        <f t="shared" si="25"/>
        <v>2.7649769585253458E-2</v>
      </c>
      <c r="H25" s="77">
        <f t="shared" si="25"/>
        <v>2.7649769585253458E-2</v>
      </c>
      <c r="I25" s="61">
        <f t="shared" si="26"/>
        <v>0</v>
      </c>
      <c r="J25" s="79">
        <f t="shared" si="27"/>
        <v>7.3732718894009217E-2</v>
      </c>
      <c r="K25" s="71">
        <f t="shared" si="20"/>
        <v>-4.6082949308755755E-2</v>
      </c>
      <c r="L25" s="50"/>
      <c r="O25" s="50"/>
      <c r="P25" s="50"/>
    </row>
    <row r="26" spans="1:16" s="51" customFormat="1" ht="18" customHeight="1" x14ac:dyDescent="0.2">
      <c r="A26" s="37" t="s">
        <v>14</v>
      </c>
      <c r="B26" s="48">
        <v>6</v>
      </c>
      <c r="C26" s="48">
        <v>7</v>
      </c>
      <c r="D26" s="40">
        <f t="shared" ref="D26" si="28">B26-C26</f>
        <v>-1</v>
      </c>
      <c r="E26" s="49">
        <v>6</v>
      </c>
      <c r="F26" s="53">
        <f t="shared" ref="F26:F27" si="29">B26-E26</f>
        <v>0</v>
      </c>
      <c r="G26" s="77">
        <f>B26/210</f>
        <v>2.8571428571428571E-2</v>
      </c>
      <c r="H26" s="77">
        <f>C26/210</f>
        <v>3.3333333333333333E-2</v>
      </c>
      <c r="I26" s="61">
        <f t="shared" ref="I26" si="30">G26-H26</f>
        <v>-4.7619047619047623E-3</v>
      </c>
      <c r="J26" s="79">
        <f>E26/210</f>
        <v>2.8571428571428571E-2</v>
      </c>
      <c r="K26" s="71">
        <f t="shared" ref="K26:K27" si="31">G26-J26</f>
        <v>0</v>
      </c>
      <c r="L26" s="50"/>
      <c r="M26" s="50"/>
      <c r="N26" s="50"/>
      <c r="O26" s="50"/>
      <c r="P26" s="50"/>
    </row>
    <row r="27" spans="1:16" s="51" customFormat="1" ht="18" customHeight="1" x14ac:dyDescent="0.2">
      <c r="A27" s="37" t="s">
        <v>13</v>
      </c>
      <c r="B27" s="48">
        <v>78</v>
      </c>
      <c r="C27" s="48">
        <v>72</v>
      </c>
      <c r="D27" s="40">
        <f>B27-C27</f>
        <v>6</v>
      </c>
      <c r="E27" s="49">
        <v>9</v>
      </c>
      <c r="F27" s="53">
        <f t="shared" si="29"/>
        <v>69</v>
      </c>
      <c r="G27" s="77">
        <f>B27/217</f>
        <v>0.35944700460829493</v>
      </c>
      <c r="H27" s="77">
        <f>C27/217</f>
        <v>0.33179723502304148</v>
      </c>
      <c r="I27" s="61">
        <f>G27-H27</f>
        <v>2.7649769585253448E-2</v>
      </c>
      <c r="J27" s="79">
        <f>E27/217</f>
        <v>4.1474654377880185E-2</v>
      </c>
      <c r="K27" s="71">
        <f t="shared" si="31"/>
        <v>0.31797235023041476</v>
      </c>
      <c r="L27" s="50"/>
      <c r="M27" s="50"/>
      <c r="N27" s="50"/>
      <c r="O27" s="50"/>
      <c r="P27" s="50"/>
    </row>
    <row r="28" spans="1:16" s="51" customFormat="1" ht="18" customHeight="1" x14ac:dyDescent="0.2">
      <c r="A28" s="37" t="s">
        <v>22</v>
      </c>
      <c r="B28" s="48">
        <v>21</v>
      </c>
      <c r="C28" s="48">
        <v>21</v>
      </c>
      <c r="D28" s="40">
        <f>B28-C28</f>
        <v>0</v>
      </c>
      <c r="E28" s="49">
        <v>9</v>
      </c>
      <c r="F28" s="53">
        <f t="shared" ref="F28" si="32">B28-E28</f>
        <v>12</v>
      </c>
      <c r="G28" s="77">
        <f>B28/217</f>
        <v>9.6774193548387094E-2</v>
      </c>
      <c r="H28" s="77">
        <f>C28/217</f>
        <v>9.6774193548387094E-2</v>
      </c>
      <c r="I28" s="61">
        <f t="shared" ref="I28:I29" si="33">G28-H28</f>
        <v>0</v>
      </c>
      <c r="J28" s="79">
        <f>E28/217</f>
        <v>4.1474654377880185E-2</v>
      </c>
      <c r="K28" s="71">
        <f t="shared" ref="K28" si="34">G28-J28</f>
        <v>5.5299539170506909E-2</v>
      </c>
      <c r="L28" s="50"/>
      <c r="M28" s="50"/>
      <c r="N28" s="50"/>
      <c r="O28" s="50"/>
      <c r="P28" s="50"/>
    </row>
    <row r="29" spans="1:16" s="51" customFormat="1" ht="18" customHeight="1" x14ac:dyDescent="0.2">
      <c r="A29" s="38" t="s">
        <v>21</v>
      </c>
      <c r="B29" s="112">
        <v>15</v>
      </c>
      <c r="C29" s="112">
        <v>40</v>
      </c>
      <c r="D29" s="58">
        <f>B29-C29</f>
        <v>-25</v>
      </c>
      <c r="E29" s="113">
        <v>28</v>
      </c>
      <c r="F29" s="55">
        <f t="shared" si="19"/>
        <v>-13</v>
      </c>
      <c r="G29" s="78">
        <f>B29/196</f>
        <v>7.6530612244897961E-2</v>
      </c>
      <c r="H29" s="78">
        <f>C29/196</f>
        <v>0.20408163265306123</v>
      </c>
      <c r="I29" s="60">
        <f t="shared" si="33"/>
        <v>-0.12755102040816327</v>
      </c>
      <c r="J29" s="80">
        <f>E29/196</f>
        <v>0.14285714285714285</v>
      </c>
      <c r="K29" s="72">
        <f t="shared" si="20"/>
        <v>-6.6326530612244888E-2</v>
      </c>
      <c r="L29" s="50"/>
      <c r="M29" s="50"/>
      <c r="N29" s="50"/>
      <c r="O29" s="50"/>
      <c r="P29" s="50"/>
    </row>
    <row r="30" spans="1:16" s="51" customFormat="1" ht="18" hidden="1" customHeight="1" x14ac:dyDescent="0.2">
      <c r="A30" s="103"/>
      <c r="B30" s="108"/>
      <c r="C30" s="108"/>
      <c r="D30" s="109"/>
      <c r="E30" s="108"/>
      <c r="F30" s="109"/>
      <c r="G30" s="109"/>
      <c r="H30" s="110"/>
      <c r="I30" s="111"/>
      <c r="J30" s="110"/>
      <c r="K30" s="111"/>
      <c r="L30" s="50"/>
      <c r="M30" s="50"/>
      <c r="N30" s="50"/>
      <c r="O30" s="50"/>
      <c r="P30" s="50"/>
    </row>
    <row r="31" spans="1:16" s="51" customFormat="1" ht="18" hidden="1" customHeight="1" x14ac:dyDescent="0.2">
      <c r="A31" s="103"/>
      <c r="B31" s="108"/>
      <c r="C31" s="108"/>
      <c r="D31" s="109"/>
      <c r="E31" s="108"/>
      <c r="F31" s="109"/>
      <c r="G31" s="110"/>
      <c r="H31" s="110"/>
      <c r="I31" s="111"/>
      <c r="J31" s="110"/>
      <c r="K31" s="111"/>
      <c r="L31" s="50"/>
      <c r="M31" s="50"/>
      <c r="N31" s="50"/>
      <c r="O31" s="50"/>
      <c r="P31" s="50"/>
    </row>
    <row r="32" spans="1:16" s="51" customFormat="1" ht="18" hidden="1" customHeight="1" x14ac:dyDescent="0.2">
      <c r="A32" s="103"/>
      <c r="B32" s="108"/>
      <c r="C32" s="108"/>
      <c r="D32" s="109"/>
      <c r="E32" s="108"/>
      <c r="F32" s="109"/>
      <c r="G32" s="110"/>
      <c r="H32" s="110"/>
      <c r="I32" s="111"/>
      <c r="J32" s="110"/>
      <c r="K32" s="111"/>
      <c r="L32" s="50"/>
      <c r="M32" s="50"/>
      <c r="N32" s="50"/>
      <c r="O32" s="50"/>
      <c r="P32" s="50"/>
    </row>
    <row r="33" spans="1:16" s="51" customFormat="1" ht="18" hidden="1" customHeight="1" x14ac:dyDescent="0.2">
      <c r="A33" s="103"/>
      <c r="B33" s="108"/>
      <c r="C33" s="108"/>
      <c r="D33" s="109"/>
      <c r="E33" s="108"/>
      <c r="F33" s="109"/>
      <c r="G33" s="110"/>
      <c r="H33" s="110"/>
      <c r="I33" s="111"/>
      <c r="J33" s="110"/>
      <c r="K33" s="111"/>
      <c r="L33" s="50"/>
      <c r="M33" s="50"/>
      <c r="N33" s="50"/>
      <c r="O33" s="50"/>
      <c r="P33" s="50"/>
    </row>
    <row r="34" spans="1:16" s="51" customFormat="1" ht="18" hidden="1" customHeight="1" x14ac:dyDescent="0.2">
      <c r="A34" s="103"/>
      <c r="B34" s="108"/>
      <c r="C34" s="108"/>
      <c r="D34" s="109"/>
      <c r="E34" s="108"/>
      <c r="F34" s="109"/>
      <c r="G34" s="110"/>
      <c r="H34" s="110"/>
      <c r="I34" s="111"/>
      <c r="J34" s="110"/>
      <c r="K34" s="111"/>
      <c r="L34" s="50"/>
      <c r="M34" s="50"/>
      <c r="N34" s="50"/>
      <c r="O34" s="50"/>
      <c r="P34" s="50"/>
    </row>
    <row r="35" spans="1:16" s="51" customFormat="1" ht="18" hidden="1" customHeight="1" x14ac:dyDescent="0.2">
      <c r="A35" s="103"/>
      <c r="B35" s="108"/>
      <c r="C35" s="108"/>
      <c r="D35" s="109"/>
      <c r="E35" s="108"/>
      <c r="F35" s="109"/>
      <c r="G35" s="110"/>
      <c r="H35" s="110"/>
      <c r="I35" s="111"/>
      <c r="J35" s="110"/>
      <c r="K35" s="111"/>
      <c r="L35" s="50"/>
      <c r="M35" s="50"/>
      <c r="N35" s="50"/>
      <c r="O35" s="50"/>
      <c r="P35" s="50"/>
    </row>
    <row r="36" spans="1:16" s="51" customFormat="1" ht="18" hidden="1" customHeight="1" x14ac:dyDescent="0.2">
      <c r="A36" s="103"/>
      <c r="B36" s="108"/>
      <c r="C36" s="108"/>
      <c r="D36" s="109"/>
      <c r="E36" s="108"/>
      <c r="F36" s="109"/>
      <c r="G36" s="110"/>
      <c r="H36" s="110"/>
      <c r="I36" s="111"/>
      <c r="J36" s="110"/>
      <c r="K36" s="111"/>
      <c r="L36" s="50"/>
      <c r="M36" s="50"/>
      <c r="N36" s="50"/>
      <c r="O36" s="50"/>
      <c r="P36" s="50"/>
    </row>
    <row r="37" spans="1:16" s="51" customFormat="1" ht="18" hidden="1" customHeight="1" x14ac:dyDescent="0.2">
      <c r="A37" s="103"/>
      <c r="B37" s="108"/>
      <c r="C37" s="108"/>
      <c r="D37" s="109"/>
      <c r="E37" s="108"/>
      <c r="F37" s="109"/>
      <c r="G37" s="110"/>
      <c r="H37" s="110"/>
      <c r="I37" s="111"/>
      <c r="J37" s="110"/>
      <c r="K37" s="111"/>
      <c r="L37" s="50"/>
      <c r="M37" s="50"/>
      <c r="N37" s="50"/>
      <c r="O37" s="50"/>
      <c r="P37" s="50"/>
    </row>
    <row r="38" spans="1:16" s="51" customFormat="1" ht="18" hidden="1" customHeight="1" x14ac:dyDescent="0.2">
      <c r="A38" s="103"/>
      <c r="B38" s="108"/>
      <c r="C38" s="108"/>
      <c r="D38" s="109"/>
      <c r="E38" s="108"/>
      <c r="F38" s="109"/>
      <c r="G38" s="110"/>
      <c r="H38" s="110"/>
      <c r="I38" s="111"/>
      <c r="J38" s="110"/>
      <c r="K38" s="111"/>
      <c r="L38" s="50"/>
      <c r="M38" s="50"/>
      <c r="N38" s="50"/>
      <c r="O38" s="50"/>
      <c r="P38" s="50"/>
    </row>
    <row r="39" spans="1:16" s="51" customFormat="1" ht="18" hidden="1" customHeight="1" x14ac:dyDescent="0.2">
      <c r="A39" s="103"/>
      <c r="B39" s="108"/>
      <c r="C39" s="108"/>
      <c r="D39" s="109"/>
      <c r="E39" s="108"/>
      <c r="F39" s="109"/>
      <c r="G39" s="110"/>
      <c r="H39" s="110"/>
      <c r="I39" s="111"/>
      <c r="J39" s="110"/>
      <c r="K39" s="111"/>
      <c r="L39" s="50"/>
      <c r="M39" s="50"/>
      <c r="N39" s="50"/>
      <c r="O39" s="50"/>
      <c r="P39" s="50"/>
    </row>
    <row r="40" spans="1:16" s="51" customFormat="1" ht="18" hidden="1" customHeight="1" x14ac:dyDescent="0.2">
      <c r="A40" s="103"/>
      <c r="B40" s="108"/>
      <c r="C40" s="108"/>
      <c r="D40" s="109"/>
      <c r="E40" s="108"/>
      <c r="F40" s="109"/>
      <c r="G40" s="110"/>
      <c r="H40" s="110"/>
      <c r="I40" s="111"/>
      <c r="J40" s="110"/>
      <c r="K40" s="111"/>
      <c r="L40" s="50"/>
      <c r="M40" s="50"/>
      <c r="N40" s="50"/>
      <c r="O40" s="50"/>
      <c r="P40" s="50"/>
    </row>
    <row r="41" spans="1:16" s="51" customFormat="1" ht="18" hidden="1" customHeight="1" x14ac:dyDescent="0.2">
      <c r="A41" s="103"/>
      <c r="B41" s="108"/>
      <c r="C41" s="108"/>
      <c r="D41" s="109"/>
      <c r="E41" s="108"/>
      <c r="F41" s="109"/>
      <c r="G41" s="110"/>
      <c r="H41" s="110"/>
      <c r="I41" s="111"/>
      <c r="J41" s="110"/>
      <c r="K41" s="111"/>
      <c r="L41" s="50"/>
      <c r="M41" s="50"/>
      <c r="N41" s="50"/>
      <c r="O41" s="50"/>
      <c r="P41" s="50"/>
    </row>
    <row r="42" spans="1:16" s="51" customFormat="1" ht="18" hidden="1" customHeight="1" x14ac:dyDescent="0.2">
      <c r="A42" s="103"/>
      <c r="B42" s="108"/>
      <c r="C42" s="108"/>
      <c r="D42" s="109"/>
      <c r="E42" s="108"/>
      <c r="F42" s="109"/>
      <c r="G42" s="110"/>
      <c r="H42" s="110"/>
      <c r="I42" s="111"/>
      <c r="J42" s="110"/>
      <c r="K42" s="111"/>
      <c r="L42" s="50"/>
      <c r="M42" s="50"/>
      <c r="N42" s="50"/>
      <c r="O42" s="50"/>
      <c r="P42" s="50"/>
    </row>
    <row r="43" spans="1:16" s="51" customFormat="1" ht="18" hidden="1" customHeight="1" thickBot="1" x14ac:dyDescent="0.25">
      <c r="A43" s="103"/>
      <c r="B43" s="108"/>
      <c r="C43" s="108"/>
      <c r="D43" s="109"/>
      <c r="E43" s="108"/>
      <c r="F43" s="109"/>
      <c r="G43" s="110"/>
      <c r="H43" s="110"/>
      <c r="I43" s="111"/>
      <c r="J43" s="110"/>
      <c r="K43" s="111"/>
      <c r="L43" s="50"/>
      <c r="M43" s="50"/>
      <c r="N43" s="50"/>
      <c r="O43" s="50"/>
      <c r="P43" s="50"/>
    </row>
    <row r="44" spans="1:16" ht="25" customHeight="1" thickBot="1" x14ac:dyDescent="0.25">
      <c r="A44" s="117" t="s">
        <v>5</v>
      </c>
      <c r="B44" s="118"/>
      <c r="C44" s="118"/>
      <c r="D44" s="118"/>
      <c r="E44" s="118"/>
      <c r="F44" s="118"/>
      <c r="G44" s="119"/>
      <c r="H44" s="1"/>
      <c r="I44" s="1"/>
      <c r="J44"/>
      <c r="K44"/>
      <c r="L44"/>
      <c r="M44"/>
      <c r="N44"/>
    </row>
    <row r="45" spans="1:16" s="51" customFormat="1" ht="32" customHeight="1" x14ac:dyDescent="0.2">
      <c r="A45" s="42"/>
      <c r="B45" s="42" t="s">
        <v>52</v>
      </c>
      <c r="C45" s="42" t="s">
        <v>50</v>
      </c>
      <c r="D45" s="42" t="s">
        <v>0</v>
      </c>
      <c r="E45" s="43" t="s">
        <v>1</v>
      </c>
      <c r="F45" s="114" t="s">
        <v>7</v>
      </c>
      <c r="G45" s="115"/>
      <c r="H45" s="50"/>
      <c r="I45" s="50"/>
    </row>
    <row r="46" spans="1:16" s="51" customFormat="1" ht="18" customHeight="1" x14ac:dyDescent="0.2">
      <c r="A46" s="37" t="s">
        <v>20</v>
      </c>
      <c r="B46" s="40">
        <f t="shared" ref="B46:C55" si="35">B3/B18</f>
        <v>3528.5714285714284</v>
      </c>
      <c r="C46" s="40">
        <f t="shared" si="35"/>
        <v>3528.5714285714284</v>
      </c>
      <c r="D46" s="40" t="s">
        <v>37</v>
      </c>
      <c r="E46" s="53">
        <v>0</v>
      </c>
      <c r="F46" s="53">
        <f t="shared" ref="F46:F57" si="36">B46-E46</f>
        <v>3528.5714285714284</v>
      </c>
      <c r="G46" s="70" t="s">
        <v>37</v>
      </c>
      <c r="H46" s="7"/>
      <c r="I46" s="50"/>
    </row>
    <row r="47" spans="1:16" s="51" customFormat="1" ht="18" customHeight="1" x14ac:dyDescent="0.2">
      <c r="A47" s="37" t="s">
        <v>19</v>
      </c>
      <c r="B47" s="40">
        <f t="shared" si="35"/>
        <v>4452</v>
      </c>
      <c r="C47" s="40">
        <f t="shared" si="35"/>
        <v>4452</v>
      </c>
      <c r="D47" s="40" t="s">
        <v>37</v>
      </c>
      <c r="E47" s="53">
        <f t="shared" ref="E47:E57" si="37">E4/E19</f>
        <v>6450</v>
      </c>
      <c r="F47" s="53">
        <f t="shared" ref="F47:F49" si="38">B47-E47</f>
        <v>-1998</v>
      </c>
      <c r="G47" s="71">
        <f t="shared" ref="G47:G49" si="39">(B47-E47)/E47</f>
        <v>-0.30976744186046512</v>
      </c>
      <c r="H47" s="7"/>
      <c r="I47" s="50"/>
    </row>
    <row r="48" spans="1:16" s="51" customFormat="1" ht="18" customHeight="1" x14ac:dyDescent="0.2">
      <c r="A48" s="37" t="s">
        <v>18</v>
      </c>
      <c r="B48" s="40">
        <f t="shared" si="35"/>
        <v>2735</v>
      </c>
      <c r="C48" s="40">
        <f t="shared" si="35"/>
        <v>2735</v>
      </c>
      <c r="D48" s="40" t="s">
        <v>37</v>
      </c>
      <c r="E48" s="53">
        <f t="shared" si="37"/>
        <v>5735.2941176470586</v>
      </c>
      <c r="F48" s="53">
        <f t="shared" si="38"/>
        <v>-3000.2941176470586</v>
      </c>
      <c r="G48" s="71">
        <f t="shared" si="39"/>
        <v>-0.52312820512820513</v>
      </c>
      <c r="H48" s="7"/>
      <c r="I48" s="50"/>
    </row>
    <row r="49" spans="1:13" s="51" customFormat="1" ht="18" customHeight="1" x14ac:dyDescent="0.2">
      <c r="A49" s="37" t="s">
        <v>17</v>
      </c>
      <c r="B49" s="40">
        <f t="shared" si="35"/>
        <v>4580</v>
      </c>
      <c r="C49" s="40">
        <f t="shared" si="35"/>
        <v>4580</v>
      </c>
      <c r="D49" s="40" t="s">
        <v>37</v>
      </c>
      <c r="E49" s="53">
        <f t="shared" si="37"/>
        <v>6428.260869565217</v>
      </c>
      <c r="F49" s="53">
        <f t="shared" si="38"/>
        <v>-1848.260869565217</v>
      </c>
      <c r="G49" s="71">
        <f t="shared" si="39"/>
        <v>-0.28752113628677711</v>
      </c>
      <c r="H49" s="7"/>
      <c r="I49" s="50"/>
    </row>
    <row r="50" spans="1:13" s="51" customFormat="1" ht="18" customHeight="1" x14ac:dyDescent="0.2">
      <c r="A50" s="37" t="s">
        <v>16</v>
      </c>
      <c r="B50" s="40">
        <f t="shared" si="35"/>
        <v>10642.9</v>
      </c>
      <c r="C50" s="40">
        <f t="shared" si="35"/>
        <v>10642.9</v>
      </c>
      <c r="D50" s="40">
        <f t="shared" ref="D50:D54" si="40">B50-C50</f>
        <v>0</v>
      </c>
      <c r="E50" s="53">
        <f t="shared" si="37"/>
        <v>22852.205882352941</v>
      </c>
      <c r="F50" s="53">
        <f t="shared" si="36"/>
        <v>-12209.305882352941</v>
      </c>
      <c r="G50" s="71">
        <f t="shared" ref="G50:G57" si="41">(B50-E50)/E50</f>
        <v>-0.53427253129122554</v>
      </c>
      <c r="H50" s="7"/>
      <c r="I50" s="50"/>
    </row>
    <row r="51" spans="1:13" s="51" customFormat="1" ht="18" customHeight="1" x14ac:dyDescent="0.2">
      <c r="A51" s="37" t="s">
        <v>2</v>
      </c>
      <c r="B51" s="40">
        <f t="shared" si="35"/>
        <v>9585.25</v>
      </c>
      <c r="C51" s="40">
        <f t="shared" si="35"/>
        <v>10477.666999999999</v>
      </c>
      <c r="D51" s="40">
        <f t="shared" si="40"/>
        <v>-892.41699999999946</v>
      </c>
      <c r="E51" s="53">
        <f t="shared" si="37"/>
        <v>12346.875</v>
      </c>
      <c r="F51" s="53">
        <f t="shared" si="36"/>
        <v>-2761.625</v>
      </c>
      <c r="G51" s="71">
        <f t="shared" si="41"/>
        <v>-0.22366995697291825</v>
      </c>
      <c r="H51" s="7"/>
      <c r="I51" s="50"/>
    </row>
    <row r="52" spans="1:13" s="51" customFormat="1" ht="18" customHeight="1" x14ac:dyDescent="0.2">
      <c r="A52" s="37" t="s">
        <v>3</v>
      </c>
      <c r="B52" s="40">
        <f t="shared" si="35"/>
        <v>10800</v>
      </c>
      <c r="C52" s="40">
        <f t="shared" si="35"/>
        <v>9309.0909090909099</v>
      </c>
      <c r="D52" s="40">
        <f t="shared" si="40"/>
        <v>1490.9090909090901</v>
      </c>
      <c r="E52" s="53">
        <f t="shared" si="37"/>
        <v>15052.631578947368</v>
      </c>
      <c r="F52" s="53">
        <f t="shared" si="36"/>
        <v>-4252.6315789473683</v>
      </c>
      <c r="G52" s="71">
        <f t="shared" si="41"/>
        <v>-0.28251748251748249</v>
      </c>
      <c r="H52" s="7"/>
      <c r="I52" s="50"/>
    </row>
    <row r="53" spans="1:13" s="51" customFormat="1" ht="18" customHeight="1" x14ac:dyDescent="0.2">
      <c r="A53" s="37" t="s">
        <v>15</v>
      </c>
      <c r="B53" s="40">
        <f t="shared" si="35"/>
        <v>8900</v>
      </c>
      <c r="C53" s="40">
        <f t="shared" si="35"/>
        <v>16100</v>
      </c>
      <c r="D53" s="40">
        <f t="shared" si="40"/>
        <v>-7200</v>
      </c>
      <c r="E53" s="53">
        <f t="shared" si="37"/>
        <v>23215</v>
      </c>
      <c r="F53" s="53">
        <f t="shared" si="36"/>
        <v>-14315</v>
      </c>
      <c r="G53" s="71">
        <f t="shared" si="41"/>
        <v>-0.61662718070213229</v>
      </c>
      <c r="H53" s="7"/>
      <c r="I53" s="50"/>
    </row>
    <row r="54" spans="1:13" s="51" customFormat="1" ht="18" customHeight="1" x14ac:dyDescent="0.2">
      <c r="A54" s="37" t="s">
        <v>14</v>
      </c>
      <c r="B54" s="40">
        <f t="shared" si="35"/>
        <v>10850</v>
      </c>
      <c r="C54" s="40">
        <f t="shared" si="35"/>
        <v>10857.142857142857</v>
      </c>
      <c r="D54" s="40">
        <f t="shared" si="40"/>
        <v>-7.142857142856883</v>
      </c>
      <c r="E54" s="53">
        <f t="shared" si="37"/>
        <v>5237.5</v>
      </c>
      <c r="F54" s="53">
        <f t="shared" si="36"/>
        <v>5612.5</v>
      </c>
      <c r="G54" s="71">
        <f t="shared" si="41"/>
        <v>1.071599045346062</v>
      </c>
      <c r="H54" s="7"/>
      <c r="I54" s="50"/>
    </row>
    <row r="55" spans="1:13" s="51" customFormat="1" ht="18" customHeight="1" x14ac:dyDescent="0.2">
      <c r="A55" s="37" t="s">
        <v>13</v>
      </c>
      <c r="B55" s="40">
        <f t="shared" si="35"/>
        <v>9384.3589743589746</v>
      </c>
      <c r="C55" s="40">
        <f t="shared" si="35"/>
        <v>10077.777777777777</v>
      </c>
      <c r="D55" s="40">
        <f t="shared" ref="D55:D57" si="42">B55-C55</f>
        <v>-693.41880341880278</v>
      </c>
      <c r="E55" s="53">
        <f t="shared" si="37"/>
        <v>3522.2222222222222</v>
      </c>
      <c r="F55" s="53">
        <f t="shared" ref="F55:F56" si="43">B55-E55</f>
        <v>5862.136752136752</v>
      </c>
      <c r="G55" s="71">
        <f t="shared" ref="G55:G56" si="44">(B55-E55)/E55</f>
        <v>1.6643290463479739</v>
      </c>
      <c r="H55" s="7"/>
      <c r="I55" s="50"/>
    </row>
    <row r="56" spans="1:13" s="51" customFormat="1" ht="18" customHeight="1" x14ac:dyDescent="0.2">
      <c r="A56" s="37" t="s">
        <v>22</v>
      </c>
      <c r="B56" s="40">
        <f>B13/B28</f>
        <v>9380</v>
      </c>
      <c r="C56" s="40">
        <f>C13/C28</f>
        <v>9380</v>
      </c>
      <c r="D56" s="40">
        <f t="shared" si="42"/>
        <v>0</v>
      </c>
      <c r="E56" s="53">
        <f t="shared" si="37"/>
        <v>7755.5555555555557</v>
      </c>
      <c r="F56" s="53">
        <f t="shared" si="43"/>
        <v>1624.4444444444443</v>
      </c>
      <c r="G56" s="71">
        <f t="shared" si="44"/>
        <v>0.20945558739255013</v>
      </c>
      <c r="H56" s="7"/>
      <c r="I56" s="50"/>
    </row>
    <row r="57" spans="1:13" s="51" customFormat="1" ht="18" customHeight="1" x14ac:dyDescent="0.2">
      <c r="A57" s="38" t="s">
        <v>21</v>
      </c>
      <c r="B57" s="58">
        <f>B14/B29</f>
        <v>10893.333333333334</v>
      </c>
      <c r="C57" s="58">
        <f>C14/C29</f>
        <v>5738.25</v>
      </c>
      <c r="D57" s="58">
        <f t="shared" si="42"/>
        <v>5155.0833333333339</v>
      </c>
      <c r="E57" s="55">
        <f t="shared" si="37"/>
        <v>12214.285714285714</v>
      </c>
      <c r="F57" s="55">
        <f t="shared" si="36"/>
        <v>-1320.9523809523798</v>
      </c>
      <c r="G57" s="72">
        <f t="shared" si="41"/>
        <v>-0.10814814814814806</v>
      </c>
      <c r="H57" s="7"/>
      <c r="I57" s="50"/>
    </row>
    <row r="58" spans="1:13" x14ac:dyDescent="0.2">
      <c r="M58" s="76"/>
    </row>
  </sheetData>
  <mergeCells count="6">
    <mergeCell ref="F45:G45"/>
    <mergeCell ref="M18:N18"/>
    <mergeCell ref="A16:F16"/>
    <mergeCell ref="G16:K16"/>
    <mergeCell ref="A1:K1"/>
    <mergeCell ref="A44:G44"/>
  </mergeCells>
  <conditionalFormatting sqref="F3:F15 H3:H15 J4:K15 D7:D15 F18:F43 K18:K43 D22:D43 I22:I43 G30">
    <cfRule type="cellIs" dxfId="13" priority="3" operator="lessThan">
      <formula>-0.009</formula>
    </cfRule>
    <cfRule type="cellIs" dxfId="12" priority="4" operator="greaterThan">
      <formula>0.009</formula>
    </cfRule>
  </conditionalFormatting>
  <conditionalFormatting sqref="G47:G57 D50:D57">
    <cfRule type="cellIs" dxfId="11" priority="1" operator="lessThan">
      <formula>-0.009</formula>
    </cfRule>
    <cfRule type="cellIs" dxfId="10" priority="2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5 H44:J44 G22:G25 G19:G21 G26:G27 D50:D54 I22:J25 I19:J20 I26:J27 J2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P61"/>
  <sheetViews>
    <sheetView workbookViewId="0">
      <selection activeCell="C20" sqref="C20:C22"/>
    </sheetView>
  </sheetViews>
  <sheetFormatPr baseColWidth="10" defaultRowHeight="16" x14ac:dyDescent="0.2"/>
  <cols>
    <col min="1" max="1" width="8.83203125" customWidth="1"/>
  </cols>
  <sheetData>
    <row r="1" spans="1:16" ht="28" customHeight="1" thickBot="1" x14ac:dyDescent="0.25">
      <c r="A1" s="120" t="s">
        <v>47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  <c r="L1" s="1"/>
      <c r="M1" s="50"/>
      <c r="N1" s="50"/>
      <c r="O1" s="50"/>
      <c r="P1" s="50"/>
    </row>
    <row r="2" spans="1:16" s="5" customFormat="1" ht="32" customHeight="1" x14ac:dyDescent="0.2">
      <c r="A2" s="42"/>
      <c r="B2" s="42">
        <v>2026</v>
      </c>
      <c r="C2" s="42">
        <v>2025</v>
      </c>
      <c r="D2" s="114" t="s">
        <v>31</v>
      </c>
      <c r="E2" s="115"/>
      <c r="F2" s="42">
        <v>2024</v>
      </c>
      <c r="G2" s="123" t="s">
        <v>25</v>
      </c>
      <c r="H2" s="124"/>
      <c r="I2" s="4"/>
      <c r="J2" s="4"/>
      <c r="K2" s="4"/>
    </row>
    <row r="3" spans="1:16" s="3" customFormat="1" ht="18" customHeight="1" x14ac:dyDescent="0.2">
      <c r="A3" s="37" t="s">
        <v>22</v>
      </c>
      <c r="B3" s="40">
        <v>69800</v>
      </c>
      <c r="C3" s="40">
        <v>91666</v>
      </c>
      <c r="D3" s="45">
        <f>B3-C3</f>
        <v>-21866</v>
      </c>
      <c r="E3" s="70">
        <f>(B3-C3)/C3</f>
        <v>-0.23853991665393931</v>
      </c>
      <c r="F3" s="40">
        <v>49500</v>
      </c>
      <c r="G3" s="53">
        <f>C3-F3</f>
        <v>42166</v>
      </c>
      <c r="H3" s="69">
        <f>(C3-F3)/F3</f>
        <v>0.85183838383838384</v>
      </c>
      <c r="I3" s="6"/>
      <c r="J3" s="2"/>
      <c r="K3" s="2"/>
    </row>
    <row r="4" spans="1:16" s="3" customFormat="1" ht="18" customHeight="1" x14ac:dyDescent="0.2">
      <c r="A4" s="37" t="s">
        <v>21</v>
      </c>
      <c r="B4" s="40">
        <v>342000</v>
      </c>
      <c r="C4" s="40">
        <v>214058.5</v>
      </c>
      <c r="D4" s="45">
        <f t="shared" ref="D4:D14" si="0">B4-C4</f>
        <v>127941.5</v>
      </c>
      <c r="E4" s="71">
        <f t="shared" ref="E4:E15" si="1">(B4-C4)/C4</f>
        <v>0.59769408829829229</v>
      </c>
      <c r="F4" s="40">
        <v>136900</v>
      </c>
      <c r="G4" s="53">
        <f t="shared" ref="G4:G14" si="2">C4-F4</f>
        <v>77158.5</v>
      </c>
      <c r="H4" s="69">
        <f t="shared" ref="H4:H15" si="3">(C4-F4)/F4</f>
        <v>0.56361212563915264</v>
      </c>
      <c r="I4" s="6"/>
      <c r="J4" s="2"/>
      <c r="K4" s="2"/>
    </row>
    <row r="5" spans="1:16" s="3" customFormat="1" ht="18" customHeight="1" x14ac:dyDescent="0.2">
      <c r="A5" s="37" t="s">
        <v>20</v>
      </c>
      <c r="B5" s="40">
        <v>24700</v>
      </c>
      <c r="C5" s="40">
        <v>0</v>
      </c>
      <c r="D5" s="45">
        <f t="shared" si="0"/>
        <v>24700</v>
      </c>
      <c r="E5" s="71" t="s">
        <v>37</v>
      </c>
      <c r="F5" s="40">
        <v>207580</v>
      </c>
      <c r="G5" s="53">
        <f t="shared" si="2"/>
        <v>-207580</v>
      </c>
      <c r="H5" s="69">
        <f t="shared" si="3"/>
        <v>-1</v>
      </c>
      <c r="I5" s="6"/>
      <c r="J5" s="2"/>
      <c r="K5" s="2"/>
    </row>
    <row r="6" spans="1:16" s="3" customFormat="1" ht="18" customHeight="1" x14ac:dyDescent="0.2">
      <c r="A6" s="37" t="s">
        <v>19</v>
      </c>
      <c r="B6" s="40">
        <v>111300</v>
      </c>
      <c r="C6" s="40">
        <v>245100</v>
      </c>
      <c r="D6" s="45">
        <f t="shared" si="0"/>
        <v>-133800</v>
      </c>
      <c r="E6" s="71">
        <f t="shared" si="1"/>
        <v>-0.54589963280293763</v>
      </c>
      <c r="F6" s="40">
        <v>199260</v>
      </c>
      <c r="G6" s="53">
        <f t="shared" si="2"/>
        <v>45840</v>
      </c>
      <c r="H6" s="69">
        <f t="shared" si="3"/>
        <v>0.2300511894007829</v>
      </c>
      <c r="I6" s="6"/>
      <c r="J6" s="2"/>
      <c r="K6" s="2"/>
    </row>
    <row r="7" spans="1:16" s="3" customFormat="1" ht="18" customHeight="1" x14ac:dyDescent="0.2">
      <c r="A7" s="37" t="s">
        <v>18</v>
      </c>
      <c r="B7" s="40">
        <v>68375</v>
      </c>
      <c r="C7" s="40">
        <v>97500</v>
      </c>
      <c r="D7" s="45">
        <f t="shared" si="0"/>
        <v>-29125</v>
      </c>
      <c r="E7" s="71">
        <f t="shared" si="1"/>
        <v>-0.29871794871794871</v>
      </c>
      <c r="F7" s="40">
        <v>113850</v>
      </c>
      <c r="G7" s="53">
        <f t="shared" si="2"/>
        <v>-16350</v>
      </c>
      <c r="H7" s="69">
        <f t="shared" si="3"/>
        <v>-0.14361001317523056</v>
      </c>
      <c r="I7" s="6"/>
      <c r="J7" s="2"/>
      <c r="K7" s="2"/>
    </row>
    <row r="8" spans="1:16" s="3" customFormat="1" ht="18" customHeight="1" x14ac:dyDescent="0.2">
      <c r="A8" s="37" t="s">
        <v>17</v>
      </c>
      <c r="B8" s="40"/>
      <c r="C8" s="40">
        <v>147850</v>
      </c>
      <c r="D8" s="45">
        <f t="shared" si="0"/>
        <v>-147850</v>
      </c>
      <c r="E8" s="71">
        <f t="shared" si="1"/>
        <v>-1</v>
      </c>
      <c r="F8" s="40">
        <v>92000</v>
      </c>
      <c r="G8" s="53">
        <f t="shared" si="2"/>
        <v>55850</v>
      </c>
      <c r="H8" s="69">
        <f t="shared" si="3"/>
        <v>0.60706521739130437</v>
      </c>
      <c r="I8" s="6"/>
      <c r="J8" s="2"/>
      <c r="K8" s="2"/>
    </row>
    <row r="9" spans="1:16" s="3" customFormat="1" ht="18" customHeight="1" x14ac:dyDescent="0.2">
      <c r="A9" s="37" t="s">
        <v>16</v>
      </c>
      <c r="B9" s="40"/>
      <c r="C9" s="40">
        <v>776975</v>
      </c>
      <c r="D9" s="45">
        <f t="shared" si="0"/>
        <v>-776975</v>
      </c>
      <c r="E9" s="71">
        <f t="shared" si="1"/>
        <v>-1</v>
      </c>
      <c r="F9" s="40">
        <v>318480</v>
      </c>
      <c r="G9" s="53">
        <f t="shared" si="2"/>
        <v>458495</v>
      </c>
      <c r="H9" s="69">
        <f t="shared" si="3"/>
        <v>1.4396351419241398</v>
      </c>
      <c r="I9" s="6"/>
      <c r="J9" s="2"/>
      <c r="K9" s="2"/>
    </row>
    <row r="10" spans="1:16" s="3" customFormat="1" ht="18" customHeight="1" x14ac:dyDescent="0.2">
      <c r="A10" s="37" t="s">
        <v>2</v>
      </c>
      <c r="B10" s="40"/>
      <c r="C10" s="40">
        <v>197550</v>
      </c>
      <c r="D10" s="45">
        <f t="shared" si="0"/>
        <v>-197550</v>
      </c>
      <c r="E10" s="71">
        <f t="shared" si="1"/>
        <v>-1</v>
      </c>
      <c r="F10" s="40">
        <v>34800</v>
      </c>
      <c r="G10" s="53">
        <f t="shared" si="2"/>
        <v>162750</v>
      </c>
      <c r="H10" s="69">
        <f t="shared" si="3"/>
        <v>4.6767241379310347</v>
      </c>
      <c r="I10" s="6"/>
      <c r="J10" s="2"/>
      <c r="K10" s="2"/>
    </row>
    <row r="11" spans="1:16" s="3" customFormat="1" ht="18" customHeight="1" x14ac:dyDescent="0.2">
      <c r="A11" s="37" t="s">
        <v>26</v>
      </c>
      <c r="B11" s="40"/>
      <c r="C11" s="40">
        <v>286000</v>
      </c>
      <c r="D11" s="45">
        <f t="shared" si="0"/>
        <v>-286000</v>
      </c>
      <c r="E11" s="71">
        <f t="shared" si="1"/>
        <v>-1</v>
      </c>
      <c r="F11" s="40">
        <v>266200</v>
      </c>
      <c r="G11" s="53">
        <f t="shared" si="2"/>
        <v>19800</v>
      </c>
      <c r="H11" s="69">
        <f t="shared" si="3"/>
        <v>7.43801652892562E-2</v>
      </c>
      <c r="I11" s="6"/>
      <c r="J11" s="2"/>
      <c r="K11" s="2"/>
    </row>
    <row r="12" spans="1:16" s="3" customFormat="1" ht="18" customHeight="1" x14ac:dyDescent="0.2">
      <c r="A12" s="37" t="s">
        <v>15</v>
      </c>
      <c r="B12" s="40"/>
      <c r="C12" s="40">
        <v>371440</v>
      </c>
      <c r="D12" s="45">
        <f t="shared" si="0"/>
        <v>-371440</v>
      </c>
      <c r="E12" s="71">
        <f t="shared" si="1"/>
        <v>-1</v>
      </c>
      <c r="F12" s="40">
        <v>142600</v>
      </c>
      <c r="G12" s="53">
        <f t="shared" si="2"/>
        <v>228840</v>
      </c>
      <c r="H12" s="69">
        <f t="shared" si="3"/>
        <v>1.6047685834502103</v>
      </c>
      <c r="I12" s="6"/>
      <c r="J12" s="2"/>
      <c r="K12" s="2"/>
    </row>
    <row r="13" spans="1:16" s="3" customFormat="1" ht="18" customHeight="1" x14ac:dyDescent="0.2">
      <c r="A13" s="37" t="s">
        <v>14</v>
      </c>
      <c r="B13" s="40"/>
      <c r="C13" s="40">
        <v>31425</v>
      </c>
      <c r="D13" s="45">
        <f t="shared" si="0"/>
        <v>-31425</v>
      </c>
      <c r="E13" s="71">
        <f t="shared" si="1"/>
        <v>-1</v>
      </c>
      <c r="F13" s="40">
        <v>915420</v>
      </c>
      <c r="G13" s="53">
        <f t="shared" si="2"/>
        <v>-883995</v>
      </c>
      <c r="H13" s="69">
        <f t="shared" si="3"/>
        <v>-0.96567149505145178</v>
      </c>
      <c r="I13" s="6"/>
      <c r="J13" s="2"/>
      <c r="K13" s="2"/>
    </row>
    <row r="14" spans="1:16" s="3" customFormat="1" ht="18" customHeight="1" x14ac:dyDescent="0.2">
      <c r="A14" s="37" t="s">
        <v>13</v>
      </c>
      <c r="B14" s="40"/>
      <c r="C14" s="40">
        <v>31700</v>
      </c>
      <c r="D14" s="45">
        <f t="shared" si="0"/>
        <v>-31700</v>
      </c>
      <c r="E14" s="71">
        <f t="shared" si="1"/>
        <v>-1</v>
      </c>
      <c r="F14" s="40">
        <v>527900</v>
      </c>
      <c r="G14" s="53">
        <f t="shared" si="2"/>
        <v>-496200</v>
      </c>
      <c r="H14" s="69">
        <f t="shared" si="3"/>
        <v>-0.93995074824777425</v>
      </c>
      <c r="I14" s="6"/>
      <c r="J14" s="2"/>
      <c r="K14" s="2"/>
    </row>
    <row r="15" spans="1:16" s="3" customFormat="1" ht="18" customHeight="1" thickBot="1" x14ac:dyDescent="0.25">
      <c r="A15" s="39" t="s">
        <v>8</v>
      </c>
      <c r="B15" s="98">
        <f>SUM(B3:B14)</f>
        <v>616175</v>
      </c>
      <c r="C15" s="98">
        <f>SUM(C3:C14)</f>
        <v>2491264.5</v>
      </c>
      <c r="D15" s="99">
        <f>SUM(D3:D14)</f>
        <v>-1875089.5</v>
      </c>
      <c r="E15" s="85">
        <f t="shared" si="1"/>
        <v>-0.75266576471506741</v>
      </c>
      <c r="F15" s="98">
        <f>SUM(F3:F14)</f>
        <v>3004490</v>
      </c>
      <c r="G15" s="68">
        <f>SUM(G3:G14)</f>
        <v>-513225.5</v>
      </c>
      <c r="H15" s="100">
        <f t="shared" si="3"/>
        <v>-0.17081950680481545</v>
      </c>
      <c r="I15" s="6"/>
      <c r="J15" s="2"/>
      <c r="K15" s="2"/>
      <c r="L15" s="50"/>
      <c r="M15" s="50"/>
      <c r="N15" s="50"/>
    </row>
    <row r="16" spans="1:16" ht="25" customHeight="1" thickBot="1" x14ac:dyDescent="0.25">
      <c r="A16" s="117" t="s">
        <v>4</v>
      </c>
      <c r="B16" s="118"/>
      <c r="C16" s="118"/>
      <c r="D16" s="118"/>
      <c r="E16" s="118"/>
      <c r="F16" s="119"/>
      <c r="G16" s="118" t="s">
        <v>6</v>
      </c>
      <c r="H16" s="118"/>
      <c r="I16" s="118"/>
      <c r="J16" s="118"/>
      <c r="K16" s="119"/>
      <c r="L16" s="1"/>
      <c r="M16" s="1"/>
      <c r="N16" s="1"/>
      <c r="O16" s="1"/>
      <c r="P16" s="1"/>
    </row>
    <row r="17" spans="1:16" s="51" customFormat="1" ht="32" customHeight="1" x14ac:dyDescent="0.2">
      <c r="A17" s="41"/>
      <c r="B17" s="42">
        <v>2026</v>
      </c>
      <c r="C17" s="42">
        <v>2025</v>
      </c>
      <c r="D17" s="43" t="s">
        <v>31</v>
      </c>
      <c r="E17" s="101">
        <v>2024</v>
      </c>
      <c r="F17" s="92" t="s">
        <v>31</v>
      </c>
      <c r="G17" s="89">
        <v>2026</v>
      </c>
      <c r="H17" s="42">
        <v>2025</v>
      </c>
      <c r="I17" s="43" t="s">
        <v>31</v>
      </c>
      <c r="J17" s="42">
        <v>2024</v>
      </c>
      <c r="K17" s="59" t="s">
        <v>25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22</v>
      </c>
      <c r="B18" s="48">
        <v>9</v>
      </c>
      <c r="C18" s="48">
        <v>15</v>
      </c>
      <c r="D18" s="49">
        <f>B18-C18</f>
        <v>-6</v>
      </c>
      <c r="E18" s="96">
        <v>3</v>
      </c>
      <c r="F18" s="93">
        <f>C18-E18</f>
        <v>12</v>
      </c>
      <c r="G18" s="90">
        <f>B18/217</f>
        <v>4.1474654377880185E-2</v>
      </c>
      <c r="H18" s="61">
        <f>C18/217</f>
        <v>6.9124423963133647E-2</v>
      </c>
      <c r="I18" s="73">
        <f>G18-H18</f>
        <v>-2.7649769585253461E-2</v>
      </c>
      <c r="J18" s="61">
        <f>E18/217</f>
        <v>1.3824884792626729E-2</v>
      </c>
      <c r="K18" s="71">
        <f>H18-J18</f>
        <v>5.5299539170506916E-2</v>
      </c>
      <c r="M18" s="50" t="s">
        <v>30</v>
      </c>
      <c r="N18" s="50"/>
      <c r="O18" s="50"/>
      <c r="P18" s="50"/>
    </row>
    <row r="19" spans="1:16" s="51" customFormat="1" ht="18" customHeight="1" x14ac:dyDescent="0.2">
      <c r="A19" s="37" t="s">
        <v>21</v>
      </c>
      <c r="B19" s="48">
        <v>28</v>
      </c>
      <c r="C19" s="48">
        <v>34</v>
      </c>
      <c r="D19" s="49">
        <f t="shared" ref="D19:D29" si="4">B19-C19</f>
        <v>-6</v>
      </c>
      <c r="E19" s="48">
        <v>26</v>
      </c>
      <c r="F19" s="93">
        <f t="shared" ref="F19:F29" si="5">C19-E19</f>
        <v>8</v>
      </c>
      <c r="G19" s="90">
        <f>B19/196</f>
        <v>0.14285714285714285</v>
      </c>
      <c r="H19" s="61">
        <f>C19/196</f>
        <v>0.17346938775510204</v>
      </c>
      <c r="I19" s="73">
        <f t="shared" ref="I19:I28" si="6">G19-H19</f>
        <v>-3.061224489795919E-2</v>
      </c>
      <c r="J19" s="61">
        <f>E19/203</f>
        <v>0.12807881773399016</v>
      </c>
      <c r="K19" s="71">
        <f t="shared" ref="K19:K28" si="7">H19-J19</f>
        <v>4.5390570021111881E-2</v>
      </c>
      <c r="M19" s="50" t="s">
        <v>32</v>
      </c>
      <c r="N19" s="50"/>
      <c r="O19" s="50"/>
      <c r="P19" s="50"/>
    </row>
    <row r="20" spans="1:16" s="51" customFormat="1" ht="18" customHeight="1" x14ac:dyDescent="0.2">
      <c r="A20" s="37" t="s">
        <v>20</v>
      </c>
      <c r="B20" s="48">
        <v>7</v>
      </c>
      <c r="C20" s="48">
        <v>0</v>
      </c>
      <c r="D20" s="49">
        <f t="shared" si="4"/>
        <v>7</v>
      </c>
      <c r="E20" s="48">
        <v>30</v>
      </c>
      <c r="F20" s="93">
        <f t="shared" si="5"/>
        <v>-30</v>
      </c>
      <c r="G20" s="90">
        <f>B20/217</f>
        <v>3.2258064516129031E-2</v>
      </c>
      <c r="H20" s="61">
        <f>C20/217</f>
        <v>0</v>
      </c>
      <c r="I20" s="73">
        <f t="shared" si="6"/>
        <v>3.2258064516129031E-2</v>
      </c>
      <c r="J20" s="61">
        <f>E20/217</f>
        <v>0.13824884792626729</v>
      </c>
      <c r="K20" s="71">
        <f t="shared" si="7"/>
        <v>-0.13824884792626729</v>
      </c>
      <c r="M20" s="50" t="s">
        <v>33</v>
      </c>
      <c r="N20" s="50"/>
      <c r="O20" s="50"/>
      <c r="P20" s="50"/>
    </row>
    <row r="21" spans="1:16" s="51" customFormat="1" ht="18" customHeight="1" x14ac:dyDescent="0.2">
      <c r="A21" s="37" t="s">
        <v>19</v>
      </c>
      <c r="B21" s="48">
        <v>25</v>
      </c>
      <c r="C21" s="48">
        <v>38</v>
      </c>
      <c r="D21" s="49">
        <f t="shared" si="4"/>
        <v>-13</v>
      </c>
      <c r="E21" s="48">
        <v>24</v>
      </c>
      <c r="F21" s="93">
        <f t="shared" si="5"/>
        <v>14</v>
      </c>
      <c r="G21" s="90">
        <f>B21/210</f>
        <v>0.11904761904761904</v>
      </c>
      <c r="H21" s="61">
        <f>C21/210</f>
        <v>0.18095238095238095</v>
      </c>
      <c r="I21" s="73">
        <f t="shared" si="6"/>
        <v>-6.1904761904761907E-2</v>
      </c>
      <c r="J21" s="61">
        <f>E21/210</f>
        <v>0.11428571428571428</v>
      </c>
      <c r="K21" s="71">
        <f t="shared" si="7"/>
        <v>6.6666666666666666E-2</v>
      </c>
      <c r="M21" s="50" t="s">
        <v>34</v>
      </c>
      <c r="N21" s="50"/>
      <c r="O21" s="50"/>
      <c r="P21" s="50"/>
    </row>
    <row r="22" spans="1:16" s="51" customFormat="1" ht="18" customHeight="1" x14ac:dyDescent="0.2">
      <c r="A22" s="37" t="s">
        <v>18</v>
      </c>
      <c r="B22" s="48">
        <v>25</v>
      </c>
      <c r="C22" s="48">
        <v>17</v>
      </c>
      <c r="D22" s="49">
        <f t="shared" si="4"/>
        <v>8</v>
      </c>
      <c r="E22" s="48">
        <v>28</v>
      </c>
      <c r="F22" s="93">
        <f t="shared" si="5"/>
        <v>-11</v>
      </c>
      <c r="G22" s="90">
        <f>B22/217</f>
        <v>0.1152073732718894</v>
      </c>
      <c r="H22" s="61">
        <f>C22/217</f>
        <v>7.8341013824884786E-2</v>
      </c>
      <c r="I22" s="73">
        <f t="shared" si="6"/>
        <v>3.6866359447004615E-2</v>
      </c>
      <c r="J22" s="61">
        <f>E22/217</f>
        <v>0.12903225806451613</v>
      </c>
      <c r="K22" s="71">
        <f t="shared" si="7"/>
        <v>-5.0691244239631339E-2</v>
      </c>
      <c r="M22" s="50" t="s">
        <v>35</v>
      </c>
      <c r="N22" s="50"/>
      <c r="O22" s="50"/>
      <c r="P22" s="50"/>
    </row>
    <row r="23" spans="1:16" s="51" customFormat="1" ht="18" customHeight="1" x14ac:dyDescent="0.2">
      <c r="A23" s="37" t="s">
        <v>17</v>
      </c>
      <c r="B23" s="48"/>
      <c r="C23" s="48">
        <v>23</v>
      </c>
      <c r="D23" s="49">
        <f t="shared" si="4"/>
        <v>-23</v>
      </c>
      <c r="E23" s="48">
        <v>22</v>
      </c>
      <c r="F23" s="93">
        <f t="shared" si="5"/>
        <v>1</v>
      </c>
      <c r="G23" s="90">
        <f>B23/210</f>
        <v>0</v>
      </c>
      <c r="H23" s="61">
        <f>C23/210</f>
        <v>0.10952380952380952</v>
      </c>
      <c r="I23" s="73">
        <f t="shared" si="6"/>
        <v>-0.10952380952380952</v>
      </c>
      <c r="J23" s="61">
        <f>E23/210</f>
        <v>0.10476190476190476</v>
      </c>
      <c r="K23" s="71">
        <f t="shared" si="7"/>
        <v>4.7619047619047589E-3</v>
      </c>
      <c r="L23" s="50"/>
      <c r="M23" s="50"/>
      <c r="N23" s="50"/>
      <c r="O23" s="50"/>
      <c r="P23" s="50"/>
    </row>
    <row r="24" spans="1:16" s="51" customFormat="1" ht="18" customHeight="1" x14ac:dyDescent="0.2">
      <c r="A24" s="37" t="s">
        <v>16</v>
      </c>
      <c r="B24" s="48"/>
      <c r="C24" s="48">
        <v>61</v>
      </c>
      <c r="D24" s="49">
        <f t="shared" si="4"/>
        <v>-61</v>
      </c>
      <c r="E24" s="48">
        <v>65</v>
      </c>
      <c r="F24" s="93">
        <f t="shared" si="5"/>
        <v>-4</v>
      </c>
      <c r="G24" s="90">
        <f>B24/217</f>
        <v>0</v>
      </c>
      <c r="H24" s="61">
        <f>C24/217</f>
        <v>0.28110599078341014</v>
      </c>
      <c r="I24" s="73">
        <f t="shared" si="6"/>
        <v>-0.28110599078341014</v>
      </c>
      <c r="J24" s="61">
        <f>E24/217</f>
        <v>0.29953917050691242</v>
      </c>
      <c r="K24" s="71">
        <f t="shared" si="7"/>
        <v>-1.843317972350228E-2</v>
      </c>
      <c r="L24" s="7"/>
      <c r="M24" s="50"/>
      <c r="N24" s="50"/>
      <c r="O24" s="50"/>
      <c r="P24" s="50"/>
    </row>
    <row r="25" spans="1:16" s="51" customFormat="1" ht="18" customHeight="1" x14ac:dyDescent="0.2">
      <c r="A25" s="37" t="s">
        <v>2</v>
      </c>
      <c r="B25" s="48"/>
      <c r="C25" s="48">
        <v>34</v>
      </c>
      <c r="D25" s="49">
        <f t="shared" si="4"/>
        <v>-34</v>
      </c>
      <c r="E25" s="48">
        <v>9</v>
      </c>
      <c r="F25" s="93">
        <f t="shared" si="5"/>
        <v>25</v>
      </c>
      <c r="G25" s="90">
        <f>B25/217</f>
        <v>0</v>
      </c>
      <c r="H25" s="61">
        <f>C25/217</f>
        <v>0.15668202764976957</v>
      </c>
      <c r="I25" s="73">
        <f t="shared" si="6"/>
        <v>-0.15668202764976957</v>
      </c>
      <c r="J25" s="61">
        <f>E25/217</f>
        <v>4.1474654377880185E-2</v>
      </c>
      <c r="K25" s="71">
        <f t="shared" si="7"/>
        <v>0.11520737327188939</v>
      </c>
      <c r="L25" s="7"/>
      <c r="M25" s="50"/>
      <c r="N25" s="50"/>
      <c r="O25" s="50"/>
      <c r="P25" s="50"/>
    </row>
    <row r="26" spans="1:16" s="51" customFormat="1" ht="18" customHeight="1" x14ac:dyDescent="0.2">
      <c r="A26" s="37" t="s">
        <v>26</v>
      </c>
      <c r="B26" s="48"/>
      <c r="C26" s="48">
        <v>43</v>
      </c>
      <c r="D26" s="49">
        <f t="shared" si="4"/>
        <v>-43</v>
      </c>
      <c r="E26" s="48">
        <v>36</v>
      </c>
      <c r="F26" s="93">
        <f t="shared" si="5"/>
        <v>7</v>
      </c>
      <c r="G26" s="90">
        <f>B26/210</f>
        <v>0</v>
      </c>
      <c r="H26" s="61">
        <f>C26/210</f>
        <v>0.20476190476190476</v>
      </c>
      <c r="I26" s="73">
        <f t="shared" si="6"/>
        <v>-0.20476190476190476</v>
      </c>
      <c r="J26" s="61">
        <f>E26/210</f>
        <v>0.17142857142857143</v>
      </c>
      <c r="K26" s="71">
        <f t="shared" si="7"/>
        <v>3.3333333333333326E-2</v>
      </c>
      <c r="L26" s="7"/>
      <c r="M26" s="50"/>
      <c r="N26" s="50"/>
      <c r="O26" s="50"/>
      <c r="P26" s="50"/>
    </row>
    <row r="27" spans="1:16" s="51" customFormat="1" ht="18" customHeight="1" x14ac:dyDescent="0.2">
      <c r="A27" s="37" t="s">
        <v>15</v>
      </c>
      <c r="B27" s="48"/>
      <c r="C27" s="48">
        <v>53</v>
      </c>
      <c r="D27" s="49">
        <f t="shared" si="4"/>
        <v>-53</v>
      </c>
      <c r="E27" s="48">
        <v>65</v>
      </c>
      <c r="F27" s="93">
        <f t="shared" si="5"/>
        <v>-12</v>
      </c>
      <c r="G27" s="90">
        <f>B27/217</f>
        <v>0</v>
      </c>
      <c r="H27" s="61">
        <f>C27/217</f>
        <v>0.24423963133640553</v>
      </c>
      <c r="I27" s="73">
        <f t="shared" si="6"/>
        <v>-0.24423963133640553</v>
      </c>
      <c r="J27" s="61">
        <f>E27/217</f>
        <v>0.29953917050691242</v>
      </c>
      <c r="K27" s="71">
        <f t="shared" si="7"/>
        <v>-5.5299539170506895E-2</v>
      </c>
      <c r="L27" s="7"/>
      <c r="M27" s="50"/>
      <c r="N27" s="50"/>
      <c r="O27" s="50"/>
      <c r="P27" s="50"/>
    </row>
    <row r="28" spans="1:16" s="51" customFormat="1" ht="18" customHeight="1" x14ac:dyDescent="0.2">
      <c r="A28" s="37" t="s">
        <v>14</v>
      </c>
      <c r="B28" s="48"/>
      <c r="C28" s="48">
        <v>6</v>
      </c>
      <c r="D28" s="49">
        <f t="shared" si="4"/>
        <v>-6</v>
      </c>
      <c r="E28" s="48">
        <v>119</v>
      </c>
      <c r="F28" s="93">
        <f t="shared" si="5"/>
        <v>-113</v>
      </c>
      <c r="G28" s="90">
        <f>B28/210</f>
        <v>0</v>
      </c>
      <c r="H28" s="61">
        <f>C28/210</f>
        <v>2.8571428571428571E-2</v>
      </c>
      <c r="I28" s="73">
        <f t="shared" si="6"/>
        <v>-2.8571428571428571E-2</v>
      </c>
      <c r="J28" s="61">
        <f>E28/210</f>
        <v>0.56666666666666665</v>
      </c>
      <c r="K28" s="71">
        <f t="shared" si="7"/>
        <v>-0.53809523809523807</v>
      </c>
      <c r="L28" s="7"/>
      <c r="M28" s="50"/>
      <c r="N28" s="50"/>
      <c r="O28" s="50"/>
      <c r="P28" s="50"/>
    </row>
    <row r="29" spans="1:16" s="51" customFormat="1" ht="18" customHeight="1" thickBot="1" x14ac:dyDescent="0.25">
      <c r="A29" s="37" t="s">
        <v>13</v>
      </c>
      <c r="B29" s="48"/>
      <c r="C29" s="48">
        <v>9</v>
      </c>
      <c r="D29" s="49">
        <f t="shared" si="4"/>
        <v>-9</v>
      </c>
      <c r="E29" s="48">
        <v>51</v>
      </c>
      <c r="F29" s="93">
        <f t="shared" si="5"/>
        <v>-42</v>
      </c>
      <c r="G29" s="90">
        <f>B29/217</f>
        <v>0</v>
      </c>
      <c r="H29" s="60">
        <f>C29/217</f>
        <v>4.1474654377880185E-2</v>
      </c>
      <c r="I29" s="74">
        <f>G29-H29</f>
        <v>-4.1474654377880185E-2</v>
      </c>
      <c r="J29" s="60">
        <f>E29/217</f>
        <v>0.23502304147465439</v>
      </c>
      <c r="K29" s="72">
        <f>H29-J29</f>
        <v>-0.19354838709677419</v>
      </c>
      <c r="L29" s="7"/>
      <c r="M29" s="50"/>
      <c r="N29" s="50"/>
      <c r="O29" s="50"/>
      <c r="P29" s="50"/>
    </row>
    <row r="30" spans="1:16" ht="25" customHeight="1" thickBot="1" x14ac:dyDescent="0.25">
      <c r="A30" s="117" t="s">
        <v>5</v>
      </c>
      <c r="B30" s="118"/>
      <c r="C30" s="118"/>
      <c r="D30" s="118"/>
      <c r="E30" s="118"/>
      <c r="F30" s="118"/>
      <c r="G30" s="118"/>
      <c r="H30" s="119"/>
      <c r="I30" s="7"/>
      <c r="J30" s="7"/>
      <c r="K30" s="1"/>
      <c r="L30" s="1"/>
      <c r="M30" s="1"/>
    </row>
    <row r="31" spans="1:16" s="51" customFormat="1" ht="32" customHeight="1" x14ac:dyDescent="0.2">
      <c r="A31" s="42"/>
      <c r="B31" s="42">
        <v>2026</v>
      </c>
      <c r="C31" s="42">
        <v>2025</v>
      </c>
      <c r="D31" s="114" t="s">
        <v>31</v>
      </c>
      <c r="E31" s="115"/>
      <c r="F31" s="42">
        <v>2024</v>
      </c>
      <c r="G31" s="123" t="s">
        <v>25</v>
      </c>
      <c r="H31" s="124"/>
      <c r="I31" s="52"/>
      <c r="J31" s="52"/>
      <c r="K31" s="50"/>
      <c r="L31" s="50"/>
      <c r="M31" s="50"/>
    </row>
    <row r="32" spans="1:16" s="51" customFormat="1" ht="17" customHeight="1" x14ac:dyDescent="0.2">
      <c r="A32" s="75" t="s">
        <v>22</v>
      </c>
      <c r="B32" s="40">
        <f>B3/B18</f>
        <v>7755.5555555555557</v>
      </c>
      <c r="C32" s="40">
        <f>C3/C18</f>
        <v>6111.0666666666666</v>
      </c>
      <c r="D32" s="45">
        <f>B32-C32</f>
        <v>1644.4888888888891</v>
      </c>
      <c r="E32" s="70">
        <f>(B32-C32)/C32</f>
        <v>0.26910013891010121</v>
      </c>
      <c r="F32" s="88">
        <f>F3/E18</f>
        <v>16500</v>
      </c>
      <c r="G32" s="53">
        <f>C32-F32</f>
        <v>-10388.933333333334</v>
      </c>
      <c r="H32" s="69">
        <f>(C32-F32)/F32</f>
        <v>-0.62963232323232332</v>
      </c>
      <c r="J32" s="52"/>
      <c r="K32" s="50"/>
      <c r="L32" s="50"/>
      <c r="M32" s="50"/>
    </row>
    <row r="33" spans="1:13" s="51" customFormat="1" ht="17" customHeight="1" x14ac:dyDescent="0.2">
      <c r="A33" s="37" t="s">
        <v>21</v>
      </c>
      <c r="B33" s="40">
        <f t="shared" ref="B33:B43" si="8">B4/B19</f>
        <v>12214.285714285714</v>
      </c>
      <c r="C33" s="40">
        <f t="shared" ref="C33" si="9">C4/C19</f>
        <v>6295.838235294118</v>
      </c>
      <c r="D33" s="45">
        <f t="shared" ref="D33:D43" si="10">B33-C33</f>
        <v>5918.4474789915957</v>
      </c>
      <c r="E33" s="71">
        <f t="shared" ref="E33:E43" si="11">(B33-C33)/C33</f>
        <v>0.94005710721935476</v>
      </c>
      <c r="F33" s="40">
        <f t="shared" ref="F33:F43" si="12">F4/E19</f>
        <v>5265.3846153846152</v>
      </c>
      <c r="G33" s="53">
        <f t="shared" ref="G33:G43" si="13">C33-F33</f>
        <v>1030.4536199095028</v>
      </c>
      <c r="H33" s="69">
        <f t="shared" ref="H33:H43" si="14">(C33-F33)/F33</f>
        <v>0.19570339019464625</v>
      </c>
      <c r="J33" s="52"/>
      <c r="K33" s="50"/>
      <c r="L33" s="50"/>
      <c r="M33" s="50"/>
    </row>
    <row r="34" spans="1:13" s="51" customFormat="1" ht="17" customHeight="1" x14ac:dyDescent="0.2">
      <c r="A34" s="37" t="s">
        <v>20</v>
      </c>
      <c r="B34" s="40">
        <f t="shared" si="8"/>
        <v>3528.5714285714284</v>
      </c>
      <c r="C34" s="40">
        <v>0</v>
      </c>
      <c r="D34" s="45">
        <f t="shared" si="10"/>
        <v>3528.5714285714284</v>
      </c>
      <c r="E34" s="71" t="s">
        <v>37</v>
      </c>
      <c r="F34" s="40">
        <f t="shared" si="12"/>
        <v>6919.333333333333</v>
      </c>
      <c r="G34" s="53">
        <f t="shared" si="13"/>
        <v>-6919.333333333333</v>
      </c>
      <c r="H34" s="69">
        <f t="shared" si="14"/>
        <v>-1</v>
      </c>
      <c r="J34" s="52"/>
      <c r="K34" s="50"/>
      <c r="L34" s="50"/>
      <c r="M34" s="50"/>
    </row>
    <row r="35" spans="1:13" s="51" customFormat="1" ht="17" customHeight="1" x14ac:dyDescent="0.2">
      <c r="A35" s="37" t="s">
        <v>19</v>
      </c>
      <c r="B35" s="40">
        <f t="shared" si="8"/>
        <v>4452</v>
      </c>
      <c r="C35" s="40">
        <f t="shared" ref="C35" si="15">C6/C21</f>
        <v>6450</v>
      </c>
      <c r="D35" s="45">
        <f t="shared" si="10"/>
        <v>-1998</v>
      </c>
      <c r="E35" s="71">
        <f t="shared" si="11"/>
        <v>-0.30976744186046512</v>
      </c>
      <c r="F35" s="40">
        <f t="shared" si="12"/>
        <v>8302.5</v>
      </c>
      <c r="G35" s="53">
        <f t="shared" si="13"/>
        <v>-1852.5</v>
      </c>
      <c r="H35" s="69">
        <f t="shared" si="14"/>
        <v>-0.22312556458897922</v>
      </c>
      <c r="J35" s="52"/>
      <c r="K35" s="50"/>
      <c r="L35" s="50"/>
      <c r="M35" s="50"/>
    </row>
    <row r="36" spans="1:13" s="51" customFormat="1" ht="17" customHeight="1" x14ac:dyDescent="0.2">
      <c r="A36" s="37" t="s">
        <v>18</v>
      </c>
      <c r="B36" s="40">
        <f t="shared" si="8"/>
        <v>2735</v>
      </c>
      <c r="C36" s="40">
        <f t="shared" ref="C36" si="16">C7/C22</f>
        <v>5735.2941176470586</v>
      </c>
      <c r="D36" s="45">
        <f t="shared" si="10"/>
        <v>-3000.2941176470586</v>
      </c>
      <c r="E36" s="71">
        <f t="shared" si="11"/>
        <v>-0.52312820512820513</v>
      </c>
      <c r="F36" s="40">
        <f t="shared" si="12"/>
        <v>4066.0714285714284</v>
      </c>
      <c r="G36" s="53">
        <f t="shared" si="13"/>
        <v>1669.2226890756301</v>
      </c>
      <c r="H36" s="69">
        <f t="shared" si="14"/>
        <v>0.41052468418197319</v>
      </c>
      <c r="J36" s="52"/>
      <c r="K36" s="50"/>
      <c r="L36" s="50"/>
      <c r="M36" s="50"/>
    </row>
    <row r="37" spans="1:13" s="51" customFormat="1" ht="17" customHeight="1" x14ac:dyDescent="0.2">
      <c r="A37" s="37" t="s">
        <v>17</v>
      </c>
      <c r="B37" s="40" t="e">
        <f t="shared" si="8"/>
        <v>#DIV/0!</v>
      </c>
      <c r="C37" s="40">
        <f t="shared" ref="C37" si="17">C8/C23</f>
        <v>6428.260869565217</v>
      </c>
      <c r="D37" s="45" t="e">
        <f t="shared" si="10"/>
        <v>#DIV/0!</v>
      </c>
      <c r="E37" s="71" t="e">
        <f t="shared" si="11"/>
        <v>#DIV/0!</v>
      </c>
      <c r="F37" s="40">
        <f t="shared" si="12"/>
        <v>4181.818181818182</v>
      </c>
      <c r="G37" s="53">
        <f t="shared" si="13"/>
        <v>2246.4426877470351</v>
      </c>
      <c r="H37" s="69">
        <f t="shared" si="14"/>
        <v>0.5371928166351605</v>
      </c>
      <c r="J37" s="52"/>
      <c r="K37" s="50"/>
      <c r="L37" s="50"/>
      <c r="M37" s="50"/>
    </row>
    <row r="38" spans="1:13" s="51" customFormat="1" ht="17" customHeight="1" x14ac:dyDescent="0.2">
      <c r="A38" s="37" t="s">
        <v>16</v>
      </c>
      <c r="B38" s="40" t="e">
        <f t="shared" si="8"/>
        <v>#DIV/0!</v>
      </c>
      <c r="C38" s="40">
        <f t="shared" ref="C38" si="18">C9/C24</f>
        <v>12737.295081967213</v>
      </c>
      <c r="D38" s="45" t="e">
        <f t="shared" si="10"/>
        <v>#DIV/0!</v>
      </c>
      <c r="E38" s="71" t="e">
        <f t="shared" si="11"/>
        <v>#DIV/0!</v>
      </c>
      <c r="F38" s="40">
        <f t="shared" si="12"/>
        <v>4899.6923076923076</v>
      </c>
      <c r="G38" s="53">
        <f t="shared" si="13"/>
        <v>7837.6027742749056</v>
      </c>
      <c r="H38" s="69">
        <f t="shared" si="14"/>
        <v>1.5996112168044112</v>
      </c>
      <c r="I38" s="7"/>
      <c r="J38" s="52"/>
      <c r="K38" s="50"/>
      <c r="L38" s="50"/>
      <c r="M38" s="50"/>
    </row>
    <row r="39" spans="1:13" s="51" customFormat="1" ht="17" customHeight="1" x14ac:dyDescent="0.2">
      <c r="A39" s="37" t="s">
        <v>2</v>
      </c>
      <c r="B39" s="40" t="e">
        <f t="shared" si="8"/>
        <v>#DIV/0!</v>
      </c>
      <c r="C39" s="40">
        <f t="shared" ref="C39" si="19">C10/C25</f>
        <v>5810.2941176470586</v>
      </c>
      <c r="D39" s="45" t="e">
        <f t="shared" si="10"/>
        <v>#DIV/0!</v>
      </c>
      <c r="E39" s="71" t="e">
        <f t="shared" si="11"/>
        <v>#DIV/0!</v>
      </c>
      <c r="F39" s="40">
        <f t="shared" si="12"/>
        <v>3866.6666666666665</v>
      </c>
      <c r="G39" s="53">
        <f t="shared" si="13"/>
        <v>1943.627450980392</v>
      </c>
      <c r="H39" s="69">
        <f t="shared" si="14"/>
        <v>0.50266227180527379</v>
      </c>
      <c r="I39" s="7"/>
      <c r="J39" s="52"/>
      <c r="K39" s="50"/>
      <c r="L39" s="50"/>
      <c r="M39" s="50"/>
    </row>
    <row r="40" spans="1:13" s="51" customFormat="1" ht="17" customHeight="1" x14ac:dyDescent="0.2">
      <c r="A40" s="37" t="s">
        <v>26</v>
      </c>
      <c r="B40" s="40" t="e">
        <f t="shared" si="8"/>
        <v>#DIV/0!</v>
      </c>
      <c r="C40" s="40">
        <f t="shared" ref="C40" si="20">C11/C26</f>
        <v>6651.1627906976746</v>
      </c>
      <c r="D40" s="45" t="e">
        <f t="shared" si="10"/>
        <v>#DIV/0!</v>
      </c>
      <c r="E40" s="71" t="e">
        <f t="shared" si="11"/>
        <v>#DIV/0!</v>
      </c>
      <c r="F40" s="40">
        <f t="shared" si="12"/>
        <v>7394.4444444444443</v>
      </c>
      <c r="G40" s="53">
        <f t="shared" si="13"/>
        <v>-743.28165374676973</v>
      </c>
      <c r="H40" s="69">
        <f t="shared" si="14"/>
        <v>-0.10051893138573896</v>
      </c>
      <c r="I40" s="7"/>
      <c r="J40" s="52"/>
      <c r="K40" s="50"/>
      <c r="L40" s="50"/>
      <c r="M40" s="50"/>
    </row>
    <row r="41" spans="1:13" s="51" customFormat="1" ht="17" customHeight="1" x14ac:dyDescent="0.2">
      <c r="A41" s="37" t="s">
        <v>15</v>
      </c>
      <c r="B41" s="40" t="e">
        <f t="shared" si="8"/>
        <v>#DIV/0!</v>
      </c>
      <c r="C41" s="40">
        <f t="shared" ref="C41" si="21">C12/C27</f>
        <v>7008.3018867924529</v>
      </c>
      <c r="D41" s="45" t="e">
        <f t="shared" si="10"/>
        <v>#DIV/0!</v>
      </c>
      <c r="E41" s="71" t="e">
        <f t="shared" si="11"/>
        <v>#DIV/0!</v>
      </c>
      <c r="F41" s="40">
        <f t="shared" si="12"/>
        <v>2193.8461538461538</v>
      </c>
      <c r="G41" s="53">
        <f t="shared" si="13"/>
        <v>4814.4557329462987</v>
      </c>
      <c r="H41" s="69">
        <f t="shared" si="14"/>
        <v>2.1945275080049749</v>
      </c>
      <c r="I41" s="7"/>
      <c r="J41" s="52"/>
      <c r="K41" s="50"/>
      <c r="L41" s="50"/>
      <c r="M41" s="50"/>
    </row>
    <row r="42" spans="1:13" s="51" customFormat="1" ht="17" customHeight="1" x14ac:dyDescent="0.2">
      <c r="A42" s="37" t="s">
        <v>14</v>
      </c>
      <c r="B42" s="40" t="e">
        <f t="shared" si="8"/>
        <v>#DIV/0!</v>
      </c>
      <c r="C42" s="40">
        <f t="shared" ref="C42" si="22">C13/C28</f>
        <v>5237.5</v>
      </c>
      <c r="D42" s="45" t="e">
        <f t="shared" si="10"/>
        <v>#DIV/0!</v>
      </c>
      <c r="E42" s="71" t="e">
        <f t="shared" si="11"/>
        <v>#DIV/0!</v>
      </c>
      <c r="F42" s="40">
        <f t="shared" si="12"/>
        <v>7692.6050420168067</v>
      </c>
      <c r="G42" s="53">
        <f t="shared" si="13"/>
        <v>-2455.1050420168067</v>
      </c>
      <c r="H42" s="69">
        <f t="shared" si="14"/>
        <v>-0.31915131852046053</v>
      </c>
      <c r="I42" s="7"/>
      <c r="J42" s="52"/>
      <c r="K42" s="50"/>
      <c r="L42" s="50"/>
      <c r="M42" s="50"/>
    </row>
    <row r="43" spans="1:13" s="51" customFormat="1" ht="17" customHeight="1" x14ac:dyDescent="0.2">
      <c r="A43" s="38" t="s">
        <v>13</v>
      </c>
      <c r="B43" s="58" t="e">
        <f t="shared" si="8"/>
        <v>#DIV/0!</v>
      </c>
      <c r="C43" s="58">
        <f t="shared" ref="C43" si="23">C14/C29</f>
        <v>3522.2222222222222</v>
      </c>
      <c r="D43" s="95" t="e">
        <f t="shared" si="10"/>
        <v>#DIV/0!</v>
      </c>
      <c r="E43" s="72" t="e">
        <f t="shared" si="11"/>
        <v>#DIV/0!</v>
      </c>
      <c r="F43" s="58">
        <f t="shared" si="12"/>
        <v>10350.980392156862</v>
      </c>
      <c r="G43" s="55">
        <f t="shared" si="13"/>
        <v>-6828.7581699346392</v>
      </c>
      <c r="H43" s="87">
        <f t="shared" si="14"/>
        <v>-0.65972090673738704</v>
      </c>
      <c r="J43" s="52"/>
      <c r="K43" s="50"/>
      <c r="L43" s="50"/>
      <c r="M43" s="50"/>
    </row>
    <row r="46" spans="1:13" x14ac:dyDescent="0.2">
      <c r="B46" s="102">
        <v>2026</v>
      </c>
      <c r="C46" s="102">
        <v>2025</v>
      </c>
      <c r="D46" s="102">
        <v>2024</v>
      </c>
      <c r="G46" t="s">
        <v>38</v>
      </c>
    </row>
    <row r="47" spans="1:13" x14ac:dyDescent="0.2">
      <c r="A47" s="103" t="s">
        <v>22</v>
      </c>
      <c r="B47" t="s">
        <v>46</v>
      </c>
      <c r="C47" t="s">
        <v>42</v>
      </c>
      <c r="D47" t="s">
        <v>36</v>
      </c>
    </row>
    <row r="48" spans="1:13" x14ac:dyDescent="0.2">
      <c r="A48" s="103" t="s">
        <v>21</v>
      </c>
      <c r="C48">
        <v>18</v>
      </c>
      <c r="D48" t="s">
        <v>37</v>
      </c>
    </row>
    <row r="49" spans="1:5" x14ac:dyDescent="0.2">
      <c r="A49" s="103" t="s">
        <v>20</v>
      </c>
      <c r="C49" t="s">
        <v>37</v>
      </c>
      <c r="D49">
        <v>18</v>
      </c>
    </row>
    <row r="50" spans="1:5" x14ac:dyDescent="0.2">
      <c r="A50" s="103" t="s">
        <v>19</v>
      </c>
      <c r="C50">
        <v>4</v>
      </c>
      <c r="D50">
        <v>10</v>
      </c>
    </row>
    <row r="51" spans="1:5" x14ac:dyDescent="0.2">
      <c r="A51" s="103" t="s">
        <v>18</v>
      </c>
      <c r="D51">
        <v>2</v>
      </c>
    </row>
    <row r="52" spans="1:5" x14ac:dyDescent="0.2">
      <c r="A52" s="103" t="s">
        <v>17</v>
      </c>
      <c r="D52">
        <v>8</v>
      </c>
    </row>
    <row r="53" spans="1:5" x14ac:dyDescent="0.2">
      <c r="A53" s="103" t="s">
        <v>16</v>
      </c>
      <c r="C53">
        <v>27</v>
      </c>
      <c r="D53">
        <v>36</v>
      </c>
    </row>
    <row r="54" spans="1:5" x14ac:dyDescent="0.2">
      <c r="A54" s="103" t="s">
        <v>2</v>
      </c>
      <c r="C54">
        <v>18</v>
      </c>
      <c r="D54" t="s">
        <v>37</v>
      </c>
    </row>
    <row r="55" spans="1:5" x14ac:dyDescent="0.2">
      <c r="A55" s="103" t="s">
        <v>26</v>
      </c>
      <c r="C55" t="s">
        <v>43</v>
      </c>
      <c r="D55">
        <v>25</v>
      </c>
      <c r="E55" t="s">
        <v>39</v>
      </c>
    </row>
    <row r="56" spans="1:5" x14ac:dyDescent="0.2">
      <c r="A56" s="103" t="s">
        <v>15</v>
      </c>
      <c r="D56">
        <v>37</v>
      </c>
      <c r="E56" t="s">
        <v>40</v>
      </c>
    </row>
    <row r="57" spans="1:5" x14ac:dyDescent="0.2">
      <c r="A57" s="103" t="s">
        <v>14</v>
      </c>
      <c r="C57" t="s">
        <v>44</v>
      </c>
      <c r="D57">
        <v>99</v>
      </c>
    </row>
    <row r="58" spans="1:5" x14ac:dyDescent="0.2">
      <c r="A58" s="103" t="s">
        <v>13</v>
      </c>
      <c r="C58" t="s">
        <v>45</v>
      </c>
      <c r="D58">
        <v>16</v>
      </c>
      <c r="E58" t="s">
        <v>41</v>
      </c>
    </row>
    <row r="61" spans="1:5" x14ac:dyDescent="0.2">
      <c r="C61">
        <f>114-9</f>
        <v>105</v>
      </c>
    </row>
  </sheetData>
  <mergeCells count="8">
    <mergeCell ref="G31:H31"/>
    <mergeCell ref="A1:K1"/>
    <mergeCell ref="G2:H2"/>
    <mergeCell ref="A30:H30"/>
    <mergeCell ref="D2:E2"/>
    <mergeCell ref="A16:F16"/>
    <mergeCell ref="G16:K16"/>
    <mergeCell ref="D31:E31"/>
  </mergeCells>
  <phoneticPr fontId="15" type="noConversion"/>
  <conditionalFormatting sqref="D3:E4 G3:H15 D5 D6:E15 D18:D29 F18:F29 I18:I29 K18:K29 D32:E33 G32:H43 D34 D35:E43">
    <cfRule type="cellIs" dxfId="9" priority="1" operator="lessThan">
      <formula>-0.009</formula>
    </cfRule>
    <cfRule type="cellIs" dxfId="8" priority="2" operator="greaterThan">
      <formula>0.009</formula>
    </cfRule>
  </conditionalFormatting>
  <pageMargins left="0.7" right="0.7" top="0.75" bottom="0.75" header="0.3" footer="0.3"/>
  <pageSetup paperSize="9" orientation="portrait" horizontalDpi="0" verticalDpi="0"/>
  <ignoredErrors>
    <ignoredError sqref="B15 C15:D15" formulaRange="1"/>
    <ignoredError sqref="E14 G15:H15 B33:B43 B32:H32 C33:H33 E3 G3:H3 E4 G4:H4 G5:H5 E6 G6:H6 E7 G7:H7 E8 G8:H8 E9 G9:H9 E10 G10:H10 E11 G11:H11 E12 G12:H12 E13 G13:H13 G14:H14 C35:H43 D34 F34:H34" evalError="1"/>
    <ignoredError sqref="F15" evalError="1" formulaRange="1"/>
    <ignoredError sqref="E15" evalError="1" formula="1" formulaRange="1"/>
    <ignoredError sqref="G19:G28 H19:J29 I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75" zoomScaleNormal="70" workbookViewId="0"/>
  </sheetViews>
  <sheetFormatPr baseColWidth="10" defaultRowHeight="18" x14ac:dyDescent="0.2"/>
  <cols>
    <col min="1" max="1" width="15.83203125" style="9" customWidth="1"/>
    <col min="2" max="8" width="12.83203125" style="9" customWidth="1"/>
    <col min="9" max="9" width="15.33203125" style="8" customWidth="1"/>
    <col min="10" max="10" width="8.83203125" style="8" customWidth="1"/>
  </cols>
  <sheetData>
    <row r="1" spans="1:10" x14ac:dyDescent="0.2">
      <c r="A1" s="36" t="s">
        <v>23</v>
      </c>
      <c r="B1" s="35">
        <v>2020</v>
      </c>
      <c r="C1" s="34">
        <v>2021</v>
      </c>
      <c r="D1" s="34">
        <v>2022</v>
      </c>
      <c r="E1" s="34">
        <v>2023</v>
      </c>
      <c r="F1" s="33">
        <v>2024</v>
      </c>
      <c r="G1" s="33" t="s">
        <v>24</v>
      </c>
      <c r="H1" s="33" t="s">
        <v>48</v>
      </c>
      <c r="I1" s="125" t="s">
        <v>31</v>
      </c>
      <c r="J1" s="126"/>
    </row>
    <row r="2" spans="1:10" x14ac:dyDescent="0.2">
      <c r="A2" s="13" t="s">
        <v>22</v>
      </c>
      <c r="B2" s="31"/>
      <c r="C2" s="31">
        <v>0</v>
      </c>
      <c r="D2" s="31">
        <v>54400</v>
      </c>
      <c r="E2" s="31">
        <v>14600</v>
      </c>
      <c r="F2" s="30">
        <v>49500</v>
      </c>
      <c r="G2" s="30">
        <v>91666</v>
      </c>
      <c r="H2" s="30">
        <v>69800</v>
      </c>
      <c r="I2" s="62">
        <f>H2-G2</f>
        <v>-21866</v>
      </c>
      <c r="J2" s="66">
        <f>(H2-G2)/G2</f>
        <v>-0.23853991665393931</v>
      </c>
    </row>
    <row r="3" spans="1:10" x14ac:dyDescent="0.2">
      <c r="A3" s="13" t="s">
        <v>21</v>
      </c>
      <c r="B3" s="31"/>
      <c r="C3" s="31">
        <v>40000</v>
      </c>
      <c r="D3" s="31">
        <v>100000</v>
      </c>
      <c r="E3" s="31">
        <v>359000</v>
      </c>
      <c r="F3" s="30">
        <v>136900</v>
      </c>
      <c r="G3" s="30">
        <v>214058.5</v>
      </c>
      <c r="H3" s="30">
        <v>342000</v>
      </c>
      <c r="I3" s="62">
        <f t="shared" ref="I3:I13" si="0">H3-G3</f>
        <v>127941.5</v>
      </c>
      <c r="J3" s="66">
        <f t="shared" ref="J3:J13" si="1">(H3-G3)/G3</f>
        <v>0.59769408829829229</v>
      </c>
    </row>
    <row r="4" spans="1:10" x14ac:dyDescent="0.2">
      <c r="A4" s="13" t="s">
        <v>20</v>
      </c>
      <c r="B4" s="32"/>
      <c r="C4" s="31">
        <v>61250</v>
      </c>
      <c r="D4" s="31">
        <v>366000</v>
      </c>
      <c r="E4" s="31">
        <v>198500</v>
      </c>
      <c r="F4" s="30">
        <v>207580</v>
      </c>
      <c r="G4" s="30">
        <v>0</v>
      </c>
      <c r="H4" s="30">
        <v>24700</v>
      </c>
      <c r="I4" s="62">
        <f t="shared" si="0"/>
        <v>24700</v>
      </c>
      <c r="J4" s="66" t="s">
        <v>37</v>
      </c>
    </row>
    <row r="5" spans="1:10" x14ac:dyDescent="0.2">
      <c r="A5" s="13" t="s">
        <v>19</v>
      </c>
      <c r="B5" s="32"/>
      <c r="C5" s="31">
        <v>247350</v>
      </c>
      <c r="D5" s="31">
        <v>525400</v>
      </c>
      <c r="E5" s="31">
        <v>143700</v>
      </c>
      <c r="F5" s="30">
        <v>199260</v>
      </c>
      <c r="G5" s="30">
        <v>245100</v>
      </c>
      <c r="H5" s="30">
        <v>111300</v>
      </c>
      <c r="I5" s="62">
        <f t="shared" si="0"/>
        <v>-133800</v>
      </c>
      <c r="J5" s="66">
        <f t="shared" si="1"/>
        <v>-0.54589963280293763</v>
      </c>
    </row>
    <row r="6" spans="1:10" x14ac:dyDescent="0.2">
      <c r="A6" s="13" t="s">
        <v>18</v>
      </c>
      <c r="B6" s="32"/>
      <c r="C6" s="31">
        <v>1000</v>
      </c>
      <c r="D6" s="31">
        <v>70900</v>
      </c>
      <c r="E6" s="31">
        <v>57800</v>
      </c>
      <c r="F6" s="30">
        <v>113850</v>
      </c>
      <c r="G6" s="30">
        <v>97500</v>
      </c>
      <c r="H6" s="30">
        <v>68375</v>
      </c>
      <c r="I6" s="62">
        <f t="shared" si="0"/>
        <v>-29125</v>
      </c>
      <c r="J6" s="66">
        <f t="shared" si="1"/>
        <v>-0.29871794871794871</v>
      </c>
    </row>
    <row r="7" spans="1:10" x14ac:dyDescent="0.2">
      <c r="A7" s="13" t="s">
        <v>17</v>
      </c>
      <c r="B7" s="31"/>
      <c r="C7" s="31">
        <v>0</v>
      </c>
      <c r="D7" s="31">
        <v>48000</v>
      </c>
      <c r="E7" s="31">
        <v>84100</v>
      </c>
      <c r="F7" s="30">
        <v>92000</v>
      </c>
      <c r="G7" s="30">
        <v>147850</v>
      </c>
      <c r="H7" s="30"/>
      <c r="I7" s="62">
        <f t="shared" si="0"/>
        <v>-147850</v>
      </c>
      <c r="J7" s="66">
        <f t="shared" si="1"/>
        <v>-1</v>
      </c>
    </row>
    <row r="8" spans="1:10" x14ac:dyDescent="0.2">
      <c r="A8" s="13" t="s">
        <v>16</v>
      </c>
      <c r="B8" s="31"/>
      <c r="C8" s="31">
        <v>9600</v>
      </c>
      <c r="D8" s="31">
        <v>107000</v>
      </c>
      <c r="E8" s="31">
        <v>345630</v>
      </c>
      <c r="F8" s="30">
        <v>318480</v>
      </c>
      <c r="G8" s="30">
        <v>776975</v>
      </c>
      <c r="H8" s="30"/>
      <c r="I8" s="62">
        <f t="shared" si="0"/>
        <v>-776975</v>
      </c>
      <c r="J8" s="66">
        <f t="shared" si="1"/>
        <v>-1</v>
      </c>
    </row>
    <row r="9" spans="1:10" x14ac:dyDescent="0.2">
      <c r="A9" s="13" t="s">
        <v>2</v>
      </c>
      <c r="B9" s="31"/>
      <c r="C9" s="31">
        <v>87550</v>
      </c>
      <c r="D9" s="31">
        <v>236800</v>
      </c>
      <c r="E9" s="31">
        <v>121800</v>
      </c>
      <c r="F9" s="30">
        <v>34800</v>
      </c>
      <c r="G9" s="30">
        <v>197550</v>
      </c>
      <c r="H9" s="30"/>
      <c r="I9" s="62">
        <f t="shared" si="0"/>
        <v>-197550</v>
      </c>
      <c r="J9" s="66">
        <f t="shared" si="1"/>
        <v>-1</v>
      </c>
    </row>
    <row r="10" spans="1:10" x14ac:dyDescent="0.2">
      <c r="A10" s="13" t="s">
        <v>3</v>
      </c>
      <c r="B10" s="31">
        <v>15000</v>
      </c>
      <c r="C10" s="31">
        <v>129200</v>
      </c>
      <c r="D10" s="31">
        <v>107200</v>
      </c>
      <c r="E10" s="31">
        <v>231050</v>
      </c>
      <c r="F10" s="30">
        <v>266200</v>
      </c>
      <c r="G10" s="30">
        <v>286000</v>
      </c>
      <c r="H10" s="30"/>
      <c r="I10" s="62">
        <f t="shared" si="0"/>
        <v>-286000</v>
      </c>
      <c r="J10" s="66">
        <f t="shared" si="1"/>
        <v>-1</v>
      </c>
    </row>
    <row r="11" spans="1:10" x14ac:dyDescent="0.2">
      <c r="A11" s="13" t="s">
        <v>15</v>
      </c>
      <c r="B11" s="31">
        <v>0</v>
      </c>
      <c r="C11" s="31">
        <v>93050</v>
      </c>
      <c r="D11" s="31">
        <v>183000</v>
      </c>
      <c r="E11" s="31">
        <v>305900</v>
      </c>
      <c r="F11" s="30">
        <v>142600</v>
      </c>
      <c r="G11" s="30">
        <v>371440</v>
      </c>
      <c r="H11" s="30"/>
      <c r="I11" s="62">
        <f t="shared" si="0"/>
        <v>-371440</v>
      </c>
      <c r="J11" s="66">
        <f t="shared" si="1"/>
        <v>-1</v>
      </c>
    </row>
    <row r="12" spans="1:10" x14ac:dyDescent="0.2">
      <c r="A12" s="13" t="s">
        <v>14</v>
      </c>
      <c r="B12" s="31">
        <v>73000</v>
      </c>
      <c r="C12" s="31">
        <v>201200</v>
      </c>
      <c r="D12" s="31">
        <v>150250</v>
      </c>
      <c r="E12" s="31">
        <v>320925</v>
      </c>
      <c r="F12" s="30">
        <v>915420</v>
      </c>
      <c r="G12" s="30">
        <v>31425</v>
      </c>
      <c r="H12" s="30"/>
      <c r="I12" s="62">
        <f t="shared" si="0"/>
        <v>-31425</v>
      </c>
      <c r="J12" s="66">
        <f t="shared" si="1"/>
        <v>-1</v>
      </c>
    </row>
    <row r="13" spans="1:10" ht="19" thickBot="1" x14ac:dyDescent="0.25">
      <c r="A13" s="12" t="s">
        <v>13</v>
      </c>
      <c r="B13" s="29">
        <v>234375</v>
      </c>
      <c r="C13" s="29">
        <v>120700</v>
      </c>
      <c r="D13" s="29">
        <v>396300</v>
      </c>
      <c r="E13" s="29">
        <v>534820</v>
      </c>
      <c r="F13" s="28">
        <v>527900</v>
      </c>
      <c r="G13" s="28">
        <v>31700</v>
      </c>
      <c r="H13" s="28"/>
      <c r="I13" s="62">
        <f t="shared" si="0"/>
        <v>-31700</v>
      </c>
      <c r="J13" s="66">
        <f t="shared" si="1"/>
        <v>-1</v>
      </c>
    </row>
    <row r="14" spans="1:10" ht="19" thickBot="1" x14ac:dyDescent="0.25">
      <c r="A14" s="11" t="s">
        <v>8</v>
      </c>
      <c r="B14" s="27">
        <f t="shared" ref="B14:F14" si="2">SUM(B2:B13)</f>
        <v>322375</v>
      </c>
      <c r="C14" s="27">
        <f t="shared" si="2"/>
        <v>990900</v>
      </c>
      <c r="D14" s="27">
        <f t="shared" si="2"/>
        <v>2345250</v>
      </c>
      <c r="E14" s="27">
        <f t="shared" si="2"/>
        <v>2717825</v>
      </c>
      <c r="F14" s="26">
        <f t="shared" si="2"/>
        <v>3004490</v>
      </c>
      <c r="G14" s="26">
        <f>SUM(G2:G13)</f>
        <v>2491264.5</v>
      </c>
      <c r="H14" s="26">
        <f t="shared" ref="H14" si="3">SUM(H2:H13)</f>
        <v>616175</v>
      </c>
      <c r="I14" s="63">
        <f>H14-G14</f>
        <v>-1875089.5</v>
      </c>
      <c r="J14" s="67">
        <f>(H14-G14)/G14</f>
        <v>-0.75266576471506741</v>
      </c>
    </row>
    <row r="15" spans="1:10" x14ac:dyDescent="0.2">
      <c r="A15" s="16" t="s">
        <v>4</v>
      </c>
      <c r="B15" s="15">
        <v>2020</v>
      </c>
      <c r="C15" s="15">
        <v>2021</v>
      </c>
      <c r="D15" s="15">
        <v>2022</v>
      </c>
      <c r="E15" s="15">
        <v>2023</v>
      </c>
      <c r="F15" s="14">
        <v>2024</v>
      </c>
      <c r="G15" s="14">
        <v>2025</v>
      </c>
      <c r="H15" s="14">
        <v>2026</v>
      </c>
      <c r="I15" s="125" t="s">
        <v>31</v>
      </c>
      <c r="J15" s="126"/>
    </row>
    <row r="16" spans="1:10" x14ac:dyDescent="0.2">
      <c r="A16" s="13" t="s">
        <v>22</v>
      </c>
      <c r="B16" s="24"/>
      <c r="C16" s="24">
        <v>0</v>
      </c>
      <c r="D16" s="24">
        <v>8</v>
      </c>
      <c r="E16" s="24">
        <v>4</v>
      </c>
      <c r="F16" s="23">
        <v>3</v>
      </c>
      <c r="G16" s="23">
        <v>15</v>
      </c>
      <c r="H16" s="23">
        <v>9</v>
      </c>
      <c r="I16" s="62">
        <f>H16-G16</f>
        <v>-6</v>
      </c>
      <c r="J16" s="66">
        <f>(H16-G16)/G16</f>
        <v>-0.4</v>
      </c>
    </row>
    <row r="17" spans="1:10" x14ac:dyDescent="0.2">
      <c r="A17" s="13" t="s">
        <v>21</v>
      </c>
      <c r="B17" s="24"/>
      <c r="C17" s="24">
        <v>8</v>
      </c>
      <c r="D17" s="24">
        <v>8</v>
      </c>
      <c r="E17" s="24">
        <v>54</v>
      </c>
      <c r="F17" s="23">
        <v>26</v>
      </c>
      <c r="G17" s="23">
        <v>34</v>
      </c>
      <c r="H17" s="23">
        <v>28</v>
      </c>
      <c r="I17" s="62">
        <f t="shared" ref="I17:I27" si="4">H17-G17</f>
        <v>-6</v>
      </c>
      <c r="J17" s="66">
        <f t="shared" ref="J17:J27" si="5">(H17-G17)/G17</f>
        <v>-0.17647058823529413</v>
      </c>
    </row>
    <row r="18" spans="1:10" x14ac:dyDescent="0.2">
      <c r="A18" s="13" t="s">
        <v>20</v>
      </c>
      <c r="B18" s="25"/>
      <c r="C18" s="24">
        <v>13</v>
      </c>
      <c r="D18" s="24">
        <v>65</v>
      </c>
      <c r="E18" s="24">
        <v>34</v>
      </c>
      <c r="F18" s="23">
        <v>30</v>
      </c>
      <c r="G18" s="23">
        <v>0</v>
      </c>
      <c r="H18" s="23">
        <v>7</v>
      </c>
      <c r="I18" s="62">
        <f t="shared" si="4"/>
        <v>7</v>
      </c>
      <c r="J18" s="66" t="s">
        <v>37</v>
      </c>
    </row>
    <row r="19" spans="1:10" x14ac:dyDescent="0.2">
      <c r="A19" s="13" t="s">
        <v>19</v>
      </c>
      <c r="B19" s="25"/>
      <c r="C19" s="24">
        <v>48</v>
      </c>
      <c r="D19" s="24">
        <v>80</v>
      </c>
      <c r="E19" s="24">
        <v>30</v>
      </c>
      <c r="F19" s="23">
        <v>24</v>
      </c>
      <c r="G19" s="23">
        <v>38</v>
      </c>
      <c r="H19" s="23">
        <v>25</v>
      </c>
      <c r="I19" s="62">
        <f t="shared" si="4"/>
        <v>-13</v>
      </c>
      <c r="J19" s="66">
        <f t="shared" si="5"/>
        <v>-0.34210526315789475</v>
      </c>
    </row>
    <row r="20" spans="1:10" x14ac:dyDescent="0.2">
      <c r="A20" s="13" t="s">
        <v>18</v>
      </c>
      <c r="B20" s="25"/>
      <c r="C20" s="24">
        <v>2</v>
      </c>
      <c r="D20" s="24">
        <v>24</v>
      </c>
      <c r="E20" s="24">
        <v>8</v>
      </c>
      <c r="F20" s="23">
        <v>28</v>
      </c>
      <c r="G20" s="23">
        <v>17</v>
      </c>
      <c r="H20" s="23">
        <v>25</v>
      </c>
      <c r="I20" s="62">
        <f>H20-G20</f>
        <v>8</v>
      </c>
      <c r="J20" s="66">
        <f t="shared" si="5"/>
        <v>0.47058823529411764</v>
      </c>
    </row>
    <row r="21" spans="1:10" x14ac:dyDescent="0.2">
      <c r="A21" s="13" t="s">
        <v>17</v>
      </c>
      <c r="B21" s="24"/>
      <c r="C21" s="24">
        <v>0</v>
      </c>
      <c r="D21" s="24">
        <v>17</v>
      </c>
      <c r="E21" s="24">
        <v>22</v>
      </c>
      <c r="F21" s="23">
        <v>22</v>
      </c>
      <c r="G21" s="23">
        <v>23</v>
      </c>
      <c r="H21" s="23"/>
      <c r="I21" s="62">
        <f t="shared" si="4"/>
        <v>-23</v>
      </c>
      <c r="J21" s="66">
        <f t="shared" si="5"/>
        <v>-1</v>
      </c>
    </row>
    <row r="22" spans="1:10" x14ac:dyDescent="0.2">
      <c r="A22" s="13" t="s">
        <v>16</v>
      </c>
      <c r="B22" s="24"/>
      <c r="C22" s="24">
        <v>4</v>
      </c>
      <c r="D22" s="24">
        <v>16</v>
      </c>
      <c r="E22" s="24">
        <v>80</v>
      </c>
      <c r="F22" s="23">
        <v>65</v>
      </c>
      <c r="G22" s="23">
        <v>61</v>
      </c>
      <c r="H22" s="23"/>
      <c r="I22" s="62">
        <f t="shared" si="4"/>
        <v>-61</v>
      </c>
      <c r="J22" s="66">
        <f t="shared" si="5"/>
        <v>-1</v>
      </c>
    </row>
    <row r="23" spans="1:10" x14ac:dyDescent="0.2">
      <c r="A23" s="13" t="s">
        <v>2</v>
      </c>
      <c r="B23" s="24"/>
      <c r="C23" s="24">
        <v>28</v>
      </c>
      <c r="D23" s="24">
        <v>38</v>
      </c>
      <c r="E23" s="24">
        <v>33</v>
      </c>
      <c r="F23" s="23">
        <v>9</v>
      </c>
      <c r="G23" s="23">
        <v>34</v>
      </c>
      <c r="H23" s="23"/>
      <c r="I23" s="62">
        <f t="shared" si="4"/>
        <v>-34</v>
      </c>
      <c r="J23" s="66">
        <f t="shared" si="5"/>
        <v>-1</v>
      </c>
    </row>
    <row r="24" spans="1:10" x14ac:dyDescent="0.2">
      <c r="A24" s="13" t="s">
        <v>3</v>
      </c>
      <c r="B24" s="24">
        <v>21</v>
      </c>
      <c r="C24" s="24">
        <v>39</v>
      </c>
      <c r="D24" s="24">
        <v>22</v>
      </c>
      <c r="E24" s="24">
        <v>36</v>
      </c>
      <c r="F24" s="23">
        <v>36</v>
      </c>
      <c r="G24" s="23">
        <v>43</v>
      </c>
      <c r="H24" s="23"/>
      <c r="I24" s="62">
        <f t="shared" si="4"/>
        <v>-43</v>
      </c>
      <c r="J24" s="66">
        <f t="shared" si="5"/>
        <v>-1</v>
      </c>
    </row>
    <row r="25" spans="1:10" x14ac:dyDescent="0.2">
      <c r="A25" s="13" t="s">
        <v>15</v>
      </c>
      <c r="B25" s="24">
        <v>0</v>
      </c>
      <c r="C25" s="24">
        <v>25</v>
      </c>
      <c r="D25" s="24">
        <v>38</v>
      </c>
      <c r="E25" s="24">
        <v>48</v>
      </c>
      <c r="F25" s="23">
        <v>65</v>
      </c>
      <c r="G25" s="23">
        <v>53</v>
      </c>
      <c r="H25" s="23"/>
      <c r="I25" s="62">
        <f t="shared" si="4"/>
        <v>-53</v>
      </c>
      <c r="J25" s="66">
        <f t="shared" si="5"/>
        <v>-1</v>
      </c>
    </row>
    <row r="26" spans="1:10" x14ac:dyDescent="0.2">
      <c r="A26" s="13" t="s">
        <v>14</v>
      </c>
      <c r="B26" s="24">
        <v>14</v>
      </c>
      <c r="C26" s="24">
        <v>28</v>
      </c>
      <c r="D26" s="24">
        <v>37</v>
      </c>
      <c r="E26" s="24">
        <v>43</v>
      </c>
      <c r="F26" s="23">
        <v>119</v>
      </c>
      <c r="G26" s="23">
        <v>6</v>
      </c>
      <c r="H26" s="23"/>
      <c r="I26" s="62">
        <f t="shared" si="4"/>
        <v>-6</v>
      </c>
      <c r="J26" s="66">
        <f t="shared" si="5"/>
        <v>-1</v>
      </c>
    </row>
    <row r="27" spans="1:10" ht="19" thickBot="1" x14ac:dyDescent="0.25">
      <c r="A27" s="12" t="s">
        <v>13</v>
      </c>
      <c r="B27" s="22">
        <v>63</v>
      </c>
      <c r="C27" s="22">
        <v>21</v>
      </c>
      <c r="D27" s="22">
        <v>63</v>
      </c>
      <c r="E27" s="22">
        <v>91</v>
      </c>
      <c r="F27" s="21">
        <v>51</v>
      </c>
      <c r="G27" s="21">
        <v>9</v>
      </c>
      <c r="H27" s="21"/>
      <c r="I27" s="62">
        <f t="shared" si="4"/>
        <v>-9</v>
      </c>
      <c r="J27" s="66">
        <f t="shared" si="5"/>
        <v>-1</v>
      </c>
    </row>
    <row r="28" spans="1:10" ht="19" thickBot="1" x14ac:dyDescent="0.25">
      <c r="A28" s="11" t="s">
        <v>8</v>
      </c>
      <c r="B28" s="20">
        <f t="shared" ref="B28:F28" si="6">SUM(B16:B27)</f>
        <v>98</v>
      </c>
      <c r="C28" s="20">
        <f t="shared" si="6"/>
        <v>216</v>
      </c>
      <c r="D28" s="20">
        <f t="shared" si="6"/>
        <v>416</v>
      </c>
      <c r="E28" s="20">
        <f t="shared" si="6"/>
        <v>483</v>
      </c>
      <c r="F28" s="19">
        <f t="shared" si="6"/>
        <v>478</v>
      </c>
      <c r="G28" s="19">
        <f>SUM(G16:G27)</f>
        <v>333</v>
      </c>
      <c r="H28" s="19">
        <f t="shared" ref="H28" si="7">SUM(H16:H27)</f>
        <v>94</v>
      </c>
      <c r="I28" s="63">
        <f>H28-G28</f>
        <v>-239</v>
      </c>
      <c r="J28" s="67">
        <f>(H28-G28)/G28</f>
        <v>-0.71771771771771775</v>
      </c>
    </row>
    <row r="29" spans="1:10" x14ac:dyDescent="0.2">
      <c r="A29" s="16" t="s">
        <v>6</v>
      </c>
      <c r="B29" s="15">
        <v>2020</v>
      </c>
      <c r="C29" s="15">
        <v>2021</v>
      </c>
      <c r="D29" s="15">
        <v>2022</v>
      </c>
      <c r="E29" s="15">
        <v>2023</v>
      </c>
      <c r="F29" s="14">
        <v>2024</v>
      </c>
      <c r="G29" s="14">
        <v>2025</v>
      </c>
      <c r="H29" s="14">
        <v>2026</v>
      </c>
      <c r="I29" s="125" t="s">
        <v>31</v>
      </c>
      <c r="J29" s="126"/>
    </row>
    <row r="30" spans="1:10" x14ac:dyDescent="0.2">
      <c r="A30" s="13" t="s">
        <v>22</v>
      </c>
      <c r="B30" s="104"/>
      <c r="C30" s="105">
        <f t="shared" ref="C30:E30" si="8">C16/217</f>
        <v>0</v>
      </c>
      <c r="D30" s="105">
        <f t="shared" si="8"/>
        <v>3.6866359447004608E-2</v>
      </c>
      <c r="E30" s="105">
        <f t="shared" si="8"/>
        <v>1.8433179723502304E-2</v>
      </c>
      <c r="F30" s="105">
        <f>F16/217</f>
        <v>1.3824884792626729E-2</v>
      </c>
      <c r="G30" s="105">
        <f t="shared" ref="G30:H30" si="9">G16/217</f>
        <v>6.9124423963133647E-2</v>
      </c>
      <c r="H30" s="105">
        <f t="shared" si="9"/>
        <v>4.1474654377880185E-2</v>
      </c>
      <c r="I30" s="64">
        <f>H30-G30</f>
        <v>-2.7649769585253461E-2</v>
      </c>
      <c r="J30" s="66">
        <f>(H30-G30)/G30</f>
        <v>-0.4</v>
      </c>
    </row>
    <row r="31" spans="1:10" x14ac:dyDescent="0.2">
      <c r="A31" s="13" t="s">
        <v>21</v>
      </c>
      <c r="B31" s="104"/>
      <c r="C31" s="105">
        <f>C17/196</f>
        <v>4.0816326530612242E-2</v>
      </c>
      <c r="D31" s="105">
        <f>D17/196</f>
        <v>4.0816326530612242E-2</v>
      </c>
      <c r="E31" s="105">
        <f>E17/196</f>
        <v>0.27551020408163263</v>
      </c>
      <c r="F31" s="105">
        <f>F17/203</f>
        <v>0.12807881773399016</v>
      </c>
      <c r="G31" s="105">
        <f>G17/196</f>
        <v>0.17346938775510204</v>
      </c>
      <c r="H31" s="105">
        <f>H17/196</f>
        <v>0.14285714285714285</v>
      </c>
      <c r="I31" s="64">
        <f t="shared" ref="I31:I41" si="10">H31-G31</f>
        <v>-3.061224489795919E-2</v>
      </c>
      <c r="J31" s="66">
        <f t="shared" ref="J31:J41" si="11">(H31-G31)/G31</f>
        <v>-0.17647058823529416</v>
      </c>
    </row>
    <row r="32" spans="1:10" x14ac:dyDescent="0.2">
      <c r="A32" s="13" t="s">
        <v>20</v>
      </c>
      <c r="B32" s="106"/>
      <c r="C32" s="105">
        <f t="shared" ref="C32:E32" si="12">C18/217</f>
        <v>5.9907834101382486E-2</v>
      </c>
      <c r="D32" s="105">
        <f t="shared" si="12"/>
        <v>0.29953917050691242</v>
      </c>
      <c r="E32" s="105">
        <f t="shared" si="12"/>
        <v>0.15668202764976957</v>
      </c>
      <c r="F32" s="105">
        <f>F18/217</f>
        <v>0.13824884792626729</v>
      </c>
      <c r="G32" s="105">
        <f t="shared" ref="G32:H32" si="13">G18/217</f>
        <v>0</v>
      </c>
      <c r="H32" s="105">
        <f t="shared" si="13"/>
        <v>3.2258064516129031E-2</v>
      </c>
      <c r="I32" s="64">
        <f t="shared" si="10"/>
        <v>3.2258064516129031E-2</v>
      </c>
      <c r="J32" s="66" t="s">
        <v>37</v>
      </c>
    </row>
    <row r="33" spans="1:10" x14ac:dyDescent="0.2">
      <c r="A33" s="13" t="s">
        <v>19</v>
      </c>
      <c r="B33" s="106"/>
      <c r="C33" s="105">
        <f t="shared" ref="C33:E33" si="14">C19/210</f>
        <v>0.22857142857142856</v>
      </c>
      <c r="D33" s="105">
        <f t="shared" si="14"/>
        <v>0.38095238095238093</v>
      </c>
      <c r="E33" s="105">
        <f t="shared" si="14"/>
        <v>0.14285714285714285</v>
      </c>
      <c r="F33" s="105">
        <f>F19/210</f>
        <v>0.11428571428571428</v>
      </c>
      <c r="G33" s="105">
        <f t="shared" ref="G33:H33" si="15">G19/210</f>
        <v>0.18095238095238095</v>
      </c>
      <c r="H33" s="105">
        <f t="shared" si="15"/>
        <v>0.11904761904761904</v>
      </c>
      <c r="I33" s="64">
        <f t="shared" si="10"/>
        <v>-6.1904761904761907E-2</v>
      </c>
      <c r="J33" s="66">
        <f t="shared" si="11"/>
        <v>-0.34210526315789475</v>
      </c>
    </row>
    <row r="34" spans="1:10" x14ac:dyDescent="0.2">
      <c r="A34" s="13" t="s">
        <v>18</v>
      </c>
      <c r="B34" s="106"/>
      <c r="C34" s="105">
        <f t="shared" ref="C34:E34" si="16">C20/217</f>
        <v>9.2165898617511521E-3</v>
      </c>
      <c r="D34" s="105">
        <f t="shared" si="16"/>
        <v>0.11059907834101383</v>
      </c>
      <c r="E34" s="105">
        <f t="shared" si="16"/>
        <v>3.6866359447004608E-2</v>
      </c>
      <c r="F34" s="105">
        <f>F20/217</f>
        <v>0.12903225806451613</v>
      </c>
      <c r="G34" s="105">
        <f t="shared" ref="G34:H34" si="17">G20/217</f>
        <v>7.8341013824884786E-2</v>
      </c>
      <c r="H34" s="105">
        <f t="shared" si="17"/>
        <v>0.1152073732718894</v>
      </c>
      <c r="I34" s="64">
        <f t="shared" si="10"/>
        <v>3.6866359447004615E-2</v>
      </c>
      <c r="J34" s="66">
        <f t="shared" si="11"/>
        <v>0.47058823529411775</v>
      </c>
    </row>
    <row r="35" spans="1:10" x14ac:dyDescent="0.2">
      <c r="A35" s="13" t="s">
        <v>17</v>
      </c>
      <c r="B35" s="105"/>
      <c r="C35" s="105">
        <f t="shared" ref="C35:E35" si="18">C21/210</f>
        <v>0</v>
      </c>
      <c r="D35" s="105">
        <f t="shared" si="18"/>
        <v>8.0952380952380956E-2</v>
      </c>
      <c r="E35" s="105">
        <f t="shared" si="18"/>
        <v>0.10476190476190476</v>
      </c>
      <c r="F35" s="105">
        <f>F21/210</f>
        <v>0.10476190476190476</v>
      </c>
      <c r="G35" s="105">
        <f t="shared" ref="G35:H35" si="19">G21/210</f>
        <v>0.10952380952380952</v>
      </c>
      <c r="H35" s="105">
        <f t="shared" si="19"/>
        <v>0</v>
      </c>
      <c r="I35" s="64">
        <f t="shared" si="10"/>
        <v>-0.10952380952380952</v>
      </c>
      <c r="J35" s="66">
        <f t="shared" si="11"/>
        <v>-1</v>
      </c>
    </row>
    <row r="36" spans="1:10" x14ac:dyDescent="0.2">
      <c r="A36" s="13" t="s">
        <v>16</v>
      </c>
      <c r="B36" s="105"/>
      <c r="C36" s="105">
        <f t="shared" ref="C36:E36" si="20">C22/217</f>
        <v>1.8433179723502304E-2</v>
      </c>
      <c r="D36" s="105">
        <f t="shared" si="20"/>
        <v>7.3732718894009217E-2</v>
      </c>
      <c r="E36" s="105">
        <f t="shared" si="20"/>
        <v>0.3686635944700461</v>
      </c>
      <c r="F36" s="105">
        <f>F22/217</f>
        <v>0.29953917050691242</v>
      </c>
      <c r="G36" s="105">
        <f t="shared" ref="G36:H36" si="21">G22/217</f>
        <v>0.28110599078341014</v>
      </c>
      <c r="H36" s="105">
        <f t="shared" si="21"/>
        <v>0</v>
      </c>
      <c r="I36" s="64">
        <f t="shared" si="10"/>
        <v>-0.28110599078341014</v>
      </c>
      <c r="J36" s="66">
        <f t="shared" si="11"/>
        <v>-1</v>
      </c>
    </row>
    <row r="37" spans="1:10" x14ac:dyDescent="0.2">
      <c r="A37" s="13" t="s">
        <v>2</v>
      </c>
      <c r="B37" s="105"/>
      <c r="C37" s="105">
        <f t="shared" ref="C37:E37" si="22">C23/217</f>
        <v>0.12903225806451613</v>
      </c>
      <c r="D37" s="105">
        <f t="shared" si="22"/>
        <v>0.17511520737327188</v>
      </c>
      <c r="E37" s="105">
        <f t="shared" si="22"/>
        <v>0.15207373271889402</v>
      </c>
      <c r="F37" s="105">
        <f>F23/217</f>
        <v>4.1474654377880185E-2</v>
      </c>
      <c r="G37" s="105">
        <f t="shared" ref="G37:H37" si="23">G23/217</f>
        <v>0.15668202764976957</v>
      </c>
      <c r="H37" s="105">
        <f t="shared" si="23"/>
        <v>0</v>
      </c>
      <c r="I37" s="64">
        <f t="shared" si="10"/>
        <v>-0.15668202764976957</v>
      </c>
      <c r="J37" s="66">
        <f t="shared" si="11"/>
        <v>-1</v>
      </c>
    </row>
    <row r="38" spans="1:10" x14ac:dyDescent="0.2">
      <c r="A38" s="13" t="s">
        <v>3</v>
      </c>
      <c r="B38" s="105">
        <f t="shared" ref="B38:E38" si="24">B24/210</f>
        <v>0.1</v>
      </c>
      <c r="C38" s="105">
        <f t="shared" si="24"/>
        <v>0.18571428571428572</v>
      </c>
      <c r="D38" s="105">
        <f t="shared" si="24"/>
        <v>0.10476190476190476</v>
      </c>
      <c r="E38" s="105">
        <f t="shared" si="24"/>
        <v>0.17142857142857143</v>
      </c>
      <c r="F38" s="105">
        <f>F24/210</f>
        <v>0.17142857142857143</v>
      </c>
      <c r="G38" s="105">
        <f t="shared" ref="G38:H38" si="25">G24/210</f>
        <v>0.20476190476190476</v>
      </c>
      <c r="H38" s="105">
        <f t="shared" si="25"/>
        <v>0</v>
      </c>
      <c r="I38" s="64">
        <f t="shared" si="10"/>
        <v>-0.20476190476190476</v>
      </c>
      <c r="J38" s="66">
        <f t="shared" si="11"/>
        <v>-1</v>
      </c>
    </row>
    <row r="39" spans="1:10" x14ac:dyDescent="0.2">
      <c r="A39" s="13" t="s">
        <v>15</v>
      </c>
      <c r="B39" s="105">
        <f t="shared" ref="B39:E39" si="26">B25/217</f>
        <v>0</v>
      </c>
      <c r="C39" s="105">
        <f t="shared" si="26"/>
        <v>0.1152073732718894</v>
      </c>
      <c r="D39" s="105">
        <f t="shared" si="26"/>
        <v>0.17511520737327188</v>
      </c>
      <c r="E39" s="105">
        <f t="shared" si="26"/>
        <v>0.22119815668202766</v>
      </c>
      <c r="F39" s="105">
        <f>F25/217</f>
        <v>0.29953917050691242</v>
      </c>
      <c r="G39" s="105">
        <f t="shared" ref="G39:H39" si="27">G25/217</f>
        <v>0.24423963133640553</v>
      </c>
      <c r="H39" s="105">
        <f t="shared" si="27"/>
        <v>0</v>
      </c>
      <c r="I39" s="64">
        <f t="shared" si="10"/>
        <v>-0.24423963133640553</v>
      </c>
      <c r="J39" s="66">
        <f t="shared" si="11"/>
        <v>-1</v>
      </c>
    </row>
    <row r="40" spans="1:10" x14ac:dyDescent="0.2">
      <c r="A40" s="13" t="s">
        <v>14</v>
      </c>
      <c r="B40" s="105">
        <f t="shared" ref="B40:E40" si="28">B26/210</f>
        <v>6.6666666666666666E-2</v>
      </c>
      <c r="C40" s="105">
        <f t="shared" si="28"/>
        <v>0.13333333333333333</v>
      </c>
      <c r="D40" s="105">
        <f t="shared" si="28"/>
        <v>0.1761904761904762</v>
      </c>
      <c r="E40" s="105">
        <f t="shared" si="28"/>
        <v>0.20476190476190476</v>
      </c>
      <c r="F40" s="105">
        <f>F26/210</f>
        <v>0.56666666666666665</v>
      </c>
      <c r="G40" s="105">
        <f t="shared" ref="G40:H40" si="29">G26/210</f>
        <v>2.8571428571428571E-2</v>
      </c>
      <c r="H40" s="105">
        <f t="shared" si="29"/>
        <v>0</v>
      </c>
      <c r="I40" s="64">
        <f t="shared" si="10"/>
        <v>-2.8571428571428571E-2</v>
      </c>
      <c r="J40" s="66">
        <f t="shared" si="11"/>
        <v>-1</v>
      </c>
    </row>
    <row r="41" spans="1:10" ht="19" thickBot="1" x14ac:dyDescent="0.25">
      <c r="A41" s="12" t="s">
        <v>13</v>
      </c>
      <c r="B41" s="107">
        <f t="shared" ref="B41:E41" si="30">B27/217</f>
        <v>0.29032258064516131</v>
      </c>
      <c r="C41" s="107">
        <f t="shared" si="30"/>
        <v>9.6774193548387094E-2</v>
      </c>
      <c r="D41" s="107">
        <f t="shared" si="30"/>
        <v>0.29032258064516131</v>
      </c>
      <c r="E41" s="107">
        <f t="shared" si="30"/>
        <v>0.41935483870967744</v>
      </c>
      <c r="F41" s="107">
        <f>F27/217</f>
        <v>0.23502304147465439</v>
      </c>
      <c r="G41" s="107">
        <f t="shared" ref="G41:H41" si="31">G27/217</f>
        <v>4.1474654377880185E-2</v>
      </c>
      <c r="H41" s="107">
        <f t="shared" si="31"/>
        <v>0</v>
      </c>
      <c r="I41" s="64">
        <f t="shared" si="10"/>
        <v>-4.1474654377880185E-2</v>
      </c>
      <c r="J41" s="66">
        <f t="shared" si="11"/>
        <v>-1</v>
      </c>
    </row>
    <row r="42" spans="1:10" ht="19" thickBot="1" x14ac:dyDescent="0.25">
      <c r="A42" s="11" t="s">
        <v>49</v>
      </c>
      <c r="B42" s="18">
        <f t="shared" ref="B42:G42" si="32">SUM(B30:B41)/12</f>
        <v>3.8082437275985669E-2</v>
      </c>
      <c r="C42" s="18">
        <f t="shared" si="32"/>
        <v>8.4750566893424029E-2</v>
      </c>
      <c r="D42" s="18">
        <f t="shared" si="32"/>
        <v>0.16208031599736669</v>
      </c>
      <c r="E42" s="18">
        <f t="shared" si="32"/>
        <v>0.18938263477433984</v>
      </c>
      <c r="F42" s="17">
        <f t="shared" si="32"/>
        <v>0.18682530854388471</v>
      </c>
      <c r="G42" s="17">
        <f t="shared" si="32"/>
        <v>0.13068722112500911</v>
      </c>
      <c r="H42" s="17">
        <f t="shared" ref="H42" si="33">SUM(H30:H41)/12</f>
        <v>3.7570404505888375E-2</v>
      </c>
      <c r="I42" s="65">
        <f>H42-G42</f>
        <v>-9.3116816619120732E-2</v>
      </c>
      <c r="J42" s="67">
        <f>(H42-G42)/G42</f>
        <v>-0.71251661652557186</v>
      </c>
    </row>
    <row r="43" spans="1:10" x14ac:dyDescent="0.2">
      <c r="A43" s="16" t="s">
        <v>5</v>
      </c>
      <c r="B43" s="15">
        <v>2020</v>
      </c>
      <c r="C43" s="15">
        <v>2021</v>
      </c>
      <c r="D43" s="15">
        <v>2022</v>
      </c>
      <c r="E43" s="15">
        <v>2023</v>
      </c>
      <c r="F43" s="14">
        <v>2024</v>
      </c>
      <c r="G43" s="14">
        <v>2025</v>
      </c>
      <c r="H43" s="14">
        <v>2026</v>
      </c>
      <c r="I43" s="125" t="s">
        <v>31</v>
      </c>
      <c r="J43" s="126"/>
    </row>
    <row r="44" spans="1:10" x14ac:dyDescent="0.2">
      <c r="A44" s="13" t="s">
        <v>22</v>
      </c>
      <c r="B44" s="31"/>
      <c r="C44" s="31">
        <v>0</v>
      </c>
      <c r="D44" s="31">
        <f t="shared" ref="C44:F46" si="34">D2/D16</f>
        <v>6800</v>
      </c>
      <c r="E44" s="31">
        <f t="shared" si="34"/>
        <v>3650</v>
      </c>
      <c r="F44" s="30">
        <f t="shared" si="34"/>
        <v>16500</v>
      </c>
      <c r="G44" s="30">
        <f>G2/G16</f>
        <v>6111.0666666666666</v>
      </c>
      <c r="H44" s="30">
        <f>H2/H16</f>
        <v>7755.5555555555557</v>
      </c>
      <c r="I44" s="62">
        <f>H44-G44</f>
        <v>1644.4888888888891</v>
      </c>
      <c r="J44" s="66">
        <f>(H44-G44)/G44</f>
        <v>0.26910013891010121</v>
      </c>
    </row>
    <row r="45" spans="1:10" x14ac:dyDescent="0.2">
      <c r="A45" s="13" t="s">
        <v>21</v>
      </c>
      <c r="B45" s="31"/>
      <c r="C45" s="31">
        <f t="shared" si="34"/>
        <v>5000</v>
      </c>
      <c r="D45" s="31">
        <f t="shared" si="34"/>
        <v>12500</v>
      </c>
      <c r="E45" s="31">
        <f t="shared" si="34"/>
        <v>6648.1481481481478</v>
      </c>
      <c r="F45" s="30">
        <f t="shared" si="34"/>
        <v>5265.3846153846152</v>
      </c>
      <c r="G45" s="30">
        <f t="shared" ref="G45" si="35">G3/G17</f>
        <v>6295.838235294118</v>
      </c>
      <c r="H45" s="30">
        <f t="shared" ref="H45:H54" si="36">H3/H17</f>
        <v>12214.285714285714</v>
      </c>
      <c r="I45" s="62">
        <f t="shared" ref="I45:I55" si="37">H45-G45</f>
        <v>5918.4474789915957</v>
      </c>
      <c r="J45" s="66">
        <f t="shared" ref="J45:J55" si="38">(H45-G45)/G45</f>
        <v>0.94005710721935476</v>
      </c>
    </row>
    <row r="46" spans="1:10" x14ac:dyDescent="0.2">
      <c r="A46" s="13" t="s">
        <v>20</v>
      </c>
      <c r="B46" s="32"/>
      <c r="C46" s="31">
        <f t="shared" si="34"/>
        <v>4711.5384615384619</v>
      </c>
      <c r="D46" s="31">
        <f t="shared" si="34"/>
        <v>5630.7692307692305</v>
      </c>
      <c r="E46" s="31">
        <f t="shared" si="34"/>
        <v>5838.2352941176468</v>
      </c>
      <c r="F46" s="30">
        <f t="shared" si="34"/>
        <v>6919.333333333333</v>
      </c>
      <c r="G46" s="30">
        <v>0</v>
      </c>
      <c r="H46" s="30">
        <f t="shared" si="36"/>
        <v>3528.5714285714284</v>
      </c>
      <c r="I46" s="62">
        <f t="shared" si="37"/>
        <v>3528.5714285714284</v>
      </c>
      <c r="J46" s="66" t="s">
        <v>37</v>
      </c>
    </row>
    <row r="47" spans="1:10" x14ac:dyDescent="0.2">
      <c r="A47" s="13" t="s">
        <v>19</v>
      </c>
      <c r="B47" s="32"/>
      <c r="C47" s="31">
        <f t="shared" ref="C47:F55" si="39">C5/C19</f>
        <v>5153.125</v>
      </c>
      <c r="D47" s="31">
        <f t="shared" si="39"/>
        <v>6567.5</v>
      </c>
      <c r="E47" s="31">
        <f t="shared" si="39"/>
        <v>4790</v>
      </c>
      <c r="F47" s="30">
        <f t="shared" si="39"/>
        <v>8302.5</v>
      </c>
      <c r="G47" s="30">
        <f t="shared" ref="G47" si="40">G5/G19</f>
        <v>6450</v>
      </c>
      <c r="H47" s="30">
        <f t="shared" si="36"/>
        <v>4452</v>
      </c>
      <c r="I47" s="62">
        <f t="shared" si="37"/>
        <v>-1998</v>
      </c>
      <c r="J47" s="66">
        <f t="shared" si="38"/>
        <v>-0.30976744186046512</v>
      </c>
    </row>
    <row r="48" spans="1:10" x14ac:dyDescent="0.2">
      <c r="A48" s="13" t="s">
        <v>18</v>
      </c>
      <c r="B48" s="32"/>
      <c r="C48" s="31">
        <f t="shared" si="39"/>
        <v>500</v>
      </c>
      <c r="D48" s="31">
        <f t="shared" si="39"/>
        <v>2954.1666666666665</v>
      </c>
      <c r="E48" s="31">
        <f t="shared" si="39"/>
        <v>7225</v>
      </c>
      <c r="F48" s="30">
        <f t="shared" si="39"/>
        <v>4066.0714285714284</v>
      </c>
      <c r="G48" s="30">
        <f t="shared" ref="G48" si="41">G6/G20</f>
        <v>5735.2941176470586</v>
      </c>
      <c r="H48" s="30">
        <f t="shared" si="36"/>
        <v>2735</v>
      </c>
      <c r="I48" s="62">
        <f t="shared" si="37"/>
        <v>-3000.2941176470586</v>
      </c>
      <c r="J48" s="66">
        <f t="shared" si="38"/>
        <v>-0.52312820512820513</v>
      </c>
    </row>
    <row r="49" spans="1:10" x14ac:dyDescent="0.2">
      <c r="A49" s="13" t="s">
        <v>17</v>
      </c>
      <c r="B49" s="31"/>
      <c r="C49" s="31">
        <v>0</v>
      </c>
      <c r="D49" s="31">
        <f t="shared" si="39"/>
        <v>2823.5294117647059</v>
      </c>
      <c r="E49" s="31">
        <f t="shared" si="39"/>
        <v>3822.7272727272725</v>
      </c>
      <c r="F49" s="30">
        <f t="shared" si="39"/>
        <v>4181.818181818182</v>
      </c>
      <c r="G49" s="30">
        <f t="shared" ref="G49" si="42">G7/G21</f>
        <v>6428.260869565217</v>
      </c>
      <c r="H49" s="30" t="e">
        <f t="shared" si="36"/>
        <v>#DIV/0!</v>
      </c>
      <c r="I49" s="62" t="e">
        <f t="shared" si="37"/>
        <v>#DIV/0!</v>
      </c>
      <c r="J49" s="66" t="e">
        <f t="shared" si="38"/>
        <v>#DIV/0!</v>
      </c>
    </row>
    <row r="50" spans="1:10" x14ac:dyDescent="0.2">
      <c r="A50" s="13" t="s">
        <v>16</v>
      </c>
      <c r="B50" s="31"/>
      <c r="C50" s="31">
        <f t="shared" si="39"/>
        <v>2400</v>
      </c>
      <c r="D50" s="31">
        <f t="shared" si="39"/>
        <v>6687.5</v>
      </c>
      <c r="E50" s="31">
        <f t="shared" si="39"/>
        <v>4320.375</v>
      </c>
      <c r="F50" s="30">
        <f t="shared" si="39"/>
        <v>4899.6923076923076</v>
      </c>
      <c r="G50" s="30">
        <f t="shared" ref="G50" si="43">G8/G22</f>
        <v>12737.295081967213</v>
      </c>
      <c r="H50" s="30" t="e">
        <f t="shared" si="36"/>
        <v>#DIV/0!</v>
      </c>
      <c r="I50" s="62" t="e">
        <f t="shared" si="37"/>
        <v>#DIV/0!</v>
      </c>
      <c r="J50" s="66" t="e">
        <f t="shared" si="38"/>
        <v>#DIV/0!</v>
      </c>
    </row>
    <row r="51" spans="1:10" x14ac:dyDescent="0.2">
      <c r="A51" s="13" t="s">
        <v>2</v>
      </c>
      <c r="B51" s="31"/>
      <c r="C51" s="31">
        <f t="shared" si="39"/>
        <v>3126.7857142857142</v>
      </c>
      <c r="D51" s="31">
        <f t="shared" si="39"/>
        <v>6231.5789473684208</v>
      </c>
      <c r="E51" s="31">
        <f t="shared" si="39"/>
        <v>3690.909090909091</v>
      </c>
      <c r="F51" s="30">
        <f t="shared" si="39"/>
        <v>3866.6666666666665</v>
      </c>
      <c r="G51" s="30">
        <f t="shared" ref="G51" si="44">G9/G23</f>
        <v>5810.2941176470586</v>
      </c>
      <c r="H51" s="30" t="e">
        <f t="shared" si="36"/>
        <v>#DIV/0!</v>
      </c>
      <c r="I51" s="62" t="e">
        <f t="shared" si="37"/>
        <v>#DIV/0!</v>
      </c>
      <c r="J51" s="66" t="e">
        <f t="shared" si="38"/>
        <v>#DIV/0!</v>
      </c>
    </row>
    <row r="52" spans="1:10" x14ac:dyDescent="0.2">
      <c r="A52" s="13" t="s">
        <v>3</v>
      </c>
      <c r="B52" s="31">
        <f>B10/B24</f>
        <v>714.28571428571433</v>
      </c>
      <c r="C52" s="31">
        <f t="shared" si="39"/>
        <v>3312.8205128205127</v>
      </c>
      <c r="D52" s="31">
        <f t="shared" si="39"/>
        <v>4872.727272727273</v>
      </c>
      <c r="E52" s="31">
        <f t="shared" si="39"/>
        <v>6418.0555555555557</v>
      </c>
      <c r="F52" s="30">
        <f t="shared" si="39"/>
        <v>7394.4444444444443</v>
      </c>
      <c r="G52" s="30">
        <f t="shared" ref="G52" si="45">G10/G24</f>
        <v>6651.1627906976746</v>
      </c>
      <c r="H52" s="30" t="e">
        <f t="shared" si="36"/>
        <v>#DIV/0!</v>
      </c>
      <c r="I52" s="62" t="e">
        <f t="shared" si="37"/>
        <v>#DIV/0!</v>
      </c>
      <c r="J52" s="66" t="e">
        <f t="shared" si="38"/>
        <v>#DIV/0!</v>
      </c>
    </row>
    <row r="53" spans="1:10" x14ac:dyDescent="0.2">
      <c r="A53" s="13" t="s">
        <v>15</v>
      </c>
      <c r="B53" s="31">
        <v>0</v>
      </c>
      <c r="C53" s="31">
        <f t="shared" si="39"/>
        <v>3722</v>
      </c>
      <c r="D53" s="31">
        <f t="shared" si="39"/>
        <v>4815.7894736842109</v>
      </c>
      <c r="E53" s="31">
        <f t="shared" si="39"/>
        <v>6372.916666666667</v>
      </c>
      <c r="F53" s="30">
        <f t="shared" si="39"/>
        <v>2193.8461538461538</v>
      </c>
      <c r="G53" s="30">
        <f t="shared" ref="G53" si="46">G11/G25</f>
        <v>7008.3018867924529</v>
      </c>
      <c r="H53" s="30" t="e">
        <f t="shared" si="36"/>
        <v>#DIV/0!</v>
      </c>
      <c r="I53" s="62" t="e">
        <f t="shared" si="37"/>
        <v>#DIV/0!</v>
      </c>
      <c r="J53" s="66" t="e">
        <f t="shared" si="38"/>
        <v>#DIV/0!</v>
      </c>
    </row>
    <row r="54" spans="1:10" x14ac:dyDescent="0.2">
      <c r="A54" s="13" t="s">
        <v>14</v>
      </c>
      <c r="B54" s="31">
        <f>B12/B26</f>
        <v>5214.2857142857147</v>
      </c>
      <c r="C54" s="31">
        <f t="shared" si="39"/>
        <v>7185.7142857142853</v>
      </c>
      <c r="D54" s="31">
        <f t="shared" si="39"/>
        <v>4060.8108108108108</v>
      </c>
      <c r="E54" s="31">
        <f t="shared" si="39"/>
        <v>7463.3720930232557</v>
      </c>
      <c r="F54" s="30">
        <f t="shared" si="39"/>
        <v>7692.6050420168067</v>
      </c>
      <c r="G54" s="30">
        <f t="shared" ref="G54" si="47">G12/G26</f>
        <v>5237.5</v>
      </c>
      <c r="H54" s="30" t="e">
        <f t="shared" si="36"/>
        <v>#DIV/0!</v>
      </c>
      <c r="I54" s="62" t="e">
        <f t="shared" si="37"/>
        <v>#DIV/0!</v>
      </c>
      <c r="J54" s="66" t="e">
        <f t="shared" si="38"/>
        <v>#DIV/0!</v>
      </c>
    </row>
    <row r="55" spans="1:10" ht="19" thickBot="1" x14ac:dyDescent="0.25">
      <c r="A55" s="12" t="s">
        <v>13</v>
      </c>
      <c r="B55" s="29">
        <f>B13/B27</f>
        <v>3720.2380952380954</v>
      </c>
      <c r="C55" s="29">
        <f t="shared" si="39"/>
        <v>5747.6190476190477</v>
      </c>
      <c r="D55" s="29">
        <f t="shared" si="39"/>
        <v>6290.4761904761908</v>
      </c>
      <c r="E55" s="29">
        <f t="shared" si="39"/>
        <v>5877.1428571428569</v>
      </c>
      <c r="F55" s="28">
        <f t="shared" si="39"/>
        <v>10350.980392156862</v>
      </c>
      <c r="G55" s="28">
        <f t="shared" ref="G55" si="48">G13/G27</f>
        <v>3522.2222222222222</v>
      </c>
      <c r="H55" s="28" t="e">
        <f t="shared" ref="H55" si="49">H13/H27</f>
        <v>#DIV/0!</v>
      </c>
      <c r="I55" s="62" t="e">
        <f t="shared" si="37"/>
        <v>#DIV/0!</v>
      </c>
      <c r="J55" s="66" t="e">
        <f t="shared" si="38"/>
        <v>#DIV/0!</v>
      </c>
    </row>
    <row r="56" spans="1:10" ht="19" thickBot="1" x14ac:dyDescent="0.25">
      <c r="A56" s="11" t="s">
        <v>49</v>
      </c>
      <c r="B56" s="27">
        <f t="shared" ref="B56:F56" si="50">SUM(B44:B55)/12</f>
        <v>804.06746031746036</v>
      </c>
      <c r="C56" s="27">
        <f t="shared" si="50"/>
        <v>3404.9669184981681</v>
      </c>
      <c r="D56" s="27">
        <f t="shared" si="50"/>
        <v>5852.9040003556265</v>
      </c>
      <c r="E56" s="27">
        <f t="shared" si="50"/>
        <v>5509.7401648575405</v>
      </c>
      <c r="F56" s="26">
        <f t="shared" si="50"/>
        <v>6802.7785471609013</v>
      </c>
      <c r="G56" s="26">
        <f>SUM(G44:G55)/12</f>
        <v>5998.936332374974</v>
      </c>
      <c r="H56" s="26" t="e">
        <f t="shared" ref="H56" si="51">SUM(H44:H55)/12</f>
        <v>#DIV/0!</v>
      </c>
      <c r="I56" s="63" t="e">
        <f>H56-G56</f>
        <v>#DIV/0!</v>
      </c>
      <c r="J56" s="67" t="e">
        <f>(H56-G56)/G56</f>
        <v>#DIV/0!</v>
      </c>
    </row>
    <row r="59" spans="1:10" x14ac:dyDescent="0.2">
      <c r="C59" s="10"/>
      <c r="D59"/>
      <c r="E59" s="10"/>
      <c r="F59"/>
      <c r="G59"/>
      <c r="H59"/>
      <c r="I59" s="10"/>
      <c r="J59" s="10"/>
    </row>
    <row r="60" spans="1:10" x14ac:dyDescent="0.2">
      <c r="C60"/>
      <c r="D60"/>
      <c r="E60"/>
      <c r="F60"/>
      <c r="G60"/>
      <c r="H60"/>
      <c r="I60"/>
      <c r="J60"/>
    </row>
    <row r="61" spans="1:10" x14ac:dyDescent="0.2">
      <c r="C61" s="10"/>
      <c r="D61"/>
      <c r="E61" s="10"/>
      <c r="F61"/>
      <c r="G61"/>
      <c r="H61"/>
      <c r="I61" s="10"/>
      <c r="J61" s="10"/>
    </row>
    <row r="62" spans="1:10" x14ac:dyDescent="0.2">
      <c r="C62" s="10"/>
      <c r="D62"/>
      <c r="E62" s="10"/>
      <c r="F62"/>
      <c r="G62"/>
      <c r="H62"/>
      <c r="I62" s="10"/>
      <c r="J62" s="10"/>
    </row>
    <row r="63" spans="1:10" x14ac:dyDescent="0.2">
      <c r="C63" s="10"/>
      <c r="D63"/>
      <c r="E63" s="10"/>
      <c r="F63"/>
      <c r="G63"/>
      <c r="H63"/>
      <c r="I63" s="10"/>
      <c r="J63" s="10"/>
    </row>
    <row r="64" spans="1:10" x14ac:dyDescent="0.2">
      <c r="C64" s="10"/>
      <c r="D64"/>
      <c r="E64" s="10"/>
      <c r="F64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3 I4 I5:J14 I16:J17 I18 I19:J28 I30:J31 I32 I33:J42 I44:J45 I46 I47:J56">
    <cfRule type="cellIs" dxfId="7" priority="1" operator="greaterThan">
      <formula>0.009</formula>
    </cfRule>
    <cfRule type="cellIs" dxfId="6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C31:H41 B39:B40" formula="1"/>
    <ignoredError sqref="H49:I56" evalError="1"/>
    <ignoredError sqref="H28 B14:B28 C14:G14 F28 C28:E28 G28" formulaRange="1"/>
    <ignoredError sqref="G1:H1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2EE7-0E54-844A-AF1A-607B6AD7349E}">
  <dimension ref="A1:P43"/>
  <sheetViews>
    <sheetView workbookViewId="0">
      <selection activeCell="M26" sqref="M26"/>
    </sheetView>
  </sheetViews>
  <sheetFormatPr baseColWidth="10" defaultRowHeight="16" x14ac:dyDescent="0.2"/>
  <cols>
    <col min="1" max="1" width="8.83203125" customWidth="1"/>
  </cols>
  <sheetData>
    <row r="1" spans="1:16" ht="28" customHeight="1" thickBot="1" x14ac:dyDescent="0.25">
      <c r="A1" s="120" t="s">
        <v>28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  <c r="L1" s="1"/>
      <c r="M1" s="50"/>
      <c r="N1" s="50"/>
      <c r="O1" s="50"/>
      <c r="P1" s="50"/>
    </row>
    <row r="2" spans="1:16" s="5" customFormat="1" ht="32" customHeight="1" x14ac:dyDescent="0.2">
      <c r="A2" s="42"/>
      <c r="B2" s="42">
        <v>2026</v>
      </c>
      <c r="C2" s="42">
        <v>2025</v>
      </c>
      <c r="D2" s="114" t="s">
        <v>31</v>
      </c>
      <c r="E2" s="115"/>
      <c r="F2" s="42">
        <v>2024</v>
      </c>
      <c r="G2" s="123" t="s">
        <v>25</v>
      </c>
      <c r="H2" s="124"/>
      <c r="I2" s="4"/>
      <c r="J2" s="4"/>
      <c r="K2" s="4"/>
    </row>
    <row r="3" spans="1:16" s="3" customFormat="1" ht="18" customHeight="1" x14ac:dyDescent="0.2">
      <c r="A3" s="37" t="s">
        <v>22</v>
      </c>
      <c r="B3" s="40"/>
      <c r="C3" s="40"/>
      <c r="D3" s="45">
        <f>B3-C3</f>
        <v>0</v>
      </c>
      <c r="E3" s="70" t="e">
        <f>(B3-C3)/C3</f>
        <v>#DIV/0!</v>
      </c>
      <c r="F3" s="40"/>
      <c r="G3" s="53">
        <f>C3-F3</f>
        <v>0</v>
      </c>
      <c r="H3" s="69" t="e">
        <f>(C3-F3)/F3</f>
        <v>#DIV/0!</v>
      </c>
      <c r="I3" s="6"/>
      <c r="J3" s="2"/>
      <c r="K3" s="2"/>
    </row>
    <row r="4" spans="1:16" s="3" customFormat="1" ht="18" customHeight="1" x14ac:dyDescent="0.2">
      <c r="A4" s="37" t="s">
        <v>21</v>
      </c>
      <c r="B4" s="40"/>
      <c r="C4" s="40"/>
      <c r="D4" s="45">
        <f t="shared" ref="D4:D14" si="0">B4-C4</f>
        <v>0</v>
      </c>
      <c r="E4" s="71" t="e">
        <f t="shared" ref="E4:E15" si="1">(B4-C4)/C4</f>
        <v>#DIV/0!</v>
      </c>
      <c r="F4" s="40"/>
      <c r="G4" s="53">
        <f t="shared" ref="G4:G14" si="2">C4-F4</f>
        <v>0</v>
      </c>
      <c r="H4" s="69" t="e">
        <f t="shared" ref="H4:H15" si="3">(C4-F4)/F4</f>
        <v>#DIV/0!</v>
      </c>
      <c r="I4" s="6"/>
      <c r="J4" s="2"/>
      <c r="K4" s="2"/>
    </row>
    <row r="5" spans="1:16" s="3" customFormat="1" ht="18" customHeight="1" x14ac:dyDescent="0.2">
      <c r="A5" s="37" t="s">
        <v>20</v>
      </c>
      <c r="B5" s="40"/>
      <c r="C5" s="40"/>
      <c r="D5" s="45">
        <f t="shared" si="0"/>
        <v>0</v>
      </c>
      <c r="E5" s="71" t="e">
        <f t="shared" si="1"/>
        <v>#DIV/0!</v>
      </c>
      <c r="F5" s="40"/>
      <c r="G5" s="53">
        <f t="shared" si="2"/>
        <v>0</v>
      </c>
      <c r="H5" s="69" t="e">
        <f t="shared" si="3"/>
        <v>#DIV/0!</v>
      </c>
      <c r="I5" s="6"/>
      <c r="J5" s="2"/>
      <c r="K5" s="2"/>
    </row>
    <row r="6" spans="1:16" s="3" customFormat="1" ht="18" customHeight="1" x14ac:dyDescent="0.2">
      <c r="A6" s="37" t="s">
        <v>19</v>
      </c>
      <c r="B6" s="40"/>
      <c r="C6" s="40"/>
      <c r="D6" s="45">
        <f t="shared" si="0"/>
        <v>0</v>
      </c>
      <c r="E6" s="71" t="e">
        <f t="shared" si="1"/>
        <v>#DIV/0!</v>
      </c>
      <c r="F6" s="40"/>
      <c r="G6" s="53">
        <f t="shared" si="2"/>
        <v>0</v>
      </c>
      <c r="H6" s="69" t="e">
        <f t="shared" si="3"/>
        <v>#DIV/0!</v>
      </c>
      <c r="I6" s="6"/>
      <c r="J6" s="2"/>
      <c r="K6" s="2"/>
    </row>
    <row r="7" spans="1:16" s="3" customFormat="1" ht="18" customHeight="1" x14ac:dyDescent="0.2">
      <c r="A7" s="37" t="s">
        <v>18</v>
      </c>
      <c r="B7" s="40"/>
      <c r="C7" s="40"/>
      <c r="D7" s="45">
        <f t="shared" si="0"/>
        <v>0</v>
      </c>
      <c r="E7" s="71" t="e">
        <f t="shared" si="1"/>
        <v>#DIV/0!</v>
      </c>
      <c r="F7" s="40"/>
      <c r="G7" s="53">
        <f t="shared" si="2"/>
        <v>0</v>
      </c>
      <c r="H7" s="69" t="e">
        <f t="shared" si="3"/>
        <v>#DIV/0!</v>
      </c>
      <c r="I7" s="6"/>
      <c r="J7" s="2"/>
      <c r="K7" s="2"/>
    </row>
    <row r="8" spans="1:16" s="3" customFormat="1" ht="18" customHeight="1" x14ac:dyDescent="0.2">
      <c r="A8" s="37" t="s">
        <v>17</v>
      </c>
      <c r="B8" s="40"/>
      <c r="C8" s="40"/>
      <c r="D8" s="45">
        <f t="shared" si="0"/>
        <v>0</v>
      </c>
      <c r="E8" s="71" t="e">
        <f t="shared" si="1"/>
        <v>#DIV/0!</v>
      </c>
      <c r="F8" s="40"/>
      <c r="G8" s="53">
        <f t="shared" si="2"/>
        <v>0</v>
      </c>
      <c r="H8" s="69" t="e">
        <f t="shared" si="3"/>
        <v>#DIV/0!</v>
      </c>
      <c r="I8" s="6"/>
      <c r="J8" s="2"/>
      <c r="K8" s="2"/>
    </row>
    <row r="9" spans="1:16" s="3" customFormat="1" ht="18" customHeight="1" x14ac:dyDescent="0.2">
      <c r="A9" s="37" t="s">
        <v>16</v>
      </c>
      <c r="B9" s="40"/>
      <c r="C9" s="40"/>
      <c r="D9" s="45">
        <f t="shared" si="0"/>
        <v>0</v>
      </c>
      <c r="E9" s="71" t="e">
        <f t="shared" si="1"/>
        <v>#DIV/0!</v>
      </c>
      <c r="F9" s="40"/>
      <c r="G9" s="53">
        <f t="shared" si="2"/>
        <v>0</v>
      </c>
      <c r="H9" s="69" t="e">
        <f t="shared" si="3"/>
        <v>#DIV/0!</v>
      </c>
      <c r="I9" s="6"/>
      <c r="J9" s="2"/>
      <c r="K9" s="2"/>
    </row>
    <row r="10" spans="1:16" s="3" customFormat="1" ht="18" customHeight="1" x14ac:dyDescent="0.2">
      <c r="A10" s="37" t="s">
        <v>2</v>
      </c>
      <c r="B10" s="40"/>
      <c r="C10" s="40"/>
      <c r="D10" s="45">
        <f t="shared" si="0"/>
        <v>0</v>
      </c>
      <c r="E10" s="71" t="e">
        <f t="shared" si="1"/>
        <v>#DIV/0!</v>
      </c>
      <c r="F10" s="40"/>
      <c r="G10" s="53">
        <f t="shared" si="2"/>
        <v>0</v>
      </c>
      <c r="H10" s="69" t="e">
        <f t="shared" si="3"/>
        <v>#DIV/0!</v>
      </c>
      <c r="I10" s="6"/>
      <c r="J10" s="2"/>
      <c r="K10" s="2"/>
    </row>
    <row r="11" spans="1:16" s="3" customFormat="1" ht="18" customHeight="1" x14ac:dyDescent="0.2">
      <c r="A11" s="37" t="s">
        <v>26</v>
      </c>
      <c r="B11" s="40"/>
      <c r="C11" s="40"/>
      <c r="D11" s="45">
        <f t="shared" si="0"/>
        <v>0</v>
      </c>
      <c r="E11" s="71" t="e">
        <f t="shared" si="1"/>
        <v>#DIV/0!</v>
      </c>
      <c r="F11" s="40"/>
      <c r="G11" s="53">
        <f t="shared" si="2"/>
        <v>0</v>
      </c>
      <c r="H11" s="69" t="e">
        <f t="shared" si="3"/>
        <v>#DIV/0!</v>
      </c>
      <c r="I11" s="6"/>
      <c r="J11" s="2"/>
      <c r="K11" s="2"/>
    </row>
    <row r="12" spans="1:16" s="3" customFormat="1" ht="18" customHeight="1" x14ac:dyDescent="0.2">
      <c r="A12" s="37" t="s">
        <v>15</v>
      </c>
      <c r="B12" s="40"/>
      <c r="C12" s="40"/>
      <c r="D12" s="45">
        <f t="shared" si="0"/>
        <v>0</v>
      </c>
      <c r="E12" s="71" t="e">
        <f t="shared" si="1"/>
        <v>#DIV/0!</v>
      </c>
      <c r="F12" s="40"/>
      <c r="G12" s="53">
        <f t="shared" si="2"/>
        <v>0</v>
      </c>
      <c r="H12" s="69" t="e">
        <f t="shared" si="3"/>
        <v>#DIV/0!</v>
      </c>
      <c r="I12" s="6"/>
      <c r="J12" s="2"/>
      <c r="K12" s="2"/>
    </row>
    <row r="13" spans="1:16" s="3" customFormat="1" ht="18" customHeight="1" x14ac:dyDescent="0.2">
      <c r="A13" s="37" t="s">
        <v>14</v>
      </c>
      <c r="B13" s="40"/>
      <c r="C13" s="40"/>
      <c r="D13" s="45">
        <f t="shared" si="0"/>
        <v>0</v>
      </c>
      <c r="E13" s="71" t="e">
        <f t="shared" si="1"/>
        <v>#DIV/0!</v>
      </c>
      <c r="F13" s="40"/>
      <c r="G13" s="53">
        <f t="shared" si="2"/>
        <v>0</v>
      </c>
      <c r="H13" s="69" t="e">
        <f t="shared" si="3"/>
        <v>#DIV/0!</v>
      </c>
      <c r="I13" s="6"/>
      <c r="J13" s="2"/>
      <c r="K13" s="2"/>
    </row>
    <row r="14" spans="1:16" s="3" customFormat="1" ht="18" customHeight="1" x14ac:dyDescent="0.2">
      <c r="A14" s="37" t="s">
        <v>13</v>
      </c>
      <c r="B14" s="40"/>
      <c r="C14" s="40"/>
      <c r="D14" s="45">
        <f t="shared" si="0"/>
        <v>0</v>
      </c>
      <c r="E14" s="71" t="e">
        <f t="shared" si="1"/>
        <v>#DIV/0!</v>
      </c>
      <c r="F14" s="40"/>
      <c r="G14" s="53">
        <f t="shared" si="2"/>
        <v>0</v>
      </c>
      <c r="H14" s="69" t="e">
        <f t="shared" si="3"/>
        <v>#DIV/0!</v>
      </c>
      <c r="I14" s="6"/>
      <c r="J14" s="2"/>
      <c r="K14" s="2"/>
    </row>
    <row r="15" spans="1:16" s="3" customFormat="1" ht="18" customHeight="1" thickBot="1" x14ac:dyDescent="0.25">
      <c r="A15" s="39" t="s">
        <v>8</v>
      </c>
      <c r="B15" s="98">
        <f>SUM(B3:B14)</f>
        <v>0</v>
      </c>
      <c r="C15" s="98">
        <f>SUM(C3:C14)</f>
        <v>0</v>
      </c>
      <c r="D15" s="99">
        <f>SUM(D3:D14)</f>
        <v>0</v>
      </c>
      <c r="E15" s="85" t="e">
        <f t="shared" si="1"/>
        <v>#DIV/0!</v>
      </c>
      <c r="F15" s="98">
        <f>SUM(F3:F14)</f>
        <v>0</v>
      </c>
      <c r="G15" s="68">
        <f>SUM(G3:G14)</f>
        <v>0</v>
      </c>
      <c r="H15" s="100" t="e">
        <f t="shared" si="3"/>
        <v>#DIV/0!</v>
      </c>
      <c r="I15" s="6"/>
      <c r="J15" s="2"/>
      <c r="K15" s="2"/>
      <c r="L15" s="50"/>
      <c r="M15" s="50"/>
      <c r="N15" s="50"/>
    </row>
    <row r="16" spans="1:16" ht="25" customHeight="1" thickBot="1" x14ac:dyDescent="0.25">
      <c r="A16" s="117" t="s">
        <v>4</v>
      </c>
      <c r="B16" s="118"/>
      <c r="C16" s="118"/>
      <c r="D16" s="118"/>
      <c r="E16" s="118"/>
      <c r="F16" s="119"/>
      <c r="G16" s="118" t="s">
        <v>6</v>
      </c>
      <c r="H16" s="118"/>
      <c r="I16" s="118"/>
      <c r="J16" s="118"/>
      <c r="K16" s="119"/>
      <c r="L16" s="1"/>
      <c r="M16" s="1"/>
      <c r="N16" s="1"/>
      <c r="O16" s="1"/>
      <c r="P16" s="1"/>
    </row>
    <row r="17" spans="1:16" s="51" customFormat="1" ht="32" customHeight="1" x14ac:dyDescent="0.2">
      <c r="A17" s="41"/>
      <c r="B17" s="42">
        <v>2026</v>
      </c>
      <c r="C17" s="42">
        <v>2025</v>
      </c>
      <c r="D17" s="43" t="s">
        <v>31</v>
      </c>
      <c r="E17" s="42">
        <v>2024</v>
      </c>
      <c r="F17" s="92" t="s">
        <v>31</v>
      </c>
      <c r="G17" s="89">
        <v>2026</v>
      </c>
      <c r="H17" s="42">
        <v>2025</v>
      </c>
      <c r="I17" s="43" t="s">
        <v>31</v>
      </c>
      <c r="J17" s="42">
        <v>2024</v>
      </c>
      <c r="K17" s="59" t="s">
        <v>25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22</v>
      </c>
      <c r="B18" s="48"/>
      <c r="C18" s="48"/>
      <c r="D18" s="49"/>
      <c r="E18" s="96"/>
      <c r="F18" s="93"/>
      <c r="G18" s="90"/>
      <c r="H18" s="61"/>
      <c r="I18" s="73"/>
      <c r="J18" s="61"/>
      <c r="K18" s="71"/>
      <c r="M18" s="50" t="s">
        <v>30</v>
      </c>
      <c r="N18" s="50"/>
      <c r="O18" s="50"/>
      <c r="P18" s="50"/>
    </row>
    <row r="19" spans="1:16" s="51" customFormat="1" ht="18" customHeight="1" x14ac:dyDescent="0.2">
      <c r="A19" s="37" t="s">
        <v>21</v>
      </c>
      <c r="B19" s="48"/>
      <c r="C19" s="48"/>
      <c r="D19" s="49"/>
      <c r="E19" s="48"/>
      <c r="F19" s="93"/>
      <c r="G19" s="90"/>
      <c r="H19" s="61"/>
      <c r="I19" s="73"/>
      <c r="J19" s="61"/>
      <c r="K19" s="71"/>
      <c r="M19" s="50" t="s">
        <v>9</v>
      </c>
      <c r="N19" s="50"/>
      <c r="O19" s="50"/>
      <c r="P19" s="50"/>
    </row>
    <row r="20" spans="1:16" s="51" customFormat="1" ht="18" customHeight="1" x14ac:dyDescent="0.2">
      <c r="A20" s="37" t="s">
        <v>20</v>
      </c>
      <c r="B20" s="48"/>
      <c r="C20" s="48"/>
      <c r="D20" s="49"/>
      <c r="E20" s="48"/>
      <c r="F20" s="93"/>
      <c r="G20" s="90"/>
      <c r="H20" s="61"/>
      <c r="I20" s="73"/>
      <c r="J20" s="61"/>
      <c r="K20" s="71"/>
      <c r="M20" s="50" t="s">
        <v>10</v>
      </c>
      <c r="N20" s="50"/>
      <c r="O20" s="50"/>
      <c r="P20" s="50"/>
    </row>
    <row r="21" spans="1:16" s="51" customFormat="1" ht="18" customHeight="1" x14ac:dyDescent="0.2">
      <c r="A21" s="37" t="s">
        <v>19</v>
      </c>
      <c r="B21" s="48"/>
      <c r="C21" s="48"/>
      <c r="D21" s="49"/>
      <c r="E21" s="48"/>
      <c r="F21" s="93"/>
      <c r="G21" s="90"/>
      <c r="H21" s="61"/>
      <c r="I21" s="73"/>
      <c r="J21" s="61"/>
      <c r="K21" s="71"/>
      <c r="M21" s="50" t="s">
        <v>11</v>
      </c>
      <c r="N21" s="50"/>
      <c r="O21" s="50"/>
      <c r="P21" s="50"/>
    </row>
    <row r="22" spans="1:16" s="51" customFormat="1" ht="18" customHeight="1" x14ac:dyDescent="0.2">
      <c r="A22" s="37" t="s">
        <v>18</v>
      </c>
      <c r="B22" s="48"/>
      <c r="C22" s="48"/>
      <c r="D22" s="49"/>
      <c r="E22" s="48"/>
      <c r="F22" s="93"/>
      <c r="G22" s="90"/>
      <c r="H22" s="61"/>
      <c r="I22" s="73"/>
      <c r="J22" s="61"/>
      <c r="K22" s="71"/>
      <c r="M22" s="50" t="s">
        <v>12</v>
      </c>
      <c r="N22" s="50"/>
      <c r="O22" s="50"/>
      <c r="P22" s="50"/>
    </row>
    <row r="23" spans="1:16" s="51" customFormat="1" ht="18" customHeight="1" x14ac:dyDescent="0.2">
      <c r="A23" s="37" t="s">
        <v>17</v>
      </c>
      <c r="B23" s="48"/>
      <c r="C23" s="48"/>
      <c r="D23" s="49"/>
      <c r="E23" s="48"/>
      <c r="F23" s="93"/>
      <c r="G23" s="90"/>
      <c r="H23" s="61"/>
      <c r="I23" s="73"/>
      <c r="J23" s="61"/>
      <c r="K23" s="71"/>
      <c r="L23" s="50"/>
      <c r="M23" s="50"/>
      <c r="N23" s="50"/>
      <c r="O23" s="50"/>
      <c r="P23" s="50"/>
    </row>
    <row r="24" spans="1:16" s="51" customFormat="1" ht="18" customHeight="1" x14ac:dyDescent="0.2">
      <c r="A24" s="37" t="s">
        <v>16</v>
      </c>
      <c r="B24" s="48"/>
      <c r="C24" s="48"/>
      <c r="D24" s="49"/>
      <c r="E24" s="48"/>
      <c r="F24" s="93"/>
      <c r="G24" s="90"/>
      <c r="H24" s="61"/>
      <c r="I24" s="73"/>
      <c r="J24" s="61"/>
      <c r="K24" s="71"/>
      <c r="L24" s="7"/>
      <c r="M24" s="50">
        <v>28</v>
      </c>
      <c r="N24" s="50">
        <v>7</v>
      </c>
      <c r="O24" s="50"/>
      <c r="P24" s="50"/>
    </row>
    <row r="25" spans="1:16" s="51" customFormat="1" ht="18" customHeight="1" x14ac:dyDescent="0.2">
      <c r="A25" s="37" t="s">
        <v>2</v>
      </c>
      <c r="B25" s="48"/>
      <c r="C25" s="48"/>
      <c r="D25" s="49"/>
      <c r="E25" s="48"/>
      <c r="F25" s="93"/>
      <c r="G25" s="90"/>
      <c r="H25" s="61"/>
      <c r="I25" s="73"/>
      <c r="J25" s="61"/>
      <c r="K25" s="71"/>
      <c r="L25" s="7"/>
      <c r="M25" s="50">
        <f>M24*N24</f>
        <v>196</v>
      </c>
      <c r="N25" s="50"/>
      <c r="O25" s="50"/>
      <c r="P25" s="50"/>
    </row>
    <row r="26" spans="1:16" s="51" customFormat="1" ht="18" customHeight="1" x14ac:dyDescent="0.2">
      <c r="A26" s="37" t="s">
        <v>26</v>
      </c>
      <c r="B26" s="48"/>
      <c r="C26" s="48"/>
      <c r="D26" s="49"/>
      <c r="E26" s="48"/>
      <c r="F26" s="93"/>
      <c r="G26" s="90"/>
      <c r="H26" s="61"/>
      <c r="I26" s="73"/>
      <c r="J26" s="61"/>
      <c r="K26" s="71"/>
      <c r="L26" s="7"/>
      <c r="M26" s="50"/>
      <c r="N26" s="50"/>
      <c r="O26" s="50"/>
      <c r="P26" s="50"/>
    </row>
    <row r="27" spans="1:16" s="51" customFormat="1" ht="18" customHeight="1" x14ac:dyDescent="0.2">
      <c r="A27" s="37" t="s">
        <v>15</v>
      </c>
      <c r="B27" s="48"/>
      <c r="C27" s="48"/>
      <c r="D27" s="49"/>
      <c r="E27" s="48"/>
      <c r="F27" s="93"/>
      <c r="G27" s="90"/>
      <c r="H27" s="61"/>
      <c r="I27" s="73"/>
      <c r="J27" s="61"/>
      <c r="K27" s="71"/>
      <c r="L27" s="7"/>
      <c r="M27" s="50"/>
      <c r="N27" s="50"/>
      <c r="O27" s="50"/>
      <c r="P27" s="50"/>
    </row>
    <row r="28" spans="1:16" s="51" customFormat="1" ht="18" customHeight="1" x14ac:dyDescent="0.2">
      <c r="A28" s="37" t="s">
        <v>14</v>
      </c>
      <c r="B28" s="48"/>
      <c r="C28" s="48"/>
      <c r="D28" s="49"/>
      <c r="E28" s="48"/>
      <c r="F28" s="93"/>
      <c r="G28" s="90"/>
      <c r="H28" s="61"/>
      <c r="I28" s="73"/>
      <c r="J28" s="61"/>
      <c r="K28" s="71"/>
      <c r="L28" s="7"/>
      <c r="M28" s="50"/>
      <c r="N28" s="50"/>
      <c r="O28" s="50"/>
      <c r="P28" s="50"/>
    </row>
    <row r="29" spans="1:16" s="51" customFormat="1" ht="18" customHeight="1" thickBot="1" x14ac:dyDescent="0.25">
      <c r="A29" s="37" t="s">
        <v>13</v>
      </c>
      <c r="B29" s="48"/>
      <c r="C29" s="48"/>
      <c r="D29" s="49"/>
      <c r="E29" s="97"/>
      <c r="F29" s="94"/>
      <c r="G29" s="91"/>
      <c r="H29" s="60"/>
      <c r="I29" s="74"/>
      <c r="J29" s="60"/>
      <c r="K29" s="72"/>
      <c r="L29" s="7"/>
      <c r="M29" s="50"/>
      <c r="N29" s="50"/>
      <c r="O29" s="50"/>
      <c r="P29" s="50"/>
    </row>
    <row r="30" spans="1:16" ht="25" customHeight="1" thickBot="1" x14ac:dyDescent="0.25">
      <c r="A30" s="117" t="s">
        <v>5</v>
      </c>
      <c r="B30" s="118"/>
      <c r="C30" s="118"/>
      <c r="D30" s="118"/>
      <c r="E30" s="118"/>
      <c r="F30" s="118"/>
      <c r="G30" s="118"/>
      <c r="H30" s="119"/>
      <c r="I30" s="7"/>
      <c r="J30" s="7"/>
      <c r="K30" s="1"/>
      <c r="L30" s="1"/>
      <c r="M30" s="1"/>
    </row>
    <row r="31" spans="1:16" s="51" customFormat="1" ht="32" customHeight="1" x14ac:dyDescent="0.2">
      <c r="A31" s="42"/>
      <c r="B31" s="42">
        <v>2025</v>
      </c>
      <c r="C31" s="42">
        <v>2025</v>
      </c>
      <c r="D31" s="114" t="s">
        <v>31</v>
      </c>
      <c r="E31" s="115"/>
      <c r="F31" s="42">
        <v>2024</v>
      </c>
      <c r="G31" s="123" t="s">
        <v>25</v>
      </c>
      <c r="H31" s="124"/>
      <c r="I31" s="52"/>
      <c r="J31" s="52"/>
      <c r="K31" s="50"/>
      <c r="L31" s="50"/>
      <c r="M31" s="50"/>
    </row>
    <row r="32" spans="1:16" s="51" customFormat="1" ht="17" customHeight="1" x14ac:dyDescent="0.2">
      <c r="A32" s="75" t="s">
        <v>22</v>
      </c>
      <c r="B32" s="40" t="e">
        <f>B3/B18</f>
        <v>#DIV/0!</v>
      </c>
      <c r="C32" s="40" t="e">
        <f>C3/C18</f>
        <v>#DIV/0!</v>
      </c>
      <c r="D32" s="45" t="e">
        <f>B32-C32</f>
        <v>#DIV/0!</v>
      </c>
      <c r="E32" s="70" t="e">
        <f>(B32-C32)/C32</f>
        <v>#DIV/0!</v>
      </c>
      <c r="F32" s="40"/>
      <c r="G32" s="53" t="e">
        <f>C32-F32</f>
        <v>#DIV/0!</v>
      </c>
      <c r="H32" s="69" t="e">
        <f>(C32-F32)/F32</f>
        <v>#DIV/0!</v>
      </c>
      <c r="J32" s="52"/>
      <c r="K32" s="50"/>
      <c r="L32" s="50"/>
      <c r="M32" s="50"/>
    </row>
    <row r="33" spans="1:13" s="51" customFormat="1" ht="17" customHeight="1" x14ac:dyDescent="0.2">
      <c r="A33" s="37" t="s">
        <v>21</v>
      </c>
      <c r="B33" s="40" t="e">
        <f t="shared" ref="B33:C43" si="4">B4/B19</f>
        <v>#DIV/0!</v>
      </c>
      <c r="C33" s="40" t="e">
        <f t="shared" si="4"/>
        <v>#DIV/0!</v>
      </c>
      <c r="D33" s="45" t="e">
        <f t="shared" ref="D33:D43" si="5">B33-C33</f>
        <v>#DIV/0!</v>
      </c>
      <c r="E33" s="71" t="e">
        <f t="shared" ref="E33:E43" si="6">(B33-C33)/C33</f>
        <v>#DIV/0!</v>
      </c>
      <c r="F33" s="40"/>
      <c r="G33" s="53" t="e">
        <f t="shared" ref="G33:G43" si="7">C33-F33</f>
        <v>#DIV/0!</v>
      </c>
      <c r="H33" s="69" t="e">
        <f t="shared" ref="H33:H43" si="8">(C33-F33)/F33</f>
        <v>#DIV/0!</v>
      </c>
      <c r="J33" s="52"/>
      <c r="K33" s="50"/>
      <c r="L33" s="50"/>
      <c r="M33" s="50"/>
    </row>
    <row r="34" spans="1:13" s="51" customFormat="1" ht="17" customHeight="1" x14ac:dyDescent="0.2">
      <c r="A34" s="37" t="s">
        <v>20</v>
      </c>
      <c r="B34" s="40" t="e">
        <f t="shared" si="4"/>
        <v>#DIV/0!</v>
      </c>
      <c r="C34" s="40" t="e">
        <f t="shared" si="4"/>
        <v>#DIV/0!</v>
      </c>
      <c r="D34" s="45" t="e">
        <f t="shared" si="5"/>
        <v>#DIV/0!</v>
      </c>
      <c r="E34" s="71" t="e">
        <f t="shared" si="6"/>
        <v>#DIV/0!</v>
      </c>
      <c r="F34" s="40"/>
      <c r="G34" s="53" t="e">
        <f t="shared" si="7"/>
        <v>#DIV/0!</v>
      </c>
      <c r="H34" s="69" t="e">
        <f t="shared" si="8"/>
        <v>#DIV/0!</v>
      </c>
      <c r="J34" s="52"/>
      <c r="K34" s="50"/>
      <c r="L34" s="50"/>
      <c r="M34" s="50"/>
    </row>
    <row r="35" spans="1:13" s="51" customFormat="1" ht="17" customHeight="1" x14ac:dyDescent="0.2">
      <c r="A35" s="37" t="s">
        <v>19</v>
      </c>
      <c r="B35" s="40" t="e">
        <f t="shared" si="4"/>
        <v>#DIV/0!</v>
      </c>
      <c r="C35" s="40" t="e">
        <f t="shared" si="4"/>
        <v>#DIV/0!</v>
      </c>
      <c r="D35" s="45" t="e">
        <f t="shared" si="5"/>
        <v>#DIV/0!</v>
      </c>
      <c r="E35" s="71" t="e">
        <f t="shared" si="6"/>
        <v>#DIV/0!</v>
      </c>
      <c r="F35" s="40"/>
      <c r="G35" s="53" t="e">
        <f t="shared" si="7"/>
        <v>#DIV/0!</v>
      </c>
      <c r="H35" s="69" t="e">
        <f t="shared" si="8"/>
        <v>#DIV/0!</v>
      </c>
      <c r="J35" s="52"/>
      <c r="K35" s="50"/>
      <c r="L35" s="50"/>
      <c r="M35" s="50"/>
    </row>
    <row r="36" spans="1:13" s="51" customFormat="1" ht="17" customHeight="1" x14ac:dyDescent="0.2">
      <c r="A36" s="37" t="s">
        <v>18</v>
      </c>
      <c r="B36" s="40" t="e">
        <f t="shared" si="4"/>
        <v>#DIV/0!</v>
      </c>
      <c r="C36" s="40" t="e">
        <f t="shared" si="4"/>
        <v>#DIV/0!</v>
      </c>
      <c r="D36" s="45" t="e">
        <f t="shared" si="5"/>
        <v>#DIV/0!</v>
      </c>
      <c r="E36" s="71" t="e">
        <f t="shared" si="6"/>
        <v>#DIV/0!</v>
      </c>
      <c r="F36" s="40"/>
      <c r="G36" s="53" t="e">
        <f t="shared" si="7"/>
        <v>#DIV/0!</v>
      </c>
      <c r="H36" s="69" t="e">
        <f t="shared" si="8"/>
        <v>#DIV/0!</v>
      </c>
      <c r="J36" s="52"/>
      <c r="K36" s="50"/>
      <c r="L36" s="50"/>
      <c r="M36" s="50"/>
    </row>
    <row r="37" spans="1:13" s="51" customFormat="1" ht="17" customHeight="1" x14ac:dyDescent="0.2">
      <c r="A37" s="37" t="s">
        <v>17</v>
      </c>
      <c r="B37" s="40" t="e">
        <f t="shared" si="4"/>
        <v>#DIV/0!</v>
      </c>
      <c r="C37" s="40" t="e">
        <f t="shared" si="4"/>
        <v>#DIV/0!</v>
      </c>
      <c r="D37" s="45" t="e">
        <f t="shared" si="5"/>
        <v>#DIV/0!</v>
      </c>
      <c r="E37" s="71" t="e">
        <f t="shared" si="6"/>
        <v>#DIV/0!</v>
      </c>
      <c r="F37" s="40"/>
      <c r="G37" s="53" t="e">
        <f t="shared" si="7"/>
        <v>#DIV/0!</v>
      </c>
      <c r="H37" s="69" t="e">
        <f t="shared" si="8"/>
        <v>#DIV/0!</v>
      </c>
      <c r="J37" s="52"/>
      <c r="K37" s="50"/>
      <c r="L37" s="50"/>
      <c r="M37" s="50"/>
    </row>
    <row r="38" spans="1:13" s="51" customFormat="1" ht="17" customHeight="1" x14ac:dyDescent="0.2">
      <c r="A38" s="37" t="s">
        <v>16</v>
      </c>
      <c r="B38" s="40" t="e">
        <f t="shared" si="4"/>
        <v>#DIV/0!</v>
      </c>
      <c r="C38" s="40" t="e">
        <f t="shared" si="4"/>
        <v>#DIV/0!</v>
      </c>
      <c r="D38" s="45" t="e">
        <f t="shared" si="5"/>
        <v>#DIV/0!</v>
      </c>
      <c r="E38" s="71" t="e">
        <f t="shared" si="6"/>
        <v>#DIV/0!</v>
      </c>
      <c r="F38" s="40"/>
      <c r="G38" s="53" t="e">
        <f t="shared" si="7"/>
        <v>#DIV/0!</v>
      </c>
      <c r="H38" s="69" t="e">
        <f t="shared" si="8"/>
        <v>#DIV/0!</v>
      </c>
      <c r="I38" s="7"/>
      <c r="J38" s="52"/>
      <c r="K38" s="50"/>
      <c r="L38" s="50"/>
      <c r="M38" s="50"/>
    </row>
    <row r="39" spans="1:13" s="51" customFormat="1" ht="17" customHeight="1" x14ac:dyDescent="0.2">
      <c r="A39" s="37" t="s">
        <v>2</v>
      </c>
      <c r="B39" s="40" t="e">
        <f t="shared" si="4"/>
        <v>#DIV/0!</v>
      </c>
      <c r="C39" s="40" t="e">
        <f t="shared" si="4"/>
        <v>#DIV/0!</v>
      </c>
      <c r="D39" s="45" t="e">
        <f t="shared" si="5"/>
        <v>#DIV/0!</v>
      </c>
      <c r="E39" s="71" t="e">
        <f t="shared" si="6"/>
        <v>#DIV/0!</v>
      </c>
      <c r="F39" s="40"/>
      <c r="G39" s="53" t="e">
        <f t="shared" si="7"/>
        <v>#DIV/0!</v>
      </c>
      <c r="H39" s="69" t="e">
        <f t="shared" si="8"/>
        <v>#DIV/0!</v>
      </c>
      <c r="I39" s="7"/>
      <c r="J39" s="52"/>
      <c r="K39" s="50"/>
      <c r="L39" s="50"/>
      <c r="M39" s="50"/>
    </row>
    <row r="40" spans="1:13" s="51" customFormat="1" ht="17" customHeight="1" x14ac:dyDescent="0.2">
      <c r="A40" s="37" t="s">
        <v>26</v>
      </c>
      <c r="B40" s="40" t="e">
        <f t="shared" si="4"/>
        <v>#DIV/0!</v>
      </c>
      <c r="C40" s="40" t="e">
        <f t="shared" si="4"/>
        <v>#DIV/0!</v>
      </c>
      <c r="D40" s="45" t="e">
        <f t="shared" si="5"/>
        <v>#DIV/0!</v>
      </c>
      <c r="E40" s="71" t="e">
        <f t="shared" si="6"/>
        <v>#DIV/0!</v>
      </c>
      <c r="F40" s="40"/>
      <c r="G40" s="53" t="e">
        <f t="shared" si="7"/>
        <v>#DIV/0!</v>
      </c>
      <c r="H40" s="69" t="e">
        <f t="shared" si="8"/>
        <v>#DIV/0!</v>
      </c>
      <c r="I40" s="7"/>
      <c r="J40" s="52"/>
      <c r="K40" s="50"/>
      <c r="L40" s="50"/>
      <c r="M40" s="50"/>
    </row>
    <row r="41" spans="1:13" s="51" customFormat="1" ht="17" customHeight="1" x14ac:dyDescent="0.2">
      <c r="A41" s="37" t="s">
        <v>15</v>
      </c>
      <c r="B41" s="40" t="e">
        <f t="shared" si="4"/>
        <v>#DIV/0!</v>
      </c>
      <c r="C41" s="40" t="e">
        <f t="shared" si="4"/>
        <v>#DIV/0!</v>
      </c>
      <c r="D41" s="45" t="e">
        <f t="shared" si="5"/>
        <v>#DIV/0!</v>
      </c>
      <c r="E41" s="71" t="e">
        <f t="shared" si="6"/>
        <v>#DIV/0!</v>
      </c>
      <c r="F41" s="40"/>
      <c r="G41" s="53" t="e">
        <f t="shared" si="7"/>
        <v>#DIV/0!</v>
      </c>
      <c r="H41" s="69" t="e">
        <f t="shared" si="8"/>
        <v>#DIV/0!</v>
      </c>
      <c r="I41" s="7"/>
      <c r="J41" s="52"/>
      <c r="K41" s="50"/>
      <c r="L41" s="50"/>
      <c r="M41" s="50"/>
    </row>
    <row r="42" spans="1:13" s="51" customFormat="1" ht="17" customHeight="1" x14ac:dyDescent="0.2">
      <c r="A42" s="37" t="s">
        <v>14</v>
      </c>
      <c r="B42" s="40" t="e">
        <f t="shared" si="4"/>
        <v>#DIV/0!</v>
      </c>
      <c r="C42" s="40" t="e">
        <f t="shared" si="4"/>
        <v>#DIV/0!</v>
      </c>
      <c r="D42" s="45" t="e">
        <f t="shared" si="5"/>
        <v>#DIV/0!</v>
      </c>
      <c r="E42" s="71" t="e">
        <f t="shared" si="6"/>
        <v>#DIV/0!</v>
      </c>
      <c r="F42" s="40"/>
      <c r="G42" s="53" t="e">
        <f t="shared" si="7"/>
        <v>#DIV/0!</v>
      </c>
      <c r="H42" s="69" t="e">
        <f t="shared" si="8"/>
        <v>#DIV/0!</v>
      </c>
      <c r="I42" s="7"/>
      <c r="J42" s="52"/>
      <c r="K42" s="50"/>
      <c r="L42" s="50"/>
      <c r="M42" s="50"/>
    </row>
    <row r="43" spans="1:13" s="51" customFormat="1" ht="17" customHeight="1" x14ac:dyDescent="0.2">
      <c r="A43" s="38" t="s">
        <v>13</v>
      </c>
      <c r="B43" s="58" t="e">
        <f t="shared" si="4"/>
        <v>#DIV/0!</v>
      </c>
      <c r="C43" s="58" t="e">
        <f t="shared" si="4"/>
        <v>#DIV/0!</v>
      </c>
      <c r="D43" s="95" t="e">
        <f t="shared" si="5"/>
        <v>#DIV/0!</v>
      </c>
      <c r="E43" s="72" t="e">
        <f t="shared" si="6"/>
        <v>#DIV/0!</v>
      </c>
      <c r="F43" s="58"/>
      <c r="G43" s="55" t="e">
        <f t="shared" si="7"/>
        <v>#DIV/0!</v>
      </c>
      <c r="H43" s="87" t="e">
        <f t="shared" si="8"/>
        <v>#DIV/0!</v>
      </c>
      <c r="J43" s="52"/>
      <c r="K43" s="50"/>
      <c r="L43" s="50"/>
      <c r="M43" s="50"/>
    </row>
  </sheetData>
  <mergeCells count="8">
    <mergeCell ref="D31:E31"/>
    <mergeCell ref="G31:H31"/>
    <mergeCell ref="A1:K1"/>
    <mergeCell ref="D2:E2"/>
    <mergeCell ref="G2:H2"/>
    <mergeCell ref="A16:F16"/>
    <mergeCell ref="G16:K16"/>
    <mergeCell ref="A30:H30"/>
  </mergeCells>
  <conditionalFormatting sqref="G3:H15 G18:H29 G32:H43">
    <cfRule type="cellIs" dxfId="5" priority="4" operator="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J18:J29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OTB</vt:lpstr>
      <vt:lpstr>Fin Year</vt:lpstr>
      <vt:lpstr>YOY</vt:lpstr>
      <vt:lpstr>Fin Year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2026-05-15T14:29:41Z</cp:lastPrinted>
  <dcterms:created xsi:type="dcterms:W3CDTF">2025-04-03T10:02:25Z</dcterms:created>
  <dcterms:modified xsi:type="dcterms:W3CDTF">2026-08-14T08:36:29Z</dcterms:modified>
</cp:coreProperties>
</file>