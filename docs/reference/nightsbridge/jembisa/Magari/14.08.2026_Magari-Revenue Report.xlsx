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Jembisa Properties/Revenue Reports | JEM/Magari/"/>
    </mc:Choice>
  </mc:AlternateContent>
  <xr:revisionPtr revIDLastSave="0" documentId="13_ncr:1_{E3E73095-A62D-6749-AE3B-3A3415B8D1DB}" xr6:coauthVersionLast="47" xr6:coauthVersionMax="47" xr10:uidLastSave="{00000000-0000-0000-0000-000000000000}"/>
  <bookViews>
    <workbookView xWindow="16800" yWindow="500" windowWidth="16800" windowHeight="20500" xr2:uid="{529B9ECD-34EE-5444-862A-AF4A04B83C61}"/>
  </bookViews>
  <sheets>
    <sheet name="OTB" sheetId="1" r:id="rId1"/>
    <sheet name="Fin Year" sheetId="6" r:id="rId2"/>
    <sheet name="YO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1" i="1"/>
  <c r="C49" i="1"/>
  <c r="C47" i="1"/>
  <c r="C46" i="1"/>
  <c r="C15" i="1"/>
  <c r="D56" i="1"/>
  <c r="H29" i="1"/>
  <c r="H28" i="1"/>
  <c r="H27" i="1"/>
  <c r="H26" i="1"/>
  <c r="H25" i="1"/>
  <c r="H24" i="1"/>
  <c r="H23" i="1"/>
  <c r="H22" i="1"/>
  <c r="H21" i="1"/>
  <c r="H20" i="1"/>
  <c r="H19" i="1"/>
  <c r="H18" i="1"/>
  <c r="D28" i="1"/>
  <c r="D29" i="1"/>
  <c r="D13" i="1"/>
  <c r="D14" i="1"/>
  <c r="J3" i="1"/>
  <c r="J5" i="1"/>
  <c r="J14" i="1"/>
  <c r="J29" i="1"/>
  <c r="J20" i="1"/>
  <c r="J18" i="1"/>
  <c r="G29" i="1"/>
  <c r="G20" i="1"/>
  <c r="G18" i="1"/>
  <c r="B49" i="1"/>
  <c r="E48" i="1"/>
  <c r="B47" i="1"/>
  <c r="J28" i="1"/>
  <c r="G28" i="1"/>
  <c r="F28" i="1"/>
  <c r="J27" i="1"/>
  <c r="G27" i="1"/>
  <c r="F27" i="1"/>
  <c r="D27" i="1"/>
  <c r="J21" i="1"/>
  <c r="G21" i="1"/>
  <c r="F21" i="1"/>
  <c r="F20" i="1"/>
  <c r="J19" i="1"/>
  <c r="G19" i="1"/>
  <c r="F19" i="1"/>
  <c r="G13" i="1"/>
  <c r="F13" i="1"/>
  <c r="G12" i="1"/>
  <c r="F12" i="1"/>
  <c r="D12" i="1"/>
  <c r="G6" i="1"/>
  <c r="F6" i="1"/>
  <c r="G5" i="1"/>
  <c r="F5" i="1"/>
  <c r="G4" i="1"/>
  <c r="F4" i="1"/>
  <c r="E57" i="1"/>
  <c r="B57" i="1"/>
  <c r="E54" i="1"/>
  <c r="E53" i="1"/>
  <c r="E52" i="1"/>
  <c r="E51" i="1"/>
  <c r="B51" i="1"/>
  <c r="E46" i="1"/>
  <c r="B46" i="1"/>
  <c r="J26" i="1"/>
  <c r="G26" i="1"/>
  <c r="F26" i="1"/>
  <c r="D26" i="1"/>
  <c r="J11" i="1"/>
  <c r="G11" i="1"/>
  <c r="F11" i="1"/>
  <c r="D11" i="1"/>
  <c r="D7" i="1"/>
  <c r="D8" i="1"/>
  <c r="D9" i="1"/>
  <c r="D10" i="1"/>
  <c r="D22" i="1"/>
  <c r="D23" i="1"/>
  <c r="D24" i="1"/>
  <c r="D25" i="1"/>
  <c r="J25" i="1"/>
  <c r="J24" i="1"/>
  <c r="J23" i="1"/>
  <c r="J22" i="1"/>
  <c r="G25" i="1"/>
  <c r="G24" i="1"/>
  <c r="G23" i="1"/>
  <c r="G22" i="1"/>
  <c r="F43" i="6"/>
  <c r="F33" i="6"/>
  <c r="F34" i="6"/>
  <c r="F35" i="6"/>
  <c r="F36" i="6"/>
  <c r="F37" i="6"/>
  <c r="F38" i="6"/>
  <c r="F39" i="6"/>
  <c r="F40" i="6"/>
  <c r="F41" i="6"/>
  <c r="F42" i="6"/>
  <c r="F32" i="6"/>
  <c r="K29" i="6"/>
  <c r="K19" i="6"/>
  <c r="K20" i="6"/>
  <c r="K21" i="6"/>
  <c r="K22" i="6"/>
  <c r="K23" i="6"/>
  <c r="K24" i="6"/>
  <c r="K25" i="6"/>
  <c r="K26" i="6"/>
  <c r="K27" i="6"/>
  <c r="K28" i="6"/>
  <c r="K18" i="6"/>
  <c r="I29" i="6"/>
  <c r="I19" i="6"/>
  <c r="I20" i="6"/>
  <c r="I21" i="6"/>
  <c r="I22" i="6"/>
  <c r="I23" i="6"/>
  <c r="I24" i="6"/>
  <c r="I25" i="6"/>
  <c r="I26" i="6"/>
  <c r="I27" i="6"/>
  <c r="I28" i="6"/>
  <c r="I18" i="6"/>
  <c r="F19" i="6"/>
  <c r="F20" i="6"/>
  <c r="F21" i="6"/>
  <c r="F22" i="6"/>
  <c r="F23" i="6"/>
  <c r="F24" i="6"/>
  <c r="F25" i="6"/>
  <c r="F26" i="6"/>
  <c r="F27" i="6"/>
  <c r="F28" i="6"/>
  <c r="F29" i="6"/>
  <c r="F18" i="6"/>
  <c r="D19" i="6"/>
  <c r="D20" i="6"/>
  <c r="D21" i="6"/>
  <c r="D22" i="6"/>
  <c r="D23" i="6"/>
  <c r="D24" i="6"/>
  <c r="D25" i="6"/>
  <c r="D26" i="6"/>
  <c r="D27" i="6"/>
  <c r="D28" i="6"/>
  <c r="D29" i="6"/>
  <c r="D18" i="6"/>
  <c r="J19" i="6"/>
  <c r="J29" i="6"/>
  <c r="J28" i="6"/>
  <c r="J27" i="6"/>
  <c r="J26" i="6"/>
  <c r="J25" i="6"/>
  <c r="J24" i="6"/>
  <c r="J23" i="6"/>
  <c r="J22" i="6"/>
  <c r="J21" i="6"/>
  <c r="J20" i="6"/>
  <c r="J18" i="6"/>
  <c r="H29" i="6"/>
  <c r="H28" i="6"/>
  <c r="H27" i="6"/>
  <c r="H26" i="6"/>
  <c r="H25" i="6"/>
  <c r="H24" i="6"/>
  <c r="H23" i="6"/>
  <c r="H22" i="6"/>
  <c r="H21" i="6"/>
  <c r="H20" i="6"/>
  <c r="H19" i="6"/>
  <c r="H18" i="6"/>
  <c r="G28" i="6"/>
  <c r="G26" i="6"/>
  <c r="G23" i="6"/>
  <c r="G21" i="6"/>
  <c r="G19" i="6"/>
  <c r="G29" i="6"/>
  <c r="G27" i="6"/>
  <c r="G25" i="6"/>
  <c r="G24" i="6"/>
  <c r="G22" i="6"/>
  <c r="G20" i="6"/>
  <c r="G18" i="6"/>
  <c r="C31" i="2"/>
  <c r="D31" i="2"/>
  <c r="E31" i="2"/>
  <c r="G31" i="2"/>
  <c r="C30" i="2"/>
  <c r="D30" i="2"/>
  <c r="E30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G28" i="2"/>
  <c r="G14" i="2"/>
  <c r="H31" i="2"/>
  <c r="G30" i="2"/>
  <c r="H30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F41" i="2"/>
  <c r="F40" i="2"/>
  <c r="F39" i="2"/>
  <c r="F38" i="2"/>
  <c r="F37" i="2"/>
  <c r="F36" i="2"/>
  <c r="F35" i="2"/>
  <c r="F34" i="2"/>
  <c r="F33" i="2"/>
  <c r="F32" i="2"/>
  <c r="F30" i="2"/>
  <c r="F31" i="2"/>
  <c r="I2" i="2"/>
  <c r="I20" i="2"/>
  <c r="I37" i="2"/>
  <c r="J36" i="2"/>
  <c r="I36" i="2"/>
  <c r="J35" i="2"/>
  <c r="I35" i="2"/>
  <c r="J34" i="2"/>
  <c r="I34" i="2"/>
  <c r="J33" i="2"/>
  <c r="I33" i="2"/>
  <c r="I32" i="2"/>
  <c r="J30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J19" i="2"/>
  <c r="I19" i="2"/>
  <c r="I18" i="2"/>
  <c r="J17" i="2"/>
  <c r="I17" i="2"/>
  <c r="J16" i="2"/>
  <c r="I16" i="2"/>
  <c r="J3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G44" i="2"/>
  <c r="G55" i="2"/>
  <c r="G54" i="2"/>
  <c r="G53" i="2"/>
  <c r="G52" i="2"/>
  <c r="G51" i="2"/>
  <c r="G50" i="2"/>
  <c r="G49" i="2"/>
  <c r="G48" i="2"/>
  <c r="G47" i="2"/>
  <c r="G45" i="2"/>
  <c r="C43" i="6"/>
  <c r="B43" i="6"/>
  <c r="C42" i="6"/>
  <c r="B42" i="6"/>
  <c r="C41" i="6"/>
  <c r="B41" i="6"/>
  <c r="C40" i="6"/>
  <c r="B40" i="6"/>
  <c r="C39" i="6"/>
  <c r="B39" i="6"/>
  <c r="G38" i="6"/>
  <c r="E38" i="6"/>
  <c r="D38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F15" i="6"/>
  <c r="C15" i="6"/>
  <c r="B15" i="6"/>
  <c r="H14" i="6"/>
  <c r="G14" i="6"/>
  <c r="E14" i="6"/>
  <c r="D14" i="6"/>
  <c r="H13" i="6"/>
  <c r="G13" i="6"/>
  <c r="E13" i="6"/>
  <c r="D13" i="6"/>
  <c r="H12" i="6"/>
  <c r="G12" i="6"/>
  <c r="E12" i="6"/>
  <c r="D12" i="6"/>
  <c r="H11" i="6"/>
  <c r="G11" i="6"/>
  <c r="E11" i="6"/>
  <c r="D11" i="6"/>
  <c r="H10" i="6"/>
  <c r="G10" i="6"/>
  <c r="E10" i="6"/>
  <c r="D10" i="6"/>
  <c r="H9" i="6"/>
  <c r="G9" i="6"/>
  <c r="E9" i="6"/>
  <c r="D9" i="6"/>
  <c r="H8" i="6"/>
  <c r="G8" i="6"/>
  <c r="E8" i="6"/>
  <c r="D8" i="6"/>
  <c r="H7" i="6"/>
  <c r="G7" i="6"/>
  <c r="E7" i="6"/>
  <c r="D7" i="6"/>
  <c r="H6" i="6"/>
  <c r="G6" i="6"/>
  <c r="E6" i="6"/>
  <c r="D6" i="6"/>
  <c r="H5" i="6"/>
  <c r="G5" i="6"/>
  <c r="E5" i="6"/>
  <c r="D5" i="6"/>
  <c r="H4" i="6"/>
  <c r="G4" i="6"/>
  <c r="E4" i="6"/>
  <c r="D4" i="6"/>
  <c r="H3" i="6"/>
  <c r="G3" i="6"/>
  <c r="E3" i="6"/>
  <c r="D3" i="6"/>
  <c r="I28" i="1" l="1"/>
  <c r="I29" i="1"/>
  <c r="D57" i="1"/>
  <c r="K5" i="1"/>
  <c r="K27" i="1"/>
  <c r="F55" i="1"/>
  <c r="D55" i="1"/>
  <c r="F56" i="1"/>
  <c r="F49" i="1"/>
  <c r="G48" i="1"/>
  <c r="F48" i="1"/>
  <c r="F47" i="1"/>
  <c r="K28" i="1"/>
  <c r="I27" i="1"/>
  <c r="K21" i="1"/>
  <c r="K20" i="1"/>
  <c r="K19" i="1"/>
  <c r="H13" i="1"/>
  <c r="H12" i="1"/>
  <c r="H6" i="1"/>
  <c r="H4" i="1"/>
  <c r="H5" i="1"/>
  <c r="G54" i="1"/>
  <c r="G57" i="1"/>
  <c r="F57" i="1"/>
  <c r="F54" i="1"/>
  <c r="D54" i="1"/>
  <c r="G53" i="1"/>
  <c r="F53" i="1"/>
  <c r="D53" i="1"/>
  <c r="G52" i="1"/>
  <c r="F52" i="1"/>
  <c r="D52" i="1"/>
  <c r="G51" i="1"/>
  <c r="F51" i="1"/>
  <c r="D51" i="1"/>
  <c r="F50" i="1"/>
  <c r="D50" i="1"/>
  <c r="G46" i="1"/>
  <c r="F46" i="1"/>
  <c r="K26" i="1"/>
  <c r="I26" i="1"/>
  <c r="K11" i="1"/>
  <c r="H11" i="1"/>
  <c r="I22" i="1"/>
  <c r="I25" i="1"/>
  <c r="I23" i="1"/>
  <c r="I24" i="1"/>
  <c r="H38" i="6"/>
  <c r="G42" i="2"/>
  <c r="I30" i="2"/>
  <c r="G56" i="2"/>
  <c r="J31" i="2"/>
  <c r="I31" i="2"/>
  <c r="J41" i="2"/>
  <c r="I41" i="2"/>
  <c r="J40" i="2"/>
  <c r="I40" i="2"/>
  <c r="J39" i="2"/>
  <c r="I39" i="2"/>
  <c r="J38" i="2"/>
  <c r="I38" i="2"/>
  <c r="J37" i="2"/>
  <c r="H43" i="6"/>
  <c r="G43" i="6"/>
  <c r="E43" i="6"/>
  <c r="D43" i="6"/>
  <c r="H42" i="6"/>
  <c r="G42" i="6"/>
  <c r="E42" i="6"/>
  <c r="D42" i="6"/>
  <c r="H41" i="6"/>
  <c r="G41" i="6"/>
  <c r="E41" i="6"/>
  <c r="D41" i="6"/>
  <c r="H40" i="6"/>
  <c r="G40" i="6"/>
  <c r="E40" i="6"/>
  <c r="D40" i="6"/>
  <c r="H39" i="6"/>
  <c r="G39" i="6"/>
  <c r="E39" i="6"/>
  <c r="D39" i="6"/>
  <c r="H33" i="6"/>
  <c r="D33" i="6"/>
  <c r="H32" i="6"/>
  <c r="E32" i="6"/>
  <c r="E15" i="6"/>
  <c r="D15" i="6"/>
  <c r="H37" i="6"/>
  <c r="G37" i="6"/>
  <c r="E37" i="6"/>
  <c r="D37" i="6"/>
  <c r="H36" i="6"/>
  <c r="G36" i="6"/>
  <c r="E36" i="6"/>
  <c r="D36" i="6"/>
  <c r="H35" i="6"/>
  <c r="G35" i="6"/>
  <c r="E35" i="6"/>
  <c r="D35" i="6"/>
  <c r="H34" i="6"/>
  <c r="G34" i="6"/>
  <c r="E34" i="6"/>
  <c r="D34" i="6"/>
  <c r="G33" i="6"/>
  <c r="E33" i="6"/>
  <c r="G32" i="6"/>
  <c r="H15" i="6"/>
  <c r="G15" i="6"/>
  <c r="D32" i="6"/>
  <c r="G3" i="1"/>
  <c r="K3" i="1" s="1"/>
  <c r="G7" i="1"/>
  <c r="G8" i="1"/>
  <c r="G9" i="1"/>
  <c r="G10" i="1"/>
  <c r="G14" i="1"/>
  <c r="K14" i="1" s="1"/>
  <c r="K29" i="1"/>
  <c r="K25" i="1"/>
  <c r="K24" i="1"/>
  <c r="K23" i="1"/>
  <c r="K22" i="1"/>
  <c r="K18" i="1"/>
  <c r="F29" i="1"/>
  <c r="F25" i="1"/>
  <c r="F24" i="1"/>
  <c r="F23" i="1"/>
  <c r="F22" i="1"/>
  <c r="F18" i="1"/>
  <c r="H14" i="1" l="1"/>
  <c r="F14" i="1"/>
  <c r="K10" i="1"/>
  <c r="J10" i="1"/>
  <c r="H10" i="1"/>
  <c r="F10" i="1"/>
  <c r="J9" i="1"/>
  <c r="H9" i="1"/>
  <c r="F9" i="1"/>
  <c r="J8" i="1"/>
  <c r="H8" i="1"/>
  <c r="F8" i="1"/>
  <c r="F7" i="1"/>
  <c r="K9" i="1" l="1"/>
  <c r="K8" i="1"/>
  <c r="H7" i="1"/>
  <c r="H3" i="1" l="1"/>
  <c r="F3" i="1"/>
  <c r="H55" i="2" l="1"/>
  <c r="H54" i="2"/>
  <c r="H53" i="2"/>
  <c r="H52" i="2"/>
  <c r="H51" i="2"/>
  <c r="H50" i="2"/>
  <c r="H49" i="2"/>
  <c r="H48" i="2"/>
  <c r="H47" i="2"/>
  <c r="H46" i="2"/>
  <c r="H45" i="2"/>
  <c r="H44" i="2"/>
  <c r="I44" i="2" s="1"/>
  <c r="H28" i="2"/>
  <c r="H14" i="2"/>
  <c r="J14" i="2" s="1"/>
  <c r="J55" i="2" l="1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I28" i="2"/>
  <c r="J28" i="2"/>
  <c r="J48" i="2"/>
  <c r="I48" i="2"/>
  <c r="J47" i="2"/>
  <c r="I47" i="2"/>
  <c r="I46" i="2"/>
  <c r="J45" i="2"/>
  <c r="I45" i="2"/>
  <c r="J44" i="2"/>
  <c r="I14" i="2"/>
  <c r="H42" i="2"/>
  <c r="H56" i="2"/>
  <c r="B14" i="2"/>
  <c r="C14" i="2"/>
  <c r="D14" i="2"/>
  <c r="E14" i="2"/>
  <c r="F14" i="2"/>
  <c r="B28" i="2"/>
  <c r="C28" i="2"/>
  <c r="D28" i="2"/>
  <c r="E28" i="2"/>
  <c r="F28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D49" i="2"/>
  <c r="E49" i="2"/>
  <c r="F49" i="2"/>
  <c r="C50" i="2"/>
  <c r="D50" i="2"/>
  <c r="E50" i="2"/>
  <c r="F50" i="2"/>
  <c r="C51" i="2"/>
  <c r="D51" i="2"/>
  <c r="E51" i="2"/>
  <c r="F51" i="2"/>
  <c r="B52" i="2"/>
  <c r="C52" i="2"/>
  <c r="D52" i="2"/>
  <c r="E52" i="2"/>
  <c r="F52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J42" i="2" l="1"/>
  <c r="I42" i="2"/>
  <c r="J56" i="2"/>
  <c r="I56" i="2"/>
  <c r="E56" i="2"/>
  <c r="B56" i="2"/>
  <c r="F42" i="2"/>
  <c r="B42" i="2"/>
  <c r="C42" i="2"/>
  <c r="C56" i="2"/>
  <c r="D42" i="2"/>
  <c r="D56" i="2"/>
  <c r="F56" i="2"/>
  <c r="E42" i="2"/>
  <c r="E15" i="1" l="1"/>
  <c r="G15" i="1" s="1"/>
  <c r="B15" i="1"/>
  <c r="J15" i="1" l="1"/>
  <c r="K15" i="1"/>
  <c r="H15" i="1"/>
  <c r="D15" i="1"/>
  <c r="F15" i="1"/>
</calcChain>
</file>

<file path=xl/sharedStrings.xml><?xml version="1.0" encoding="utf-8"?>
<sst xmlns="http://schemas.openxmlformats.org/spreadsheetml/2006/main" count="217" uniqueCount="38">
  <si>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</si>
  <si>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</si>
  <si>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</si>
  <si>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</si>
  <si>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</si>
  <si>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</si>
  <si>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</si>
  <si>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</si>
  <si>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</si>
  <si>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</si>
  <si>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</si>
  <si>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</si>
  <si>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</si>
  <si>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</si>
  <si>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</si>
  <si>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</si>
  <si>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</si>
  <si>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</si>
  <si>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</si>
  <si>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</si>
  <si>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</si>
  <si>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2025 vs 2024</t>
  </si>
  <si>
    <t>Sep</t>
  </si>
  <si>
    <t>OTB vs Target</t>
  </si>
  <si>
    <t>Target (+7%)</t>
  </si>
  <si>
    <t>2026 vs 2025</t>
  </si>
  <si>
    <t>-</t>
  </si>
  <si>
    <t>2026</t>
  </si>
  <si>
    <t>TOTAL Avg</t>
  </si>
  <si>
    <t>Magari Safari Lodge | Financial Year</t>
  </si>
  <si>
    <t>6 Rooms</t>
  </si>
  <si>
    <t>28 = 168</t>
  </si>
  <si>
    <t>29 = 174</t>
  </si>
  <si>
    <t>30 = 180</t>
  </si>
  <si>
    <t>31 = 186</t>
  </si>
  <si>
    <t>OTB @ 31 Jul 2026</t>
  </si>
  <si>
    <t>Magari Safari Lodge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</si>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</sst>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14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0" fontId="15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1" fillId="6" borderId="4" xfId="0" applyNumberFormat="1" applyFont="1" applyFill="1" applyBorder="1" applyAlignment="1">
      <alignment horizontal="center" vertical="center"/>
    </xf>
    <xf numFmtId="3" fontId="11" fillId="6" borderId="25" xfId="0" applyNumberFormat="1" applyFont="1" applyFill="1" applyBorder="1" applyAlignment="1">
      <alignment horizontal="center" vertical="center"/>
    </xf>
    <xf numFmtId="9" fontId="11" fillId="2" borderId="25" xfId="1" applyFont="1" applyFill="1" applyBorder="1" applyAlignment="1">
      <alignment horizontal="center" vertical="center"/>
    </xf>
    <xf numFmtId="9" fontId="11" fillId="6" borderId="25" xfId="1" applyFont="1" applyFill="1" applyBorder="1" applyAlignment="1">
      <alignment horizontal="center" vertical="center"/>
    </xf>
    <xf numFmtId="9" fontId="10" fillId="2" borderId="26" xfId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9" fontId="10" fillId="0" borderId="24" xfId="1" applyFont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 wrapText="1"/>
    </xf>
    <xf numFmtId="1" fontId="10" fillId="2" borderId="32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33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1" fillId="2" borderId="29" xfId="0" applyNumberFormat="1" applyFont="1" applyFill="1" applyBorder="1" applyAlignment="1">
      <alignment horizontal="center" vertical="center"/>
    </xf>
    <xf numFmtId="9" fontId="11" fillId="2" borderId="30" xfId="1" applyFont="1" applyFill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4" borderId="10" xfId="0" applyNumberFormat="1" applyFont="1" applyFill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9" fontId="16" fillId="8" borderId="24" xfId="0" applyNumberFormat="1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Magari Safari Lodge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OTB!$G$17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OTB!$G$18:$G$29</c:f>
              <c:numCache>
                <c:formatCode>0.0%</c:formatCode>
                <c:ptCount val="12"/>
                <c:pt idx="0">
                  <c:v>0.13978494623655913</c:v>
                </c:pt>
                <c:pt idx="1">
                  <c:v>2.2222222222222223E-2</c:v>
                </c:pt>
                <c:pt idx="2">
                  <c:v>0</c:v>
                </c:pt>
                <c:pt idx="3">
                  <c:v>2.2222222222222223E-2</c:v>
                </c:pt>
                <c:pt idx="4">
                  <c:v>0</c:v>
                </c:pt>
                <c:pt idx="5">
                  <c:v>6.4516129032258063E-2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OTB!$H$17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OTB!$H$18:$H$29</c:f>
              <c:numCache>
                <c:formatCode>0.0%</c:formatCode>
                <c:ptCount val="12"/>
                <c:pt idx="0">
                  <c:v>0.13978494623655913</c:v>
                </c:pt>
                <c:pt idx="1">
                  <c:v>2.2222222222222223E-2</c:v>
                </c:pt>
                <c:pt idx="2">
                  <c:v>0</c:v>
                </c:pt>
                <c:pt idx="3">
                  <c:v>2.2222222222222223E-2</c:v>
                </c:pt>
                <c:pt idx="4">
                  <c:v>0</c:v>
                </c:pt>
                <c:pt idx="5">
                  <c:v>3.2258064516129031E-2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OTB!$I$17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OTB!$I$18:$I$29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%">
                  <c:v>0</c:v>
                </c:pt>
                <c:pt idx="5" formatCode="0%">
                  <c:v>3.2258064516129031E-2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</c:v>
                </c:pt>
                <c:pt idx="10" formatCode="0%">
                  <c:v>0</c:v>
                </c:pt>
                <c:pt idx="11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OTB!$J$17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OTB!$J$18:$J$29</c:f>
              <c:numCache>
                <c:formatCode>0.0%</c:formatCode>
                <c:ptCount val="12"/>
                <c:pt idx="0">
                  <c:v>0.14516129032258066</c:v>
                </c:pt>
                <c:pt idx="1">
                  <c:v>0</c:v>
                </c:pt>
                <c:pt idx="2">
                  <c:v>6.9892473118279563E-2</c:v>
                </c:pt>
                <c:pt idx="3">
                  <c:v>0</c:v>
                </c:pt>
                <c:pt idx="4">
                  <c:v>0</c:v>
                </c:pt>
                <c:pt idx="5">
                  <c:v>9.6774193548387094E-2</c:v>
                </c:pt>
                <c:pt idx="6">
                  <c:v>0.13333333333333333</c:v>
                </c:pt>
                <c:pt idx="7">
                  <c:v>0.29032258064516131</c:v>
                </c:pt>
                <c:pt idx="8">
                  <c:v>1.1111111111111112E-2</c:v>
                </c:pt>
                <c:pt idx="9">
                  <c:v>0</c:v>
                </c:pt>
                <c:pt idx="10">
                  <c:v>0</c:v>
                </c:pt>
                <c:pt idx="11">
                  <c:v>1.1904761904761904E-2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OTB!$K$17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OTB!$K$18:$K$29</c:f>
              <c:numCache>
                <c:formatCode>0%</c:formatCode>
                <c:ptCount val="12"/>
                <c:pt idx="0">
                  <c:v>-5.3763440860215284E-3</c:v>
                </c:pt>
                <c:pt idx="1">
                  <c:v>2.2222222222222223E-2</c:v>
                </c:pt>
                <c:pt idx="2">
                  <c:v>-6.9892473118279563E-2</c:v>
                </c:pt>
                <c:pt idx="3">
                  <c:v>2.2222222222222223E-2</c:v>
                </c:pt>
                <c:pt idx="4">
                  <c:v>0</c:v>
                </c:pt>
                <c:pt idx="5">
                  <c:v>-3.2258064516129031E-2</c:v>
                </c:pt>
                <c:pt idx="6">
                  <c:v>-0.13333333333333333</c:v>
                </c:pt>
                <c:pt idx="7">
                  <c:v>-0.29032258064516131</c:v>
                </c:pt>
                <c:pt idx="8">
                  <c:v>-1.1111111111111112E-2</c:v>
                </c:pt>
                <c:pt idx="9">
                  <c:v>0</c:v>
                </c:pt>
                <c:pt idx="10">
                  <c:v>0</c:v>
                </c:pt>
                <c:pt idx="11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Magari Safari Lodge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OTB!$B$45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OTB!$B$46:$B$57</c:f>
              <c:numCache>
                <c:formatCode>#,##0</c:formatCode>
                <c:ptCount val="12"/>
                <c:pt idx="0">
                  <c:v>4334.6153846153848</c:v>
                </c:pt>
                <c:pt idx="1">
                  <c:v>5250</c:v>
                </c:pt>
                <c:pt idx="2">
                  <c:v>0</c:v>
                </c:pt>
                <c:pt idx="3">
                  <c:v>10000</c:v>
                </c:pt>
                <c:pt idx="4">
                  <c:v>0</c:v>
                </c:pt>
                <c:pt idx="5">
                  <c:v>9733.3333333333339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OTB!$C$45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OTB!$C$46:$C$57</c:f>
              <c:numCache>
                <c:formatCode>#,##0</c:formatCode>
                <c:ptCount val="12"/>
                <c:pt idx="0">
                  <c:v>4334.6153846153848</c:v>
                </c:pt>
                <c:pt idx="1">
                  <c:v>5250</c:v>
                </c:pt>
                <c:pt idx="2">
                  <c:v>0</c:v>
                </c:pt>
                <c:pt idx="3">
                  <c:v>10000</c:v>
                </c:pt>
                <c:pt idx="4">
                  <c:v>0</c:v>
                </c:pt>
                <c:pt idx="5">
                  <c:v>17800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OTB!$D$45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OTB!$D$46:$D$57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-8066.6666666666661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OTB!$E$45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OTB!$E$46:$E$57</c:f>
              <c:numCache>
                <c:formatCode>#,##0</c:formatCode>
                <c:ptCount val="12"/>
                <c:pt idx="0">
                  <c:v>2440.7407407407409</c:v>
                </c:pt>
                <c:pt idx="1">
                  <c:v>0</c:v>
                </c:pt>
                <c:pt idx="2">
                  <c:v>13134.615384615385</c:v>
                </c:pt>
                <c:pt idx="3">
                  <c:v>0</c:v>
                </c:pt>
                <c:pt idx="4">
                  <c:v>0</c:v>
                </c:pt>
                <c:pt idx="5">
                  <c:v>4383.333333333333</c:v>
                </c:pt>
                <c:pt idx="6">
                  <c:v>6416.666666666667</c:v>
                </c:pt>
                <c:pt idx="7">
                  <c:v>1824.0740740740741</c:v>
                </c:pt>
                <c:pt idx="8">
                  <c:v>16500</c:v>
                </c:pt>
                <c:pt idx="9">
                  <c:v>0</c:v>
                </c:pt>
                <c:pt idx="10">
                  <c:v>0</c:v>
                </c:pt>
                <c:pt idx="11">
                  <c:v>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OTB!$F$45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OTB!$F$46:$F$57</c:f>
              <c:numCache>
                <c:formatCode>#,##0</c:formatCode>
                <c:ptCount val="12"/>
                <c:pt idx="0">
                  <c:v>1893.8746438746439</c:v>
                </c:pt>
                <c:pt idx="1">
                  <c:v>5250</c:v>
                </c:pt>
                <c:pt idx="2">
                  <c:v>-13134.615384615385</c:v>
                </c:pt>
                <c:pt idx="3">
                  <c:v>10000</c:v>
                </c:pt>
                <c:pt idx="4">
                  <c:v>0</c:v>
                </c:pt>
                <c:pt idx="5">
                  <c:v>5350.0000000000009</c:v>
                </c:pt>
                <c:pt idx="6">
                  <c:v>-6416.666666666667</c:v>
                </c:pt>
                <c:pt idx="7">
                  <c:v>-1824.0740740740741</c:v>
                </c:pt>
                <c:pt idx="8">
                  <c:v>-16500</c:v>
                </c:pt>
                <c:pt idx="9">
                  <c:v>0</c:v>
                </c:pt>
                <c:pt idx="10">
                  <c:v>0</c:v>
                </c:pt>
                <c:pt idx="11">
                  <c:v>6540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Magari</a:t>
            </a:r>
            <a:r>
              <a:rPr lang="en-GB" baseline="0"/>
              <a:t> Safari Lodge </a:t>
            </a:r>
            <a:r>
              <a:rPr lang="en-GB"/>
              <a:t>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OTB!$B$3:$B$14</c:f>
              <c:numCache>
                <c:formatCode>#,##0</c:formatCode>
                <c:ptCount val="12"/>
                <c:pt idx="0">
                  <c:v>112700</c:v>
                </c:pt>
                <c:pt idx="1">
                  <c:v>21000</c:v>
                </c:pt>
                <c:pt idx="2">
                  <c:v>0</c:v>
                </c:pt>
                <c:pt idx="3">
                  <c:v>40000</c:v>
                </c:pt>
                <c:pt idx="4">
                  <c:v>0</c:v>
                </c:pt>
                <c:pt idx="5">
                  <c:v>116800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664B-8178-DC0C2B0A6C68}"/>
            </c:ext>
          </c:extLst>
        </c:ser>
        <c:ser>
          <c:idx val="1"/>
          <c:order val="1"/>
          <c:tx>
            <c:strRef>
              <c:f>OTB!$C$2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OTB!$C$3:$C$14</c:f>
              <c:numCache>
                <c:formatCode>#,##0</c:formatCode>
                <c:ptCount val="12"/>
                <c:pt idx="0">
                  <c:v>112700</c:v>
                </c:pt>
                <c:pt idx="1">
                  <c:v>21000</c:v>
                </c:pt>
                <c:pt idx="2">
                  <c:v>0</c:v>
                </c:pt>
                <c:pt idx="3">
                  <c:v>40000</c:v>
                </c:pt>
                <c:pt idx="4">
                  <c:v>0</c:v>
                </c:pt>
                <c:pt idx="5">
                  <c:v>106800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664B-8178-DC0C2B0A6C68}"/>
            </c:ext>
          </c:extLst>
        </c:ser>
        <c:ser>
          <c:idx val="2"/>
          <c:order val="2"/>
          <c:tx>
            <c:strRef>
              <c:f>OTB!$D$2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OTB!$D$3:$D$14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2-664B-8178-DC0C2B0A6C68}"/>
            </c:ext>
          </c:extLst>
        </c:ser>
        <c:ser>
          <c:idx val="4"/>
          <c:order val="3"/>
          <c:tx>
            <c:strRef>
              <c:f>OTB!$F$2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OTB!$F$3:$F$14</c:f>
              <c:numCache>
                <c:formatCode>#,##0</c:formatCode>
                <c:ptCount val="12"/>
                <c:pt idx="0">
                  <c:v>46800</c:v>
                </c:pt>
                <c:pt idx="1">
                  <c:v>21000</c:v>
                </c:pt>
                <c:pt idx="2">
                  <c:v>-170750</c:v>
                </c:pt>
                <c:pt idx="3">
                  <c:v>40000</c:v>
                </c:pt>
                <c:pt idx="4">
                  <c:v>0</c:v>
                </c:pt>
                <c:pt idx="5">
                  <c:v>37900</c:v>
                </c:pt>
                <c:pt idx="6">
                  <c:v>-154000</c:v>
                </c:pt>
                <c:pt idx="7">
                  <c:v>-98500</c:v>
                </c:pt>
                <c:pt idx="8">
                  <c:v>-33000</c:v>
                </c:pt>
                <c:pt idx="9">
                  <c:v>0</c:v>
                </c:pt>
                <c:pt idx="10">
                  <c:v>0</c:v>
                </c:pt>
                <c:pt idx="11">
                  <c:v>98520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664B-8178-DC0C2B0A6C68}"/>
            </c:ext>
          </c:extLst>
        </c:ser>
        <c:ser>
          <c:idx val="6"/>
          <c:order val="4"/>
          <c:tx>
            <c:strRef>
              <c:f>OTB!$H$2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OTB!$H$3:$H$14</c:f>
              <c:numCache>
                <c:formatCode>#,##0</c:formatCode>
                <c:ptCount val="12"/>
                <c:pt idx="0">
                  <c:v>42187</c:v>
                </c:pt>
                <c:pt idx="1">
                  <c:v>21000</c:v>
                </c:pt>
                <c:pt idx="2">
                  <c:v>-182702.5</c:v>
                </c:pt>
                <c:pt idx="3">
                  <c:v>40000</c:v>
                </c:pt>
                <c:pt idx="4">
                  <c:v>0</c:v>
                </c:pt>
                <c:pt idx="5">
                  <c:v>32377</c:v>
                </c:pt>
                <c:pt idx="6">
                  <c:v>-164780</c:v>
                </c:pt>
                <c:pt idx="7">
                  <c:v>-105395</c:v>
                </c:pt>
                <c:pt idx="8">
                  <c:v>-35310</c:v>
                </c:pt>
                <c:pt idx="9">
                  <c:v>0</c:v>
                </c:pt>
                <c:pt idx="10">
                  <c:v>0</c:v>
                </c:pt>
                <c:pt idx="11">
                  <c:v>97442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5-E749-9A57-662875C0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15071"/>
        <c:axId val="389616783"/>
      </c:barChart>
      <c:catAx>
        <c:axId val="3896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6783"/>
        <c:crosses val="autoZero"/>
        <c:auto val="1"/>
        <c:lblAlgn val="ctr"/>
        <c:lblOffset val="100"/>
        <c:noMultiLvlLbl val="1"/>
      </c:catAx>
      <c:valAx>
        <c:axId val="389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YOY!$B$1:$H$1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YOY!$B$29:$H$29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YOY!$B$43:$H$43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YOY!$B$56:$H$56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YOY!$C$2:$C$13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YOY!$C$30:$C$41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YOY!$D$30:$D$41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YOY!$E$30:$E$41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YOY!$F$30:$F$41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YOY!$H$30:$H$41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YOY!$C$44:$C$55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YOY!$D$44:$D$55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YOY!$E$44:$E$55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YOY!$F$44:$F$55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YOY!$H$44:$H$55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58</xdr:row>
      <xdr:rowOff>95250</xdr:rowOff>
    </xdr:from>
    <xdr:to>
      <xdr:col>12</xdr:col>
      <xdr:colOff>749300</xdr:colOff>
      <xdr:row>74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850900</xdr:colOff>
      <xdr:row>58</xdr:row>
      <xdr:rowOff>107950</xdr:rowOff>
    </xdr:from>
    <xdr:to>
      <xdr:col>19</xdr:col>
      <xdr:colOff>50800</xdr:colOff>
      <xdr:row>74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58</xdr:row>
      <xdr:rowOff>82550</xdr:rowOff>
    </xdr:from>
    <xdr:to>
      <xdr:col>6</xdr:col>
      <xdr:colOff>482600</xdr:colOff>
      <xdr:row>74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00619-3300-822B-E600-C6626A9A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S58"/>
  <sheetViews>
    <sheetView tabSelected="1" topLeftCell="A47" zoomScaleNormal="100" workbookViewId="0">
      <selection activeCell="E79" sqref="E79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5" width="10.83203125" style="7" customWidth="1"/>
    <col min="6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19" ht="28" customHeight="1" thickBot="1" x14ac:dyDescent="0.25">
      <c r="A1" s="117" t="s">
        <v>36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  <c r="N1" s="50"/>
      <c r="O1" s="50"/>
      <c r="P1" s="50"/>
      <c r="Q1" s="50"/>
      <c r="R1" s="50"/>
      <c r="S1" s="50"/>
    </row>
    <row r="2" spans="1:19" s="5" customFormat="1" ht="32" customHeight="1" x14ac:dyDescent="0.2">
      <c r="A2" s="42"/>
      <c r="B2" s="42" t="s">
        <v>37</v>
      </c>
      <c r="C2" s="42" t="s">
        <v>35</v>
      </c>
      <c r="D2" s="42" t="s">
        <v>0</v>
      </c>
      <c r="E2" s="43" t="s">
        <v>1</v>
      </c>
      <c r="F2" s="44" t="s">
        <v>7</v>
      </c>
      <c r="G2" s="81" t="s">
        <v>24</v>
      </c>
      <c r="H2" s="82" t="s">
        <v>23</v>
      </c>
      <c r="I2" s="4"/>
      <c r="J2" s="44" t="s">
        <v>7</v>
      </c>
      <c r="K2" s="82" t="s">
        <v>23</v>
      </c>
      <c r="L2" s="4"/>
      <c r="M2" s="4"/>
    </row>
    <row r="3" spans="1:19" s="3" customFormat="1" ht="18" customHeight="1" x14ac:dyDescent="0.2">
      <c r="A3" s="37" t="s">
        <v>16</v>
      </c>
      <c r="B3" s="40">
        <v>112700</v>
      </c>
      <c r="C3" s="40">
        <v>112700</v>
      </c>
      <c r="D3" s="40" t="s">
        <v>26</v>
      </c>
      <c r="E3" s="45">
        <v>65900</v>
      </c>
      <c r="F3" s="53">
        <f t="shared" ref="F3:F14" si="0">B3-E3</f>
        <v>46800</v>
      </c>
      <c r="G3" s="56">
        <f t="shared" ref="G3:G14" si="1">E3*1.07</f>
        <v>70513</v>
      </c>
      <c r="H3" s="56">
        <f t="shared" ref="H3:H15" si="2">B3-G3</f>
        <v>42187</v>
      </c>
      <c r="I3" s="6"/>
      <c r="J3" s="71">
        <f t="shared" ref="J3:J5" si="3">(B3-E3)/E3</f>
        <v>0.7101669195751138</v>
      </c>
      <c r="K3" s="54">
        <f t="shared" ref="K3:K5" si="4">(B3-G3)/G3</f>
        <v>0.59828684072440541</v>
      </c>
      <c r="L3" s="2"/>
      <c r="M3" s="2"/>
      <c r="S3" s="50"/>
    </row>
    <row r="4" spans="1:19" s="3" customFormat="1" ht="18" customHeight="1" x14ac:dyDescent="0.2">
      <c r="A4" s="37" t="s">
        <v>15</v>
      </c>
      <c r="B4" s="40">
        <v>21000</v>
      </c>
      <c r="C4" s="40">
        <v>21000</v>
      </c>
      <c r="D4" s="40" t="s">
        <v>26</v>
      </c>
      <c r="E4" s="45">
        <v>0</v>
      </c>
      <c r="F4" s="53">
        <f t="shared" ref="F4:F6" si="5">B4-E4</f>
        <v>21000</v>
      </c>
      <c r="G4" s="56">
        <f t="shared" ref="G4:G6" si="6">E4*1.07</f>
        <v>0</v>
      </c>
      <c r="H4" s="56">
        <f t="shared" ref="H4:H6" si="7">B4-G4</f>
        <v>21000</v>
      </c>
      <c r="I4" s="6"/>
      <c r="J4" s="71" t="s">
        <v>26</v>
      </c>
      <c r="K4" s="54" t="s">
        <v>26</v>
      </c>
      <c r="L4" s="2"/>
      <c r="M4" s="2"/>
      <c r="S4" s="50"/>
    </row>
    <row r="5" spans="1:19" s="3" customFormat="1" ht="18" customHeight="1" x14ac:dyDescent="0.2">
      <c r="A5" s="37" t="s">
        <v>14</v>
      </c>
      <c r="B5" s="40">
        <v>0</v>
      </c>
      <c r="C5" s="40">
        <v>0</v>
      </c>
      <c r="D5" s="40" t="s">
        <v>26</v>
      </c>
      <c r="E5" s="45">
        <v>170750</v>
      </c>
      <c r="F5" s="53">
        <f t="shared" si="5"/>
        <v>-170750</v>
      </c>
      <c r="G5" s="56">
        <f t="shared" si="6"/>
        <v>182702.5</v>
      </c>
      <c r="H5" s="56">
        <f t="shared" si="7"/>
        <v>-182702.5</v>
      </c>
      <c r="I5" s="6"/>
      <c r="J5" s="71">
        <f t="shared" si="3"/>
        <v>-1</v>
      </c>
      <c r="K5" s="54">
        <f t="shared" si="4"/>
        <v>-1</v>
      </c>
      <c r="L5" s="2"/>
      <c r="M5" s="2"/>
      <c r="S5" s="50"/>
    </row>
    <row r="6" spans="1:19" s="3" customFormat="1" ht="18" customHeight="1" x14ac:dyDescent="0.2">
      <c r="A6" s="37" t="s">
        <v>13</v>
      </c>
      <c r="B6" s="40">
        <v>40000</v>
      </c>
      <c r="C6" s="40">
        <v>40000</v>
      </c>
      <c r="D6" s="40" t="s">
        <v>26</v>
      </c>
      <c r="E6" s="45">
        <v>0</v>
      </c>
      <c r="F6" s="53">
        <f t="shared" si="5"/>
        <v>40000</v>
      </c>
      <c r="G6" s="56">
        <f t="shared" si="6"/>
        <v>0</v>
      </c>
      <c r="H6" s="56">
        <f t="shared" si="7"/>
        <v>40000</v>
      </c>
      <c r="I6" s="6"/>
      <c r="J6" s="102" t="s">
        <v>26</v>
      </c>
      <c r="K6" s="103" t="s">
        <v>26</v>
      </c>
      <c r="L6" s="2"/>
      <c r="M6" s="2"/>
      <c r="S6" s="50"/>
    </row>
    <row r="7" spans="1:19" s="3" customFormat="1" ht="18" customHeight="1" x14ac:dyDescent="0.2">
      <c r="A7" s="37" t="s">
        <v>12</v>
      </c>
      <c r="B7" s="40">
        <v>0</v>
      </c>
      <c r="C7" s="40">
        <v>0</v>
      </c>
      <c r="D7" s="40">
        <f t="shared" ref="D7:D10" si="8">B7-C7</f>
        <v>0</v>
      </c>
      <c r="E7" s="45">
        <v>0</v>
      </c>
      <c r="F7" s="53">
        <f t="shared" si="0"/>
        <v>0</v>
      </c>
      <c r="G7" s="56">
        <f t="shared" si="1"/>
        <v>0</v>
      </c>
      <c r="H7" s="56">
        <f t="shared" ref="H7:H14" si="9">B7-G7</f>
        <v>0</v>
      </c>
      <c r="I7" s="6"/>
      <c r="J7" s="102" t="s">
        <v>26</v>
      </c>
      <c r="K7" s="103" t="s">
        <v>26</v>
      </c>
      <c r="L7" s="2"/>
      <c r="M7" s="2"/>
      <c r="S7" s="50"/>
    </row>
    <row r="8" spans="1:19" s="3" customFormat="1" ht="18" customHeight="1" x14ac:dyDescent="0.2">
      <c r="A8" s="37" t="s">
        <v>2</v>
      </c>
      <c r="B8" s="40">
        <v>116800</v>
      </c>
      <c r="C8" s="40">
        <v>106800</v>
      </c>
      <c r="D8" s="40">
        <f t="shared" si="8"/>
        <v>10000</v>
      </c>
      <c r="E8" s="45">
        <v>78900</v>
      </c>
      <c r="F8" s="53">
        <f t="shared" si="0"/>
        <v>37900</v>
      </c>
      <c r="G8" s="56">
        <f t="shared" si="1"/>
        <v>84423</v>
      </c>
      <c r="H8" s="56">
        <f t="shared" si="9"/>
        <v>32377</v>
      </c>
      <c r="I8" s="6"/>
      <c r="J8" s="71">
        <f t="shared" ref="J8:J10" si="10">(B8-E8)/E8</f>
        <v>0.4803548795944233</v>
      </c>
      <c r="K8" s="54">
        <f t="shared" ref="K8:K10" si="11">(B8-G8)/G8</f>
        <v>0.38350923326581621</v>
      </c>
      <c r="L8" s="2"/>
      <c r="M8" s="2"/>
      <c r="S8" s="50"/>
    </row>
    <row r="9" spans="1:19" s="3" customFormat="1" ht="18" customHeight="1" x14ac:dyDescent="0.2">
      <c r="A9" s="37" t="s">
        <v>3</v>
      </c>
      <c r="B9" s="40">
        <v>0</v>
      </c>
      <c r="C9" s="40">
        <v>0</v>
      </c>
      <c r="D9" s="40">
        <f t="shared" si="8"/>
        <v>0</v>
      </c>
      <c r="E9" s="45">
        <v>154000</v>
      </c>
      <c r="F9" s="53">
        <f t="shared" si="0"/>
        <v>-154000</v>
      </c>
      <c r="G9" s="56">
        <f t="shared" si="1"/>
        <v>164780</v>
      </c>
      <c r="H9" s="56">
        <f t="shared" si="9"/>
        <v>-164780</v>
      </c>
      <c r="I9" s="6"/>
      <c r="J9" s="71">
        <f t="shared" si="10"/>
        <v>-1</v>
      </c>
      <c r="K9" s="54">
        <f t="shared" si="11"/>
        <v>-1</v>
      </c>
      <c r="L9" s="2"/>
      <c r="M9" s="2"/>
      <c r="S9" s="50"/>
    </row>
    <row r="10" spans="1:19" s="3" customFormat="1" ht="18" customHeight="1" x14ac:dyDescent="0.2">
      <c r="A10" s="37" t="s">
        <v>11</v>
      </c>
      <c r="B10" s="40">
        <v>0</v>
      </c>
      <c r="C10" s="40">
        <v>0</v>
      </c>
      <c r="D10" s="40">
        <f t="shared" si="8"/>
        <v>0</v>
      </c>
      <c r="E10" s="45">
        <v>98500</v>
      </c>
      <c r="F10" s="53">
        <f t="shared" si="0"/>
        <v>-98500</v>
      </c>
      <c r="G10" s="56">
        <f t="shared" si="1"/>
        <v>105395</v>
      </c>
      <c r="H10" s="56">
        <f t="shared" si="9"/>
        <v>-105395</v>
      </c>
      <c r="I10" s="6"/>
      <c r="J10" s="71">
        <f t="shared" si="10"/>
        <v>-1</v>
      </c>
      <c r="K10" s="54">
        <f t="shared" si="11"/>
        <v>-1</v>
      </c>
      <c r="L10" s="2"/>
      <c r="M10" s="2"/>
      <c r="S10" s="50"/>
    </row>
    <row r="11" spans="1:19" s="3" customFormat="1" ht="18" customHeight="1" x14ac:dyDescent="0.2">
      <c r="A11" s="37" t="s">
        <v>10</v>
      </c>
      <c r="B11" s="40">
        <v>0</v>
      </c>
      <c r="C11" s="40">
        <v>0</v>
      </c>
      <c r="D11" s="40">
        <f t="shared" ref="D11" si="12">B11-C11</f>
        <v>0</v>
      </c>
      <c r="E11" s="45">
        <v>33000</v>
      </c>
      <c r="F11" s="53">
        <f t="shared" ref="F11:F13" si="13">B11-E11</f>
        <v>-33000</v>
      </c>
      <c r="G11" s="56">
        <f t="shared" ref="G11:G13" si="14">E11*1.07</f>
        <v>35310</v>
      </c>
      <c r="H11" s="56">
        <f t="shared" ref="H11:H13" si="15">B11-G11</f>
        <v>-35310</v>
      </c>
      <c r="I11" s="6"/>
      <c r="J11" s="71">
        <f t="shared" ref="J11" si="16">(B11-E11)/E11</f>
        <v>-1</v>
      </c>
      <c r="K11" s="54">
        <f t="shared" ref="K11" si="17">(B11-G11)/G11</f>
        <v>-1</v>
      </c>
      <c r="L11" s="2"/>
      <c r="M11" s="2"/>
      <c r="S11" s="50"/>
    </row>
    <row r="12" spans="1:19" s="3" customFormat="1" ht="18" customHeight="1" x14ac:dyDescent="0.2">
      <c r="A12" s="37" t="s">
        <v>9</v>
      </c>
      <c r="B12" s="40">
        <v>0</v>
      </c>
      <c r="C12" s="40">
        <v>0</v>
      </c>
      <c r="D12" s="40">
        <f>B12-C12</f>
        <v>0</v>
      </c>
      <c r="E12" s="45">
        <v>0</v>
      </c>
      <c r="F12" s="53">
        <f t="shared" si="13"/>
        <v>0</v>
      </c>
      <c r="G12" s="56">
        <f t="shared" si="14"/>
        <v>0</v>
      </c>
      <c r="H12" s="56">
        <f t="shared" si="15"/>
        <v>0</v>
      </c>
      <c r="I12" s="6"/>
      <c r="J12" s="71" t="s">
        <v>26</v>
      </c>
      <c r="K12" s="54" t="s">
        <v>26</v>
      </c>
      <c r="L12" s="2"/>
      <c r="M12" s="2"/>
      <c r="S12" s="50"/>
    </row>
    <row r="13" spans="1:19" s="3" customFormat="1" ht="18" customHeight="1" x14ac:dyDescent="0.2">
      <c r="A13" s="37" t="s">
        <v>18</v>
      </c>
      <c r="B13" s="40">
        <v>0</v>
      </c>
      <c r="C13" s="40">
        <v>0</v>
      </c>
      <c r="D13" s="40">
        <f t="shared" ref="D13:D14" si="18">B13-C13</f>
        <v>0</v>
      </c>
      <c r="E13" s="45">
        <v>0</v>
      </c>
      <c r="F13" s="53">
        <f t="shared" si="13"/>
        <v>0</v>
      </c>
      <c r="G13" s="56">
        <f t="shared" si="14"/>
        <v>0</v>
      </c>
      <c r="H13" s="56">
        <f t="shared" si="15"/>
        <v>0</v>
      </c>
      <c r="I13" s="6"/>
      <c r="J13" s="71" t="s">
        <v>26</v>
      </c>
      <c r="K13" s="54" t="s">
        <v>26</v>
      </c>
      <c r="L13" s="2"/>
      <c r="M13" s="2"/>
      <c r="S13" s="50"/>
    </row>
    <row r="14" spans="1:19" s="3" customFormat="1" ht="18" customHeight="1" x14ac:dyDescent="0.2">
      <c r="A14" s="37" t="s">
        <v>17</v>
      </c>
      <c r="B14" s="40">
        <v>113920</v>
      </c>
      <c r="C14" s="40">
        <v>113920</v>
      </c>
      <c r="D14" s="40">
        <f t="shared" si="18"/>
        <v>0</v>
      </c>
      <c r="E14" s="45">
        <v>15400</v>
      </c>
      <c r="F14" s="53">
        <f t="shared" si="0"/>
        <v>98520</v>
      </c>
      <c r="G14" s="56">
        <f t="shared" si="1"/>
        <v>16478</v>
      </c>
      <c r="H14" s="56">
        <f t="shared" si="9"/>
        <v>97442</v>
      </c>
      <c r="I14" s="6"/>
      <c r="J14" s="71">
        <f t="shared" ref="J14" si="19">(B14-E14)/E14</f>
        <v>6.3974025974025972</v>
      </c>
      <c r="K14" s="54">
        <f t="shared" ref="K14" si="20">(B14-G14)/G14</f>
        <v>5.9134603714042964</v>
      </c>
      <c r="L14" s="2"/>
      <c r="M14" s="2"/>
      <c r="S14" s="50"/>
    </row>
    <row r="15" spans="1:19" s="3" customFormat="1" ht="18" customHeight="1" thickBot="1" x14ac:dyDescent="0.25">
      <c r="A15" s="39" t="s">
        <v>8</v>
      </c>
      <c r="B15" s="46">
        <f>SUM(B3:B14)</f>
        <v>404420</v>
      </c>
      <c r="C15" s="46">
        <f>SUM(C3:C14)</f>
        <v>394420</v>
      </c>
      <c r="D15" s="46">
        <f>SUM(D3:D14)</f>
        <v>10000</v>
      </c>
      <c r="E15" s="47">
        <f>SUM(E3:E14)</f>
        <v>616450</v>
      </c>
      <c r="F15" s="57">
        <f>B15-E15</f>
        <v>-212030</v>
      </c>
      <c r="G15" s="84">
        <f>E15*1.07</f>
        <v>659601.5</v>
      </c>
      <c r="H15" s="83">
        <f t="shared" si="2"/>
        <v>-255181.5</v>
      </c>
      <c r="I15" s="6"/>
      <c r="J15" s="85">
        <f>(B15-E15)/E15</f>
        <v>-0.34395328088247223</v>
      </c>
      <c r="K15" s="86">
        <f>(B15-G15)/G15</f>
        <v>-0.38687222512380581</v>
      </c>
      <c r="L15" s="2"/>
      <c r="M15" s="2"/>
      <c r="N15" s="50"/>
      <c r="O15" s="50"/>
      <c r="P15" s="50"/>
      <c r="Q15" s="50"/>
      <c r="R15" s="50"/>
      <c r="S15" s="50"/>
    </row>
    <row r="16" spans="1:19" ht="25" customHeight="1" thickBot="1" x14ac:dyDescent="0.25">
      <c r="A16" s="114" t="s">
        <v>4</v>
      </c>
      <c r="B16" s="115"/>
      <c r="C16" s="115"/>
      <c r="D16" s="115"/>
      <c r="E16" s="115"/>
      <c r="F16" s="116"/>
      <c r="G16" s="114" t="s">
        <v>6</v>
      </c>
      <c r="H16" s="115"/>
      <c r="I16" s="115"/>
      <c r="J16" s="115"/>
      <c r="K16" s="116"/>
      <c r="O16" s="1"/>
      <c r="P16" s="1"/>
    </row>
    <row r="17" spans="1:16" s="51" customFormat="1" ht="32" customHeight="1" x14ac:dyDescent="0.2">
      <c r="A17" s="41"/>
      <c r="B17" s="42" t="s">
        <v>37</v>
      </c>
      <c r="C17" s="42" t="s">
        <v>35</v>
      </c>
      <c r="D17" s="42" t="s">
        <v>0</v>
      </c>
      <c r="E17" s="43" t="s">
        <v>1</v>
      </c>
      <c r="F17" s="44" t="s">
        <v>7</v>
      </c>
      <c r="G17" s="42" t="s">
        <v>37</v>
      </c>
      <c r="H17" s="42" t="s">
        <v>35</v>
      </c>
      <c r="I17" s="42" t="s">
        <v>0</v>
      </c>
      <c r="J17" s="43" t="s">
        <v>1</v>
      </c>
      <c r="K17" s="44" t="s">
        <v>7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16</v>
      </c>
      <c r="B18" s="48">
        <v>26</v>
      </c>
      <c r="C18" s="48">
        <v>26</v>
      </c>
      <c r="D18" s="40" t="s">
        <v>26</v>
      </c>
      <c r="E18" s="49">
        <v>27</v>
      </c>
      <c r="F18" s="53">
        <f t="shared" ref="F18:F29" si="21">B18-E18</f>
        <v>-1</v>
      </c>
      <c r="G18" s="77">
        <f>B18/186</f>
        <v>0.13978494623655913</v>
      </c>
      <c r="H18" s="77">
        <f>C18/186</f>
        <v>0.13978494623655913</v>
      </c>
      <c r="I18" s="40" t="s">
        <v>26</v>
      </c>
      <c r="J18" s="79">
        <f>E18/186</f>
        <v>0.14516129032258066</v>
      </c>
      <c r="K18" s="71">
        <f t="shared" ref="K18:K29" si="22">G18-J18</f>
        <v>-5.3763440860215284E-3</v>
      </c>
      <c r="L18" s="50"/>
      <c r="M18" s="113" t="s">
        <v>30</v>
      </c>
      <c r="N18" s="113"/>
      <c r="O18" s="50"/>
      <c r="P18" s="50"/>
    </row>
    <row r="19" spans="1:16" s="51" customFormat="1" ht="18" customHeight="1" x14ac:dyDescent="0.2">
      <c r="A19" s="37" t="s">
        <v>15</v>
      </c>
      <c r="B19" s="48">
        <v>4</v>
      </c>
      <c r="C19" s="48">
        <v>4</v>
      </c>
      <c r="D19" s="40" t="s">
        <v>26</v>
      </c>
      <c r="E19" s="49">
        <v>0</v>
      </c>
      <c r="F19" s="53">
        <f t="shared" ref="F19:F21" si="23">B19-E19</f>
        <v>4</v>
      </c>
      <c r="G19" s="77">
        <f>B19/180</f>
        <v>2.2222222222222223E-2</v>
      </c>
      <c r="H19" s="77">
        <f>C19/180</f>
        <v>2.2222222222222223E-2</v>
      </c>
      <c r="I19" s="40" t="s">
        <v>26</v>
      </c>
      <c r="J19" s="79">
        <f>E19/180</f>
        <v>0</v>
      </c>
      <c r="K19" s="71">
        <f t="shared" ref="K19:K21" si="24">G19-J19</f>
        <v>2.2222222222222223E-2</v>
      </c>
      <c r="L19" s="50"/>
      <c r="M19" s="50">
        <v>28</v>
      </c>
      <c r="N19" s="50">
        <v>168</v>
      </c>
      <c r="O19" s="50"/>
      <c r="P19" s="50"/>
    </row>
    <row r="20" spans="1:16" s="51" customFormat="1" ht="18" customHeight="1" x14ac:dyDescent="0.2">
      <c r="A20" s="37" t="s">
        <v>14</v>
      </c>
      <c r="B20" s="48">
        <v>0</v>
      </c>
      <c r="C20" s="48">
        <v>0</v>
      </c>
      <c r="D20" s="40" t="s">
        <v>26</v>
      </c>
      <c r="E20" s="49">
        <v>13</v>
      </c>
      <c r="F20" s="53">
        <f t="shared" si="23"/>
        <v>-13</v>
      </c>
      <c r="G20" s="77">
        <f>B20/186</f>
        <v>0</v>
      </c>
      <c r="H20" s="77">
        <f>C20/186</f>
        <v>0</v>
      </c>
      <c r="I20" s="40" t="s">
        <v>26</v>
      </c>
      <c r="J20" s="79">
        <f>E20/186</f>
        <v>6.9892473118279563E-2</v>
      </c>
      <c r="K20" s="71">
        <f t="shared" si="24"/>
        <v>-6.9892473118279563E-2</v>
      </c>
      <c r="L20" s="50"/>
      <c r="M20" s="50">
        <v>29</v>
      </c>
      <c r="N20" s="50">
        <v>174</v>
      </c>
      <c r="O20" s="50"/>
      <c r="P20" s="50"/>
    </row>
    <row r="21" spans="1:16" s="51" customFormat="1" ht="18" customHeight="1" x14ac:dyDescent="0.2">
      <c r="A21" s="37" t="s">
        <v>13</v>
      </c>
      <c r="B21" s="48">
        <v>4</v>
      </c>
      <c r="C21" s="48">
        <v>4</v>
      </c>
      <c r="D21" s="40" t="s">
        <v>26</v>
      </c>
      <c r="E21" s="49">
        <v>0</v>
      </c>
      <c r="F21" s="53">
        <f t="shared" si="23"/>
        <v>4</v>
      </c>
      <c r="G21" s="77">
        <f>B21/180</f>
        <v>2.2222222222222223E-2</v>
      </c>
      <c r="H21" s="77">
        <f>C21/180</f>
        <v>2.2222222222222223E-2</v>
      </c>
      <c r="I21" s="40" t="s">
        <v>26</v>
      </c>
      <c r="J21" s="79">
        <f>E21/180</f>
        <v>0</v>
      </c>
      <c r="K21" s="71">
        <f t="shared" si="24"/>
        <v>2.2222222222222223E-2</v>
      </c>
      <c r="L21" s="50"/>
      <c r="M21" s="50">
        <v>30</v>
      </c>
      <c r="N21" s="50">
        <v>180</v>
      </c>
      <c r="O21" s="50"/>
      <c r="P21" s="50"/>
    </row>
    <row r="22" spans="1:16" s="51" customFormat="1" ht="18" customHeight="1" x14ac:dyDescent="0.2">
      <c r="A22" s="37" t="s">
        <v>12</v>
      </c>
      <c r="B22" s="48">
        <v>0</v>
      </c>
      <c r="C22" s="48">
        <v>0</v>
      </c>
      <c r="D22" s="40">
        <f t="shared" ref="D22:D25" si="25">B22-C22</f>
        <v>0</v>
      </c>
      <c r="E22" s="49">
        <v>0</v>
      </c>
      <c r="F22" s="53">
        <f t="shared" si="21"/>
        <v>0</v>
      </c>
      <c r="G22" s="77">
        <f>B22/186</f>
        <v>0</v>
      </c>
      <c r="H22" s="77">
        <f>C22/186</f>
        <v>0</v>
      </c>
      <c r="I22" s="61">
        <f t="shared" ref="I22:I25" si="26">G22-H22</f>
        <v>0</v>
      </c>
      <c r="J22" s="79">
        <f>E22/186</f>
        <v>0</v>
      </c>
      <c r="K22" s="71">
        <f t="shared" si="22"/>
        <v>0</v>
      </c>
      <c r="L22" s="50"/>
      <c r="M22" s="50">
        <v>31</v>
      </c>
      <c r="N22" s="50">
        <v>186</v>
      </c>
      <c r="O22" s="50"/>
      <c r="P22" s="50"/>
    </row>
    <row r="23" spans="1:16" s="51" customFormat="1" ht="18" customHeight="1" x14ac:dyDescent="0.2">
      <c r="A23" s="37" t="s">
        <v>2</v>
      </c>
      <c r="B23" s="48">
        <v>12</v>
      </c>
      <c r="C23" s="48">
        <v>6</v>
      </c>
      <c r="D23" s="40">
        <f t="shared" si="25"/>
        <v>6</v>
      </c>
      <c r="E23" s="49">
        <v>18</v>
      </c>
      <c r="F23" s="53">
        <f t="shared" si="21"/>
        <v>-6</v>
      </c>
      <c r="G23" s="77">
        <f>B23/186</f>
        <v>6.4516129032258063E-2</v>
      </c>
      <c r="H23" s="77">
        <f>C23/186</f>
        <v>3.2258064516129031E-2</v>
      </c>
      <c r="I23" s="61">
        <f t="shared" si="26"/>
        <v>3.2258064516129031E-2</v>
      </c>
      <c r="J23" s="79">
        <f>E23/186</f>
        <v>9.6774193548387094E-2</v>
      </c>
      <c r="K23" s="71">
        <f t="shared" si="22"/>
        <v>-3.2258064516129031E-2</v>
      </c>
      <c r="L23" s="50"/>
      <c r="O23" s="50"/>
      <c r="P23" s="50"/>
    </row>
    <row r="24" spans="1:16" s="51" customFormat="1" ht="18" customHeight="1" x14ac:dyDescent="0.2">
      <c r="A24" s="37" t="s">
        <v>3</v>
      </c>
      <c r="B24" s="48">
        <v>0</v>
      </c>
      <c r="C24" s="48">
        <v>0</v>
      </c>
      <c r="D24" s="40">
        <f t="shared" si="25"/>
        <v>0</v>
      </c>
      <c r="E24" s="49">
        <v>24</v>
      </c>
      <c r="F24" s="53">
        <f t="shared" si="21"/>
        <v>-24</v>
      </c>
      <c r="G24" s="77">
        <f>B24/180</f>
        <v>0</v>
      </c>
      <c r="H24" s="77">
        <f>C24/180</f>
        <v>0</v>
      </c>
      <c r="I24" s="61">
        <f t="shared" si="26"/>
        <v>0</v>
      </c>
      <c r="J24" s="79">
        <f>E24/180</f>
        <v>0.13333333333333333</v>
      </c>
      <c r="K24" s="71">
        <f t="shared" si="22"/>
        <v>-0.13333333333333333</v>
      </c>
      <c r="L24" s="50"/>
      <c r="O24" s="50"/>
      <c r="P24" s="50"/>
    </row>
    <row r="25" spans="1:16" s="51" customFormat="1" ht="18" customHeight="1" x14ac:dyDescent="0.2">
      <c r="A25" s="37" t="s">
        <v>11</v>
      </c>
      <c r="B25" s="48">
        <v>0</v>
      </c>
      <c r="C25" s="48">
        <v>0</v>
      </c>
      <c r="D25" s="40">
        <f t="shared" si="25"/>
        <v>0</v>
      </c>
      <c r="E25" s="49">
        <v>54</v>
      </c>
      <c r="F25" s="53">
        <f t="shared" si="21"/>
        <v>-54</v>
      </c>
      <c r="G25" s="77">
        <f>B25/186</f>
        <v>0</v>
      </c>
      <c r="H25" s="77">
        <f>C25/186</f>
        <v>0</v>
      </c>
      <c r="I25" s="61">
        <f t="shared" si="26"/>
        <v>0</v>
      </c>
      <c r="J25" s="79">
        <f>E25/186</f>
        <v>0.29032258064516131</v>
      </c>
      <c r="K25" s="71">
        <f t="shared" si="22"/>
        <v>-0.29032258064516131</v>
      </c>
      <c r="L25" s="50"/>
      <c r="O25" s="50"/>
      <c r="P25" s="50"/>
    </row>
    <row r="26" spans="1:16" s="51" customFormat="1" ht="18" customHeight="1" x14ac:dyDescent="0.2">
      <c r="A26" s="37" t="s">
        <v>10</v>
      </c>
      <c r="B26" s="48">
        <v>0</v>
      </c>
      <c r="C26" s="48">
        <v>0</v>
      </c>
      <c r="D26" s="40">
        <f t="shared" ref="D26" si="27">B26-C26</f>
        <v>0</v>
      </c>
      <c r="E26" s="49">
        <v>2</v>
      </c>
      <c r="F26" s="53">
        <f t="shared" ref="F26:F28" si="28">B26-E26</f>
        <v>-2</v>
      </c>
      <c r="G26" s="77">
        <f>B26/180</f>
        <v>0</v>
      </c>
      <c r="H26" s="77">
        <f>C26/180</f>
        <v>0</v>
      </c>
      <c r="I26" s="61">
        <f t="shared" ref="I26" si="29">G26-H26</f>
        <v>0</v>
      </c>
      <c r="J26" s="79">
        <f>E26/180</f>
        <v>1.1111111111111112E-2</v>
      </c>
      <c r="K26" s="71">
        <f t="shared" ref="K26:K28" si="30">G26-J26</f>
        <v>-1.1111111111111112E-2</v>
      </c>
      <c r="L26" s="50"/>
      <c r="M26" s="50"/>
      <c r="N26" s="50"/>
      <c r="O26" s="50"/>
      <c r="P26" s="50"/>
    </row>
    <row r="27" spans="1:16" s="51" customFormat="1" ht="18" customHeight="1" x14ac:dyDescent="0.2">
      <c r="A27" s="37" t="s">
        <v>9</v>
      </c>
      <c r="B27" s="48">
        <v>0</v>
      </c>
      <c r="C27" s="48">
        <v>0</v>
      </c>
      <c r="D27" s="40">
        <f>B27-C27</f>
        <v>0</v>
      </c>
      <c r="E27" s="49">
        <v>0</v>
      </c>
      <c r="F27" s="53">
        <f t="shared" si="28"/>
        <v>0</v>
      </c>
      <c r="G27" s="77">
        <f>B27/186</f>
        <v>0</v>
      </c>
      <c r="H27" s="77">
        <f>C27/186</f>
        <v>0</v>
      </c>
      <c r="I27" s="61">
        <f>G27-H27</f>
        <v>0</v>
      </c>
      <c r="J27" s="79">
        <f>E27/186</f>
        <v>0</v>
      </c>
      <c r="K27" s="71">
        <f t="shared" si="30"/>
        <v>0</v>
      </c>
      <c r="L27" s="50"/>
      <c r="M27" s="50"/>
      <c r="N27" s="50"/>
      <c r="O27" s="50"/>
      <c r="P27" s="50"/>
    </row>
    <row r="28" spans="1:16" s="51" customFormat="1" ht="18" customHeight="1" x14ac:dyDescent="0.2">
      <c r="A28" s="37" t="s">
        <v>18</v>
      </c>
      <c r="B28" s="48">
        <v>0</v>
      </c>
      <c r="C28" s="48">
        <v>0</v>
      </c>
      <c r="D28" s="40">
        <f t="shared" ref="D28:D29" si="31">B28-C28</f>
        <v>0</v>
      </c>
      <c r="E28" s="49">
        <v>0</v>
      </c>
      <c r="F28" s="53">
        <f t="shared" si="28"/>
        <v>0</v>
      </c>
      <c r="G28" s="77">
        <f>B28/186</f>
        <v>0</v>
      </c>
      <c r="H28" s="77">
        <f>C28/186</f>
        <v>0</v>
      </c>
      <c r="I28" s="61">
        <f t="shared" ref="I28:I29" si="32">G28-H28</f>
        <v>0</v>
      </c>
      <c r="J28" s="79">
        <f>E28/186</f>
        <v>0</v>
      </c>
      <c r="K28" s="71">
        <f t="shared" si="30"/>
        <v>0</v>
      </c>
      <c r="L28" s="50"/>
      <c r="M28" s="50"/>
      <c r="N28" s="50"/>
      <c r="O28" s="50"/>
      <c r="P28" s="50"/>
    </row>
    <row r="29" spans="1:16" s="51" customFormat="1" ht="18" customHeight="1" thickBot="1" x14ac:dyDescent="0.25">
      <c r="A29" s="38" t="s">
        <v>17</v>
      </c>
      <c r="B29" s="109">
        <v>8</v>
      </c>
      <c r="C29" s="109">
        <v>8</v>
      </c>
      <c r="D29" s="58">
        <f t="shared" si="31"/>
        <v>0</v>
      </c>
      <c r="E29" s="110">
        <v>2</v>
      </c>
      <c r="F29" s="55">
        <f t="shared" si="21"/>
        <v>6</v>
      </c>
      <c r="G29" s="78">
        <f>B29/168</f>
        <v>4.7619047619047616E-2</v>
      </c>
      <c r="H29" s="78">
        <f>C29/168</f>
        <v>4.7619047619047616E-2</v>
      </c>
      <c r="I29" s="60">
        <f t="shared" si="32"/>
        <v>0</v>
      </c>
      <c r="J29" s="80">
        <f>E29/168</f>
        <v>1.1904761904761904E-2</v>
      </c>
      <c r="K29" s="72">
        <f t="shared" si="22"/>
        <v>3.5714285714285712E-2</v>
      </c>
      <c r="L29" s="50"/>
      <c r="M29" s="50"/>
      <c r="N29" s="50"/>
      <c r="O29" s="50"/>
      <c r="P29" s="50"/>
    </row>
    <row r="30" spans="1:16" s="51" customFormat="1" ht="18" hidden="1" customHeight="1" x14ac:dyDescent="0.2">
      <c r="A30" s="104"/>
      <c r="B30" s="105"/>
      <c r="C30" s="105"/>
      <c r="D30" s="106"/>
      <c r="E30" s="105"/>
      <c r="F30" s="106"/>
      <c r="G30" s="107"/>
      <c r="H30" s="107"/>
      <c r="I30" s="108"/>
      <c r="J30" s="107"/>
      <c r="K30" s="108"/>
      <c r="L30" s="50"/>
      <c r="M30" s="50"/>
      <c r="N30" s="50"/>
      <c r="O30" s="50"/>
      <c r="P30" s="50"/>
    </row>
    <row r="31" spans="1:16" s="51" customFormat="1" ht="18" hidden="1" customHeight="1" x14ac:dyDescent="0.2">
      <c r="A31" s="104"/>
      <c r="B31" s="105"/>
      <c r="C31" s="105"/>
      <c r="D31" s="106"/>
      <c r="E31" s="105"/>
      <c r="F31" s="106"/>
      <c r="G31" s="107"/>
      <c r="H31" s="107"/>
      <c r="I31" s="108"/>
      <c r="J31" s="107"/>
      <c r="K31" s="108"/>
      <c r="L31" s="50"/>
      <c r="M31" s="50"/>
      <c r="N31" s="50"/>
      <c r="O31" s="50"/>
      <c r="P31" s="50"/>
    </row>
    <row r="32" spans="1:16" s="51" customFormat="1" ht="18" hidden="1" customHeight="1" x14ac:dyDescent="0.2">
      <c r="A32" s="104"/>
      <c r="B32" s="105"/>
      <c r="C32" s="105"/>
      <c r="D32" s="106"/>
      <c r="E32" s="105"/>
      <c r="F32" s="106"/>
      <c r="G32" s="107"/>
      <c r="H32" s="107"/>
      <c r="I32" s="108"/>
      <c r="J32" s="107"/>
      <c r="K32" s="108"/>
      <c r="L32" s="50"/>
      <c r="M32" s="50"/>
      <c r="N32" s="50"/>
      <c r="O32" s="50"/>
      <c r="P32" s="50"/>
    </row>
    <row r="33" spans="1:16" s="51" customFormat="1" ht="18" hidden="1" customHeight="1" x14ac:dyDescent="0.2">
      <c r="A33" s="104"/>
      <c r="B33" s="105"/>
      <c r="C33" s="105"/>
      <c r="D33" s="106"/>
      <c r="E33" s="105"/>
      <c r="F33" s="106"/>
      <c r="G33" s="107"/>
      <c r="H33" s="107"/>
      <c r="I33" s="108"/>
      <c r="J33" s="107"/>
      <c r="K33" s="108"/>
      <c r="L33" s="50"/>
      <c r="M33" s="50"/>
      <c r="N33" s="50"/>
      <c r="O33" s="50"/>
      <c r="P33" s="50"/>
    </row>
    <row r="34" spans="1:16" s="51" customFormat="1" ht="18" hidden="1" customHeight="1" x14ac:dyDescent="0.2">
      <c r="A34" s="104"/>
      <c r="B34" s="105"/>
      <c r="C34" s="105"/>
      <c r="D34" s="106"/>
      <c r="E34" s="105"/>
      <c r="F34" s="106"/>
      <c r="G34" s="107"/>
      <c r="H34" s="107"/>
      <c r="I34" s="108"/>
      <c r="J34" s="107"/>
      <c r="K34" s="108"/>
      <c r="L34" s="50"/>
      <c r="M34" s="50"/>
      <c r="N34" s="50"/>
      <c r="O34" s="50"/>
      <c r="P34" s="50"/>
    </row>
    <row r="35" spans="1:16" s="51" customFormat="1" ht="18" hidden="1" customHeight="1" x14ac:dyDescent="0.2">
      <c r="A35" s="104"/>
      <c r="B35" s="105"/>
      <c r="C35" s="105"/>
      <c r="D35" s="106"/>
      <c r="E35" s="105"/>
      <c r="F35" s="106"/>
      <c r="G35" s="107"/>
      <c r="H35" s="107"/>
      <c r="I35" s="108"/>
      <c r="J35" s="107"/>
      <c r="K35" s="108"/>
      <c r="L35" s="50"/>
      <c r="M35" s="50"/>
      <c r="N35" s="50"/>
      <c r="O35" s="50"/>
      <c r="P35" s="50"/>
    </row>
    <row r="36" spans="1:16" s="51" customFormat="1" ht="18" hidden="1" customHeight="1" x14ac:dyDescent="0.2">
      <c r="A36" s="104"/>
      <c r="B36" s="105"/>
      <c r="C36" s="105"/>
      <c r="D36" s="106"/>
      <c r="E36" s="105"/>
      <c r="F36" s="106"/>
      <c r="G36" s="107"/>
      <c r="H36" s="107"/>
      <c r="I36" s="108"/>
      <c r="J36" s="107"/>
      <c r="K36" s="108"/>
      <c r="L36" s="50"/>
      <c r="M36" s="50"/>
      <c r="N36" s="50"/>
      <c r="O36" s="50"/>
      <c r="P36" s="50"/>
    </row>
    <row r="37" spans="1:16" s="51" customFormat="1" ht="18" hidden="1" customHeight="1" x14ac:dyDescent="0.2">
      <c r="A37" s="104"/>
      <c r="B37" s="105"/>
      <c r="C37" s="105"/>
      <c r="D37" s="106"/>
      <c r="E37" s="105"/>
      <c r="F37" s="106"/>
      <c r="G37" s="107"/>
      <c r="H37" s="107"/>
      <c r="I37" s="108"/>
      <c r="J37" s="107"/>
      <c r="K37" s="108"/>
      <c r="L37" s="50"/>
      <c r="M37" s="50"/>
      <c r="N37" s="50"/>
      <c r="O37" s="50"/>
      <c r="P37" s="50"/>
    </row>
    <row r="38" spans="1:16" s="51" customFormat="1" ht="18" hidden="1" customHeight="1" x14ac:dyDescent="0.2">
      <c r="A38" s="104"/>
      <c r="B38" s="105"/>
      <c r="C38" s="105"/>
      <c r="D38" s="106"/>
      <c r="E38" s="105"/>
      <c r="F38" s="106"/>
      <c r="G38" s="107"/>
      <c r="H38" s="107"/>
      <c r="I38" s="108"/>
      <c r="J38" s="107"/>
      <c r="K38" s="108"/>
      <c r="L38" s="50"/>
      <c r="M38" s="50"/>
      <c r="N38" s="50"/>
      <c r="O38" s="50"/>
      <c r="P38" s="50"/>
    </row>
    <row r="39" spans="1:16" s="51" customFormat="1" ht="18" hidden="1" customHeight="1" x14ac:dyDescent="0.2">
      <c r="A39" s="104"/>
      <c r="B39" s="105"/>
      <c r="C39" s="105"/>
      <c r="D39" s="106"/>
      <c r="E39" s="105"/>
      <c r="F39" s="106"/>
      <c r="G39" s="107"/>
      <c r="H39" s="107"/>
      <c r="I39" s="108"/>
      <c r="J39" s="107"/>
      <c r="K39" s="108"/>
      <c r="L39" s="50"/>
      <c r="M39" s="50"/>
      <c r="N39" s="50"/>
      <c r="O39" s="50"/>
      <c r="P39" s="50"/>
    </row>
    <row r="40" spans="1:16" s="51" customFormat="1" ht="18" hidden="1" customHeight="1" x14ac:dyDescent="0.2">
      <c r="A40" s="104"/>
      <c r="B40" s="105"/>
      <c r="C40" s="105"/>
      <c r="D40" s="106"/>
      <c r="E40" s="105"/>
      <c r="F40" s="106"/>
      <c r="G40" s="107"/>
      <c r="H40" s="107"/>
      <c r="I40" s="108"/>
      <c r="J40" s="107"/>
      <c r="K40" s="108"/>
      <c r="L40" s="50"/>
      <c r="M40" s="50"/>
      <c r="N40" s="50"/>
      <c r="O40" s="50"/>
      <c r="P40" s="50"/>
    </row>
    <row r="41" spans="1:16" s="51" customFormat="1" ht="18" hidden="1" customHeight="1" x14ac:dyDescent="0.2">
      <c r="A41" s="104"/>
      <c r="B41" s="105"/>
      <c r="C41" s="105"/>
      <c r="D41" s="106"/>
      <c r="E41" s="105"/>
      <c r="F41" s="106"/>
      <c r="G41" s="107"/>
      <c r="H41" s="107"/>
      <c r="I41" s="108"/>
      <c r="J41" s="107"/>
      <c r="K41" s="108"/>
      <c r="L41" s="50"/>
      <c r="M41" s="50"/>
      <c r="N41" s="50"/>
      <c r="O41" s="50"/>
      <c r="P41" s="50"/>
    </row>
    <row r="42" spans="1:16" s="51" customFormat="1" ht="18" hidden="1" customHeight="1" x14ac:dyDescent="0.2">
      <c r="A42" s="104"/>
      <c r="B42" s="105"/>
      <c r="C42" s="105"/>
      <c r="D42" s="106"/>
      <c r="E42" s="105"/>
      <c r="F42" s="106"/>
      <c r="G42" s="107"/>
      <c r="H42" s="107"/>
      <c r="I42" s="108"/>
      <c r="J42" s="107"/>
      <c r="K42" s="108"/>
      <c r="L42" s="50"/>
      <c r="M42" s="50"/>
      <c r="N42" s="50"/>
      <c r="O42" s="50"/>
      <c r="P42" s="50"/>
    </row>
    <row r="43" spans="1:16" s="51" customFormat="1" ht="18" hidden="1" customHeight="1" thickBot="1" x14ac:dyDescent="0.25">
      <c r="A43" s="104"/>
      <c r="B43" s="105"/>
      <c r="C43" s="105"/>
      <c r="D43" s="106"/>
      <c r="E43" s="105"/>
      <c r="F43" s="106"/>
      <c r="G43" s="107"/>
      <c r="H43" s="107"/>
      <c r="I43" s="108"/>
      <c r="J43" s="107"/>
      <c r="K43" s="108"/>
      <c r="L43" s="50"/>
      <c r="M43" s="50"/>
      <c r="N43" s="50"/>
      <c r="O43" s="50"/>
      <c r="P43" s="50"/>
    </row>
    <row r="44" spans="1:16" ht="25" customHeight="1" thickBot="1" x14ac:dyDescent="0.25">
      <c r="A44" s="114" t="s">
        <v>5</v>
      </c>
      <c r="B44" s="115"/>
      <c r="C44" s="115"/>
      <c r="D44" s="115"/>
      <c r="E44" s="115"/>
      <c r="F44" s="115"/>
      <c r="G44" s="116"/>
      <c r="H44" s="1"/>
      <c r="I44" s="1"/>
      <c r="J44"/>
      <c r="K44"/>
      <c r="L44"/>
      <c r="M44"/>
      <c r="N44"/>
    </row>
    <row r="45" spans="1:16" s="51" customFormat="1" ht="32" customHeight="1" x14ac:dyDescent="0.2">
      <c r="A45" s="42"/>
      <c r="B45" s="42" t="s">
        <v>37</v>
      </c>
      <c r="C45" s="42" t="s">
        <v>35</v>
      </c>
      <c r="D45" s="42" t="s">
        <v>0</v>
      </c>
      <c r="E45" s="43" t="s">
        <v>1</v>
      </c>
      <c r="F45" s="111" t="s">
        <v>7</v>
      </c>
      <c r="G45" s="112"/>
      <c r="H45" s="50"/>
      <c r="I45" s="50"/>
    </row>
    <row r="46" spans="1:16" s="51" customFormat="1" ht="18" customHeight="1" x14ac:dyDescent="0.2">
      <c r="A46" s="37" t="s">
        <v>16</v>
      </c>
      <c r="B46" s="40">
        <f>B3/B18</f>
        <v>4334.6153846153848</v>
      </c>
      <c r="C46" s="40">
        <f>C3/C18</f>
        <v>4334.6153846153848</v>
      </c>
      <c r="D46" s="40" t="s">
        <v>26</v>
      </c>
      <c r="E46" s="53">
        <f>E3/E18</f>
        <v>2440.7407407407409</v>
      </c>
      <c r="F46" s="53">
        <f t="shared" ref="F46:F57" si="33">B46-E46</f>
        <v>1893.8746438746439</v>
      </c>
      <c r="G46" s="70">
        <f t="shared" ref="G46:G57" si="34">(B46-E46)/E46</f>
        <v>0.77594257032800273</v>
      </c>
      <c r="H46" s="7"/>
      <c r="I46" s="50"/>
    </row>
    <row r="47" spans="1:16" s="51" customFormat="1" ht="18" customHeight="1" x14ac:dyDescent="0.2">
      <c r="A47" s="37" t="s">
        <v>15</v>
      </c>
      <c r="B47" s="40">
        <f>B4/B19</f>
        <v>5250</v>
      </c>
      <c r="C47" s="40">
        <f>C4/C19</f>
        <v>5250</v>
      </c>
      <c r="D47" s="40" t="s">
        <v>26</v>
      </c>
      <c r="E47" s="53">
        <v>0</v>
      </c>
      <c r="F47" s="53">
        <f t="shared" ref="F47:F49" si="35">B47-E47</f>
        <v>5250</v>
      </c>
      <c r="G47" s="102" t="s">
        <v>26</v>
      </c>
      <c r="H47" s="7"/>
      <c r="I47" s="50"/>
    </row>
    <row r="48" spans="1:16" s="51" customFormat="1" ht="18" customHeight="1" x14ac:dyDescent="0.2">
      <c r="A48" s="37" t="s">
        <v>14</v>
      </c>
      <c r="B48" s="40">
        <v>0</v>
      </c>
      <c r="C48" s="40">
        <v>0</v>
      </c>
      <c r="D48" s="40" t="s">
        <v>26</v>
      </c>
      <c r="E48" s="53">
        <f>E5/E20</f>
        <v>13134.615384615385</v>
      </c>
      <c r="F48" s="53">
        <f t="shared" si="35"/>
        <v>-13134.615384615385</v>
      </c>
      <c r="G48" s="71">
        <f t="shared" ref="G48" si="36">(B48-E48)/E48</f>
        <v>-1</v>
      </c>
      <c r="H48" s="7"/>
      <c r="I48" s="50"/>
    </row>
    <row r="49" spans="1:13" s="51" customFormat="1" ht="18" customHeight="1" x14ac:dyDescent="0.2">
      <c r="A49" s="37" t="s">
        <v>13</v>
      </c>
      <c r="B49" s="40">
        <f>B6/B21</f>
        <v>10000</v>
      </c>
      <c r="C49" s="40">
        <f>C6/C21</f>
        <v>10000</v>
      </c>
      <c r="D49" s="40" t="s">
        <v>26</v>
      </c>
      <c r="E49" s="53">
        <v>0</v>
      </c>
      <c r="F49" s="53">
        <f t="shared" si="35"/>
        <v>10000</v>
      </c>
      <c r="G49" s="102" t="s">
        <v>26</v>
      </c>
      <c r="H49" s="7"/>
      <c r="I49" s="50"/>
    </row>
    <row r="50" spans="1:13" s="51" customFormat="1" ht="18" customHeight="1" x14ac:dyDescent="0.2">
      <c r="A50" s="37" t="s">
        <v>12</v>
      </c>
      <c r="B50" s="40">
        <v>0</v>
      </c>
      <c r="C50" s="40">
        <v>0</v>
      </c>
      <c r="D50" s="40">
        <f t="shared" ref="D50:D54" si="37">B50-C50</f>
        <v>0</v>
      </c>
      <c r="E50" s="53">
        <v>0</v>
      </c>
      <c r="F50" s="53">
        <f t="shared" si="33"/>
        <v>0</v>
      </c>
      <c r="G50" s="102" t="s">
        <v>26</v>
      </c>
      <c r="H50" s="7"/>
      <c r="I50" s="50"/>
    </row>
    <row r="51" spans="1:13" s="51" customFormat="1" ht="18" customHeight="1" x14ac:dyDescent="0.2">
      <c r="A51" s="37" t="s">
        <v>2</v>
      </c>
      <c r="B51" s="40">
        <f>B8/B23</f>
        <v>9733.3333333333339</v>
      </c>
      <c r="C51" s="40">
        <f>C8/C23</f>
        <v>17800</v>
      </c>
      <c r="D51" s="40">
        <f t="shared" si="37"/>
        <v>-8066.6666666666661</v>
      </c>
      <c r="E51" s="53">
        <f>E8/E23</f>
        <v>4383.333333333333</v>
      </c>
      <c r="F51" s="53">
        <f t="shared" si="33"/>
        <v>5350.0000000000009</v>
      </c>
      <c r="G51" s="71">
        <f t="shared" si="34"/>
        <v>1.2205323193916353</v>
      </c>
      <c r="H51" s="7"/>
      <c r="I51" s="50"/>
    </row>
    <row r="52" spans="1:13" s="51" customFormat="1" ht="18" customHeight="1" x14ac:dyDescent="0.2">
      <c r="A52" s="37" t="s">
        <v>3</v>
      </c>
      <c r="B52" s="40">
        <v>0</v>
      </c>
      <c r="C52" s="40">
        <v>0</v>
      </c>
      <c r="D52" s="40">
        <f t="shared" si="37"/>
        <v>0</v>
      </c>
      <c r="E52" s="53">
        <f>E9/E24</f>
        <v>6416.666666666667</v>
      </c>
      <c r="F52" s="53">
        <f t="shared" si="33"/>
        <v>-6416.666666666667</v>
      </c>
      <c r="G52" s="71">
        <f t="shared" si="34"/>
        <v>-1</v>
      </c>
      <c r="H52" s="7"/>
      <c r="I52" s="50"/>
    </row>
    <row r="53" spans="1:13" s="51" customFormat="1" ht="18" customHeight="1" x14ac:dyDescent="0.2">
      <c r="A53" s="37" t="s">
        <v>11</v>
      </c>
      <c r="B53" s="40">
        <v>0</v>
      </c>
      <c r="C53" s="40">
        <v>0</v>
      </c>
      <c r="D53" s="40">
        <f t="shared" si="37"/>
        <v>0</v>
      </c>
      <c r="E53" s="53">
        <f>E10/E25</f>
        <v>1824.0740740740741</v>
      </c>
      <c r="F53" s="53">
        <f t="shared" si="33"/>
        <v>-1824.0740740740741</v>
      </c>
      <c r="G53" s="71">
        <f t="shared" si="34"/>
        <v>-1</v>
      </c>
      <c r="H53" s="7"/>
      <c r="I53" s="50"/>
    </row>
    <row r="54" spans="1:13" s="51" customFormat="1" ht="18" customHeight="1" x14ac:dyDescent="0.2">
      <c r="A54" s="37" t="s">
        <v>10</v>
      </c>
      <c r="B54" s="40">
        <v>0</v>
      </c>
      <c r="C54" s="40">
        <v>0</v>
      </c>
      <c r="D54" s="40">
        <f t="shared" si="37"/>
        <v>0</v>
      </c>
      <c r="E54" s="53">
        <f>E11/E26</f>
        <v>16500</v>
      </c>
      <c r="F54" s="53">
        <f t="shared" si="33"/>
        <v>-16500</v>
      </c>
      <c r="G54" s="71">
        <f t="shared" si="34"/>
        <v>-1</v>
      </c>
      <c r="H54" s="7"/>
      <c r="I54" s="50"/>
    </row>
    <row r="55" spans="1:13" s="51" customFormat="1" ht="18" customHeight="1" x14ac:dyDescent="0.2">
      <c r="A55" s="37" t="s">
        <v>9</v>
      </c>
      <c r="B55" s="40">
        <v>0</v>
      </c>
      <c r="C55" s="40">
        <v>0</v>
      </c>
      <c r="D55" s="40">
        <f t="shared" ref="D55:D57" si="38">B55-C55</f>
        <v>0</v>
      </c>
      <c r="E55" s="53">
        <v>0</v>
      </c>
      <c r="F55" s="53">
        <f t="shared" ref="F55:F56" si="39">B55-E55</f>
        <v>0</v>
      </c>
      <c r="G55" s="102" t="s">
        <v>26</v>
      </c>
      <c r="H55" s="7"/>
      <c r="I55" s="50"/>
    </row>
    <row r="56" spans="1:13" s="51" customFormat="1" ht="18" customHeight="1" x14ac:dyDescent="0.2">
      <c r="A56" s="37" t="s">
        <v>18</v>
      </c>
      <c r="B56" s="40">
        <v>0</v>
      </c>
      <c r="C56" s="40">
        <v>0</v>
      </c>
      <c r="D56" s="40">
        <f t="shared" si="38"/>
        <v>0</v>
      </c>
      <c r="E56" s="53">
        <v>0</v>
      </c>
      <c r="F56" s="53">
        <f t="shared" si="39"/>
        <v>0</v>
      </c>
      <c r="G56" s="102" t="s">
        <v>26</v>
      </c>
      <c r="H56" s="7"/>
      <c r="I56" s="50"/>
    </row>
    <row r="57" spans="1:13" s="51" customFormat="1" ht="18" customHeight="1" x14ac:dyDescent="0.2">
      <c r="A57" s="38" t="s">
        <v>17</v>
      </c>
      <c r="B57" s="58">
        <f>B14/B29</f>
        <v>14240</v>
      </c>
      <c r="C57" s="58">
        <f>C14/C29</f>
        <v>14240</v>
      </c>
      <c r="D57" s="58">
        <f t="shared" si="38"/>
        <v>0</v>
      </c>
      <c r="E57" s="55">
        <f>E14/E29</f>
        <v>7700</v>
      </c>
      <c r="F57" s="55">
        <f t="shared" si="33"/>
        <v>6540</v>
      </c>
      <c r="G57" s="72">
        <f t="shared" si="34"/>
        <v>0.8493506493506493</v>
      </c>
      <c r="H57" s="7"/>
      <c r="I57" s="50"/>
    </row>
    <row r="58" spans="1:13" x14ac:dyDescent="0.2">
      <c r="M58" s="76"/>
    </row>
  </sheetData>
  <mergeCells count="6">
    <mergeCell ref="F45:G45"/>
    <mergeCell ref="M18:N18"/>
    <mergeCell ref="A16:F16"/>
    <mergeCell ref="G16:K16"/>
    <mergeCell ref="A1:K1"/>
    <mergeCell ref="A44:G44"/>
  </mergeCells>
  <conditionalFormatting sqref="G46 G48 D50:D57 G51:G54 G57">
    <cfRule type="cellIs" dxfId="11" priority="1" operator="lessThan">
      <formula>-0.009</formula>
    </cfRule>
    <cfRule type="cellIs" dxfId="10" priority="2" operator="greaterThan">
      <formula>0.009</formula>
    </cfRule>
  </conditionalFormatting>
  <conditionalFormatting sqref="J3:K3 F3:F15 H3:H15 J5:K5 D7:D15 J8:K11 J14:K15 F18:F43 K18:K43 D22:D43 I22:I43">
    <cfRule type="cellIs" dxfId="9" priority="3" operator="lessThan">
      <formula>-0.009</formula>
    </cfRule>
    <cfRule type="cellIs" dxfId="8" priority="4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5 H44:J44 J25 G25 I25 I22:I24 G22:G24 J22:J24 G19:G21 G26:G27 I19:J20 I26:J27 J21" formula="1"/>
    <ignoredError sqref="B48 B51 D50:F50 B57 D52:G52 D53:G53 D54:G54 D55:F55 E56:F56 E51:G51 B47 B49 D48:G48 E57:G57 D47:F47 E49:F49" evalError="1"/>
    <ignoredError sqref="D51" evalError="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2EE7-0E54-844A-AF1A-607B6AD7349E}">
  <dimension ref="A1:P43"/>
  <sheetViews>
    <sheetView workbookViewId="0">
      <selection activeCell="G22" sqref="G22:G28"/>
    </sheetView>
  </sheetViews>
  <sheetFormatPr baseColWidth="10" defaultRowHeight="16" x14ac:dyDescent="0.2"/>
  <cols>
    <col min="1" max="1" width="8.83203125" customWidth="1"/>
  </cols>
  <sheetData>
    <row r="1" spans="1:16" ht="28" customHeight="1" thickBot="1" x14ac:dyDescent="0.25">
      <c r="A1" s="117" t="s">
        <v>29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"/>
      <c r="M1" s="50"/>
      <c r="N1" s="50"/>
      <c r="O1" s="50"/>
      <c r="P1" s="50"/>
    </row>
    <row r="2" spans="1:16" s="5" customFormat="1" ht="32" customHeight="1" x14ac:dyDescent="0.2">
      <c r="A2" s="42"/>
      <c r="B2" s="42">
        <v>2026</v>
      </c>
      <c r="C2" s="42">
        <v>2025</v>
      </c>
      <c r="D2" s="111" t="s">
        <v>25</v>
      </c>
      <c r="E2" s="112"/>
      <c r="F2" s="42">
        <v>2024</v>
      </c>
      <c r="G2" s="120" t="s">
        <v>21</v>
      </c>
      <c r="H2" s="121"/>
      <c r="I2" s="4"/>
      <c r="J2" s="4"/>
      <c r="K2" s="4"/>
    </row>
    <row r="3" spans="1:16" s="3" customFormat="1" ht="18" customHeight="1" x14ac:dyDescent="0.2">
      <c r="A3" s="37" t="s">
        <v>18</v>
      </c>
      <c r="B3" s="40"/>
      <c r="C3" s="40"/>
      <c r="D3" s="45">
        <f>B3-C3</f>
        <v>0</v>
      </c>
      <c r="E3" s="70" t="e">
        <f>(B3-C3)/C3</f>
        <v>#DIV/0!</v>
      </c>
      <c r="F3" s="40"/>
      <c r="G3" s="53">
        <f>C3-F3</f>
        <v>0</v>
      </c>
      <c r="H3" s="69" t="e">
        <f>(C3-F3)/F3</f>
        <v>#DIV/0!</v>
      </c>
      <c r="I3" s="6"/>
      <c r="J3" s="2"/>
      <c r="K3" s="2"/>
    </row>
    <row r="4" spans="1:16" s="3" customFormat="1" ht="18" customHeight="1" x14ac:dyDescent="0.2">
      <c r="A4" s="37" t="s">
        <v>17</v>
      </c>
      <c r="B4" s="40"/>
      <c r="C4" s="40"/>
      <c r="D4" s="45">
        <f t="shared" ref="D4:D14" si="0">B4-C4</f>
        <v>0</v>
      </c>
      <c r="E4" s="71" t="e">
        <f t="shared" ref="E4:E15" si="1">(B4-C4)/C4</f>
        <v>#DIV/0!</v>
      </c>
      <c r="F4" s="40"/>
      <c r="G4" s="53">
        <f t="shared" ref="G4:G14" si="2">C4-F4</f>
        <v>0</v>
      </c>
      <c r="H4" s="69" t="e">
        <f t="shared" ref="H4:H15" si="3">(C4-F4)/F4</f>
        <v>#DIV/0!</v>
      </c>
      <c r="I4" s="6"/>
      <c r="J4" s="2"/>
      <c r="K4" s="2"/>
    </row>
    <row r="5" spans="1:16" s="3" customFormat="1" ht="18" customHeight="1" x14ac:dyDescent="0.2">
      <c r="A5" s="37" t="s">
        <v>16</v>
      </c>
      <c r="B5" s="40"/>
      <c r="C5" s="40"/>
      <c r="D5" s="45">
        <f t="shared" si="0"/>
        <v>0</v>
      </c>
      <c r="E5" s="71" t="e">
        <f t="shared" si="1"/>
        <v>#DIV/0!</v>
      </c>
      <c r="F5" s="40"/>
      <c r="G5" s="53">
        <f t="shared" si="2"/>
        <v>0</v>
      </c>
      <c r="H5" s="69" t="e">
        <f t="shared" si="3"/>
        <v>#DIV/0!</v>
      </c>
      <c r="I5" s="6"/>
      <c r="J5" s="2"/>
      <c r="K5" s="2"/>
    </row>
    <row r="6" spans="1:16" s="3" customFormat="1" ht="18" customHeight="1" x14ac:dyDescent="0.2">
      <c r="A6" s="37" t="s">
        <v>15</v>
      </c>
      <c r="B6" s="40"/>
      <c r="C6" s="40"/>
      <c r="D6" s="45">
        <f t="shared" si="0"/>
        <v>0</v>
      </c>
      <c r="E6" s="71" t="e">
        <f t="shared" si="1"/>
        <v>#DIV/0!</v>
      </c>
      <c r="F6" s="40"/>
      <c r="G6" s="53">
        <f t="shared" si="2"/>
        <v>0</v>
      </c>
      <c r="H6" s="69" t="e">
        <f t="shared" si="3"/>
        <v>#DIV/0!</v>
      </c>
      <c r="I6" s="6"/>
      <c r="J6" s="2"/>
      <c r="K6" s="2"/>
    </row>
    <row r="7" spans="1:16" s="3" customFormat="1" ht="18" customHeight="1" x14ac:dyDescent="0.2">
      <c r="A7" s="37" t="s">
        <v>14</v>
      </c>
      <c r="B7" s="40"/>
      <c r="C7" s="40"/>
      <c r="D7" s="45">
        <f t="shared" si="0"/>
        <v>0</v>
      </c>
      <c r="E7" s="71" t="e">
        <f t="shared" si="1"/>
        <v>#DIV/0!</v>
      </c>
      <c r="F7" s="40"/>
      <c r="G7" s="53">
        <f t="shared" si="2"/>
        <v>0</v>
      </c>
      <c r="H7" s="69" t="e">
        <f t="shared" si="3"/>
        <v>#DIV/0!</v>
      </c>
      <c r="I7" s="6"/>
      <c r="J7" s="2"/>
      <c r="K7" s="2"/>
    </row>
    <row r="8" spans="1:16" s="3" customFormat="1" ht="18" customHeight="1" x14ac:dyDescent="0.2">
      <c r="A8" s="37" t="s">
        <v>13</v>
      </c>
      <c r="B8" s="40"/>
      <c r="C8" s="40"/>
      <c r="D8" s="45">
        <f t="shared" si="0"/>
        <v>0</v>
      </c>
      <c r="E8" s="71" t="e">
        <f t="shared" si="1"/>
        <v>#DIV/0!</v>
      </c>
      <c r="F8" s="40"/>
      <c r="G8" s="53">
        <f t="shared" si="2"/>
        <v>0</v>
      </c>
      <c r="H8" s="69" t="e">
        <f t="shared" si="3"/>
        <v>#DIV/0!</v>
      </c>
      <c r="I8" s="6"/>
      <c r="J8" s="2"/>
      <c r="K8" s="2"/>
    </row>
    <row r="9" spans="1:16" s="3" customFormat="1" ht="18" customHeight="1" x14ac:dyDescent="0.2">
      <c r="A9" s="37" t="s">
        <v>12</v>
      </c>
      <c r="B9" s="40"/>
      <c r="C9" s="40"/>
      <c r="D9" s="45">
        <f t="shared" si="0"/>
        <v>0</v>
      </c>
      <c r="E9" s="71" t="e">
        <f t="shared" si="1"/>
        <v>#DIV/0!</v>
      </c>
      <c r="F9" s="40"/>
      <c r="G9" s="53">
        <f t="shared" si="2"/>
        <v>0</v>
      </c>
      <c r="H9" s="69" t="e">
        <f t="shared" si="3"/>
        <v>#DIV/0!</v>
      </c>
      <c r="I9" s="6"/>
      <c r="J9" s="2"/>
      <c r="K9" s="2"/>
    </row>
    <row r="10" spans="1:16" s="3" customFormat="1" ht="18" customHeight="1" x14ac:dyDescent="0.2">
      <c r="A10" s="37" t="s">
        <v>2</v>
      </c>
      <c r="B10" s="40"/>
      <c r="C10" s="40"/>
      <c r="D10" s="45">
        <f t="shared" si="0"/>
        <v>0</v>
      </c>
      <c r="E10" s="71" t="e">
        <f t="shared" si="1"/>
        <v>#DIV/0!</v>
      </c>
      <c r="F10" s="40"/>
      <c r="G10" s="53">
        <f t="shared" si="2"/>
        <v>0</v>
      </c>
      <c r="H10" s="69" t="e">
        <f t="shared" si="3"/>
        <v>#DIV/0!</v>
      </c>
      <c r="I10" s="6"/>
      <c r="J10" s="2"/>
      <c r="K10" s="2"/>
    </row>
    <row r="11" spans="1:16" s="3" customFormat="1" ht="18" customHeight="1" x14ac:dyDescent="0.2">
      <c r="A11" s="37" t="s">
        <v>22</v>
      </c>
      <c r="B11" s="40"/>
      <c r="C11" s="40"/>
      <c r="D11" s="45">
        <f t="shared" si="0"/>
        <v>0</v>
      </c>
      <c r="E11" s="71" t="e">
        <f t="shared" si="1"/>
        <v>#DIV/0!</v>
      </c>
      <c r="F11" s="40"/>
      <c r="G11" s="53">
        <f t="shared" si="2"/>
        <v>0</v>
      </c>
      <c r="H11" s="69" t="e">
        <f t="shared" si="3"/>
        <v>#DIV/0!</v>
      </c>
      <c r="I11" s="6"/>
      <c r="J11" s="2"/>
      <c r="K11" s="2"/>
    </row>
    <row r="12" spans="1:16" s="3" customFormat="1" ht="18" customHeight="1" x14ac:dyDescent="0.2">
      <c r="A12" s="37" t="s">
        <v>11</v>
      </c>
      <c r="B12" s="40"/>
      <c r="C12" s="40"/>
      <c r="D12" s="45">
        <f t="shared" si="0"/>
        <v>0</v>
      </c>
      <c r="E12" s="71" t="e">
        <f t="shared" si="1"/>
        <v>#DIV/0!</v>
      </c>
      <c r="F12" s="40"/>
      <c r="G12" s="53">
        <f t="shared" si="2"/>
        <v>0</v>
      </c>
      <c r="H12" s="69" t="e">
        <f t="shared" si="3"/>
        <v>#DIV/0!</v>
      </c>
      <c r="I12" s="6"/>
      <c r="J12" s="2"/>
      <c r="K12" s="2"/>
    </row>
    <row r="13" spans="1:16" s="3" customFormat="1" ht="18" customHeight="1" x14ac:dyDescent="0.2">
      <c r="A13" s="37" t="s">
        <v>10</v>
      </c>
      <c r="B13" s="40"/>
      <c r="C13" s="40"/>
      <c r="D13" s="45">
        <f t="shared" si="0"/>
        <v>0</v>
      </c>
      <c r="E13" s="71" t="e">
        <f t="shared" si="1"/>
        <v>#DIV/0!</v>
      </c>
      <c r="F13" s="40"/>
      <c r="G13" s="53">
        <f t="shared" si="2"/>
        <v>0</v>
      </c>
      <c r="H13" s="69" t="e">
        <f t="shared" si="3"/>
        <v>#DIV/0!</v>
      </c>
      <c r="I13" s="6"/>
      <c r="J13" s="2"/>
      <c r="K13" s="2"/>
    </row>
    <row r="14" spans="1:16" s="3" customFormat="1" ht="18" customHeight="1" x14ac:dyDescent="0.2">
      <c r="A14" s="37" t="s">
        <v>9</v>
      </c>
      <c r="B14" s="40"/>
      <c r="C14" s="40"/>
      <c r="D14" s="45">
        <f t="shared" si="0"/>
        <v>0</v>
      </c>
      <c r="E14" s="71" t="e">
        <f t="shared" si="1"/>
        <v>#DIV/0!</v>
      </c>
      <c r="F14" s="40"/>
      <c r="G14" s="53">
        <f t="shared" si="2"/>
        <v>0</v>
      </c>
      <c r="H14" s="69" t="e">
        <f t="shared" si="3"/>
        <v>#DIV/0!</v>
      </c>
      <c r="I14" s="6"/>
      <c r="J14" s="2"/>
      <c r="K14" s="2"/>
    </row>
    <row r="15" spans="1:16" s="3" customFormat="1" ht="18" customHeight="1" thickBot="1" x14ac:dyDescent="0.25">
      <c r="A15" s="39" t="s">
        <v>8</v>
      </c>
      <c r="B15" s="95">
        <f>SUM(B3:B14)</f>
        <v>0</v>
      </c>
      <c r="C15" s="95">
        <f>SUM(C3:C14)</f>
        <v>0</v>
      </c>
      <c r="D15" s="96">
        <f>SUM(D3:D14)</f>
        <v>0</v>
      </c>
      <c r="E15" s="85" t="e">
        <f t="shared" si="1"/>
        <v>#DIV/0!</v>
      </c>
      <c r="F15" s="95">
        <f>SUM(F3:F14)</f>
        <v>0</v>
      </c>
      <c r="G15" s="68">
        <f>SUM(G3:G14)</f>
        <v>0</v>
      </c>
      <c r="H15" s="97" t="e">
        <f t="shared" si="3"/>
        <v>#DIV/0!</v>
      </c>
      <c r="I15" s="6"/>
      <c r="J15" s="2"/>
      <c r="K15" s="2"/>
      <c r="L15" s="50"/>
      <c r="M15" s="50"/>
      <c r="N15" s="50"/>
    </row>
    <row r="16" spans="1:16" ht="25" customHeight="1" thickBot="1" x14ac:dyDescent="0.25">
      <c r="A16" s="114" t="s">
        <v>4</v>
      </c>
      <c r="B16" s="115"/>
      <c r="C16" s="115"/>
      <c r="D16" s="115"/>
      <c r="E16" s="115"/>
      <c r="F16" s="116"/>
      <c r="G16" s="115" t="s">
        <v>6</v>
      </c>
      <c r="H16" s="115"/>
      <c r="I16" s="115"/>
      <c r="J16" s="115"/>
      <c r="K16" s="116"/>
      <c r="L16" s="1"/>
      <c r="M16" s="1"/>
      <c r="N16" s="1"/>
      <c r="O16" s="1"/>
      <c r="P16" s="1"/>
    </row>
    <row r="17" spans="1:16" s="51" customFormat="1" ht="32" customHeight="1" x14ac:dyDescent="0.2">
      <c r="A17" s="41"/>
      <c r="B17" s="42">
        <v>2026</v>
      </c>
      <c r="C17" s="42">
        <v>2025</v>
      </c>
      <c r="D17" s="43" t="s">
        <v>25</v>
      </c>
      <c r="E17" s="42">
        <v>2024</v>
      </c>
      <c r="F17" s="90" t="s">
        <v>21</v>
      </c>
      <c r="G17" s="88">
        <v>2026</v>
      </c>
      <c r="H17" s="42">
        <v>2025</v>
      </c>
      <c r="I17" s="43" t="s">
        <v>25</v>
      </c>
      <c r="J17" s="42">
        <v>2024</v>
      </c>
      <c r="K17" s="59" t="s">
        <v>21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18</v>
      </c>
      <c r="B18" s="48"/>
      <c r="C18" s="48"/>
      <c r="D18" s="49">
        <f>B18-C18</f>
        <v>0</v>
      </c>
      <c r="E18" s="93"/>
      <c r="F18" s="91">
        <f>C18-E18</f>
        <v>0</v>
      </c>
      <c r="G18" s="89">
        <f>B18/186</f>
        <v>0</v>
      </c>
      <c r="H18" s="61">
        <f>C18/186</f>
        <v>0</v>
      </c>
      <c r="I18" s="73">
        <f>G18-H18</f>
        <v>0</v>
      </c>
      <c r="J18" s="61">
        <f>E18/186</f>
        <v>0</v>
      </c>
      <c r="K18" s="71">
        <f>H18-J18</f>
        <v>0</v>
      </c>
      <c r="M18" s="50" t="s">
        <v>30</v>
      </c>
      <c r="N18" s="50"/>
      <c r="O18" s="50"/>
      <c r="P18" s="50"/>
    </row>
    <row r="19" spans="1:16" s="51" customFormat="1" ht="18" customHeight="1" x14ac:dyDescent="0.2">
      <c r="A19" s="37" t="s">
        <v>17</v>
      </c>
      <c r="B19" s="48"/>
      <c r="C19" s="48"/>
      <c r="D19" s="49">
        <f t="shared" ref="D19:D29" si="4">B19-C19</f>
        <v>0</v>
      </c>
      <c r="E19" s="48"/>
      <c r="F19" s="91">
        <f t="shared" ref="F19:F29" si="5">C19-E19</f>
        <v>0</v>
      </c>
      <c r="G19" s="89">
        <f>B19/168</f>
        <v>0</v>
      </c>
      <c r="H19" s="61">
        <f>C19/168</f>
        <v>0</v>
      </c>
      <c r="I19" s="73">
        <f t="shared" ref="I19:I28" si="6">G19-H19</f>
        <v>0</v>
      </c>
      <c r="J19" s="61">
        <f>E19/174</f>
        <v>0</v>
      </c>
      <c r="K19" s="71">
        <f t="shared" ref="K19:K28" si="7">H19-J19</f>
        <v>0</v>
      </c>
      <c r="M19" s="50" t="s">
        <v>31</v>
      </c>
      <c r="N19" s="50"/>
      <c r="O19" s="50"/>
      <c r="P19" s="50"/>
    </row>
    <row r="20" spans="1:16" s="51" customFormat="1" ht="18" customHeight="1" x14ac:dyDescent="0.2">
      <c r="A20" s="37" t="s">
        <v>16</v>
      </c>
      <c r="B20" s="48"/>
      <c r="C20" s="48"/>
      <c r="D20" s="49">
        <f t="shared" si="4"/>
        <v>0</v>
      </c>
      <c r="E20" s="48"/>
      <c r="F20" s="91">
        <f t="shared" si="5"/>
        <v>0</v>
      </c>
      <c r="G20" s="89">
        <f>B20/186</f>
        <v>0</v>
      </c>
      <c r="H20" s="61">
        <f>C20/186</f>
        <v>0</v>
      </c>
      <c r="I20" s="73">
        <f t="shared" si="6"/>
        <v>0</v>
      </c>
      <c r="J20" s="61">
        <f>E20/186</f>
        <v>0</v>
      </c>
      <c r="K20" s="71">
        <f t="shared" si="7"/>
        <v>0</v>
      </c>
      <c r="M20" s="50" t="s">
        <v>32</v>
      </c>
      <c r="N20" s="50"/>
      <c r="O20" s="50"/>
      <c r="P20" s="50"/>
    </row>
    <row r="21" spans="1:16" s="51" customFormat="1" ht="18" customHeight="1" x14ac:dyDescent="0.2">
      <c r="A21" s="37" t="s">
        <v>15</v>
      </c>
      <c r="B21" s="48"/>
      <c r="C21" s="48"/>
      <c r="D21" s="49">
        <f t="shared" si="4"/>
        <v>0</v>
      </c>
      <c r="E21" s="48"/>
      <c r="F21" s="91">
        <f t="shared" si="5"/>
        <v>0</v>
      </c>
      <c r="G21" s="89">
        <f>B21/180</f>
        <v>0</v>
      </c>
      <c r="H21" s="61">
        <f>C21/180</f>
        <v>0</v>
      </c>
      <c r="I21" s="73">
        <f t="shared" si="6"/>
        <v>0</v>
      </c>
      <c r="J21" s="61">
        <f>E21/180</f>
        <v>0</v>
      </c>
      <c r="K21" s="71">
        <f t="shared" si="7"/>
        <v>0</v>
      </c>
      <c r="M21" s="50" t="s">
        <v>33</v>
      </c>
      <c r="N21" s="50"/>
      <c r="O21" s="50"/>
      <c r="P21" s="50"/>
    </row>
    <row r="22" spans="1:16" s="51" customFormat="1" ht="18" customHeight="1" x14ac:dyDescent="0.2">
      <c r="A22" s="37" t="s">
        <v>14</v>
      </c>
      <c r="B22" s="48"/>
      <c r="C22" s="48"/>
      <c r="D22" s="49">
        <f t="shared" si="4"/>
        <v>0</v>
      </c>
      <c r="E22" s="48"/>
      <c r="F22" s="91">
        <f t="shared" si="5"/>
        <v>0</v>
      </c>
      <c r="G22" s="89">
        <f>B22/186</f>
        <v>0</v>
      </c>
      <c r="H22" s="61">
        <f>C22/186</f>
        <v>0</v>
      </c>
      <c r="I22" s="73">
        <f t="shared" si="6"/>
        <v>0</v>
      </c>
      <c r="J22" s="61">
        <f>E22/186</f>
        <v>0</v>
      </c>
      <c r="K22" s="71">
        <f t="shared" si="7"/>
        <v>0</v>
      </c>
      <c r="M22" s="50" t="s">
        <v>34</v>
      </c>
      <c r="N22" s="50"/>
      <c r="O22" s="50"/>
      <c r="P22" s="50"/>
    </row>
    <row r="23" spans="1:16" s="51" customFormat="1" ht="18" customHeight="1" x14ac:dyDescent="0.2">
      <c r="A23" s="37" t="s">
        <v>13</v>
      </c>
      <c r="B23" s="48"/>
      <c r="C23" s="48"/>
      <c r="D23" s="49">
        <f t="shared" si="4"/>
        <v>0</v>
      </c>
      <c r="E23" s="48"/>
      <c r="F23" s="91">
        <f t="shared" si="5"/>
        <v>0</v>
      </c>
      <c r="G23" s="89">
        <f>B23/180</f>
        <v>0</v>
      </c>
      <c r="H23" s="61">
        <f>C23/180</f>
        <v>0</v>
      </c>
      <c r="I23" s="73">
        <f t="shared" si="6"/>
        <v>0</v>
      </c>
      <c r="J23" s="61">
        <f>E23/180</f>
        <v>0</v>
      </c>
      <c r="K23" s="71">
        <f t="shared" si="7"/>
        <v>0</v>
      </c>
      <c r="L23" s="50"/>
      <c r="M23" s="50"/>
      <c r="N23" s="50"/>
      <c r="O23" s="50"/>
      <c r="P23" s="50"/>
    </row>
    <row r="24" spans="1:16" s="51" customFormat="1" ht="18" customHeight="1" x14ac:dyDescent="0.2">
      <c r="A24" s="37" t="s">
        <v>12</v>
      </c>
      <c r="B24" s="48"/>
      <c r="C24" s="48"/>
      <c r="D24" s="49">
        <f t="shared" si="4"/>
        <v>0</v>
      </c>
      <c r="E24" s="48"/>
      <c r="F24" s="91">
        <f t="shared" si="5"/>
        <v>0</v>
      </c>
      <c r="G24" s="89">
        <f>B24/186</f>
        <v>0</v>
      </c>
      <c r="H24" s="61">
        <f>C24/186</f>
        <v>0</v>
      </c>
      <c r="I24" s="73">
        <f t="shared" si="6"/>
        <v>0</v>
      </c>
      <c r="J24" s="61">
        <f>E24/186</f>
        <v>0</v>
      </c>
      <c r="K24" s="71">
        <f t="shared" si="7"/>
        <v>0</v>
      </c>
      <c r="L24" s="7"/>
      <c r="M24" s="50"/>
      <c r="N24" s="50"/>
      <c r="O24" s="50"/>
      <c r="P24" s="50"/>
    </row>
    <row r="25" spans="1:16" s="51" customFormat="1" ht="18" customHeight="1" x14ac:dyDescent="0.2">
      <c r="A25" s="37" t="s">
        <v>2</v>
      </c>
      <c r="B25" s="48"/>
      <c r="C25" s="48"/>
      <c r="D25" s="49">
        <f t="shared" si="4"/>
        <v>0</v>
      </c>
      <c r="E25" s="48"/>
      <c r="F25" s="91">
        <f t="shared" si="5"/>
        <v>0</v>
      </c>
      <c r="G25" s="89">
        <f>B25/186</f>
        <v>0</v>
      </c>
      <c r="H25" s="61">
        <f>C25/186</f>
        <v>0</v>
      </c>
      <c r="I25" s="73">
        <f t="shared" si="6"/>
        <v>0</v>
      </c>
      <c r="J25" s="61">
        <f>E25/186</f>
        <v>0</v>
      </c>
      <c r="K25" s="71">
        <f t="shared" si="7"/>
        <v>0</v>
      </c>
      <c r="L25" s="7"/>
      <c r="M25" s="50"/>
      <c r="N25" s="50"/>
      <c r="O25" s="50"/>
      <c r="P25" s="50"/>
    </row>
    <row r="26" spans="1:16" s="51" customFormat="1" ht="18" customHeight="1" x14ac:dyDescent="0.2">
      <c r="A26" s="37" t="s">
        <v>22</v>
      </c>
      <c r="B26" s="48"/>
      <c r="C26" s="48"/>
      <c r="D26" s="49">
        <f t="shared" si="4"/>
        <v>0</v>
      </c>
      <c r="E26" s="48"/>
      <c r="F26" s="91">
        <f t="shared" si="5"/>
        <v>0</v>
      </c>
      <c r="G26" s="89">
        <f>B26/180</f>
        <v>0</v>
      </c>
      <c r="H26" s="61">
        <f>C26/180</f>
        <v>0</v>
      </c>
      <c r="I26" s="73">
        <f t="shared" si="6"/>
        <v>0</v>
      </c>
      <c r="J26" s="61">
        <f>E26/180</f>
        <v>0</v>
      </c>
      <c r="K26" s="71">
        <f t="shared" si="7"/>
        <v>0</v>
      </c>
      <c r="L26" s="7"/>
      <c r="M26" s="50"/>
      <c r="N26" s="50"/>
      <c r="O26" s="50"/>
      <c r="P26" s="50"/>
    </row>
    <row r="27" spans="1:16" s="51" customFormat="1" ht="18" customHeight="1" x14ac:dyDescent="0.2">
      <c r="A27" s="37" t="s">
        <v>11</v>
      </c>
      <c r="B27" s="48"/>
      <c r="C27" s="48"/>
      <c r="D27" s="49">
        <f t="shared" si="4"/>
        <v>0</v>
      </c>
      <c r="E27" s="48"/>
      <c r="F27" s="91">
        <f t="shared" si="5"/>
        <v>0</v>
      </c>
      <c r="G27" s="89">
        <f>B27/186</f>
        <v>0</v>
      </c>
      <c r="H27" s="61">
        <f>C27/186</f>
        <v>0</v>
      </c>
      <c r="I27" s="73">
        <f t="shared" si="6"/>
        <v>0</v>
      </c>
      <c r="J27" s="61">
        <f>E27/186</f>
        <v>0</v>
      </c>
      <c r="K27" s="71">
        <f t="shared" si="7"/>
        <v>0</v>
      </c>
      <c r="L27" s="7"/>
      <c r="M27" s="50"/>
      <c r="N27" s="50"/>
      <c r="O27" s="50"/>
      <c r="P27" s="50"/>
    </row>
    <row r="28" spans="1:16" s="51" customFormat="1" ht="18" customHeight="1" x14ac:dyDescent="0.2">
      <c r="A28" s="37" t="s">
        <v>10</v>
      </c>
      <c r="B28" s="48"/>
      <c r="C28" s="48"/>
      <c r="D28" s="49">
        <f t="shared" si="4"/>
        <v>0</v>
      </c>
      <c r="E28" s="48"/>
      <c r="F28" s="91">
        <f t="shared" si="5"/>
        <v>0</v>
      </c>
      <c r="G28" s="89">
        <f>B28/180</f>
        <v>0</v>
      </c>
      <c r="H28" s="61">
        <f>C28/180</f>
        <v>0</v>
      </c>
      <c r="I28" s="73">
        <f t="shared" si="6"/>
        <v>0</v>
      </c>
      <c r="J28" s="61">
        <f>E28/180</f>
        <v>0</v>
      </c>
      <c r="K28" s="71">
        <f t="shared" si="7"/>
        <v>0</v>
      </c>
      <c r="L28" s="7"/>
      <c r="M28" s="50"/>
      <c r="N28" s="50"/>
      <c r="O28" s="50"/>
      <c r="P28" s="50"/>
    </row>
    <row r="29" spans="1:16" s="51" customFormat="1" ht="18" customHeight="1" thickBot="1" x14ac:dyDescent="0.25">
      <c r="A29" s="37" t="s">
        <v>9</v>
      </c>
      <c r="B29" s="48"/>
      <c r="C29" s="48"/>
      <c r="D29" s="49">
        <f t="shared" si="4"/>
        <v>0</v>
      </c>
      <c r="E29" s="94"/>
      <c r="F29" s="91">
        <f t="shared" si="5"/>
        <v>0</v>
      </c>
      <c r="G29" s="89">
        <f>B29/186</f>
        <v>0</v>
      </c>
      <c r="H29" s="60">
        <f>C29/186</f>
        <v>0</v>
      </c>
      <c r="I29" s="74">
        <f>G29-H29</f>
        <v>0</v>
      </c>
      <c r="J29" s="60">
        <f>E29/186</f>
        <v>0</v>
      </c>
      <c r="K29" s="72">
        <f>H29-J29</f>
        <v>0</v>
      </c>
      <c r="L29" s="7"/>
      <c r="M29" s="50"/>
      <c r="N29" s="50"/>
      <c r="O29" s="50"/>
      <c r="P29" s="50"/>
    </row>
    <row r="30" spans="1:16" ht="25" customHeight="1" thickBot="1" x14ac:dyDescent="0.25">
      <c r="A30" s="114" t="s">
        <v>5</v>
      </c>
      <c r="B30" s="115"/>
      <c r="C30" s="115"/>
      <c r="D30" s="115"/>
      <c r="E30" s="115"/>
      <c r="F30" s="115"/>
      <c r="G30" s="115"/>
      <c r="H30" s="116"/>
      <c r="I30" s="7"/>
      <c r="J30" s="7"/>
      <c r="K30" s="1"/>
      <c r="L30" s="1"/>
      <c r="M30" s="1"/>
    </row>
    <row r="31" spans="1:16" s="51" customFormat="1" ht="32" customHeight="1" x14ac:dyDescent="0.2">
      <c r="A31" s="42"/>
      <c r="B31" s="42">
        <v>2025</v>
      </c>
      <c r="C31" s="42">
        <v>2025</v>
      </c>
      <c r="D31" s="111" t="s">
        <v>25</v>
      </c>
      <c r="E31" s="112"/>
      <c r="F31" s="42">
        <v>2024</v>
      </c>
      <c r="G31" s="120" t="s">
        <v>21</v>
      </c>
      <c r="H31" s="121"/>
      <c r="I31" s="52"/>
      <c r="J31" s="52"/>
      <c r="K31" s="50"/>
      <c r="L31" s="50"/>
      <c r="M31" s="50"/>
    </row>
    <row r="32" spans="1:16" s="51" customFormat="1" ht="17" customHeight="1" x14ac:dyDescent="0.2">
      <c r="A32" s="75" t="s">
        <v>18</v>
      </c>
      <c r="B32" s="40" t="e">
        <f>B3/B18</f>
        <v>#DIV/0!</v>
      </c>
      <c r="C32" s="40" t="e">
        <f>C3/C18</f>
        <v>#DIV/0!</v>
      </c>
      <c r="D32" s="45" t="e">
        <f>B32-C32</f>
        <v>#DIV/0!</v>
      </c>
      <c r="E32" s="70" t="e">
        <f>(B32-C32)/C32</f>
        <v>#DIV/0!</v>
      </c>
      <c r="F32" s="40" t="e">
        <f>F3/E18</f>
        <v>#DIV/0!</v>
      </c>
      <c r="G32" s="53" t="e">
        <f>C32-F32</f>
        <v>#DIV/0!</v>
      </c>
      <c r="H32" s="69" t="e">
        <f>(C32-F32)/F32</f>
        <v>#DIV/0!</v>
      </c>
      <c r="J32" s="52"/>
      <c r="K32" s="50"/>
      <c r="L32" s="50"/>
      <c r="M32" s="50"/>
    </row>
    <row r="33" spans="1:13" s="51" customFormat="1" ht="17" customHeight="1" x14ac:dyDescent="0.2">
      <c r="A33" s="37" t="s">
        <v>17</v>
      </c>
      <c r="B33" s="40" t="e">
        <f t="shared" ref="B33:C43" si="8">B4/B19</f>
        <v>#DIV/0!</v>
      </c>
      <c r="C33" s="40" t="e">
        <f t="shared" si="8"/>
        <v>#DIV/0!</v>
      </c>
      <c r="D33" s="45" t="e">
        <f t="shared" ref="D33:D43" si="9">B33-C33</f>
        <v>#DIV/0!</v>
      </c>
      <c r="E33" s="71" t="e">
        <f t="shared" ref="E33:E43" si="10">(B33-C33)/C33</f>
        <v>#DIV/0!</v>
      </c>
      <c r="F33" s="40" t="e">
        <f t="shared" ref="F33:F42" si="11">F4/E19</f>
        <v>#DIV/0!</v>
      </c>
      <c r="G33" s="53" t="e">
        <f t="shared" ref="G33:G43" si="12">C33-F33</f>
        <v>#DIV/0!</v>
      </c>
      <c r="H33" s="69" t="e">
        <f t="shared" ref="H33:H43" si="13">(C33-F33)/F33</f>
        <v>#DIV/0!</v>
      </c>
      <c r="J33" s="52"/>
      <c r="K33" s="50"/>
      <c r="L33" s="50"/>
      <c r="M33" s="50"/>
    </row>
    <row r="34" spans="1:13" s="51" customFormat="1" ht="17" customHeight="1" x14ac:dyDescent="0.2">
      <c r="A34" s="37" t="s">
        <v>16</v>
      </c>
      <c r="B34" s="40" t="e">
        <f t="shared" si="8"/>
        <v>#DIV/0!</v>
      </c>
      <c r="C34" s="40" t="e">
        <f t="shared" si="8"/>
        <v>#DIV/0!</v>
      </c>
      <c r="D34" s="45" t="e">
        <f t="shared" si="9"/>
        <v>#DIV/0!</v>
      </c>
      <c r="E34" s="71" t="e">
        <f t="shared" si="10"/>
        <v>#DIV/0!</v>
      </c>
      <c r="F34" s="40" t="e">
        <f t="shared" si="11"/>
        <v>#DIV/0!</v>
      </c>
      <c r="G34" s="53" t="e">
        <f t="shared" si="12"/>
        <v>#DIV/0!</v>
      </c>
      <c r="H34" s="69" t="e">
        <f t="shared" si="13"/>
        <v>#DIV/0!</v>
      </c>
      <c r="J34" s="52"/>
      <c r="K34" s="50"/>
      <c r="L34" s="50"/>
      <c r="M34" s="50"/>
    </row>
    <row r="35" spans="1:13" s="51" customFormat="1" ht="17" customHeight="1" x14ac:dyDescent="0.2">
      <c r="A35" s="37" t="s">
        <v>15</v>
      </c>
      <c r="B35" s="40" t="e">
        <f t="shared" si="8"/>
        <v>#DIV/0!</v>
      </c>
      <c r="C35" s="40" t="e">
        <f t="shared" si="8"/>
        <v>#DIV/0!</v>
      </c>
      <c r="D35" s="45" t="e">
        <f t="shared" si="9"/>
        <v>#DIV/0!</v>
      </c>
      <c r="E35" s="71" t="e">
        <f t="shared" si="10"/>
        <v>#DIV/0!</v>
      </c>
      <c r="F35" s="40" t="e">
        <f t="shared" si="11"/>
        <v>#DIV/0!</v>
      </c>
      <c r="G35" s="53" t="e">
        <f t="shared" si="12"/>
        <v>#DIV/0!</v>
      </c>
      <c r="H35" s="69" t="e">
        <f t="shared" si="13"/>
        <v>#DIV/0!</v>
      </c>
      <c r="J35" s="52"/>
      <c r="K35" s="50"/>
      <c r="L35" s="50"/>
      <c r="M35" s="50"/>
    </row>
    <row r="36" spans="1:13" s="51" customFormat="1" ht="17" customHeight="1" x14ac:dyDescent="0.2">
      <c r="A36" s="37" t="s">
        <v>14</v>
      </c>
      <c r="B36" s="40" t="e">
        <f t="shared" si="8"/>
        <v>#DIV/0!</v>
      </c>
      <c r="C36" s="40" t="e">
        <f t="shared" si="8"/>
        <v>#DIV/0!</v>
      </c>
      <c r="D36" s="45" t="e">
        <f t="shared" si="9"/>
        <v>#DIV/0!</v>
      </c>
      <c r="E36" s="71" t="e">
        <f t="shared" si="10"/>
        <v>#DIV/0!</v>
      </c>
      <c r="F36" s="40" t="e">
        <f t="shared" si="11"/>
        <v>#DIV/0!</v>
      </c>
      <c r="G36" s="53" t="e">
        <f t="shared" si="12"/>
        <v>#DIV/0!</v>
      </c>
      <c r="H36" s="69" t="e">
        <f t="shared" si="13"/>
        <v>#DIV/0!</v>
      </c>
      <c r="J36" s="52"/>
      <c r="K36" s="50"/>
      <c r="L36" s="50"/>
      <c r="M36" s="50"/>
    </row>
    <row r="37" spans="1:13" s="51" customFormat="1" ht="17" customHeight="1" x14ac:dyDescent="0.2">
      <c r="A37" s="37" t="s">
        <v>13</v>
      </c>
      <c r="B37" s="40" t="e">
        <f t="shared" si="8"/>
        <v>#DIV/0!</v>
      </c>
      <c r="C37" s="40" t="e">
        <f t="shared" si="8"/>
        <v>#DIV/0!</v>
      </c>
      <c r="D37" s="45" t="e">
        <f t="shared" si="9"/>
        <v>#DIV/0!</v>
      </c>
      <c r="E37" s="71" t="e">
        <f t="shared" si="10"/>
        <v>#DIV/0!</v>
      </c>
      <c r="F37" s="40" t="e">
        <f t="shared" si="11"/>
        <v>#DIV/0!</v>
      </c>
      <c r="G37" s="53" t="e">
        <f t="shared" si="12"/>
        <v>#DIV/0!</v>
      </c>
      <c r="H37" s="69" t="e">
        <f t="shared" si="13"/>
        <v>#DIV/0!</v>
      </c>
      <c r="J37" s="52"/>
      <c r="K37" s="50"/>
      <c r="L37" s="50"/>
      <c r="M37" s="50"/>
    </row>
    <row r="38" spans="1:13" s="51" customFormat="1" ht="17" customHeight="1" x14ac:dyDescent="0.2">
      <c r="A38" s="37" t="s">
        <v>12</v>
      </c>
      <c r="B38" s="40" t="e">
        <f t="shared" si="8"/>
        <v>#DIV/0!</v>
      </c>
      <c r="C38" s="40" t="e">
        <f t="shared" si="8"/>
        <v>#DIV/0!</v>
      </c>
      <c r="D38" s="45" t="e">
        <f t="shared" si="9"/>
        <v>#DIV/0!</v>
      </c>
      <c r="E38" s="71" t="e">
        <f t="shared" si="10"/>
        <v>#DIV/0!</v>
      </c>
      <c r="F38" s="40" t="e">
        <f t="shared" si="11"/>
        <v>#DIV/0!</v>
      </c>
      <c r="G38" s="53" t="e">
        <f t="shared" si="12"/>
        <v>#DIV/0!</v>
      </c>
      <c r="H38" s="69" t="e">
        <f t="shared" si="13"/>
        <v>#DIV/0!</v>
      </c>
      <c r="I38" s="7"/>
      <c r="J38" s="52"/>
      <c r="K38" s="50"/>
      <c r="L38" s="50"/>
      <c r="M38" s="50"/>
    </row>
    <row r="39" spans="1:13" s="51" customFormat="1" ht="17" customHeight="1" x14ac:dyDescent="0.2">
      <c r="A39" s="37" t="s">
        <v>2</v>
      </c>
      <c r="B39" s="40" t="e">
        <f t="shared" si="8"/>
        <v>#DIV/0!</v>
      </c>
      <c r="C39" s="40" t="e">
        <f t="shared" si="8"/>
        <v>#DIV/0!</v>
      </c>
      <c r="D39" s="45" t="e">
        <f t="shared" si="9"/>
        <v>#DIV/0!</v>
      </c>
      <c r="E39" s="71" t="e">
        <f t="shared" si="10"/>
        <v>#DIV/0!</v>
      </c>
      <c r="F39" s="40" t="e">
        <f t="shared" si="11"/>
        <v>#DIV/0!</v>
      </c>
      <c r="G39" s="53" t="e">
        <f t="shared" si="12"/>
        <v>#DIV/0!</v>
      </c>
      <c r="H39" s="69" t="e">
        <f t="shared" si="13"/>
        <v>#DIV/0!</v>
      </c>
      <c r="I39" s="7"/>
      <c r="J39" s="52"/>
      <c r="K39" s="50"/>
      <c r="L39" s="50"/>
      <c r="M39" s="50"/>
    </row>
    <row r="40" spans="1:13" s="51" customFormat="1" ht="17" customHeight="1" x14ac:dyDescent="0.2">
      <c r="A40" s="37" t="s">
        <v>22</v>
      </c>
      <c r="B40" s="40" t="e">
        <f t="shared" si="8"/>
        <v>#DIV/0!</v>
      </c>
      <c r="C40" s="40" t="e">
        <f t="shared" si="8"/>
        <v>#DIV/0!</v>
      </c>
      <c r="D40" s="45" t="e">
        <f t="shared" si="9"/>
        <v>#DIV/0!</v>
      </c>
      <c r="E40" s="71" t="e">
        <f t="shared" si="10"/>
        <v>#DIV/0!</v>
      </c>
      <c r="F40" s="40" t="e">
        <f t="shared" si="11"/>
        <v>#DIV/0!</v>
      </c>
      <c r="G40" s="53" t="e">
        <f t="shared" si="12"/>
        <v>#DIV/0!</v>
      </c>
      <c r="H40" s="69" t="e">
        <f t="shared" si="13"/>
        <v>#DIV/0!</v>
      </c>
      <c r="I40" s="7"/>
      <c r="J40" s="52"/>
      <c r="K40" s="50"/>
      <c r="L40" s="50"/>
      <c r="M40" s="50"/>
    </row>
    <row r="41" spans="1:13" s="51" customFormat="1" ht="17" customHeight="1" x14ac:dyDescent="0.2">
      <c r="A41" s="37" t="s">
        <v>11</v>
      </c>
      <c r="B41" s="40" t="e">
        <f t="shared" si="8"/>
        <v>#DIV/0!</v>
      </c>
      <c r="C41" s="40" t="e">
        <f t="shared" si="8"/>
        <v>#DIV/0!</v>
      </c>
      <c r="D41" s="45" t="e">
        <f t="shared" si="9"/>
        <v>#DIV/0!</v>
      </c>
      <c r="E41" s="71" t="e">
        <f t="shared" si="10"/>
        <v>#DIV/0!</v>
      </c>
      <c r="F41" s="40" t="e">
        <f t="shared" si="11"/>
        <v>#DIV/0!</v>
      </c>
      <c r="G41" s="53" t="e">
        <f t="shared" si="12"/>
        <v>#DIV/0!</v>
      </c>
      <c r="H41" s="69" t="e">
        <f t="shared" si="13"/>
        <v>#DIV/0!</v>
      </c>
      <c r="I41" s="7"/>
      <c r="J41" s="52"/>
      <c r="K41" s="50"/>
      <c r="L41" s="50"/>
      <c r="M41" s="50"/>
    </row>
    <row r="42" spans="1:13" s="51" customFormat="1" ht="17" customHeight="1" x14ac:dyDescent="0.2">
      <c r="A42" s="37" t="s">
        <v>10</v>
      </c>
      <c r="B42" s="40" t="e">
        <f t="shared" si="8"/>
        <v>#DIV/0!</v>
      </c>
      <c r="C42" s="40" t="e">
        <f t="shared" si="8"/>
        <v>#DIV/0!</v>
      </c>
      <c r="D42" s="45" t="e">
        <f t="shared" si="9"/>
        <v>#DIV/0!</v>
      </c>
      <c r="E42" s="71" t="e">
        <f t="shared" si="10"/>
        <v>#DIV/0!</v>
      </c>
      <c r="F42" s="40" t="e">
        <f t="shared" si="11"/>
        <v>#DIV/0!</v>
      </c>
      <c r="G42" s="53" t="e">
        <f t="shared" si="12"/>
        <v>#DIV/0!</v>
      </c>
      <c r="H42" s="69" t="e">
        <f t="shared" si="13"/>
        <v>#DIV/0!</v>
      </c>
      <c r="I42" s="7"/>
      <c r="J42" s="52"/>
      <c r="K42" s="50"/>
      <c r="L42" s="50"/>
      <c r="M42" s="50"/>
    </row>
    <row r="43" spans="1:13" s="51" customFormat="1" ht="17" customHeight="1" x14ac:dyDescent="0.2">
      <c r="A43" s="38" t="s">
        <v>9</v>
      </c>
      <c r="B43" s="58" t="e">
        <f t="shared" si="8"/>
        <v>#DIV/0!</v>
      </c>
      <c r="C43" s="58" t="e">
        <f t="shared" si="8"/>
        <v>#DIV/0!</v>
      </c>
      <c r="D43" s="92" t="e">
        <f t="shared" si="9"/>
        <v>#DIV/0!</v>
      </c>
      <c r="E43" s="72" t="e">
        <f t="shared" si="10"/>
        <v>#DIV/0!</v>
      </c>
      <c r="F43" s="58" t="e">
        <f>F14/E29</f>
        <v>#DIV/0!</v>
      </c>
      <c r="G43" s="55" t="e">
        <f t="shared" si="12"/>
        <v>#DIV/0!</v>
      </c>
      <c r="H43" s="87" t="e">
        <f t="shared" si="13"/>
        <v>#DIV/0!</v>
      </c>
      <c r="J43" s="52"/>
      <c r="K43" s="50"/>
      <c r="L43" s="50"/>
      <c r="M43" s="50"/>
    </row>
  </sheetData>
  <mergeCells count="8">
    <mergeCell ref="D31:E31"/>
    <mergeCell ref="G31:H31"/>
    <mergeCell ref="A1:K1"/>
    <mergeCell ref="D2:E2"/>
    <mergeCell ref="G2:H2"/>
    <mergeCell ref="A16:F16"/>
    <mergeCell ref="G16:K16"/>
    <mergeCell ref="A30:H30"/>
  </mergeCells>
  <conditionalFormatting sqref="G3:H15 G18:H29 G32:H43">
    <cfRule type="cellIs" dxfId="7" priority="4" operator="equal">
      <formula>0</formula>
    </cfRule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J18:J29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G19:G28 H19:H28 J19:J28 I18 I20:I29" formula="1"/>
    <ignoredError sqref="B32:H43 E3:H14 G15:H15" evalError="1"/>
    <ignoredError sqref="F15" evalError="1" formulaRange="1"/>
    <ignoredError sqref="B15:D15" formulaRange="1"/>
    <ignoredError sqref="E15" evalError="1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75" zoomScaleNormal="70" workbookViewId="0"/>
  </sheetViews>
  <sheetFormatPr baseColWidth="10" defaultRowHeight="18" x14ac:dyDescent="0.2"/>
  <cols>
    <col min="1" max="1" width="15.83203125" style="9" customWidth="1"/>
    <col min="2" max="8" width="12.83203125" style="9" customWidth="1"/>
    <col min="9" max="9" width="15.33203125" style="8" customWidth="1"/>
    <col min="10" max="10" width="8.83203125" style="8" customWidth="1"/>
  </cols>
  <sheetData>
    <row r="1" spans="1:10" x14ac:dyDescent="0.2">
      <c r="A1" s="36" t="s">
        <v>19</v>
      </c>
      <c r="B1" s="35">
        <v>2020</v>
      </c>
      <c r="C1" s="34">
        <v>2021</v>
      </c>
      <c r="D1" s="34">
        <v>2022</v>
      </c>
      <c r="E1" s="34">
        <v>2023</v>
      </c>
      <c r="F1" s="33">
        <v>2024</v>
      </c>
      <c r="G1" s="33" t="s">
        <v>20</v>
      </c>
      <c r="H1" s="33" t="s">
        <v>27</v>
      </c>
      <c r="I1" s="122" t="s">
        <v>25</v>
      </c>
      <c r="J1" s="123"/>
    </row>
    <row r="2" spans="1:10" x14ac:dyDescent="0.2">
      <c r="A2" s="13" t="s">
        <v>18</v>
      </c>
      <c r="B2" s="31"/>
      <c r="C2" s="31"/>
      <c r="D2" s="31"/>
      <c r="E2" s="31"/>
      <c r="F2" s="30"/>
      <c r="G2" s="30"/>
      <c r="H2" s="30"/>
      <c r="I2" s="62">
        <f>H2-G2</f>
        <v>0</v>
      </c>
      <c r="J2" s="66" t="e">
        <f>(H2-G2)/G2</f>
        <v>#DIV/0!</v>
      </c>
    </row>
    <row r="3" spans="1:10" x14ac:dyDescent="0.2">
      <c r="A3" s="13" t="s">
        <v>17</v>
      </c>
      <c r="B3" s="31"/>
      <c r="C3" s="31"/>
      <c r="D3" s="31"/>
      <c r="E3" s="31"/>
      <c r="F3" s="30"/>
      <c r="G3" s="30"/>
      <c r="H3" s="30"/>
      <c r="I3" s="62">
        <f t="shared" ref="I3:I13" si="0">H3-G3</f>
        <v>0</v>
      </c>
      <c r="J3" s="66" t="e">
        <f t="shared" ref="J3:J13" si="1">(H3-G3)/G3</f>
        <v>#DIV/0!</v>
      </c>
    </row>
    <row r="4" spans="1:10" x14ac:dyDescent="0.2">
      <c r="A4" s="13" t="s">
        <v>16</v>
      </c>
      <c r="B4" s="32"/>
      <c r="C4" s="31"/>
      <c r="D4" s="31"/>
      <c r="E4" s="31"/>
      <c r="F4" s="30"/>
      <c r="G4" s="30"/>
      <c r="H4" s="30"/>
      <c r="I4" s="62">
        <f t="shared" si="0"/>
        <v>0</v>
      </c>
      <c r="J4" s="66" t="s">
        <v>26</v>
      </c>
    </row>
    <row r="5" spans="1:10" x14ac:dyDescent="0.2">
      <c r="A5" s="13" t="s">
        <v>15</v>
      </c>
      <c r="B5" s="32"/>
      <c r="C5" s="31"/>
      <c r="D5" s="31"/>
      <c r="E5" s="31"/>
      <c r="F5" s="30"/>
      <c r="G5" s="30"/>
      <c r="H5" s="30"/>
      <c r="I5" s="62">
        <f t="shared" si="0"/>
        <v>0</v>
      </c>
      <c r="J5" s="66" t="e">
        <f t="shared" si="1"/>
        <v>#DIV/0!</v>
      </c>
    </row>
    <row r="6" spans="1:10" x14ac:dyDescent="0.2">
      <c r="A6" s="13" t="s">
        <v>14</v>
      </c>
      <c r="B6" s="32"/>
      <c r="C6" s="31"/>
      <c r="D6" s="31"/>
      <c r="E6" s="31"/>
      <c r="F6" s="30"/>
      <c r="G6" s="30"/>
      <c r="H6" s="30"/>
      <c r="I6" s="62">
        <f t="shared" si="0"/>
        <v>0</v>
      </c>
      <c r="J6" s="66" t="e">
        <f t="shared" si="1"/>
        <v>#DIV/0!</v>
      </c>
    </row>
    <row r="7" spans="1:10" x14ac:dyDescent="0.2">
      <c r="A7" s="13" t="s">
        <v>13</v>
      </c>
      <c r="B7" s="31"/>
      <c r="C7" s="31"/>
      <c r="D7" s="31"/>
      <c r="E7" s="31"/>
      <c r="F7" s="30"/>
      <c r="G7" s="30"/>
      <c r="H7" s="30"/>
      <c r="I7" s="62">
        <f t="shared" si="0"/>
        <v>0</v>
      </c>
      <c r="J7" s="66" t="e">
        <f t="shared" si="1"/>
        <v>#DIV/0!</v>
      </c>
    </row>
    <row r="8" spans="1:10" x14ac:dyDescent="0.2">
      <c r="A8" s="13" t="s">
        <v>12</v>
      </c>
      <c r="B8" s="31"/>
      <c r="C8" s="31"/>
      <c r="D8" s="31"/>
      <c r="E8" s="31"/>
      <c r="F8" s="30"/>
      <c r="G8" s="30"/>
      <c r="H8" s="30"/>
      <c r="I8" s="62">
        <f t="shared" si="0"/>
        <v>0</v>
      </c>
      <c r="J8" s="66" t="e">
        <f t="shared" si="1"/>
        <v>#DIV/0!</v>
      </c>
    </row>
    <row r="9" spans="1:10" x14ac:dyDescent="0.2">
      <c r="A9" s="13" t="s">
        <v>2</v>
      </c>
      <c r="B9" s="31"/>
      <c r="C9" s="31"/>
      <c r="D9" s="31"/>
      <c r="E9" s="31"/>
      <c r="F9" s="30"/>
      <c r="G9" s="30"/>
      <c r="H9" s="30"/>
      <c r="I9" s="62">
        <f t="shared" si="0"/>
        <v>0</v>
      </c>
      <c r="J9" s="66" t="e">
        <f t="shared" si="1"/>
        <v>#DIV/0!</v>
      </c>
    </row>
    <row r="10" spans="1:10" x14ac:dyDescent="0.2">
      <c r="A10" s="13" t="s">
        <v>3</v>
      </c>
      <c r="B10" s="31"/>
      <c r="C10" s="31"/>
      <c r="D10" s="31"/>
      <c r="E10" s="31"/>
      <c r="F10" s="30"/>
      <c r="G10" s="30"/>
      <c r="H10" s="30"/>
      <c r="I10" s="62">
        <f t="shared" si="0"/>
        <v>0</v>
      </c>
      <c r="J10" s="66" t="e">
        <f t="shared" si="1"/>
        <v>#DIV/0!</v>
      </c>
    </row>
    <row r="11" spans="1:10" x14ac:dyDescent="0.2">
      <c r="A11" s="13" t="s">
        <v>11</v>
      </c>
      <c r="B11" s="31"/>
      <c r="C11" s="31"/>
      <c r="D11" s="31"/>
      <c r="E11" s="31"/>
      <c r="F11" s="30"/>
      <c r="G11" s="30"/>
      <c r="H11" s="30"/>
      <c r="I11" s="62">
        <f t="shared" si="0"/>
        <v>0</v>
      </c>
      <c r="J11" s="66" t="e">
        <f t="shared" si="1"/>
        <v>#DIV/0!</v>
      </c>
    </row>
    <row r="12" spans="1:10" x14ac:dyDescent="0.2">
      <c r="A12" s="13" t="s">
        <v>10</v>
      </c>
      <c r="B12" s="31"/>
      <c r="C12" s="31"/>
      <c r="D12" s="31"/>
      <c r="E12" s="31"/>
      <c r="F12" s="30"/>
      <c r="G12" s="30"/>
      <c r="H12" s="30"/>
      <c r="I12" s="62">
        <f t="shared" si="0"/>
        <v>0</v>
      </c>
      <c r="J12" s="66" t="e">
        <f t="shared" si="1"/>
        <v>#DIV/0!</v>
      </c>
    </row>
    <row r="13" spans="1:10" ht="19" thickBot="1" x14ac:dyDescent="0.25">
      <c r="A13" s="12" t="s">
        <v>9</v>
      </c>
      <c r="B13" s="29"/>
      <c r="C13" s="29"/>
      <c r="D13" s="29"/>
      <c r="E13" s="29"/>
      <c r="F13" s="28"/>
      <c r="G13" s="28"/>
      <c r="H13" s="28"/>
      <c r="I13" s="62">
        <f t="shared" si="0"/>
        <v>0</v>
      </c>
      <c r="J13" s="66" t="e">
        <f t="shared" si="1"/>
        <v>#DIV/0!</v>
      </c>
    </row>
    <row r="14" spans="1:10" ht="19" thickBot="1" x14ac:dyDescent="0.25">
      <c r="A14" s="11" t="s">
        <v>8</v>
      </c>
      <c r="B14" s="27">
        <f t="shared" ref="B14:F14" si="2">SUM(B2:B13)</f>
        <v>0</v>
      </c>
      <c r="C14" s="27">
        <f t="shared" si="2"/>
        <v>0</v>
      </c>
      <c r="D14" s="27">
        <f t="shared" si="2"/>
        <v>0</v>
      </c>
      <c r="E14" s="27">
        <f t="shared" si="2"/>
        <v>0</v>
      </c>
      <c r="F14" s="26">
        <f t="shared" si="2"/>
        <v>0</v>
      </c>
      <c r="G14" s="26">
        <f>SUM(G2:G13)</f>
        <v>0</v>
      </c>
      <c r="H14" s="26">
        <f t="shared" ref="H14" si="3">SUM(H2:H13)</f>
        <v>0</v>
      </c>
      <c r="I14" s="63">
        <f>H14-G14</f>
        <v>0</v>
      </c>
      <c r="J14" s="67" t="e">
        <f>(H14-G14)/G14</f>
        <v>#DIV/0!</v>
      </c>
    </row>
    <row r="15" spans="1:10" x14ac:dyDescent="0.2">
      <c r="A15" s="16" t="s">
        <v>4</v>
      </c>
      <c r="B15" s="15">
        <v>2020</v>
      </c>
      <c r="C15" s="15">
        <v>2021</v>
      </c>
      <c r="D15" s="15">
        <v>2022</v>
      </c>
      <c r="E15" s="15">
        <v>2023</v>
      </c>
      <c r="F15" s="14">
        <v>2024</v>
      </c>
      <c r="G15" s="14">
        <v>2025</v>
      </c>
      <c r="H15" s="14">
        <v>2026</v>
      </c>
      <c r="I15" s="122" t="s">
        <v>25</v>
      </c>
      <c r="J15" s="123"/>
    </row>
    <row r="16" spans="1:10" x14ac:dyDescent="0.2">
      <c r="A16" s="13" t="s">
        <v>18</v>
      </c>
      <c r="B16" s="24"/>
      <c r="C16" s="24"/>
      <c r="D16" s="24"/>
      <c r="E16" s="24"/>
      <c r="F16" s="23"/>
      <c r="G16" s="23"/>
      <c r="H16" s="23"/>
      <c r="I16" s="62">
        <f>H16-G16</f>
        <v>0</v>
      </c>
      <c r="J16" s="66" t="e">
        <f>(H16-G16)/G16</f>
        <v>#DIV/0!</v>
      </c>
    </row>
    <row r="17" spans="1:10" x14ac:dyDescent="0.2">
      <c r="A17" s="13" t="s">
        <v>17</v>
      </c>
      <c r="B17" s="24"/>
      <c r="C17" s="24"/>
      <c r="D17" s="24"/>
      <c r="E17" s="24"/>
      <c r="F17" s="23"/>
      <c r="G17" s="23"/>
      <c r="H17" s="23"/>
      <c r="I17" s="62">
        <f t="shared" ref="I17:I27" si="4">H17-G17</f>
        <v>0</v>
      </c>
      <c r="J17" s="66" t="e">
        <f t="shared" ref="J17:J27" si="5">(H17-G17)/G17</f>
        <v>#DIV/0!</v>
      </c>
    </row>
    <row r="18" spans="1:10" x14ac:dyDescent="0.2">
      <c r="A18" s="13" t="s">
        <v>16</v>
      </c>
      <c r="B18" s="25"/>
      <c r="C18" s="24"/>
      <c r="D18" s="24"/>
      <c r="E18" s="24"/>
      <c r="F18" s="23"/>
      <c r="G18" s="23"/>
      <c r="H18" s="23"/>
      <c r="I18" s="62">
        <f t="shared" si="4"/>
        <v>0</v>
      </c>
      <c r="J18" s="66" t="s">
        <v>26</v>
      </c>
    </row>
    <row r="19" spans="1:10" x14ac:dyDescent="0.2">
      <c r="A19" s="13" t="s">
        <v>15</v>
      </c>
      <c r="B19" s="25"/>
      <c r="C19" s="24"/>
      <c r="D19" s="24"/>
      <c r="E19" s="24"/>
      <c r="F19" s="23"/>
      <c r="G19" s="23"/>
      <c r="H19" s="23"/>
      <c r="I19" s="62">
        <f t="shared" si="4"/>
        <v>0</v>
      </c>
      <c r="J19" s="66" t="e">
        <f t="shared" si="5"/>
        <v>#DIV/0!</v>
      </c>
    </row>
    <row r="20" spans="1:10" x14ac:dyDescent="0.2">
      <c r="A20" s="13" t="s">
        <v>14</v>
      </c>
      <c r="B20" s="25"/>
      <c r="C20" s="24"/>
      <c r="D20" s="24"/>
      <c r="E20" s="24"/>
      <c r="F20" s="23"/>
      <c r="G20" s="23"/>
      <c r="H20" s="23"/>
      <c r="I20" s="62">
        <f>H20-G20</f>
        <v>0</v>
      </c>
      <c r="J20" s="66" t="e">
        <f t="shared" si="5"/>
        <v>#DIV/0!</v>
      </c>
    </row>
    <row r="21" spans="1:10" x14ac:dyDescent="0.2">
      <c r="A21" s="13" t="s">
        <v>13</v>
      </c>
      <c r="B21" s="24"/>
      <c r="C21" s="24"/>
      <c r="D21" s="24"/>
      <c r="E21" s="24"/>
      <c r="F21" s="23"/>
      <c r="G21" s="23"/>
      <c r="H21" s="23"/>
      <c r="I21" s="62">
        <f t="shared" si="4"/>
        <v>0</v>
      </c>
      <c r="J21" s="66" t="e">
        <f t="shared" si="5"/>
        <v>#DIV/0!</v>
      </c>
    </row>
    <row r="22" spans="1:10" x14ac:dyDescent="0.2">
      <c r="A22" s="13" t="s">
        <v>12</v>
      </c>
      <c r="B22" s="24"/>
      <c r="C22" s="24"/>
      <c r="D22" s="24"/>
      <c r="E22" s="24"/>
      <c r="F22" s="23"/>
      <c r="G22" s="23"/>
      <c r="H22" s="23"/>
      <c r="I22" s="62">
        <f t="shared" si="4"/>
        <v>0</v>
      </c>
      <c r="J22" s="66" t="e">
        <f t="shared" si="5"/>
        <v>#DIV/0!</v>
      </c>
    </row>
    <row r="23" spans="1:10" x14ac:dyDescent="0.2">
      <c r="A23" s="13" t="s">
        <v>2</v>
      </c>
      <c r="B23" s="24"/>
      <c r="C23" s="24"/>
      <c r="D23" s="24"/>
      <c r="E23" s="24"/>
      <c r="F23" s="23"/>
      <c r="G23" s="23"/>
      <c r="H23" s="23"/>
      <c r="I23" s="62">
        <f t="shared" si="4"/>
        <v>0</v>
      </c>
      <c r="J23" s="66" t="e">
        <f t="shared" si="5"/>
        <v>#DIV/0!</v>
      </c>
    </row>
    <row r="24" spans="1:10" x14ac:dyDescent="0.2">
      <c r="A24" s="13" t="s">
        <v>3</v>
      </c>
      <c r="B24" s="24"/>
      <c r="C24" s="24"/>
      <c r="D24" s="24"/>
      <c r="E24" s="24"/>
      <c r="F24" s="23"/>
      <c r="G24" s="23"/>
      <c r="H24" s="23"/>
      <c r="I24" s="62">
        <f t="shared" si="4"/>
        <v>0</v>
      </c>
      <c r="J24" s="66" t="e">
        <f t="shared" si="5"/>
        <v>#DIV/0!</v>
      </c>
    </row>
    <row r="25" spans="1:10" x14ac:dyDescent="0.2">
      <c r="A25" s="13" t="s">
        <v>11</v>
      </c>
      <c r="B25" s="24"/>
      <c r="C25" s="24"/>
      <c r="D25" s="24"/>
      <c r="E25" s="24"/>
      <c r="F25" s="23"/>
      <c r="G25" s="23"/>
      <c r="H25" s="23"/>
      <c r="I25" s="62">
        <f t="shared" si="4"/>
        <v>0</v>
      </c>
      <c r="J25" s="66" t="e">
        <f t="shared" si="5"/>
        <v>#DIV/0!</v>
      </c>
    </row>
    <row r="26" spans="1:10" x14ac:dyDescent="0.2">
      <c r="A26" s="13" t="s">
        <v>10</v>
      </c>
      <c r="B26" s="24"/>
      <c r="C26" s="24"/>
      <c r="D26" s="24"/>
      <c r="E26" s="24"/>
      <c r="F26" s="23"/>
      <c r="G26" s="23"/>
      <c r="H26" s="23"/>
      <c r="I26" s="62">
        <f t="shared" si="4"/>
        <v>0</v>
      </c>
      <c r="J26" s="66" t="e">
        <f t="shared" si="5"/>
        <v>#DIV/0!</v>
      </c>
    </row>
    <row r="27" spans="1:10" ht="19" thickBot="1" x14ac:dyDescent="0.25">
      <c r="A27" s="12" t="s">
        <v>9</v>
      </c>
      <c r="B27" s="22"/>
      <c r="C27" s="22"/>
      <c r="D27" s="22"/>
      <c r="E27" s="22"/>
      <c r="F27" s="21"/>
      <c r="G27" s="21"/>
      <c r="H27" s="21"/>
      <c r="I27" s="62">
        <f t="shared" si="4"/>
        <v>0</v>
      </c>
      <c r="J27" s="66" t="e">
        <f t="shared" si="5"/>
        <v>#DIV/0!</v>
      </c>
    </row>
    <row r="28" spans="1:10" ht="19" thickBot="1" x14ac:dyDescent="0.25">
      <c r="A28" s="11" t="s">
        <v>8</v>
      </c>
      <c r="B28" s="20">
        <f t="shared" ref="B28:F28" si="6">SUM(B16:B27)</f>
        <v>0</v>
      </c>
      <c r="C28" s="20">
        <f t="shared" si="6"/>
        <v>0</v>
      </c>
      <c r="D28" s="20">
        <f t="shared" si="6"/>
        <v>0</v>
      </c>
      <c r="E28" s="20">
        <f t="shared" si="6"/>
        <v>0</v>
      </c>
      <c r="F28" s="19">
        <f t="shared" si="6"/>
        <v>0</v>
      </c>
      <c r="G28" s="19">
        <f>SUM(G16:G27)</f>
        <v>0</v>
      </c>
      <c r="H28" s="19">
        <f t="shared" ref="H28" si="7">SUM(H16:H27)</f>
        <v>0</v>
      </c>
      <c r="I28" s="63">
        <f>H28-G28</f>
        <v>0</v>
      </c>
      <c r="J28" s="67" t="e">
        <f>(H28-G28)/G28</f>
        <v>#DIV/0!</v>
      </c>
    </row>
    <row r="29" spans="1:10" x14ac:dyDescent="0.2">
      <c r="A29" s="16" t="s">
        <v>6</v>
      </c>
      <c r="B29" s="15">
        <v>2020</v>
      </c>
      <c r="C29" s="15">
        <v>2021</v>
      </c>
      <c r="D29" s="15">
        <v>2022</v>
      </c>
      <c r="E29" s="15">
        <v>2023</v>
      </c>
      <c r="F29" s="14">
        <v>2024</v>
      </c>
      <c r="G29" s="14">
        <v>2025</v>
      </c>
      <c r="H29" s="14">
        <v>2026</v>
      </c>
      <c r="I29" s="122" t="s">
        <v>25</v>
      </c>
      <c r="J29" s="123"/>
    </row>
    <row r="30" spans="1:10" x14ac:dyDescent="0.2">
      <c r="A30" s="13" t="s">
        <v>18</v>
      </c>
      <c r="B30" s="98"/>
      <c r="C30" s="99">
        <f t="shared" ref="C30:E30" si="8">C16/217</f>
        <v>0</v>
      </c>
      <c r="D30" s="99">
        <f t="shared" si="8"/>
        <v>0</v>
      </c>
      <c r="E30" s="99">
        <f t="shared" si="8"/>
        <v>0</v>
      </c>
      <c r="F30" s="99">
        <f>F16/217</f>
        <v>0</v>
      </c>
      <c r="G30" s="99">
        <f t="shared" ref="G30:H30" si="9">G16/217</f>
        <v>0</v>
      </c>
      <c r="H30" s="99">
        <f t="shared" si="9"/>
        <v>0</v>
      </c>
      <c r="I30" s="64">
        <f>H30-G30</f>
        <v>0</v>
      </c>
      <c r="J30" s="66" t="e">
        <f>(H30-G30)/G30</f>
        <v>#DIV/0!</v>
      </c>
    </row>
    <row r="31" spans="1:10" x14ac:dyDescent="0.2">
      <c r="A31" s="13" t="s">
        <v>17</v>
      </c>
      <c r="B31" s="98"/>
      <c r="C31" s="99">
        <f>C17/196</f>
        <v>0</v>
      </c>
      <c r="D31" s="99">
        <f>D17/196</f>
        <v>0</v>
      </c>
      <c r="E31" s="99">
        <f>E17/196</f>
        <v>0</v>
      </c>
      <c r="F31" s="99">
        <f>F17/203</f>
        <v>0</v>
      </c>
      <c r="G31" s="99">
        <f>G17/196</f>
        <v>0</v>
      </c>
      <c r="H31" s="99">
        <f>H17/196</f>
        <v>0</v>
      </c>
      <c r="I31" s="64">
        <f t="shared" ref="I31:I41" si="10">H31-G31</f>
        <v>0</v>
      </c>
      <c r="J31" s="66" t="e">
        <f t="shared" ref="J31:J41" si="11">(H31-G31)/G31</f>
        <v>#DIV/0!</v>
      </c>
    </row>
    <row r="32" spans="1:10" x14ac:dyDescent="0.2">
      <c r="A32" s="13" t="s">
        <v>16</v>
      </c>
      <c r="B32" s="100"/>
      <c r="C32" s="99">
        <f t="shared" ref="C32:E32" si="12">C18/217</f>
        <v>0</v>
      </c>
      <c r="D32" s="99">
        <f t="shared" si="12"/>
        <v>0</v>
      </c>
      <c r="E32" s="99">
        <f t="shared" si="12"/>
        <v>0</v>
      </c>
      <c r="F32" s="99">
        <f>F18/217</f>
        <v>0</v>
      </c>
      <c r="G32" s="99">
        <f t="shared" ref="G32:H32" si="13">G18/217</f>
        <v>0</v>
      </c>
      <c r="H32" s="99">
        <f t="shared" si="13"/>
        <v>0</v>
      </c>
      <c r="I32" s="64">
        <f t="shared" si="10"/>
        <v>0</v>
      </c>
      <c r="J32" s="66" t="s">
        <v>26</v>
      </c>
    </row>
    <row r="33" spans="1:10" x14ac:dyDescent="0.2">
      <c r="A33" s="13" t="s">
        <v>15</v>
      </c>
      <c r="B33" s="100"/>
      <c r="C33" s="99">
        <f t="shared" ref="C33:E33" si="14">C19/210</f>
        <v>0</v>
      </c>
      <c r="D33" s="99">
        <f t="shared" si="14"/>
        <v>0</v>
      </c>
      <c r="E33" s="99">
        <f t="shared" si="14"/>
        <v>0</v>
      </c>
      <c r="F33" s="99">
        <f>F19/210</f>
        <v>0</v>
      </c>
      <c r="G33" s="99">
        <f t="shared" ref="G33:H33" si="15">G19/210</f>
        <v>0</v>
      </c>
      <c r="H33" s="99">
        <f t="shared" si="15"/>
        <v>0</v>
      </c>
      <c r="I33" s="64">
        <f t="shared" si="10"/>
        <v>0</v>
      </c>
      <c r="J33" s="66" t="e">
        <f t="shared" si="11"/>
        <v>#DIV/0!</v>
      </c>
    </row>
    <row r="34" spans="1:10" x14ac:dyDescent="0.2">
      <c r="A34" s="13" t="s">
        <v>14</v>
      </c>
      <c r="B34" s="100"/>
      <c r="C34" s="99">
        <f t="shared" ref="C34:E34" si="16">C20/217</f>
        <v>0</v>
      </c>
      <c r="D34" s="99">
        <f t="shared" si="16"/>
        <v>0</v>
      </c>
      <c r="E34" s="99">
        <f t="shared" si="16"/>
        <v>0</v>
      </c>
      <c r="F34" s="99">
        <f>F20/217</f>
        <v>0</v>
      </c>
      <c r="G34" s="99">
        <f t="shared" ref="G34:H34" si="17">G20/217</f>
        <v>0</v>
      </c>
      <c r="H34" s="99">
        <f t="shared" si="17"/>
        <v>0</v>
      </c>
      <c r="I34" s="64">
        <f t="shared" si="10"/>
        <v>0</v>
      </c>
      <c r="J34" s="66" t="e">
        <f t="shared" si="11"/>
        <v>#DIV/0!</v>
      </c>
    </row>
    <row r="35" spans="1:10" x14ac:dyDescent="0.2">
      <c r="A35" s="13" t="s">
        <v>13</v>
      </c>
      <c r="B35" s="99"/>
      <c r="C35" s="99">
        <f t="shared" ref="C35:E35" si="18">C21/210</f>
        <v>0</v>
      </c>
      <c r="D35" s="99">
        <f t="shared" si="18"/>
        <v>0</v>
      </c>
      <c r="E35" s="99">
        <f t="shared" si="18"/>
        <v>0</v>
      </c>
      <c r="F35" s="99">
        <f>F21/210</f>
        <v>0</v>
      </c>
      <c r="G35" s="99">
        <f t="shared" ref="G35:H35" si="19">G21/210</f>
        <v>0</v>
      </c>
      <c r="H35" s="99">
        <f t="shared" si="19"/>
        <v>0</v>
      </c>
      <c r="I35" s="64">
        <f t="shared" si="10"/>
        <v>0</v>
      </c>
      <c r="J35" s="66" t="e">
        <f t="shared" si="11"/>
        <v>#DIV/0!</v>
      </c>
    </row>
    <row r="36" spans="1:10" x14ac:dyDescent="0.2">
      <c r="A36" s="13" t="s">
        <v>12</v>
      </c>
      <c r="B36" s="99"/>
      <c r="C36" s="99">
        <f t="shared" ref="C36:E36" si="20">C22/217</f>
        <v>0</v>
      </c>
      <c r="D36" s="99">
        <f t="shared" si="20"/>
        <v>0</v>
      </c>
      <c r="E36" s="99">
        <f t="shared" si="20"/>
        <v>0</v>
      </c>
      <c r="F36" s="99">
        <f>F22/217</f>
        <v>0</v>
      </c>
      <c r="G36" s="99">
        <f t="shared" ref="G36:H36" si="21">G22/217</f>
        <v>0</v>
      </c>
      <c r="H36" s="99">
        <f t="shared" si="21"/>
        <v>0</v>
      </c>
      <c r="I36" s="64">
        <f t="shared" si="10"/>
        <v>0</v>
      </c>
      <c r="J36" s="66" t="e">
        <f t="shared" si="11"/>
        <v>#DIV/0!</v>
      </c>
    </row>
    <row r="37" spans="1:10" x14ac:dyDescent="0.2">
      <c r="A37" s="13" t="s">
        <v>2</v>
      </c>
      <c r="B37" s="99"/>
      <c r="C37" s="99">
        <f t="shared" ref="C37:E37" si="22">C23/217</f>
        <v>0</v>
      </c>
      <c r="D37" s="99">
        <f t="shared" si="22"/>
        <v>0</v>
      </c>
      <c r="E37" s="99">
        <f t="shared" si="22"/>
        <v>0</v>
      </c>
      <c r="F37" s="99">
        <f>F23/217</f>
        <v>0</v>
      </c>
      <c r="G37" s="99">
        <f t="shared" ref="G37:H37" si="23">G23/217</f>
        <v>0</v>
      </c>
      <c r="H37" s="99">
        <f t="shared" si="23"/>
        <v>0</v>
      </c>
      <c r="I37" s="64">
        <f t="shared" si="10"/>
        <v>0</v>
      </c>
      <c r="J37" s="66" t="e">
        <f t="shared" si="11"/>
        <v>#DIV/0!</v>
      </c>
    </row>
    <row r="38" spans="1:10" x14ac:dyDescent="0.2">
      <c r="A38" s="13" t="s">
        <v>3</v>
      </c>
      <c r="B38" s="99">
        <f t="shared" ref="B38:E38" si="24">B24/210</f>
        <v>0</v>
      </c>
      <c r="C38" s="99">
        <f t="shared" si="24"/>
        <v>0</v>
      </c>
      <c r="D38" s="99">
        <f t="shared" si="24"/>
        <v>0</v>
      </c>
      <c r="E38" s="99">
        <f t="shared" si="24"/>
        <v>0</v>
      </c>
      <c r="F38" s="99">
        <f>F24/210</f>
        <v>0</v>
      </c>
      <c r="G38" s="99">
        <f t="shared" ref="G38:H38" si="25">G24/210</f>
        <v>0</v>
      </c>
      <c r="H38" s="99">
        <f t="shared" si="25"/>
        <v>0</v>
      </c>
      <c r="I38" s="64">
        <f t="shared" si="10"/>
        <v>0</v>
      </c>
      <c r="J38" s="66" t="e">
        <f t="shared" si="11"/>
        <v>#DIV/0!</v>
      </c>
    </row>
    <row r="39" spans="1:10" x14ac:dyDescent="0.2">
      <c r="A39" s="13" t="s">
        <v>11</v>
      </c>
      <c r="B39" s="99">
        <f t="shared" ref="B39:E39" si="26">B25/217</f>
        <v>0</v>
      </c>
      <c r="C39" s="99">
        <f t="shared" si="26"/>
        <v>0</v>
      </c>
      <c r="D39" s="99">
        <f t="shared" si="26"/>
        <v>0</v>
      </c>
      <c r="E39" s="99">
        <f t="shared" si="26"/>
        <v>0</v>
      </c>
      <c r="F39" s="99">
        <f>F25/217</f>
        <v>0</v>
      </c>
      <c r="G39" s="99">
        <f t="shared" ref="G39:H39" si="27">G25/217</f>
        <v>0</v>
      </c>
      <c r="H39" s="99">
        <f t="shared" si="27"/>
        <v>0</v>
      </c>
      <c r="I39" s="64">
        <f t="shared" si="10"/>
        <v>0</v>
      </c>
      <c r="J39" s="66" t="e">
        <f t="shared" si="11"/>
        <v>#DIV/0!</v>
      </c>
    </row>
    <row r="40" spans="1:10" x14ac:dyDescent="0.2">
      <c r="A40" s="13" t="s">
        <v>10</v>
      </c>
      <c r="B40" s="99">
        <f t="shared" ref="B40:E40" si="28">B26/210</f>
        <v>0</v>
      </c>
      <c r="C40" s="99">
        <f t="shared" si="28"/>
        <v>0</v>
      </c>
      <c r="D40" s="99">
        <f t="shared" si="28"/>
        <v>0</v>
      </c>
      <c r="E40" s="99">
        <f t="shared" si="28"/>
        <v>0</v>
      </c>
      <c r="F40" s="99">
        <f>F26/210</f>
        <v>0</v>
      </c>
      <c r="G40" s="99">
        <f t="shared" ref="G40:H40" si="29">G26/210</f>
        <v>0</v>
      </c>
      <c r="H40" s="99">
        <f t="shared" si="29"/>
        <v>0</v>
      </c>
      <c r="I40" s="64">
        <f t="shared" si="10"/>
        <v>0</v>
      </c>
      <c r="J40" s="66" t="e">
        <f t="shared" si="11"/>
        <v>#DIV/0!</v>
      </c>
    </row>
    <row r="41" spans="1:10" ht="19" thickBot="1" x14ac:dyDescent="0.25">
      <c r="A41" s="12" t="s">
        <v>9</v>
      </c>
      <c r="B41" s="101">
        <f t="shared" ref="B41:E41" si="30">B27/217</f>
        <v>0</v>
      </c>
      <c r="C41" s="101">
        <f t="shared" si="30"/>
        <v>0</v>
      </c>
      <c r="D41" s="101">
        <f t="shared" si="30"/>
        <v>0</v>
      </c>
      <c r="E41" s="101">
        <f t="shared" si="30"/>
        <v>0</v>
      </c>
      <c r="F41" s="101">
        <f>F27/217</f>
        <v>0</v>
      </c>
      <c r="G41" s="101">
        <f t="shared" ref="G41:H41" si="31">G27/217</f>
        <v>0</v>
      </c>
      <c r="H41" s="101">
        <f t="shared" si="31"/>
        <v>0</v>
      </c>
      <c r="I41" s="64">
        <f t="shared" si="10"/>
        <v>0</v>
      </c>
      <c r="J41" s="66" t="e">
        <f t="shared" si="11"/>
        <v>#DIV/0!</v>
      </c>
    </row>
    <row r="42" spans="1:10" ht="19" thickBot="1" x14ac:dyDescent="0.25">
      <c r="A42" s="11" t="s">
        <v>28</v>
      </c>
      <c r="B42" s="18">
        <f t="shared" ref="B42:G42" si="32">SUM(B30:B41)/12</f>
        <v>0</v>
      </c>
      <c r="C42" s="18">
        <f t="shared" si="32"/>
        <v>0</v>
      </c>
      <c r="D42" s="18">
        <f t="shared" si="32"/>
        <v>0</v>
      </c>
      <c r="E42" s="18">
        <f t="shared" si="32"/>
        <v>0</v>
      </c>
      <c r="F42" s="17">
        <f t="shared" si="32"/>
        <v>0</v>
      </c>
      <c r="G42" s="17">
        <f t="shared" si="32"/>
        <v>0</v>
      </c>
      <c r="H42" s="17">
        <f t="shared" ref="H42" si="33">SUM(H30:H41)/12</f>
        <v>0</v>
      </c>
      <c r="I42" s="65">
        <f>H42-G42</f>
        <v>0</v>
      </c>
      <c r="J42" s="67" t="e">
        <f>(H42-G42)/G42</f>
        <v>#DIV/0!</v>
      </c>
    </row>
    <row r="43" spans="1:10" x14ac:dyDescent="0.2">
      <c r="A43" s="16" t="s">
        <v>5</v>
      </c>
      <c r="B43" s="15">
        <v>2020</v>
      </c>
      <c r="C43" s="15">
        <v>2021</v>
      </c>
      <c r="D43" s="15">
        <v>2022</v>
      </c>
      <c r="E43" s="15">
        <v>2023</v>
      </c>
      <c r="F43" s="14">
        <v>2024</v>
      </c>
      <c r="G43" s="14">
        <v>2025</v>
      </c>
      <c r="H43" s="14">
        <v>2026</v>
      </c>
      <c r="I43" s="122" t="s">
        <v>25</v>
      </c>
      <c r="J43" s="123"/>
    </row>
    <row r="44" spans="1:10" x14ac:dyDescent="0.2">
      <c r="A44" s="13" t="s">
        <v>18</v>
      </c>
      <c r="B44" s="31"/>
      <c r="C44" s="31">
        <v>0</v>
      </c>
      <c r="D44" s="31" t="e">
        <f t="shared" ref="C44:F46" si="34">D2/D16</f>
        <v>#DIV/0!</v>
      </c>
      <c r="E44" s="31" t="e">
        <f t="shared" si="34"/>
        <v>#DIV/0!</v>
      </c>
      <c r="F44" s="30" t="e">
        <f t="shared" si="34"/>
        <v>#DIV/0!</v>
      </c>
      <c r="G44" s="30" t="e">
        <f>G2/G16</f>
        <v>#DIV/0!</v>
      </c>
      <c r="H44" s="30" t="e">
        <f>H2/H16</f>
        <v>#DIV/0!</v>
      </c>
      <c r="I44" s="62" t="e">
        <f>H44-G44</f>
        <v>#DIV/0!</v>
      </c>
      <c r="J44" s="66" t="e">
        <f>(H44-G44)/G44</f>
        <v>#DIV/0!</v>
      </c>
    </row>
    <row r="45" spans="1:10" x14ac:dyDescent="0.2">
      <c r="A45" s="13" t="s">
        <v>17</v>
      </c>
      <c r="B45" s="31"/>
      <c r="C45" s="31" t="e">
        <f t="shared" si="34"/>
        <v>#DIV/0!</v>
      </c>
      <c r="D45" s="31" t="e">
        <f t="shared" si="34"/>
        <v>#DIV/0!</v>
      </c>
      <c r="E45" s="31" t="e">
        <f t="shared" si="34"/>
        <v>#DIV/0!</v>
      </c>
      <c r="F45" s="30" t="e">
        <f t="shared" si="34"/>
        <v>#DIV/0!</v>
      </c>
      <c r="G45" s="30" t="e">
        <f t="shared" ref="G45" si="35">G3/G17</f>
        <v>#DIV/0!</v>
      </c>
      <c r="H45" s="30" t="e">
        <f t="shared" ref="H45:H54" si="36">H3/H17</f>
        <v>#DIV/0!</v>
      </c>
      <c r="I45" s="62" t="e">
        <f t="shared" ref="I45:I55" si="37">H45-G45</f>
        <v>#DIV/0!</v>
      </c>
      <c r="J45" s="66" t="e">
        <f t="shared" ref="J45:J55" si="38">(H45-G45)/G45</f>
        <v>#DIV/0!</v>
      </c>
    </row>
    <row r="46" spans="1:10" x14ac:dyDescent="0.2">
      <c r="A46" s="13" t="s">
        <v>16</v>
      </c>
      <c r="B46" s="32"/>
      <c r="C46" s="31" t="e">
        <f t="shared" si="34"/>
        <v>#DIV/0!</v>
      </c>
      <c r="D46" s="31" t="e">
        <f t="shared" si="34"/>
        <v>#DIV/0!</v>
      </c>
      <c r="E46" s="31" t="e">
        <f t="shared" si="34"/>
        <v>#DIV/0!</v>
      </c>
      <c r="F46" s="30" t="e">
        <f t="shared" si="34"/>
        <v>#DIV/0!</v>
      </c>
      <c r="G46" s="30">
        <v>0</v>
      </c>
      <c r="H46" s="30" t="e">
        <f t="shared" si="36"/>
        <v>#DIV/0!</v>
      </c>
      <c r="I46" s="62" t="e">
        <f t="shared" si="37"/>
        <v>#DIV/0!</v>
      </c>
      <c r="J46" s="66" t="s">
        <v>26</v>
      </c>
    </row>
    <row r="47" spans="1:10" x14ac:dyDescent="0.2">
      <c r="A47" s="13" t="s">
        <v>15</v>
      </c>
      <c r="B47" s="32"/>
      <c r="C47" s="31" t="e">
        <f t="shared" ref="C47:F55" si="39">C5/C19</f>
        <v>#DIV/0!</v>
      </c>
      <c r="D47" s="31" t="e">
        <f t="shared" si="39"/>
        <v>#DIV/0!</v>
      </c>
      <c r="E47" s="31" t="e">
        <f t="shared" si="39"/>
        <v>#DIV/0!</v>
      </c>
      <c r="F47" s="30" t="e">
        <f t="shared" si="39"/>
        <v>#DIV/0!</v>
      </c>
      <c r="G47" s="30" t="e">
        <f t="shared" ref="G47" si="40">G5/G19</f>
        <v>#DIV/0!</v>
      </c>
      <c r="H47" s="30" t="e">
        <f t="shared" si="36"/>
        <v>#DIV/0!</v>
      </c>
      <c r="I47" s="62" t="e">
        <f t="shared" si="37"/>
        <v>#DIV/0!</v>
      </c>
      <c r="J47" s="66" t="e">
        <f t="shared" si="38"/>
        <v>#DIV/0!</v>
      </c>
    </row>
    <row r="48" spans="1:10" x14ac:dyDescent="0.2">
      <c r="A48" s="13" t="s">
        <v>14</v>
      </c>
      <c r="B48" s="32"/>
      <c r="C48" s="31" t="e">
        <f t="shared" si="39"/>
        <v>#DIV/0!</v>
      </c>
      <c r="D48" s="31" t="e">
        <f t="shared" si="39"/>
        <v>#DIV/0!</v>
      </c>
      <c r="E48" s="31" t="e">
        <f t="shared" si="39"/>
        <v>#DIV/0!</v>
      </c>
      <c r="F48" s="30" t="e">
        <f t="shared" si="39"/>
        <v>#DIV/0!</v>
      </c>
      <c r="G48" s="30" t="e">
        <f t="shared" ref="G48" si="41">G6/G20</f>
        <v>#DIV/0!</v>
      </c>
      <c r="H48" s="30" t="e">
        <f t="shared" si="36"/>
        <v>#DIV/0!</v>
      </c>
      <c r="I48" s="62" t="e">
        <f t="shared" si="37"/>
        <v>#DIV/0!</v>
      </c>
      <c r="J48" s="66" t="e">
        <f t="shared" si="38"/>
        <v>#DIV/0!</v>
      </c>
    </row>
    <row r="49" spans="1:10" x14ac:dyDescent="0.2">
      <c r="A49" s="13" t="s">
        <v>13</v>
      </c>
      <c r="B49" s="31"/>
      <c r="C49" s="31">
        <v>0</v>
      </c>
      <c r="D49" s="31" t="e">
        <f t="shared" si="39"/>
        <v>#DIV/0!</v>
      </c>
      <c r="E49" s="31" t="e">
        <f t="shared" si="39"/>
        <v>#DIV/0!</v>
      </c>
      <c r="F49" s="30" t="e">
        <f t="shared" si="39"/>
        <v>#DIV/0!</v>
      </c>
      <c r="G49" s="30" t="e">
        <f t="shared" ref="G49" si="42">G7/G21</f>
        <v>#DIV/0!</v>
      </c>
      <c r="H49" s="30" t="e">
        <f t="shared" si="36"/>
        <v>#DIV/0!</v>
      </c>
      <c r="I49" s="62" t="e">
        <f t="shared" si="37"/>
        <v>#DIV/0!</v>
      </c>
      <c r="J49" s="66" t="e">
        <f t="shared" si="38"/>
        <v>#DIV/0!</v>
      </c>
    </row>
    <row r="50" spans="1:10" x14ac:dyDescent="0.2">
      <c r="A50" s="13" t="s">
        <v>12</v>
      </c>
      <c r="B50" s="31"/>
      <c r="C50" s="31" t="e">
        <f t="shared" si="39"/>
        <v>#DIV/0!</v>
      </c>
      <c r="D50" s="31" t="e">
        <f t="shared" si="39"/>
        <v>#DIV/0!</v>
      </c>
      <c r="E50" s="31" t="e">
        <f t="shared" si="39"/>
        <v>#DIV/0!</v>
      </c>
      <c r="F50" s="30" t="e">
        <f t="shared" si="39"/>
        <v>#DIV/0!</v>
      </c>
      <c r="G50" s="30" t="e">
        <f t="shared" ref="G50" si="43">G8/G22</f>
        <v>#DIV/0!</v>
      </c>
      <c r="H50" s="30" t="e">
        <f t="shared" si="36"/>
        <v>#DIV/0!</v>
      </c>
      <c r="I50" s="62" t="e">
        <f t="shared" si="37"/>
        <v>#DIV/0!</v>
      </c>
      <c r="J50" s="66" t="e">
        <f t="shared" si="38"/>
        <v>#DIV/0!</v>
      </c>
    </row>
    <row r="51" spans="1:10" x14ac:dyDescent="0.2">
      <c r="A51" s="13" t="s">
        <v>2</v>
      </c>
      <c r="B51" s="31"/>
      <c r="C51" s="31" t="e">
        <f t="shared" si="39"/>
        <v>#DIV/0!</v>
      </c>
      <c r="D51" s="31" t="e">
        <f t="shared" si="39"/>
        <v>#DIV/0!</v>
      </c>
      <c r="E51" s="31" t="e">
        <f t="shared" si="39"/>
        <v>#DIV/0!</v>
      </c>
      <c r="F51" s="30" t="e">
        <f t="shared" si="39"/>
        <v>#DIV/0!</v>
      </c>
      <c r="G51" s="30" t="e">
        <f t="shared" ref="G51" si="44">G9/G23</f>
        <v>#DIV/0!</v>
      </c>
      <c r="H51" s="30" t="e">
        <f t="shared" si="36"/>
        <v>#DIV/0!</v>
      </c>
      <c r="I51" s="62" t="e">
        <f t="shared" si="37"/>
        <v>#DIV/0!</v>
      </c>
      <c r="J51" s="66" t="e">
        <f t="shared" si="38"/>
        <v>#DIV/0!</v>
      </c>
    </row>
    <row r="52" spans="1:10" x14ac:dyDescent="0.2">
      <c r="A52" s="13" t="s">
        <v>3</v>
      </c>
      <c r="B52" s="31" t="e">
        <f>B10/B24</f>
        <v>#DIV/0!</v>
      </c>
      <c r="C52" s="31" t="e">
        <f t="shared" si="39"/>
        <v>#DIV/0!</v>
      </c>
      <c r="D52" s="31" t="e">
        <f t="shared" si="39"/>
        <v>#DIV/0!</v>
      </c>
      <c r="E52" s="31" t="e">
        <f t="shared" si="39"/>
        <v>#DIV/0!</v>
      </c>
      <c r="F52" s="30" t="e">
        <f t="shared" si="39"/>
        <v>#DIV/0!</v>
      </c>
      <c r="G52" s="30" t="e">
        <f t="shared" ref="G52" si="45">G10/G24</f>
        <v>#DIV/0!</v>
      </c>
      <c r="H52" s="30" t="e">
        <f t="shared" si="36"/>
        <v>#DIV/0!</v>
      </c>
      <c r="I52" s="62" t="e">
        <f t="shared" si="37"/>
        <v>#DIV/0!</v>
      </c>
      <c r="J52" s="66" t="e">
        <f t="shared" si="38"/>
        <v>#DIV/0!</v>
      </c>
    </row>
    <row r="53" spans="1:10" x14ac:dyDescent="0.2">
      <c r="A53" s="13" t="s">
        <v>11</v>
      </c>
      <c r="B53" s="31">
        <v>0</v>
      </c>
      <c r="C53" s="31" t="e">
        <f t="shared" si="39"/>
        <v>#DIV/0!</v>
      </c>
      <c r="D53" s="31" t="e">
        <f t="shared" si="39"/>
        <v>#DIV/0!</v>
      </c>
      <c r="E53" s="31" t="e">
        <f t="shared" si="39"/>
        <v>#DIV/0!</v>
      </c>
      <c r="F53" s="30" t="e">
        <f t="shared" si="39"/>
        <v>#DIV/0!</v>
      </c>
      <c r="G53" s="30" t="e">
        <f t="shared" ref="G53" si="46">G11/G25</f>
        <v>#DIV/0!</v>
      </c>
      <c r="H53" s="30" t="e">
        <f t="shared" si="36"/>
        <v>#DIV/0!</v>
      </c>
      <c r="I53" s="62" t="e">
        <f t="shared" si="37"/>
        <v>#DIV/0!</v>
      </c>
      <c r="J53" s="66" t="e">
        <f t="shared" si="38"/>
        <v>#DIV/0!</v>
      </c>
    </row>
    <row r="54" spans="1:10" x14ac:dyDescent="0.2">
      <c r="A54" s="13" t="s">
        <v>10</v>
      </c>
      <c r="B54" s="31" t="e">
        <f>B12/B26</f>
        <v>#DIV/0!</v>
      </c>
      <c r="C54" s="31" t="e">
        <f t="shared" si="39"/>
        <v>#DIV/0!</v>
      </c>
      <c r="D54" s="31" t="e">
        <f t="shared" si="39"/>
        <v>#DIV/0!</v>
      </c>
      <c r="E54" s="31" t="e">
        <f t="shared" si="39"/>
        <v>#DIV/0!</v>
      </c>
      <c r="F54" s="30" t="e">
        <f t="shared" si="39"/>
        <v>#DIV/0!</v>
      </c>
      <c r="G54" s="30" t="e">
        <f t="shared" ref="G54" si="47">G12/G26</f>
        <v>#DIV/0!</v>
      </c>
      <c r="H54" s="30" t="e">
        <f t="shared" si="36"/>
        <v>#DIV/0!</v>
      </c>
      <c r="I54" s="62" t="e">
        <f t="shared" si="37"/>
        <v>#DIV/0!</v>
      </c>
      <c r="J54" s="66" t="e">
        <f t="shared" si="38"/>
        <v>#DIV/0!</v>
      </c>
    </row>
    <row r="55" spans="1:10" ht="19" thickBot="1" x14ac:dyDescent="0.25">
      <c r="A55" s="12" t="s">
        <v>9</v>
      </c>
      <c r="B55" s="29" t="e">
        <f>B13/B27</f>
        <v>#DIV/0!</v>
      </c>
      <c r="C55" s="29" t="e">
        <f t="shared" si="39"/>
        <v>#DIV/0!</v>
      </c>
      <c r="D55" s="29" t="e">
        <f t="shared" si="39"/>
        <v>#DIV/0!</v>
      </c>
      <c r="E55" s="29" t="e">
        <f t="shared" si="39"/>
        <v>#DIV/0!</v>
      </c>
      <c r="F55" s="28" t="e">
        <f t="shared" si="39"/>
        <v>#DIV/0!</v>
      </c>
      <c r="G55" s="28" t="e">
        <f t="shared" ref="G55" si="48">G13/G27</f>
        <v>#DIV/0!</v>
      </c>
      <c r="H55" s="28" t="e">
        <f t="shared" ref="H55" si="49">H13/H27</f>
        <v>#DIV/0!</v>
      </c>
      <c r="I55" s="62" t="e">
        <f t="shared" si="37"/>
        <v>#DIV/0!</v>
      </c>
      <c r="J55" s="66" t="e">
        <f t="shared" si="38"/>
        <v>#DIV/0!</v>
      </c>
    </row>
    <row r="56" spans="1:10" ht="19" thickBot="1" x14ac:dyDescent="0.25">
      <c r="A56" s="11" t="s">
        <v>28</v>
      </c>
      <c r="B56" s="27" t="e">
        <f t="shared" ref="B56:F56" si="50">SUM(B44:B55)/12</f>
        <v>#DIV/0!</v>
      </c>
      <c r="C56" s="27" t="e">
        <f t="shared" si="50"/>
        <v>#DIV/0!</v>
      </c>
      <c r="D56" s="27" t="e">
        <f t="shared" si="50"/>
        <v>#DIV/0!</v>
      </c>
      <c r="E56" s="27" t="e">
        <f t="shared" si="50"/>
        <v>#DIV/0!</v>
      </c>
      <c r="F56" s="26" t="e">
        <f t="shared" si="50"/>
        <v>#DIV/0!</v>
      </c>
      <c r="G56" s="26" t="e">
        <f>SUM(G44:G55)/12</f>
        <v>#DIV/0!</v>
      </c>
      <c r="H56" s="26" t="e">
        <f t="shared" ref="H56" si="51">SUM(H44:H55)/12</f>
        <v>#DIV/0!</v>
      </c>
      <c r="I56" s="63" t="e">
        <f>H56-G56</f>
        <v>#DIV/0!</v>
      </c>
      <c r="J56" s="67" t="e">
        <f>(H56-G56)/G56</f>
        <v>#DIV/0!</v>
      </c>
    </row>
    <row r="59" spans="1:10" x14ac:dyDescent="0.2">
      <c r="C59" s="10"/>
      <c r="D59"/>
      <c r="E59" s="10"/>
      <c r="F59"/>
      <c r="G59"/>
      <c r="H59"/>
      <c r="I59" s="10"/>
      <c r="J59" s="10"/>
    </row>
    <row r="60" spans="1:10" x14ac:dyDescent="0.2">
      <c r="C60"/>
      <c r="D60"/>
      <c r="E60"/>
      <c r="F60"/>
      <c r="G60"/>
      <c r="H60"/>
      <c r="I60"/>
      <c r="J60"/>
    </row>
    <row r="61" spans="1:10" x14ac:dyDescent="0.2">
      <c r="C61" s="10"/>
      <c r="D61"/>
      <c r="E61" s="10"/>
      <c r="F61"/>
      <c r="G61"/>
      <c r="H61"/>
      <c r="I61" s="10"/>
      <c r="J61" s="10"/>
    </row>
    <row r="62" spans="1:10" x14ac:dyDescent="0.2">
      <c r="C62" s="10"/>
      <c r="D62"/>
      <c r="E62" s="10"/>
      <c r="F62"/>
      <c r="G62"/>
      <c r="H62"/>
      <c r="I62" s="10"/>
      <c r="J62" s="10"/>
    </row>
    <row r="63" spans="1:10" x14ac:dyDescent="0.2">
      <c r="C63" s="10"/>
      <c r="D63"/>
      <c r="E63" s="10"/>
      <c r="F63"/>
      <c r="G63"/>
      <c r="H63"/>
      <c r="I63" s="10"/>
      <c r="J63" s="10"/>
    </row>
    <row r="64" spans="1:10" x14ac:dyDescent="0.2">
      <c r="C64" s="10"/>
      <c r="D64"/>
      <c r="E64" s="10"/>
      <c r="F64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3 I4 I5:J14 I16:J17 I18 I19:J28 I30:J31 I32 I33:J42 I44:J45 I46 I47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C31:H41 B39:B40" formula="1"/>
    <ignoredError sqref="H49:I56" evalError="1"/>
    <ignoredError sqref="H28 B14:B15 C14:G14 F28 C28:E28 G28 B28" formulaRange="1"/>
    <ignoredError sqref="G1:H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</vt:lpstr>
      <vt:lpstr>Fin Year</vt:lpstr>
      <vt:lpstr>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2026-05-15T14:29:41Z</cp:lastPrinted>
  <dcterms:created xsi:type="dcterms:W3CDTF">2025-04-03T10:02:25Z</dcterms:created>
  <dcterms:modified xsi:type="dcterms:W3CDTF">2026-08-14T08:45:29Z</dcterms:modified>
</cp:coreProperties>
</file>