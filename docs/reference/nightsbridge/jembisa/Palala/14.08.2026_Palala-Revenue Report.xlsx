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loudStorage/Dropbox-CHEETAHPLAINS/Carike Ligthelm/Roomsonline 2024:6/Jembisa Properties/Revenue Reports | JEM/Palala/"/>
    </mc:Choice>
  </mc:AlternateContent>
  <xr:revisionPtr revIDLastSave="0" documentId="13_ncr:1_{339EAD9D-FF4A-6447-BEEE-2BF9A8B4FA7D}" xr6:coauthVersionLast="47" xr6:coauthVersionMax="47" xr10:uidLastSave="{00000000-0000-0000-0000-000000000000}"/>
  <bookViews>
    <workbookView xWindow="16800" yWindow="840" windowWidth="16800" windowHeight="20160" xr2:uid="{529B9ECD-34EE-5444-862A-AF4A04B83C61}"/>
  </bookViews>
  <sheets>
    <sheet name="OTB" sheetId="1" r:id="rId1"/>
    <sheet name="Fin Year" sheetId="6" r:id="rId2"/>
    <sheet name="YO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  <c r="C55" i="1"/>
  <c r="C54" i="1"/>
  <c r="C53" i="1"/>
  <c r="C52" i="1"/>
  <c r="C51" i="1"/>
  <c r="C50" i="1"/>
  <c r="C49" i="1"/>
  <c r="C48" i="1"/>
  <c r="C47" i="1"/>
  <c r="C46" i="1"/>
  <c r="C15" i="1"/>
  <c r="D56" i="1"/>
  <c r="D28" i="1"/>
  <c r="D29" i="1"/>
  <c r="D13" i="1"/>
  <c r="D14" i="1"/>
  <c r="H29" i="1"/>
  <c r="H28" i="1"/>
  <c r="H27" i="1"/>
  <c r="H26" i="1"/>
  <c r="H25" i="1"/>
  <c r="H24" i="1"/>
  <c r="H23" i="1"/>
  <c r="H22" i="1"/>
  <c r="H21" i="1"/>
  <c r="H20" i="1"/>
  <c r="H19" i="1"/>
  <c r="H18" i="1"/>
  <c r="J29" i="1"/>
  <c r="G29" i="1"/>
  <c r="J28" i="1"/>
  <c r="G28" i="1"/>
  <c r="J27" i="1"/>
  <c r="G27" i="1"/>
  <c r="J26" i="1"/>
  <c r="G26" i="1"/>
  <c r="J25" i="1"/>
  <c r="G25" i="1"/>
  <c r="J24" i="1"/>
  <c r="G24" i="1"/>
  <c r="J23" i="1"/>
  <c r="G23" i="1"/>
  <c r="J22" i="1"/>
  <c r="G22" i="1"/>
  <c r="J21" i="1"/>
  <c r="G21" i="1"/>
  <c r="J20" i="1"/>
  <c r="G20" i="1"/>
  <c r="J19" i="1"/>
  <c r="G19" i="1"/>
  <c r="J18" i="1"/>
  <c r="G18" i="1"/>
  <c r="E56" i="1"/>
  <c r="E55" i="1"/>
  <c r="B55" i="1"/>
  <c r="E49" i="1"/>
  <c r="B49" i="1"/>
  <c r="E48" i="1"/>
  <c r="B48" i="1"/>
  <c r="E47" i="1"/>
  <c r="B47" i="1"/>
  <c r="F28" i="1"/>
  <c r="F27" i="1"/>
  <c r="D27" i="1"/>
  <c r="F21" i="1"/>
  <c r="F20" i="1"/>
  <c r="F19" i="1"/>
  <c r="J13" i="1"/>
  <c r="G13" i="1"/>
  <c r="F13" i="1"/>
  <c r="J12" i="1"/>
  <c r="G12" i="1"/>
  <c r="F12" i="1"/>
  <c r="D12" i="1"/>
  <c r="J6" i="1"/>
  <c r="G6" i="1"/>
  <c r="F6" i="1"/>
  <c r="J5" i="1"/>
  <c r="G5" i="1"/>
  <c r="F5" i="1"/>
  <c r="J4" i="1"/>
  <c r="G4" i="1"/>
  <c r="F4" i="1"/>
  <c r="E57" i="1"/>
  <c r="B57" i="1"/>
  <c r="E54" i="1"/>
  <c r="B54" i="1"/>
  <c r="E53" i="1"/>
  <c r="B53" i="1"/>
  <c r="E52" i="1"/>
  <c r="B52" i="1"/>
  <c r="E51" i="1"/>
  <c r="B51" i="1"/>
  <c r="E50" i="1"/>
  <c r="B50" i="1"/>
  <c r="E46" i="1"/>
  <c r="B46" i="1"/>
  <c r="F26" i="1"/>
  <c r="D26" i="1"/>
  <c r="J11" i="1"/>
  <c r="G11" i="1"/>
  <c r="F11" i="1"/>
  <c r="D11" i="1"/>
  <c r="D7" i="1"/>
  <c r="D8" i="1"/>
  <c r="D9" i="1"/>
  <c r="D10" i="1"/>
  <c r="D22" i="1"/>
  <c r="D23" i="1"/>
  <c r="D24" i="1"/>
  <c r="D25" i="1"/>
  <c r="C31" i="2"/>
  <c r="D31" i="2"/>
  <c r="E31" i="2"/>
  <c r="G31" i="2"/>
  <c r="C30" i="2"/>
  <c r="D30" i="2"/>
  <c r="E30" i="2"/>
  <c r="C32" i="2"/>
  <c r="D32" i="2"/>
  <c r="E32" i="2"/>
  <c r="C33" i="2"/>
  <c r="D33" i="2"/>
  <c r="E33" i="2"/>
  <c r="C34" i="2"/>
  <c r="D34" i="2"/>
  <c r="E34" i="2"/>
  <c r="C35" i="2"/>
  <c r="D35" i="2"/>
  <c r="E35" i="2"/>
  <c r="C36" i="2"/>
  <c r="D36" i="2"/>
  <c r="E36" i="2"/>
  <c r="C37" i="2"/>
  <c r="D37" i="2"/>
  <c r="E37" i="2"/>
  <c r="B38" i="2"/>
  <c r="C38" i="2"/>
  <c r="D38" i="2"/>
  <c r="E38" i="2"/>
  <c r="B39" i="2"/>
  <c r="C39" i="2"/>
  <c r="D39" i="2"/>
  <c r="E39" i="2"/>
  <c r="B40" i="2"/>
  <c r="C40" i="2"/>
  <c r="D40" i="2"/>
  <c r="E40" i="2"/>
  <c r="B41" i="2"/>
  <c r="C41" i="2"/>
  <c r="D41" i="2"/>
  <c r="E41" i="2"/>
  <c r="G28" i="2"/>
  <c r="G14" i="2"/>
  <c r="H31" i="2"/>
  <c r="G30" i="2"/>
  <c r="H30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F41" i="2"/>
  <c r="F40" i="2"/>
  <c r="F39" i="2"/>
  <c r="F38" i="2"/>
  <c r="F37" i="2"/>
  <c r="F36" i="2"/>
  <c r="F35" i="2"/>
  <c r="F34" i="2"/>
  <c r="F33" i="2"/>
  <c r="F32" i="2"/>
  <c r="F30" i="2"/>
  <c r="F31" i="2"/>
  <c r="I2" i="2"/>
  <c r="I20" i="2"/>
  <c r="I37" i="2"/>
  <c r="J36" i="2"/>
  <c r="I36" i="2"/>
  <c r="J35" i="2"/>
  <c r="I35" i="2"/>
  <c r="J34" i="2"/>
  <c r="I34" i="2"/>
  <c r="J33" i="2"/>
  <c r="I33" i="2"/>
  <c r="I32" i="2"/>
  <c r="J30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J19" i="2"/>
  <c r="I19" i="2"/>
  <c r="I18" i="2"/>
  <c r="J17" i="2"/>
  <c r="I17" i="2"/>
  <c r="J16" i="2"/>
  <c r="I16" i="2"/>
  <c r="J3" i="2"/>
  <c r="J5" i="2"/>
  <c r="J6" i="2"/>
  <c r="J7" i="2"/>
  <c r="J8" i="2"/>
  <c r="J9" i="2"/>
  <c r="J10" i="2"/>
  <c r="J11" i="2"/>
  <c r="J12" i="2"/>
  <c r="J13" i="2"/>
  <c r="J2" i="2"/>
  <c r="I3" i="2"/>
  <c r="I4" i="2"/>
  <c r="I5" i="2"/>
  <c r="I6" i="2"/>
  <c r="I7" i="2"/>
  <c r="I8" i="2"/>
  <c r="I9" i="2"/>
  <c r="I10" i="2"/>
  <c r="I11" i="2"/>
  <c r="I12" i="2"/>
  <c r="I13" i="2"/>
  <c r="G44" i="2"/>
  <c r="G55" i="2"/>
  <c r="G54" i="2"/>
  <c r="G53" i="2"/>
  <c r="G52" i="2"/>
  <c r="G51" i="2"/>
  <c r="G50" i="2"/>
  <c r="G49" i="2"/>
  <c r="G48" i="2"/>
  <c r="G47" i="2"/>
  <c r="G45" i="2"/>
  <c r="C43" i="6"/>
  <c r="B43" i="6"/>
  <c r="C42" i="6"/>
  <c r="B42" i="6"/>
  <c r="C41" i="6"/>
  <c r="B41" i="6"/>
  <c r="C40" i="6"/>
  <c r="B40" i="6"/>
  <c r="C39" i="6"/>
  <c r="B39" i="6"/>
  <c r="H38" i="6"/>
  <c r="G38" i="6"/>
  <c r="E38" i="6"/>
  <c r="D38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M25" i="6"/>
  <c r="F15" i="6"/>
  <c r="C15" i="6"/>
  <c r="B15" i="6"/>
  <c r="H14" i="6"/>
  <c r="G14" i="6"/>
  <c r="E14" i="6"/>
  <c r="D14" i="6"/>
  <c r="H13" i="6"/>
  <c r="G13" i="6"/>
  <c r="E13" i="6"/>
  <c r="D13" i="6"/>
  <c r="H12" i="6"/>
  <c r="G12" i="6"/>
  <c r="E12" i="6"/>
  <c r="D12" i="6"/>
  <c r="H11" i="6"/>
  <c r="G11" i="6"/>
  <c r="E11" i="6"/>
  <c r="D11" i="6"/>
  <c r="H10" i="6"/>
  <c r="G10" i="6"/>
  <c r="E10" i="6"/>
  <c r="D10" i="6"/>
  <c r="H9" i="6"/>
  <c r="G9" i="6"/>
  <c r="E9" i="6"/>
  <c r="D9" i="6"/>
  <c r="H8" i="6"/>
  <c r="G8" i="6"/>
  <c r="E8" i="6"/>
  <c r="D8" i="6"/>
  <c r="H7" i="6"/>
  <c r="G7" i="6"/>
  <c r="E7" i="6"/>
  <c r="D7" i="6"/>
  <c r="H6" i="6"/>
  <c r="G6" i="6"/>
  <c r="E6" i="6"/>
  <c r="D6" i="6"/>
  <c r="H5" i="6"/>
  <c r="G5" i="6"/>
  <c r="E5" i="6"/>
  <c r="D5" i="6"/>
  <c r="H4" i="6"/>
  <c r="G4" i="6"/>
  <c r="E4" i="6"/>
  <c r="D4" i="6"/>
  <c r="H3" i="6"/>
  <c r="G3" i="6"/>
  <c r="E3" i="6"/>
  <c r="D3" i="6"/>
  <c r="D57" i="1" l="1"/>
  <c r="I28" i="1"/>
  <c r="I29" i="1"/>
  <c r="I27" i="1"/>
  <c r="I26" i="1"/>
  <c r="I25" i="1"/>
  <c r="I24" i="1"/>
  <c r="I23" i="1"/>
  <c r="I22" i="1"/>
  <c r="G56" i="1"/>
  <c r="G55" i="1"/>
  <c r="F55" i="1"/>
  <c r="D55" i="1"/>
  <c r="F56" i="1"/>
  <c r="G49" i="1"/>
  <c r="F49" i="1"/>
  <c r="G47" i="1"/>
  <c r="G48" i="1"/>
  <c r="F48" i="1"/>
  <c r="F47" i="1"/>
  <c r="K27" i="1"/>
  <c r="K28" i="1"/>
  <c r="K21" i="1"/>
  <c r="K20" i="1"/>
  <c r="K19" i="1"/>
  <c r="K13" i="1"/>
  <c r="H13" i="1"/>
  <c r="K12" i="1"/>
  <c r="H12" i="1"/>
  <c r="K6" i="1"/>
  <c r="K5" i="1"/>
  <c r="H5" i="1"/>
  <c r="K4" i="1"/>
  <c r="H4" i="1"/>
  <c r="H6" i="1"/>
  <c r="G57" i="1"/>
  <c r="G54" i="1"/>
  <c r="F54" i="1"/>
  <c r="G53" i="1"/>
  <c r="F53" i="1"/>
  <c r="F52" i="1"/>
  <c r="D52" i="1"/>
  <c r="F51" i="1"/>
  <c r="D51" i="1"/>
  <c r="F50" i="1"/>
  <c r="D50" i="1"/>
  <c r="F57" i="1"/>
  <c r="D54" i="1"/>
  <c r="D53" i="1"/>
  <c r="G52" i="1"/>
  <c r="G51" i="1"/>
  <c r="G50" i="1"/>
  <c r="G46" i="1"/>
  <c r="F46" i="1"/>
  <c r="K26" i="1"/>
  <c r="K11" i="1"/>
  <c r="H11" i="1"/>
  <c r="G42" i="2"/>
  <c r="I30" i="2"/>
  <c r="G56" i="2"/>
  <c r="J31" i="2"/>
  <c r="I31" i="2"/>
  <c r="J41" i="2"/>
  <c r="I41" i="2"/>
  <c r="J40" i="2"/>
  <c r="I40" i="2"/>
  <c r="J39" i="2"/>
  <c r="I39" i="2"/>
  <c r="J38" i="2"/>
  <c r="I38" i="2"/>
  <c r="J37" i="2"/>
  <c r="H43" i="6"/>
  <c r="G43" i="6"/>
  <c r="E43" i="6"/>
  <c r="D43" i="6"/>
  <c r="H42" i="6"/>
  <c r="G42" i="6"/>
  <c r="E42" i="6"/>
  <c r="D42" i="6"/>
  <c r="H41" i="6"/>
  <c r="G41" i="6"/>
  <c r="E41" i="6"/>
  <c r="D41" i="6"/>
  <c r="H40" i="6"/>
  <c r="G40" i="6"/>
  <c r="E40" i="6"/>
  <c r="D40" i="6"/>
  <c r="H39" i="6"/>
  <c r="G39" i="6"/>
  <c r="E39" i="6"/>
  <c r="D39" i="6"/>
  <c r="H33" i="6"/>
  <c r="D33" i="6"/>
  <c r="H32" i="6"/>
  <c r="E32" i="6"/>
  <c r="E15" i="6"/>
  <c r="D15" i="6"/>
  <c r="H37" i="6"/>
  <c r="G37" i="6"/>
  <c r="E37" i="6"/>
  <c r="D37" i="6"/>
  <c r="H36" i="6"/>
  <c r="G36" i="6"/>
  <c r="E36" i="6"/>
  <c r="D36" i="6"/>
  <c r="H35" i="6"/>
  <c r="G35" i="6"/>
  <c r="E35" i="6"/>
  <c r="D35" i="6"/>
  <c r="H34" i="6"/>
  <c r="G34" i="6"/>
  <c r="E34" i="6"/>
  <c r="D34" i="6"/>
  <c r="G33" i="6"/>
  <c r="E33" i="6"/>
  <c r="G32" i="6"/>
  <c r="H15" i="6"/>
  <c r="G15" i="6"/>
  <c r="D32" i="6"/>
  <c r="G3" i="1"/>
  <c r="G7" i="1"/>
  <c r="G8" i="1"/>
  <c r="G9" i="1"/>
  <c r="G10" i="1"/>
  <c r="G14" i="1"/>
  <c r="K29" i="1"/>
  <c r="K25" i="1"/>
  <c r="K24" i="1"/>
  <c r="K23" i="1"/>
  <c r="K22" i="1"/>
  <c r="K18" i="1"/>
  <c r="F29" i="1"/>
  <c r="F25" i="1"/>
  <c r="F24" i="1"/>
  <c r="F23" i="1"/>
  <c r="F22" i="1"/>
  <c r="F18" i="1"/>
  <c r="J14" i="1" l="1"/>
  <c r="H14" i="1"/>
  <c r="K14" i="1"/>
  <c r="F14" i="1"/>
  <c r="K10" i="1"/>
  <c r="J10" i="1"/>
  <c r="H10" i="1"/>
  <c r="F10" i="1"/>
  <c r="J9" i="1"/>
  <c r="H9" i="1"/>
  <c r="F9" i="1"/>
  <c r="J8" i="1"/>
  <c r="H8" i="1"/>
  <c r="F8" i="1"/>
  <c r="J7" i="1"/>
  <c r="K7" i="1"/>
  <c r="F7" i="1"/>
  <c r="K9" i="1" l="1"/>
  <c r="K8" i="1"/>
  <c r="H7" i="1"/>
  <c r="J3" i="1" l="1"/>
  <c r="H3" i="1"/>
  <c r="F3" i="1"/>
  <c r="K3" i="1" l="1"/>
  <c r="H55" i="2" l="1"/>
  <c r="H54" i="2"/>
  <c r="H53" i="2"/>
  <c r="H52" i="2"/>
  <c r="H51" i="2"/>
  <c r="H50" i="2"/>
  <c r="H49" i="2"/>
  <c r="H48" i="2"/>
  <c r="H47" i="2"/>
  <c r="H46" i="2"/>
  <c r="H45" i="2"/>
  <c r="H44" i="2"/>
  <c r="I44" i="2" s="1"/>
  <c r="H28" i="2"/>
  <c r="H14" i="2"/>
  <c r="J14" i="2" s="1"/>
  <c r="J55" i="2" l="1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I28" i="2"/>
  <c r="J28" i="2"/>
  <c r="J48" i="2"/>
  <c r="I48" i="2"/>
  <c r="J47" i="2"/>
  <c r="I47" i="2"/>
  <c r="I46" i="2"/>
  <c r="J45" i="2"/>
  <c r="I45" i="2"/>
  <c r="J44" i="2"/>
  <c r="I14" i="2"/>
  <c r="H42" i="2"/>
  <c r="H56" i="2"/>
  <c r="B14" i="2"/>
  <c r="C14" i="2"/>
  <c r="D14" i="2"/>
  <c r="E14" i="2"/>
  <c r="F14" i="2"/>
  <c r="B28" i="2"/>
  <c r="C28" i="2"/>
  <c r="D28" i="2"/>
  <c r="E28" i="2"/>
  <c r="F28" i="2"/>
  <c r="D44" i="2"/>
  <c r="E44" i="2"/>
  <c r="F44" i="2"/>
  <c r="C45" i="2"/>
  <c r="D45" i="2"/>
  <c r="E45" i="2"/>
  <c r="F45" i="2"/>
  <c r="C46" i="2"/>
  <c r="D46" i="2"/>
  <c r="E46" i="2"/>
  <c r="F46" i="2"/>
  <c r="C47" i="2"/>
  <c r="D47" i="2"/>
  <c r="E47" i="2"/>
  <c r="F47" i="2"/>
  <c r="C48" i="2"/>
  <c r="D48" i="2"/>
  <c r="E48" i="2"/>
  <c r="F48" i="2"/>
  <c r="D49" i="2"/>
  <c r="E49" i="2"/>
  <c r="F49" i="2"/>
  <c r="C50" i="2"/>
  <c r="D50" i="2"/>
  <c r="E50" i="2"/>
  <c r="F50" i="2"/>
  <c r="C51" i="2"/>
  <c r="D51" i="2"/>
  <c r="E51" i="2"/>
  <c r="F51" i="2"/>
  <c r="B52" i="2"/>
  <c r="C52" i="2"/>
  <c r="D52" i="2"/>
  <c r="E52" i="2"/>
  <c r="F52" i="2"/>
  <c r="C53" i="2"/>
  <c r="D53" i="2"/>
  <c r="E53" i="2"/>
  <c r="F53" i="2"/>
  <c r="B54" i="2"/>
  <c r="C54" i="2"/>
  <c r="D54" i="2"/>
  <c r="E54" i="2"/>
  <c r="F54" i="2"/>
  <c r="B55" i="2"/>
  <c r="C55" i="2"/>
  <c r="D55" i="2"/>
  <c r="E55" i="2"/>
  <c r="F55" i="2"/>
  <c r="J42" i="2" l="1"/>
  <c r="I42" i="2"/>
  <c r="J56" i="2"/>
  <c r="I56" i="2"/>
  <c r="E56" i="2"/>
  <c r="B56" i="2"/>
  <c r="F42" i="2"/>
  <c r="B42" i="2"/>
  <c r="C42" i="2"/>
  <c r="C56" i="2"/>
  <c r="D42" i="2"/>
  <c r="D56" i="2"/>
  <c r="F56" i="2"/>
  <c r="E42" i="2"/>
  <c r="E15" i="1" l="1"/>
  <c r="G15" i="1" s="1"/>
  <c r="B15" i="1"/>
  <c r="J15" i="1" l="1"/>
  <c r="K15" i="1"/>
  <c r="H15" i="1"/>
  <c r="D15" i="1"/>
  <c r="F15" i="1"/>
</calcChain>
</file>

<file path=xl/sharedStrings.xml><?xml version="1.0" encoding="utf-8"?>
<sst xmlns="http://schemas.openxmlformats.org/spreadsheetml/2006/main" count="202" uniqueCount="39">
  <si>
    <t>Variance</t>
  </si>
  <si>
    <t>Last Year Actual</t>
  </si>
  <si>
    <t>Aug</t>
  </si>
  <si>
    <t>Sept</t>
  </si>
  <si>
    <t>Room Nights</t>
  </si>
  <si>
    <t>ADR</t>
  </si>
  <si>
    <t>Occupancy</t>
  </si>
  <si>
    <t>OTB vs LY</t>
  </si>
  <si>
    <t>TOTAL</t>
  </si>
  <si>
    <t>28 = 420</t>
  </si>
  <si>
    <t>29 = 435</t>
  </si>
  <si>
    <t>30 = 450</t>
  </si>
  <si>
    <t>31 = 465</t>
  </si>
  <si>
    <t>Dec</t>
  </si>
  <si>
    <t>Nov</t>
  </si>
  <si>
    <t>Oct</t>
  </si>
  <si>
    <t>Jul</t>
  </si>
  <si>
    <t>Jun</t>
  </si>
  <si>
    <t>May</t>
  </si>
  <si>
    <t>Apr</t>
  </si>
  <si>
    <t>Mar</t>
  </si>
  <si>
    <t>Feb</t>
  </si>
  <si>
    <t>Jan</t>
  </si>
  <si>
    <t>Revenue</t>
  </si>
  <si>
    <t>2025</t>
  </si>
  <si>
    <t>2025 vs 2024</t>
  </si>
  <si>
    <t>Sep</t>
  </si>
  <si>
    <t>OTB vs Target</t>
  </si>
  <si>
    <t xml:space="preserve"> | Financial Year</t>
  </si>
  <si>
    <t>Target (+7%)</t>
  </si>
  <si>
    <t>7 Rooms</t>
  </si>
  <si>
    <t>2026 vs 2025</t>
  </si>
  <si>
    <t>-</t>
  </si>
  <si>
    <t>2026</t>
  </si>
  <si>
    <t>TOTAL Avg</t>
  </si>
  <si>
    <t>6 Rooms</t>
  </si>
  <si>
    <t>OTB @ 31 Jul 2026</t>
  </si>
  <si>
    <t>Palala River Cottages | 14 August 2026</t>
  </si>
  <si>
    <t>OTB @ 14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</si>
</sst>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i/>
      <sz val="11"/>
      <color theme="1"/>
      <name val="Arial"/>
      <family val="2"/>
    </font>
    <font>
      <sz val="11"/>
      <color rgb="FF00B05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DD9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BCF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14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vertical="center"/>
    </xf>
    <xf numFmtId="9" fontId="9" fillId="0" borderId="12" xfId="1" applyFont="1" applyFill="1" applyBorder="1" applyAlignment="1">
      <alignment horizontal="center" vertical="center"/>
    </xf>
    <xf numFmtId="9" fontId="9" fillId="0" borderId="13" xfId="1" applyFont="1" applyFill="1" applyBorder="1" applyAlignment="1">
      <alignment horizontal="center" vertical="center"/>
    </xf>
    <xf numFmtId="1" fontId="9" fillId="0" borderId="12" xfId="1" applyNumberFormat="1" applyFont="1" applyFill="1" applyBorder="1" applyAlignment="1">
      <alignment horizontal="center" vertical="center"/>
    </xf>
    <xf numFmtId="1" fontId="9" fillId="0" borderId="13" xfId="1" applyNumberFormat="1" applyFont="1" applyFill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4" borderId="10" xfId="0" applyNumberFormat="1" applyFont="1" applyFill="1" applyBorder="1" applyAlignment="1">
      <alignment horizontal="center" vertical="center"/>
    </xf>
    <xf numFmtId="3" fontId="9" fillId="0" borderId="12" xfId="0" applyNumberFormat="1" applyFont="1" applyBorder="1" applyAlignment="1">
      <alignment horizontal="center" vertical="center"/>
    </xf>
    <xf numFmtId="3" fontId="9" fillId="0" borderId="13" xfId="0" applyNumberFormat="1" applyFont="1" applyBorder="1" applyAlignment="1">
      <alignment horizontal="center" vertical="center"/>
    </xf>
    <xf numFmtId="3" fontId="7" fillId="0" borderId="15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3" fontId="7" fillId="4" borderId="10" xfId="0" applyNumberFormat="1" applyFont="1" applyFill="1" applyBorder="1" applyAlignment="1">
      <alignment horizontal="center" vertical="center"/>
    </xf>
    <xf numFmtId="49" fontId="9" fillId="5" borderId="18" xfId="0" applyNumberFormat="1" applyFont="1" applyFill="1" applyBorder="1" applyAlignment="1">
      <alignment horizontal="center" vertical="center"/>
    </xf>
    <xf numFmtId="49" fontId="9" fillId="5" borderId="10" xfId="0" applyNumberFormat="1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vertical="center"/>
    </xf>
    <xf numFmtId="17" fontId="10" fillId="0" borderId="1" xfId="0" applyNumberFormat="1" applyFont="1" applyBorder="1" applyAlignment="1">
      <alignment horizontal="left" vertical="center"/>
    </xf>
    <xf numFmtId="17" fontId="10" fillId="0" borderId="2" xfId="0" applyNumberFormat="1" applyFont="1" applyBorder="1" applyAlignment="1">
      <alignment horizontal="left" vertical="center"/>
    </xf>
    <xf numFmtId="0" fontId="11" fillId="0" borderId="4" xfId="0" applyFont="1" applyBorder="1" applyAlignment="1">
      <alignment vertical="center"/>
    </xf>
    <xf numFmtId="3" fontId="10" fillId="0" borderId="1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3" fontId="11" fillId="2" borderId="5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0" fontId="10" fillId="0" borderId="0" xfId="0" applyFont="1"/>
    <xf numFmtId="0" fontId="13" fillId="0" borderId="0" xfId="0" applyFont="1"/>
    <xf numFmtId="0" fontId="10" fillId="0" borderId="0" xfId="0" applyFont="1" applyAlignment="1">
      <alignment vertical="center"/>
    </xf>
    <xf numFmtId="3" fontId="10" fillId="2" borderId="1" xfId="0" applyNumberFormat="1" applyFont="1" applyFill="1" applyBorder="1" applyAlignment="1">
      <alignment horizontal="center" vertical="center"/>
    </xf>
    <xf numFmtId="9" fontId="10" fillId="6" borderId="1" xfId="1" applyFont="1" applyFill="1" applyBorder="1" applyAlignment="1">
      <alignment horizontal="center" vertical="center"/>
    </xf>
    <xf numFmtId="3" fontId="10" fillId="2" borderId="2" xfId="0" applyNumberFormat="1" applyFont="1" applyFill="1" applyBorder="1" applyAlignment="1">
      <alignment horizontal="center" vertical="center"/>
    </xf>
    <xf numFmtId="3" fontId="10" fillId="6" borderId="1" xfId="0" applyNumberFormat="1" applyFont="1" applyFill="1" applyBorder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9" fontId="10" fillId="0" borderId="2" xfId="1" applyFont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3" fontId="14" fillId="6" borderId="17" xfId="0" applyNumberFormat="1" applyFont="1" applyFill="1" applyBorder="1" applyAlignment="1">
      <alignment horizontal="center" vertical="center"/>
    </xf>
    <xf numFmtId="3" fontId="9" fillId="6" borderId="11" xfId="0" applyNumberFormat="1" applyFont="1" applyFill="1" applyBorder="1" applyAlignment="1">
      <alignment horizontal="center" vertical="center"/>
    </xf>
    <xf numFmtId="10" fontId="14" fillId="6" borderId="17" xfId="0" applyNumberFormat="1" applyFont="1" applyFill="1" applyBorder="1" applyAlignment="1">
      <alignment horizontal="center" vertical="center"/>
    </xf>
    <xf numFmtId="10" fontId="9" fillId="6" borderId="11" xfId="0" applyNumberFormat="1" applyFont="1" applyFill="1" applyBorder="1" applyAlignment="1">
      <alignment horizontal="center" vertical="center"/>
    </xf>
    <xf numFmtId="9" fontId="14" fillId="6" borderId="17" xfId="1" applyFont="1" applyFill="1" applyBorder="1" applyAlignment="1">
      <alignment horizontal="center" vertical="center"/>
    </xf>
    <xf numFmtId="9" fontId="9" fillId="6" borderId="11" xfId="1" applyFont="1" applyFill="1" applyBorder="1" applyAlignment="1">
      <alignment horizontal="center" vertical="center"/>
    </xf>
    <xf numFmtId="3" fontId="11" fillId="2" borderId="25" xfId="0" applyNumberFormat="1" applyFont="1" applyFill="1" applyBorder="1" applyAlignment="1">
      <alignment horizontal="center" vertical="center"/>
    </xf>
    <xf numFmtId="9" fontId="10" fillId="2" borderId="24" xfId="1" applyFont="1" applyFill="1" applyBorder="1" applyAlignment="1">
      <alignment horizontal="center" vertical="center"/>
    </xf>
    <xf numFmtId="9" fontId="10" fillId="2" borderId="4" xfId="1" applyFont="1" applyFill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/>
    </xf>
    <xf numFmtId="9" fontId="10" fillId="2" borderId="2" xfId="1" applyFont="1" applyFill="1" applyBorder="1" applyAlignment="1">
      <alignment horizontal="center" vertical="center"/>
    </xf>
    <xf numFmtId="9" fontId="10" fillId="2" borderId="0" xfId="1" applyFont="1" applyFill="1" applyAlignment="1">
      <alignment horizontal="center" vertical="center"/>
    </xf>
    <xf numFmtId="9" fontId="10" fillId="2" borderId="3" xfId="1" applyFont="1" applyFill="1" applyBorder="1" applyAlignment="1">
      <alignment horizontal="center" vertical="center"/>
    </xf>
    <xf numFmtId="17" fontId="10" fillId="0" borderId="4" xfId="0" applyNumberFormat="1" applyFont="1" applyBorder="1" applyAlignment="1">
      <alignment horizontal="left" vertical="center"/>
    </xf>
    <xf numFmtId="0" fontId="15" fillId="0" borderId="0" xfId="0" applyFont="1"/>
    <xf numFmtId="164" fontId="10" fillId="0" borderId="1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164" fontId="10" fillId="2" borderId="3" xfId="0" applyNumberFormat="1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3" fontId="11" fillId="6" borderId="4" xfId="0" applyNumberFormat="1" applyFont="1" applyFill="1" applyBorder="1" applyAlignment="1">
      <alignment horizontal="center" vertical="center"/>
    </xf>
    <xf numFmtId="3" fontId="11" fillId="6" borderId="25" xfId="0" applyNumberFormat="1" applyFont="1" applyFill="1" applyBorder="1" applyAlignment="1">
      <alignment horizontal="center" vertical="center"/>
    </xf>
    <xf numFmtId="9" fontId="11" fillId="2" borderId="25" xfId="1" applyFont="1" applyFill="1" applyBorder="1" applyAlignment="1">
      <alignment horizontal="center" vertical="center"/>
    </xf>
    <xf numFmtId="9" fontId="11" fillId="6" borderId="25" xfId="1" applyFont="1" applyFill="1" applyBorder="1" applyAlignment="1">
      <alignment horizontal="center" vertical="center"/>
    </xf>
    <xf numFmtId="9" fontId="10" fillId="2" borderId="26" xfId="1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 vertical="center" wrapText="1"/>
    </xf>
    <xf numFmtId="9" fontId="10" fillId="0" borderId="24" xfId="1" applyFont="1" applyBorder="1" applyAlignment="1">
      <alignment horizontal="center" vertical="center"/>
    </xf>
    <xf numFmtId="9" fontId="10" fillId="0" borderId="26" xfId="1" applyFont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 wrapText="1"/>
    </xf>
    <xf numFmtId="1" fontId="10" fillId="2" borderId="32" xfId="0" applyNumberFormat="1" applyFont="1" applyFill="1" applyBorder="1" applyAlignment="1">
      <alignment horizontal="center" vertical="center"/>
    </xf>
    <xf numFmtId="1" fontId="10" fillId="2" borderId="33" xfId="0" applyNumberFormat="1" applyFont="1" applyFill="1" applyBorder="1" applyAlignment="1">
      <alignment horizontal="center" vertical="center"/>
    </xf>
    <xf numFmtId="3" fontId="10" fillId="2" borderId="20" xfId="0" applyNumberFormat="1" applyFont="1" applyFill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" fontId="10" fillId="0" borderId="34" xfId="0" applyNumberFormat="1" applyFont="1" applyBorder="1" applyAlignment="1">
      <alignment horizontal="center" vertical="center"/>
    </xf>
    <xf numFmtId="3" fontId="11" fillId="0" borderId="25" xfId="0" applyNumberFormat="1" applyFont="1" applyBorder="1" applyAlignment="1">
      <alignment horizontal="center" vertical="center"/>
    </xf>
    <xf numFmtId="3" fontId="11" fillId="2" borderId="29" xfId="0" applyNumberFormat="1" applyFont="1" applyFill="1" applyBorder="1" applyAlignment="1">
      <alignment horizontal="center" vertical="center"/>
    </xf>
    <xf numFmtId="9" fontId="11" fillId="2" borderId="30" xfId="1" applyFont="1" applyFill="1" applyBorder="1" applyAlignment="1">
      <alignment horizontal="center" vertical="center"/>
    </xf>
    <xf numFmtId="9" fontId="7" fillId="0" borderId="10" xfId="0" applyNumberFormat="1" applyFont="1" applyBorder="1" applyAlignment="1">
      <alignment horizontal="center" vertical="center"/>
    </xf>
    <xf numFmtId="9" fontId="7" fillId="0" borderId="18" xfId="0" applyNumberFormat="1" applyFont="1" applyBorder="1" applyAlignment="1">
      <alignment horizontal="center" vertical="center"/>
    </xf>
    <xf numFmtId="9" fontId="7" fillId="4" borderId="10" xfId="0" applyNumberFormat="1" applyFont="1" applyFill="1" applyBorder="1" applyAlignment="1">
      <alignment horizontal="center" vertical="center"/>
    </xf>
    <xf numFmtId="9" fontId="7" fillId="0" borderId="15" xfId="0" applyNumberFormat="1" applyFont="1" applyBorder="1" applyAlignment="1">
      <alignment horizontal="center" vertical="center"/>
    </xf>
    <xf numFmtId="17" fontId="10" fillId="0" borderId="0" xfId="0" applyNumberFormat="1" applyFont="1" applyAlignment="1">
      <alignment horizontal="left" vertical="center"/>
    </xf>
    <xf numFmtId="1" fontId="10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9" fontId="10" fillId="0" borderId="0" xfId="1" applyFont="1" applyFill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" fontId="10" fillId="2" borderId="3" xfId="0" applyNumberFormat="1" applyFont="1" applyFill="1" applyBorder="1" applyAlignment="1">
      <alignment horizontal="center" vertical="center"/>
    </xf>
    <xf numFmtId="9" fontId="16" fillId="0" borderId="1" xfId="1" applyFont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14"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theme="1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F77FDB"/>
      <color rgb="FFFFBCFA"/>
      <color rgb="FFDDD9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Palala River Cottages | Occupancy %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8.9227710172592067E-2"/>
          <c:y val="0.14718253968253969"/>
          <c:w val="0.8829945120496302"/>
          <c:h val="0.718753593300837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OTB!$G$17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OTB!$A$18:$A$29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OTB!$G$18:$G$29</c:f>
              <c:numCache>
                <c:formatCode>0.0%</c:formatCode>
                <c:ptCount val="12"/>
                <c:pt idx="0">
                  <c:v>5.3763440860215055E-2</c:v>
                </c:pt>
                <c:pt idx="1">
                  <c:v>0.2</c:v>
                </c:pt>
                <c:pt idx="2">
                  <c:v>8.0645161290322578E-2</c:v>
                </c:pt>
                <c:pt idx="3">
                  <c:v>0.2388888888888889</c:v>
                </c:pt>
                <c:pt idx="4">
                  <c:v>0.14516129032258066</c:v>
                </c:pt>
                <c:pt idx="5">
                  <c:v>0.13440860215053763</c:v>
                </c:pt>
                <c:pt idx="6">
                  <c:v>0.13333333333333333</c:v>
                </c:pt>
                <c:pt idx="7">
                  <c:v>2.1505376344086023E-2</c:v>
                </c:pt>
                <c:pt idx="8">
                  <c:v>6.6666666666666666E-2</c:v>
                </c:pt>
                <c:pt idx="9">
                  <c:v>3.7634408602150539E-2</c:v>
                </c:pt>
                <c:pt idx="10">
                  <c:v>2.6881720430107527E-2</c:v>
                </c:pt>
                <c:pt idx="11">
                  <c:v>2.3809523809523808E-2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D-2D4B-8A72-D39F46B0159B}"/>
            </c:ext>
          </c:extLst>
        </c:ser>
        <c:ser>
          <c:idx val="1"/>
          <c:order val="1"/>
          <c:tx>
            <c:strRef>
              <c:f>OTB!$H$17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OTB!$A$18:$A$29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OTB!$H$18:$H$29</c:f>
              <c:numCache>
                <c:formatCode>0.0%</c:formatCode>
                <c:ptCount val="12"/>
                <c:pt idx="0">
                  <c:v>5.3763440860215055E-2</c:v>
                </c:pt>
                <c:pt idx="1">
                  <c:v>0.2</c:v>
                </c:pt>
                <c:pt idx="2">
                  <c:v>8.0645161290322578E-2</c:v>
                </c:pt>
                <c:pt idx="3">
                  <c:v>0.2388888888888889</c:v>
                </c:pt>
                <c:pt idx="4">
                  <c:v>0.14516129032258066</c:v>
                </c:pt>
                <c:pt idx="5">
                  <c:v>8.0645161290322578E-2</c:v>
                </c:pt>
                <c:pt idx="6">
                  <c:v>7.7777777777777779E-2</c:v>
                </c:pt>
                <c:pt idx="7">
                  <c:v>1.0752688172043012E-2</c:v>
                </c:pt>
                <c:pt idx="8">
                  <c:v>6.6666666666666666E-2</c:v>
                </c:pt>
                <c:pt idx="9">
                  <c:v>1.0752688172043012E-2</c:v>
                </c:pt>
                <c:pt idx="10">
                  <c:v>0</c:v>
                </c:pt>
                <c:pt idx="11">
                  <c:v>2.3809523809523808E-2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D-2D4B-8A72-D39F46B0159B}"/>
            </c:ext>
          </c:extLst>
        </c:ser>
        <c:ser>
          <c:idx val="2"/>
          <c:order val="2"/>
          <c:tx>
            <c:strRef>
              <c:f>OTB!$I$17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OTB!$A$18:$A$29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OTB!$I$18:$I$29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%">
                  <c:v>0</c:v>
                </c:pt>
                <c:pt idx="5" formatCode="0%">
                  <c:v>5.3763440860215048E-2</c:v>
                </c:pt>
                <c:pt idx="6" formatCode="0%">
                  <c:v>5.5555555555555552E-2</c:v>
                </c:pt>
                <c:pt idx="7" formatCode="0%">
                  <c:v>1.0752688172043012E-2</c:v>
                </c:pt>
                <c:pt idx="8" formatCode="0%">
                  <c:v>0</c:v>
                </c:pt>
                <c:pt idx="9" formatCode="0%">
                  <c:v>2.6881720430107527E-2</c:v>
                </c:pt>
                <c:pt idx="10" formatCode="0%">
                  <c:v>2.6881720430107527E-2</c:v>
                </c:pt>
                <c:pt idx="11" formatCode="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D-2D4B-8A72-D39F46B0159B}"/>
            </c:ext>
          </c:extLst>
        </c:ser>
        <c:ser>
          <c:idx val="3"/>
          <c:order val="3"/>
          <c:tx>
            <c:strRef>
              <c:f>OTB!$J$17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OTB!$A$18:$A$29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OTB!$J$18:$J$29</c:f>
              <c:numCache>
                <c:formatCode>0.0%</c:formatCode>
                <c:ptCount val="12"/>
                <c:pt idx="0">
                  <c:v>0.19354838709677419</c:v>
                </c:pt>
                <c:pt idx="1">
                  <c:v>0.25</c:v>
                </c:pt>
                <c:pt idx="2">
                  <c:v>0.18817204301075269</c:v>
                </c:pt>
                <c:pt idx="3">
                  <c:v>0.17222222222222222</c:v>
                </c:pt>
                <c:pt idx="4">
                  <c:v>0.23655913978494625</c:v>
                </c:pt>
                <c:pt idx="5">
                  <c:v>0.18817204301075269</c:v>
                </c:pt>
                <c:pt idx="6">
                  <c:v>0.1388888888888889</c:v>
                </c:pt>
                <c:pt idx="7">
                  <c:v>0.10215053763440861</c:v>
                </c:pt>
                <c:pt idx="8">
                  <c:v>0.16111111111111112</c:v>
                </c:pt>
                <c:pt idx="9">
                  <c:v>0.34408602150537637</c:v>
                </c:pt>
                <c:pt idx="10">
                  <c:v>0.13440860215053763</c:v>
                </c:pt>
                <c:pt idx="11">
                  <c:v>0.18452380952380953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D-2D4B-8A72-D39F46B0159B}"/>
            </c:ext>
          </c:extLst>
        </c:ser>
        <c:ser>
          <c:idx val="4"/>
          <c:order val="4"/>
          <c:tx>
            <c:strRef>
              <c:f>OTB!$K$17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OTB!$A$18:$A$29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OTB!$K$18:$K$29</c:f>
              <c:numCache>
                <c:formatCode>0%</c:formatCode>
                <c:ptCount val="12"/>
                <c:pt idx="0">
                  <c:v>-0.13978494623655913</c:v>
                </c:pt>
                <c:pt idx="1">
                  <c:v>-4.9999999999999989E-2</c:v>
                </c:pt>
                <c:pt idx="2">
                  <c:v>-0.10752688172043011</c:v>
                </c:pt>
                <c:pt idx="3">
                  <c:v>6.666666666666668E-2</c:v>
                </c:pt>
                <c:pt idx="4">
                  <c:v>-9.1397849462365593E-2</c:v>
                </c:pt>
                <c:pt idx="5">
                  <c:v>-5.3763440860215062E-2</c:v>
                </c:pt>
                <c:pt idx="6">
                  <c:v>-5.5555555555555636E-3</c:v>
                </c:pt>
                <c:pt idx="7">
                  <c:v>-8.0645161290322592E-2</c:v>
                </c:pt>
                <c:pt idx="8">
                  <c:v>-9.4444444444444456E-2</c:v>
                </c:pt>
                <c:pt idx="9">
                  <c:v>-0.30645161290322581</c:v>
                </c:pt>
                <c:pt idx="10">
                  <c:v>-0.1075268817204301</c:v>
                </c:pt>
                <c:pt idx="11">
                  <c:v>-0.16071428571428573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0D-2D4B-8A72-D39F46B01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057423"/>
        <c:axId val="842674623"/>
      </c:barChart>
      <c:catAx>
        <c:axId val="115005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74623"/>
        <c:crosses val="autoZero"/>
        <c:auto val="1"/>
        <c:lblAlgn val="ctr"/>
        <c:lblOffset val="100"/>
        <c:noMultiLvlLbl val="1"/>
      </c:catAx>
      <c:valAx>
        <c:axId val="84267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5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70707070707072E-3"/>
          <c:y val="0.9092257217847769"/>
          <c:w val="0.99292929292929288"/>
          <c:h val="6.6964754405699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Palala River Cottages | Average Daily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OTB!$B$45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OTB!$A$46:$A$57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OTB!$B$46:$B$57</c:f>
              <c:numCache>
                <c:formatCode>#,##0</c:formatCode>
                <c:ptCount val="12"/>
                <c:pt idx="0">
                  <c:v>1975.0010000000002</c:v>
                </c:pt>
                <c:pt idx="1">
                  <c:v>2960.8333333333335</c:v>
                </c:pt>
                <c:pt idx="2">
                  <c:v>1522.2226666666668</c:v>
                </c:pt>
                <c:pt idx="3">
                  <c:v>2066.9769767441858</c:v>
                </c:pt>
                <c:pt idx="4">
                  <c:v>1632.0977777777778</c:v>
                </c:pt>
                <c:pt idx="5">
                  <c:v>2235.8000000000002</c:v>
                </c:pt>
                <c:pt idx="6">
                  <c:v>2285.4170833333333</c:v>
                </c:pt>
                <c:pt idx="7">
                  <c:v>3893.75</c:v>
                </c:pt>
                <c:pt idx="8">
                  <c:v>2716.6666666666665</c:v>
                </c:pt>
                <c:pt idx="9">
                  <c:v>3870.5357142857142</c:v>
                </c:pt>
                <c:pt idx="10">
                  <c:v>0</c:v>
                </c:pt>
                <c:pt idx="11">
                  <c:v>1402.5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9-DB43-9039-0DD2C1E2C971}"/>
            </c:ext>
          </c:extLst>
        </c:ser>
        <c:ser>
          <c:idx val="1"/>
          <c:order val="1"/>
          <c:tx>
            <c:strRef>
              <c:f>OTB!$C$45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OTB!$A$46:$A$57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OTB!$C$46:$C$57</c:f>
              <c:numCache>
                <c:formatCode>#,##0</c:formatCode>
                <c:ptCount val="12"/>
                <c:pt idx="0">
                  <c:v>1975.0010000000002</c:v>
                </c:pt>
                <c:pt idx="1">
                  <c:v>2960.8333333333335</c:v>
                </c:pt>
                <c:pt idx="2">
                  <c:v>1522.2226666666668</c:v>
                </c:pt>
                <c:pt idx="3">
                  <c:v>2066.9769767441858</c:v>
                </c:pt>
                <c:pt idx="4">
                  <c:v>1632.0977777777778</c:v>
                </c:pt>
                <c:pt idx="5">
                  <c:v>2389.6666666666665</c:v>
                </c:pt>
                <c:pt idx="6">
                  <c:v>1895.7150000000001</c:v>
                </c:pt>
                <c:pt idx="7">
                  <c:v>4675</c:v>
                </c:pt>
                <c:pt idx="8">
                  <c:v>2716.6666666666665</c:v>
                </c:pt>
                <c:pt idx="9">
                  <c:v>1600</c:v>
                </c:pt>
                <c:pt idx="10">
                  <c:v>0</c:v>
                </c:pt>
                <c:pt idx="11">
                  <c:v>1402.5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9-DB43-9039-0DD2C1E2C971}"/>
            </c:ext>
          </c:extLst>
        </c:ser>
        <c:ser>
          <c:idx val="2"/>
          <c:order val="2"/>
          <c:tx>
            <c:strRef>
              <c:f>OTB!$D$45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OTB!$A$46:$A$57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OTB!$D$46:$D$57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-153.86666666666633</c:v>
                </c:pt>
                <c:pt idx="6">
                  <c:v>389.70208333333312</c:v>
                </c:pt>
                <c:pt idx="7">
                  <c:v>-781.25</c:v>
                </c:pt>
                <c:pt idx="8">
                  <c:v>0</c:v>
                </c:pt>
                <c:pt idx="9">
                  <c:v>2270.5357142857142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09-DB43-9039-0DD2C1E2C971}"/>
            </c:ext>
          </c:extLst>
        </c:ser>
        <c:ser>
          <c:idx val="3"/>
          <c:order val="3"/>
          <c:tx>
            <c:strRef>
              <c:f>OTB!$E$45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OTB!$A$46:$A$57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OTB!$E$46:$E$57</c:f>
              <c:numCache>
                <c:formatCode>#,##0</c:formatCode>
                <c:ptCount val="12"/>
                <c:pt idx="0">
                  <c:v>1502.7311111111112</c:v>
                </c:pt>
                <c:pt idx="1">
                  <c:v>2060.5553333333332</c:v>
                </c:pt>
                <c:pt idx="2">
                  <c:v>2741.9387755102048</c:v>
                </c:pt>
                <c:pt idx="3">
                  <c:v>1699.8387096774193</c:v>
                </c:pt>
                <c:pt idx="4">
                  <c:v>1846.5913636363637</c:v>
                </c:pt>
                <c:pt idx="5">
                  <c:v>2314.2857142857142</c:v>
                </c:pt>
                <c:pt idx="6">
                  <c:v>1268</c:v>
                </c:pt>
                <c:pt idx="7">
                  <c:v>1584.5023976608186</c:v>
                </c:pt>
                <c:pt idx="8">
                  <c:v>1404.943448275862</c:v>
                </c:pt>
                <c:pt idx="9">
                  <c:v>2120.0521354166667</c:v>
                </c:pt>
                <c:pt idx="10">
                  <c:v>1660.8</c:v>
                </c:pt>
                <c:pt idx="11">
                  <c:v>1185.1612903225807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09-DB43-9039-0DD2C1E2C971}"/>
            </c:ext>
          </c:extLst>
        </c:ser>
        <c:ser>
          <c:idx val="4"/>
          <c:order val="4"/>
          <c:tx>
            <c:strRef>
              <c:f>OTB!$F$45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OTB!$A$46:$A$57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OTB!$F$46:$F$57</c:f>
              <c:numCache>
                <c:formatCode>#,##0</c:formatCode>
                <c:ptCount val="12"/>
                <c:pt idx="0">
                  <c:v>472.269888888889</c:v>
                </c:pt>
                <c:pt idx="1">
                  <c:v>900.27800000000025</c:v>
                </c:pt>
                <c:pt idx="2">
                  <c:v>-1219.716108843538</c:v>
                </c:pt>
                <c:pt idx="3">
                  <c:v>367.1382670667665</c:v>
                </c:pt>
                <c:pt idx="4">
                  <c:v>-214.4935858585859</c:v>
                </c:pt>
                <c:pt idx="5">
                  <c:v>-78.485714285714039</c:v>
                </c:pt>
                <c:pt idx="6">
                  <c:v>1017.4170833333333</c:v>
                </c:pt>
                <c:pt idx="7">
                  <c:v>2309.2476023391814</c:v>
                </c:pt>
                <c:pt idx="8">
                  <c:v>1311.7232183908045</c:v>
                </c:pt>
                <c:pt idx="9">
                  <c:v>1750.4835788690475</c:v>
                </c:pt>
                <c:pt idx="10">
                  <c:v>-1660.8</c:v>
                </c:pt>
                <c:pt idx="11">
                  <c:v>217.33870967741927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09-DB43-9039-0DD2C1E2C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05984"/>
        <c:axId val="39660432"/>
      </c:barChart>
      <c:catAx>
        <c:axId val="3960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0432"/>
        <c:crosses val="autoZero"/>
        <c:auto val="1"/>
        <c:lblAlgn val="ctr"/>
        <c:lblOffset val="100"/>
        <c:noMultiLvlLbl val="1"/>
      </c:catAx>
      <c:valAx>
        <c:axId val="3966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0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797979797979799E-2"/>
          <c:y val="0.90443288338957628"/>
          <c:w val="0.9555555555555556"/>
          <c:h val="7.17575928008998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Palala</a:t>
            </a:r>
            <a:r>
              <a:rPr lang="en-GB" baseline="0"/>
              <a:t> River Cottages </a:t>
            </a:r>
            <a:r>
              <a:rPr lang="en-GB"/>
              <a:t>|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OTB!$B$2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OTB!$A$3:$A$14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OTB!$B$3:$B$14</c:f>
              <c:numCache>
                <c:formatCode>#,##0</c:formatCode>
                <c:ptCount val="12"/>
                <c:pt idx="0">
                  <c:v>19750.010000000002</c:v>
                </c:pt>
                <c:pt idx="1">
                  <c:v>106590</c:v>
                </c:pt>
                <c:pt idx="2">
                  <c:v>22833.34</c:v>
                </c:pt>
                <c:pt idx="3">
                  <c:v>88880.01</c:v>
                </c:pt>
                <c:pt idx="4">
                  <c:v>44066.64</c:v>
                </c:pt>
                <c:pt idx="5">
                  <c:v>55895</c:v>
                </c:pt>
                <c:pt idx="6">
                  <c:v>54850.01</c:v>
                </c:pt>
                <c:pt idx="7">
                  <c:v>15575</c:v>
                </c:pt>
                <c:pt idx="8">
                  <c:v>32600</c:v>
                </c:pt>
                <c:pt idx="9">
                  <c:v>27093.75</c:v>
                </c:pt>
                <c:pt idx="10">
                  <c:v>26906.25</c:v>
                </c:pt>
                <c:pt idx="11">
                  <c:v>5610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2-664B-8178-DC0C2B0A6C68}"/>
            </c:ext>
          </c:extLst>
        </c:ser>
        <c:ser>
          <c:idx val="1"/>
          <c:order val="1"/>
          <c:tx>
            <c:strRef>
              <c:f>OTB!$C$2</c:f>
              <c:strCache>
                <c:ptCount val="1"/>
                <c:pt idx="0">
                  <c:v>OTB @ 31 Jul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OTB!$A$3:$A$14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OTB!$C$3:$C$14</c:f>
              <c:numCache>
                <c:formatCode>#,##0</c:formatCode>
                <c:ptCount val="12"/>
                <c:pt idx="0">
                  <c:v>19750.010000000002</c:v>
                </c:pt>
                <c:pt idx="1">
                  <c:v>106590</c:v>
                </c:pt>
                <c:pt idx="2">
                  <c:v>22833.34</c:v>
                </c:pt>
                <c:pt idx="3">
                  <c:v>88880.01</c:v>
                </c:pt>
                <c:pt idx="4">
                  <c:v>44066.64</c:v>
                </c:pt>
                <c:pt idx="5">
                  <c:v>35845</c:v>
                </c:pt>
                <c:pt idx="6">
                  <c:v>26540.010000000002</c:v>
                </c:pt>
                <c:pt idx="7">
                  <c:v>9350</c:v>
                </c:pt>
                <c:pt idx="8">
                  <c:v>32600</c:v>
                </c:pt>
                <c:pt idx="9">
                  <c:v>3200</c:v>
                </c:pt>
                <c:pt idx="10">
                  <c:v>0</c:v>
                </c:pt>
                <c:pt idx="11">
                  <c:v>5610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52-664B-8178-DC0C2B0A6C68}"/>
            </c:ext>
          </c:extLst>
        </c:ser>
        <c:ser>
          <c:idx val="2"/>
          <c:order val="2"/>
          <c:tx>
            <c:strRef>
              <c:f>OTB!$D$2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OTB!$A$3:$A$14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OTB!$D$3:$D$14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20050</c:v>
                </c:pt>
                <c:pt idx="6">
                  <c:v>28310</c:v>
                </c:pt>
                <c:pt idx="7">
                  <c:v>6225</c:v>
                </c:pt>
                <c:pt idx="8">
                  <c:v>0</c:v>
                </c:pt>
                <c:pt idx="9">
                  <c:v>23893.75</c:v>
                </c:pt>
                <c:pt idx="10">
                  <c:v>26906.25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52-664B-8178-DC0C2B0A6C68}"/>
            </c:ext>
          </c:extLst>
        </c:ser>
        <c:ser>
          <c:idx val="4"/>
          <c:order val="3"/>
          <c:tx>
            <c:strRef>
              <c:f>OTB!$F$2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OTB!$A$3:$A$14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OTB!$F$3:$F$14</c:f>
              <c:numCache>
                <c:formatCode>#,##0</c:formatCode>
                <c:ptCount val="12"/>
                <c:pt idx="0">
                  <c:v>-34348.31</c:v>
                </c:pt>
                <c:pt idx="1">
                  <c:v>13865.009999999995</c:v>
                </c:pt>
                <c:pt idx="2">
                  <c:v>-73134.517142857163</c:v>
                </c:pt>
                <c:pt idx="3">
                  <c:v>36185.009999999995</c:v>
                </c:pt>
                <c:pt idx="4">
                  <c:v>-37183.380000000005</c:v>
                </c:pt>
                <c:pt idx="5">
                  <c:v>-25105</c:v>
                </c:pt>
                <c:pt idx="6">
                  <c:v>23150.010000000002</c:v>
                </c:pt>
                <c:pt idx="7">
                  <c:v>-14530.545555555553</c:v>
                </c:pt>
                <c:pt idx="8">
                  <c:v>-8143.3600000000006</c:v>
                </c:pt>
                <c:pt idx="9">
                  <c:v>-108589.58666666667</c:v>
                </c:pt>
                <c:pt idx="10">
                  <c:v>-14613.75</c:v>
                </c:pt>
                <c:pt idx="11">
                  <c:v>-31130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52-664B-8178-DC0C2B0A6C68}"/>
            </c:ext>
          </c:extLst>
        </c:ser>
        <c:ser>
          <c:idx val="6"/>
          <c:order val="4"/>
          <c:tx>
            <c:strRef>
              <c:f>OTB!$H$2</c:f>
              <c:strCache>
                <c:ptCount val="1"/>
                <c:pt idx="0">
                  <c:v>OTB vs Target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OTB!$A$3:$A$14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Sept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OTB!$H$3:$H$14</c:f>
              <c:numCache>
                <c:formatCode>#,##0</c:formatCode>
                <c:ptCount val="12"/>
                <c:pt idx="0">
                  <c:v>-38135.1924</c:v>
                </c:pt>
                <c:pt idx="1">
                  <c:v>7374.2606999999844</c:v>
                </c:pt>
                <c:pt idx="2">
                  <c:v>-79852.267142857163</c:v>
                </c:pt>
                <c:pt idx="3">
                  <c:v>32496.359999999993</c:v>
                </c:pt>
                <c:pt idx="4">
                  <c:v>-42870.881400000013</c:v>
                </c:pt>
                <c:pt idx="5">
                  <c:v>-30775</c:v>
                </c:pt>
                <c:pt idx="6">
                  <c:v>20931.010000000002</c:v>
                </c:pt>
                <c:pt idx="7">
                  <c:v>-16637.933744444443</c:v>
                </c:pt>
                <c:pt idx="8">
                  <c:v>-10995.395200000006</c:v>
                </c:pt>
                <c:pt idx="9">
                  <c:v>-118087.42023333334</c:v>
                </c:pt>
                <c:pt idx="10">
                  <c:v>-17520.150000000001</c:v>
                </c:pt>
                <c:pt idx="11">
                  <c:v>-33701.800000000003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15-E749-9A57-662875C04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9615071"/>
        <c:axId val="389616783"/>
      </c:barChart>
      <c:catAx>
        <c:axId val="38961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16783"/>
        <c:crosses val="autoZero"/>
        <c:auto val="1"/>
        <c:lblAlgn val="ctr"/>
        <c:lblOffset val="100"/>
        <c:noMultiLvlLbl val="1"/>
      </c:catAx>
      <c:valAx>
        <c:axId val="38961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1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</a:t>
            </a:r>
            <a:r>
              <a:rPr lang="en-ZA" baseline="0"/>
              <a:t> Revenue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77FD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77FDB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YOY!$B$1:$H$1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strCache>
            </c:strRef>
          </c:cat>
          <c:val>
            <c:numRef>
              <c:f>YOY!$B$14:$H$14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99-0047-B9E2-A6AA5F19E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51296"/>
        <c:axId val="209848896"/>
      </c:lineChart>
      <c:catAx>
        <c:axId val="2098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8896"/>
        <c:crosses val="autoZero"/>
        <c:auto val="1"/>
        <c:lblAlgn val="ctr"/>
        <c:lblOffset val="100"/>
        <c:noMultiLvlLbl val="0"/>
      </c:catAx>
      <c:valAx>
        <c:axId val="20984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5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</a:t>
            </a:r>
            <a:r>
              <a:rPr lang="en-ZA" baseline="0"/>
              <a:t> Occupancy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9A1E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9A1E4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YOY!$B$29:$H$29</c:f>
              <c:numCache>
                <c:formatCode>General</c:formatCod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numCache>
            </c:numRef>
          </c:cat>
          <c:val>
            <c:numRef>
              <c:f>YOY!$B$42:$H$42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03-954C-907E-3B60D8B72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66656"/>
        <c:axId val="209868576"/>
      </c:lineChart>
      <c:catAx>
        <c:axId val="20986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8576"/>
        <c:crosses val="autoZero"/>
        <c:auto val="1"/>
        <c:lblAlgn val="ctr"/>
        <c:lblOffset val="100"/>
        <c:noMultiLvlLbl val="0"/>
      </c:catAx>
      <c:valAx>
        <c:axId val="20986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 ADR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559D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559D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YOY!$B$43:$H$43</c:f>
              <c:numCache>
                <c:formatCode>General</c:formatCod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numCache>
            </c:numRef>
          </c:cat>
          <c:val>
            <c:numRef>
              <c:f>YOY!$B$56:$H$56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2-E344-9F0C-8C0B51891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72896"/>
        <c:axId val="209855616"/>
      </c:lineChart>
      <c:catAx>
        <c:axId val="20987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55616"/>
        <c:crosses val="autoZero"/>
        <c:auto val="1"/>
        <c:lblAlgn val="ctr"/>
        <c:lblOffset val="100"/>
        <c:noMultiLvlLbl val="0"/>
      </c:catAx>
      <c:valAx>
        <c:axId val="2098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4 Year</a:t>
            </a:r>
            <a:r>
              <a:rPr lang="en-ZA" baseline="0"/>
              <a:t> Revenue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YOY!$A$2:$A$13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YOY!$C$2:$C$13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F2BD-0F43-A628-5011CF79AF87}"/>
            </c:ext>
          </c:extLst>
        </c:ser>
        <c:ser>
          <c:idx val="1"/>
          <c:order val="1"/>
          <c:spPr>
            <a:solidFill>
              <a:srgbClr val="F9A1E4"/>
            </a:solidFill>
            <a:ln>
              <a:noFill/>
            </a:ln>
            <a:effectLst/>
          </c:spPr>
          <c:invertIfNegative val="0"/>
          <c:cat>
            <c:strRef>
              <c:f>YOY!$A$2:$A$13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YOY!$D$2:$D$13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F2BD-0F43-A628-5011CF79AF87}"/>
            </c:ext>
          </c:extLst>
        </c:ser>
        <c:ser>
          <c:idx val="2"/>
          <c:order val="2"/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YOY!$A$2:$A$13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YOY!$E$2:$E$13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F2BD-0F43-A628-5011CF79AF87}"/>
            </c:ext>
          </c:extLst>
        </c:ser>
        <c:ser>
          <c:idx val="3"/>
          <c:order val="3"/>
          <c:spPr>
            <a:solidFill>
              <a:srgbClr val="F559D0"/>
            </a:solidFill>
            <a:ln>
              <a:noFill/>
            </a:ln>
            <a:effectLst/>
          </c:spPr>
          <c:invertIfNegative val="0"/>
          <c:cat>
            <c:strRef>
              <c:f>YOY!$A$2:$A$13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YOY!$F$2:$F$13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F2BD-0F43-A628-5011CF79AF8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YOY!$A$2:$A$13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YOY!$H$2:$H$13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D276-F447-A44D-05B09660B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77216"/>
        <c:axId val="209860896"/>
      </c:barChart>
      <c:catAx>
        <c:axId val="20987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0896"/>
        <c:crosses val="autoZero"/>
        <c:auto val="1"/>
        <c:lblAlgn val="ctr"/>
        <c:lblOffset val="100"/>
        <c:noMultiLvlLbl val="0"/>
      </c:catAx>
      <c:valAx>
        <c:axId val="20986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4</a:t>
            </a:r>
            <a:r>
              <a:rPr lang="en-ZA" baseline="0"/>
              <a:t> Year Occupancy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cat>
            <c:strRef>
              <c:f>YOY!$A$30:$A$41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YOY!$C$30:$C$41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D-FC45-86C7-F89D725A2A41}"/>
            </c:ext>
          </c:extLst>
        </c:ser>
        <c:ser>
          <c:idx val="1"/>
          <c:order val="1"/>
          <c:spPr>
            <a:ln w="28575" cap="rnd">
              <a:solidFill>
                <a:srgbClr val="F9A1E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9A1E4"/>
              </a:solidFill>
              <a:ln w="9525">
                <a:solidFill>
                  <a:srgbClr val="F9A1E4"/>
                </a:solidFill>
              </a:ln>
              <a:effectLst/>
            </c:spPr>
          </c:marker>
          <c:cat>
            <c:strRef>
              <c:f>YOY!$A$30:$A$41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YOY!$D$30:$D$41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BD-FC45-86C7-F89D725A2A41}"/>
            </c:ext>
          </c:extLst>
        </c:ser>
        <c:ser>
          <c:idx val="2"/>
          <c:order val="2"/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cat>
            <c:strRef>
              <c:f>YOY!$A$30:$A$41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YOY!$E$30:$E$41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BD-FC45-86C7-F89D725A2A41}"/>
            </c:ext>
          </c:extLst>
        </c:ser>
        <c:ser>
          <c:idx val="3"/>
          <c:order val="3"/>
          <c:spPr>
            <a:ln w="28575" cap="rnd">
              <a:solidFill>
                <a:srgbClr val="F559D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559D0"/>
              </a:solidFill>
              <a:ln w="9525">
                <a:solidFill>
                  <a:srgbClr val="F559D0"/>
                </a:solidFill>
              </a:ln>
              <a:effectLst/>
            </c:spPr>
          </c:marker>
          <c:cat>
            <c:strRef>
              <c:f>YOY!$A$30:$A$41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YOY!$F$30:$F$41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BD-FC45-86C7-F89D725A2A41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YOY!$A$30:$A$41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YOY!$H$30:$H$41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9C-454D-9A7D-FC960E1A6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131264"/>
        <c:axId val="210123104"/>
      </c:lineChart>
      <c:catAx>
        <c:axId val="21013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3104"/>
        <c:crosses val="autoZero"/>
        <c:auto val="1"/>
        <c:lblAlgn val="ctr"/>
        <c:lblOffset val="100"/>
        <c:noMultiLvlLbl val="0"/>
      </c:catAx>
      <c:valAx>
        <c:axId val="21012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 4 Year ADR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YOY!$A$44:$A$55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YOY!$C$44:$C$55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2-AA4D-BC39-69C598188384}"/>
            </c:ext>
          </c:extLst>
        </c:ser>
        <c:ser>
          <c:idx val="1"/>
          <c:order val="1"/>
          <c:spPr>
            <a:solidFill>
              <a:srgbClr val="F9A1E4"/>
            </a:solidFill>
            <a:ln>
              <a:noFill/>
            </a:ln>
            <a:effectLst/>
          </c:spPr>
          <c:invertIfNegative val="0"/>
          <c:cat>
            <c:strRef>
              <c:f>YOY!$A$44:$A$55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YOY!$D$44:$D$55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2-AA4D-BC39-69C598188384}"/>
            </c:ext>
          </c:extLst>
        </c:ser>
        <c:ser>
          <c:idx val="2"/>
          <c:order val="2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YOY!$A$44:$A$55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YOY!$E$44:$E$55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2-AA4D-BC39-69C598188384}"/>
            </c:ext>
          </c:extLst>
        </c:ser>
        <c:ser>
          <c:idx val="3"/>
          <c:order val="3"/>
          <c:spPr>
            <a:solidFill>
              <a:srgbClr val="F559D0"/>
            </a:solidFill>
            <a:ln>
              <a:noFill/>
            </a:ln>
            <a:effectLst/>
          </c:spPr>
          <c:invertIfNegative val="0"/>
          <c:cat>
            <c:strRef>
              <c:f>YOY!$A$44:$A$55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YOY!$F$44:$F$55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32-AA4D-BC39-69C59818838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YOY!$A$44:$A$55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YOY!$H$44:$H$55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A-3F4E-99ED-7547AFB7E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24544"/>
        <c:axId val="210129344"/>
      </c:barChart>
      <c:catAx>
        <c:axId val="21012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9344"/>
        <c:crosses val="autoZero"/>
        <c:auto val="1"/>
        <c:lblAlgn val="ctr"/>
        <c:lblOffset val="100"/>
        <c:noMultiLvlLbl val="0"/>
      </c:catAx>
      <c:valAx>
        <c:axId val="21012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58</xdr:row>
      <xdr:rowOff>95250</xdr:rowOff>
    </xdr:from>
    <xdr:to>
      <xdr:col>12</xdr:col>
      <xdr:colOff>749300</xdr:colOff>
      <xdr:row>74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416DA9-9E97-6E63-3434-E10DDCA8E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850900</xdr:colOff>
      <xdr:row>58</xdr:row>
      <xdr:rowOff>107950</xdr:rowOff>
    </xdr:from>
    <xdr:to>
      <xdr:col>19</xdr:col>
      <xdr:colOff>50800</xdr:colOff>
      <xdr:row>74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CDDBE-6951-EA8E-C324-884643C32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101600</xdr:colOff>
      <xdr:row>58</xdr:row>
      <xdr:rowOff>82550</xdr:rowOff>
    </xdr:from>
    <xdr:to>
      <xdr:col>6</xdr:col>
      <xdr:colOff>482600</xdr:colOff>
      <xdr:row>74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000619-3300-822B-E600-C6626A9A2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327478</xdr:colOff>
      <xdr:row>1</xdr:row>
      <xdr:rowOff>26761</xdr:rowOff>
    </xdr:from>
    <xdr:to>
      <xdr:col>17</xdr:col>
      <xdr:colOff>632278</xdr:colOff>
      <xdr:row>13</xdr:row>
      <xdr:rowOff>146504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97CE4B-CBB0-AD45-98E4-2AD6D254A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65315</xdr:colOff>
      <xdr:row>29</xdr:row>
      <xdr:rowOff>59872</xdr:rowOff>
    </xdr:from>
    <xdr:to>
      <xdr:col>17</xdr:col>
      <xdr:colOff>370115</xdr:colOff>
      <xdr:row>41</xdr:row>
      <xdr:rowOff>179615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767DB2-8E84-6740-BE30-38CF4FE28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65314</xdr:colOff>
      <xdr:row>43</xdr:row>
      <xdr:rowOff>59871</xdr:rowOff>
    </xdr:from>
    <xdr:to>
      <xdr:col>17</xdr:col>
      <xdr:colOff>370114</xdr:colOff>
      <xdr:row>55</xdr:row>
      <xdr:rowOff>179614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58ADF2-AC07-3B44-936A-FB7C32575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65314</xdr:colOff>
      <xdr:row>1</xdr:row>
      <xdr:rowOff>38100</xdr:rowOff>
    </xdr:from>
    <xdr:to>
      <xdr:col>25</xdr:col>
      <xdr:colOff>370114</xdr:colOff>
      <xdr:row>13</xdr:row>
      <xdr:rowOff>157843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044139-CECD-7746-8EF2-3897AACEE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65314</xdr:colOff>
      <xdr:row>29</xdr:row>
      <xdr:rowOff>114300</xdr:rowOff>
    </xdr:from>
    <xdr:to>
      <xdr:col>25</xdr:col>
      <xdr:colOff>370114</xdr:colOff>
      <xdr:row>42</xdr:row>
      <xdr:rowOff>5443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5AFB6D-2D12-4F48-B832-58BEA226C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87085</xdr:colOff>
      <xdr:row>43</xdr:row>
      <xdr:rowOff>38099</xdr:rowOff>
    </xdr:from>
    <xdr:to>
      <xdr:col>25</xdr:col>
      <xdr:colOff>391885</xdr:colOff>
      <xdr:row>55</xdr:row>
      <xdr:rowOff>157842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045E96-31DD-EB4A-84C1-8562FEB14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FC22-16E4-5542-87C2-0EE348A6D3D1}">
  <dimension ref="A1:S58"/>
  <sheetViews>
    <sheetView tabSelected="1" topLeftCell="F25" zoomScaleNormal="100" workbookViewId="0">
      <selection activeCell="I56" sqref="I56"/>
    </sheetView>
  </sheetViews>
  <sheetFormatPr baseColWidth="10" defaultRowHeight="16" x14ac:dyDescent="0.2"/>
  <cols>
    <col min="1" max="1" width="8.83203125" style="7" customWidth="1"/>
    <col min="2" max="3" width="10.83203125" style="7"/>
    <col min="4" max="4" width="8.83203125" style="7" customWidth="1"/>
    <col min="5" max="5" width="10.83203125" style="7" customWidth="1"/>
    <col min="6" max="8" width="10.83203125" style="7"/>
    <col min="9" max="9" width="8.83203125" style="7" customWidth="1"/>
    <col min="10" max="11" width="10.83203125" style="7"/>
    <col min="12" max="14" width="11.5" style="1" customWidth="1"/>
    <col min="15" max="16" width="11.5" customWidth="1"/>
    <col min="17" max="17" width="8.83203125" customWidth="1"/>
  </cols>
  <sheetData>
    <row r="1" spans="1:19" ht="28" customHeight="1" thickBot="1" x14ac:dyDescent="0.25">
      <c r="A1" s="118" t="s">
        <v>37</v>
      </c>
      <c r="B1" s="119"/>
      <c r="C1" s="119"/>
      <c r="D1" s="119"/>
      <c r="E1" s="119"/>
      <c r="F1" s="119"/>
      <c r="G1" s="119"/>
      <c r="H1" s="119"/>
      <c r="I1" s="119"/>
      <c r="J1" s="119"/>
      <c r="K1" s="120"/>
      <c r="N1" s="50"/>
      <c r="O1" s="50"/>
      <c r="P1" s="50"/>
      <c r="Q1" s="50"/>
      <c r="R1" s="50"/>
      <c r="S1" s="50"/>
    </row>
    <row r="2" spans="1:19" s="5" customFormat="1" ht="32" customHeight="1" x14ac:dyDescent="0.2">
      <c r="A2" s="42"/>
      <c r="B2" s="42" t="s">
        <v>38</v>
      </c>
      <c r="C2" s="42" t="s">
        <v>36</v>
      </c>
      <c r="D2" s="42" t="s">
        <v>0</v>
      </c>
      <c r="E2" s="43" t="s">
        <v>1</v>
      </c>
      <c r="F2" s="44" t="s">
        <v>7</v>
      </c>
      <c r="G2" s="81" t="s">
        <v>29</v>
      </c>
      <c r="H2" s="82" t="s">
        <v>27</v>
      </c>
      <c r="I2" s="4"/>
      <c r="J2" s="44" t="s">
        <v>7</v>
      </c>
      <c r="K2" s="82" t="s">
        <v>27</v>
      </c>
      <c r="L2" s="4"/>
      <c r="M2" s="4"/>
    </row>
    <row r="3" spans="1:19" s="3" customFormat="1" ht="18" customHeight="1" x14ac:dyDescent="0.2">
      <c r="A3" s="37" t="s">
        <v>20</v>
      </c>
      <c r="B3" s="40">
        <v>19750.010000000002</v>
      </c>
      <c r="C3" s="40">
        <v>19750.010000000002</v>
      </c>
      <c r="D3" s="40" t="s">
        <v>32</v>
      </c>
      <c r="E3" s="45">
        <v>54098.32</v>
      </c>
      <c r="F3" s="53">
        <f t="shared" ref="F3:F14" si="0">B3-E3</f>
        <v>-34348.31</v>
      </c>
      <c r="G3" s="56">
        <f t="shared" ref="G3:G14" si="1">E3*1.07</f>
        <v>57885.202400000002</v>
      </c>
      <c r="H3" s="56">
        <f t="shared" ref="H3:H15" si="2">B3-G3</f>
        <v>-38135.1924</v>
      </c>
      <c r="I3" s="6"/>
      <c r="J3" s="71">
        <f t="shared" ref="J3:J15" si="3">(B3-E3)/E3</f>
        <v>-0.63492378321544918</v>
      </c>
      <c r="K3" s="54">
        <f t="shared" ref="K3:K15" si="4">(B3-G3)/G3</f>
        <v>-0.65880727403313011</v>
      </c>
      <c r="L3" s="2"/>
      <c r="M3" s="2"/>
      <c r="S3" s="50"/>
    </row>
    <row r="4" spans="1:19" s="3" customFormat="1" ht="18" customHeight="1" x14ac:dyDescent="0.2">
      <c r="A4" s="37" t="s">
        <v>19</v>
      </c>
      <c r="B4" s="40">
        <v>106590</v>
      </c>
      <c r="C4" s="40">
        <v>106590</v>
      </c>
      <c r="D4" s="40" t="s">
        <v>32</v>
      </c>
      <c r="E4" s="45">
        <v>92724.99</v>
      </c>
      <c r="F4" s="53">
        <f t="shared" ref="F4:F6" si="5">B4-E4</f>
        <v>13865.009999999995</v>
      </c>
      <c r="G4" s="56">
        <f t="shared" ref="G4:G6" si="6">E4*1.07</f>
        <v>99215.739300000016</v>
      </c>
      <c r="H4" s="56">
        <f t="shared" ref="H4:H6" si="7">B4-G4</f>
        <v>7374.2606999999844</v>
      </c>
      <c r="I4" s="6"/>
      <c r="J4" s="71">
        <f t="shared" ref="J4:J6" si="8">(B4-E4)/E4</f>
        <v>0.14952829868194101</v>
      </c>
      <c r="K4" s="54">
        <f t="shared" ref="K4:K6" si="9">(B4-G4)/G4</f>
        <v>7.4325512786860656E-2</v>
      </c>
      <c r="L4" s="2"/>
      <c r="M4" s="2"/>
      <c r="S4" s="50"/>
    </row>
    <row r="5" spans="1:19" s="3" customFormat="1" ht="18" customHeight="1" x14ac:dyDescent="0.2">
      <c r="A5" s="37" t="s">
        <v>18</v>
      </c>
      <c r="B5" s="40">
        <v>22833.34</v>
      </c>
      <c r="C5" s="40">
        <v>22833.34</v>
      </c>
      <c r="D5" s="40" t="s">
        <v>32</v>
      </c>
      <c r="E5" s="45">
        <v>95967.857142857159</v>
      </c>
      <c r="F5" s="53">
        <f t="shared" si="5"/>
        <v>-73134.517142857163</v>
      </c>
      <c r="G5" s="56">
        <f t="shared" si="6"/>
        <v>102685.60714285716</v>
      </c>
      <c r="H5" s="56">
        <f t="shared" si="7"/>
        <v>-79852.267142857163</v>
      </c>
      <c r="I5" s="6"/>
      <c r="J5" s="71">
        <f t="shared" si="8"/>
        <v>-0.76207304529046194</v>
      </c>
      <c r="K5" s="54">
        <f t="shared" si="9"/>
        <v>-0.77763836008454379</v>
      </c>
      <c r="L5" s="2"/>
      <c r="M5" s="2"/>
      <c r="S5" s="50"/>
    </row>
    <row r="6" spans="1:19" s="3" customFormat="1" ht="18" customHeight="1" x14ac:dyDescent="0.2">
      <c r="A6" s="37" t="s">
        <v>17</v>
      </c>
      <c r="B6" s="40">
        <v>88880.01</v>
      </c>
      <c r="C6" s="40">
        <v>88880.01</v>
      </c>
      <c r="D6" s="40" t="s">
        <v>32</v>
      </c>
      <c r="E6" s="45">
        <v>52695</v>
      </c>
      <c r="F6" s="53">
        <f t="shared" si="5"/>
        <v>36185.009999999995</v>
      </c>
      <c r="G6" s="56">
        <f t="shared" si="6"/>
        <v>56383.65</v>
      </c>
      <c r="H6" s="56">
        <f t="shared" si="7"/>
        <v>32496.359999999993</v>
      </c>
      <c r="I6" s="6"/>
      <c r="J6" s="71">
        <f t="shared" si="8"/>
        <v>0.68668773128380289</v>
      </c>
      <c r="K6" s="54">
        <f t="shared" si="9"/>
        <v>0.57634367409701204</v>
      </c>
      <c r="L6" s="2"/>
      <c r="M6" s="2"/>
      <c r="S6" s="50"/>
    </row>
    <row r="7" spans="1:19" s="3" customFormat="1" ht="18" customHeight="1" x14ac:dyDescent="0.2">
      <c r="A7" s="37" t="s">
        <v>16</v>
      </c>
      <c r="B7" s="40">
        <v>44066.64</v>
      </c>
      <c r="C7" s="40">
        <v>44066.64</v>
      </c>
      <c r="D7" s="40">
        <f t="shared" ref="D7:D10" si="10">B7-C7</f>
        <v>0</v>
      </c>
      <c r="E7" s="45">
        <v>81250.02</v>
      </c>
      <c r="F7" s="53">
        <f t="shared" si="0"/>
        <v>-37183.380000000005</v>
      </c>
      <c r="G7" s="56">
        <f t="shared" si="1"/>
        <v>86937.521400000012</v>
      </c>
      <c r="H7" s="56">
        <f t="shared" si="2"/>
        <v>-42870.881400000013</v>
      </c>
      <c r="I7" s="6"/>
      <c r="J7" s="71">
        <f t="shared" si="3"/>
        <v>-0.45764148734978777</v>
      </c>
      <c r="K7" s="54">
        <f t="shared" si="4"/>
        <v>-0.49312288537363347</v>
      </c>
      <c r="L7" s="2"/>
      <c r="M7" s="2"/>
      <c r="S7" s="50"/>
    </row>
    <row r="8" spans="1:19" s="3" customFormat="1" ht="18" customHeight="1" x14ac:dyDescent="0.2">
      <c r="A8" s="37" t="s">
        <v>2</v>
      </c>
      <c r="B8" s="40">
        <v>55895</v>
      </c>
      <c r="C8" s="40">
        <v>35845</v>
      </c>
      <c r="D8" s="40">
        <f t="shared" si="10"/>
        <v>20050</v>
      </c>
      <c r="E8" s="45">
        <v>81000</v>
      </c>
      <c r="F8" s="53">
        <f t="shared" si="0"/>
        <v>-25105</v>
      </c>
      <c r="G8" s="56">
        <f t="shared" si="1"/>
        <v>86670</v>
      </c>
      <c r="H8" s="56">
        <f t="shared" si="2"/>
        <v>-30775</v>
      </c>
      <c r="I8" s="6"/>
      <c r="J8" s="71">
        <f t="shared" si="3"/>
        <v>-0.30993827160493825</v>
      </c>
      <c r="K8" s="54">
        <f t="shared" si="4"/>
        <v>-0.35508249682704512</v>
      </c>
      <c r="L8" s="2"/>
      <c r="M8" s="2"/>
      <c r="S8" s="50"/>
    </row>
    <row r="9" spans="1:19" s="3" customFormat="1" ht="18" customHeight="1" x14ac:dyDescent="0.2">
      <c r="A9" s="37" t="s">
        <v>3</v>
      </c>
      <c r="B9" s="40">
        <v>54850.01</v>
      </c>
      <c r="C9" s="40">
        <v>26540.010000000002</v>
      </c>
      <c r="D9" s="40">
        <f t="shared" si="10"/>
        <v>28310</v>
      </c>
      <c r="E9" s="45">
        <v>31700</v>
      </c>
      <c r="F9" s="53">
        <f t="shared" si="0"/>
        <v>23150.010000000002</v>
      </c>
      <c r="G9" s="56">
        <f t="shared" si="1"/>
        <v>33919</v>
      </c>
      <c r="H9" s="56">
        <f t="shared" si="2"/>
        <v>20931.010000000002</v>
      </c>
      <c r="I9" s="6"/>
      <c r="J9" s="71">
        <f t="shared" si="3"/>
        <v>0.7302842271293376</v>
      </c>
      <c r="K9" s="54">
        <f t="shared" si="4"/>
        <v>0.61708806273769867</v>
      </c>
      <c r="L9" s="2"/>
      <c r="M9" s="2"/>
      <c r="S9" s="50"/>
    </row>
    <row r="10" spans="1:19" s="3" customFormat="1" ht="18" customHeight="1" x14ac:dyDescent="0.2">
      <c r="A10" s="37" t="s">
        <v>15</v>
      </c>
      <c r="B10" s="40">
        <v>15575</v>
      </c>
      <c r="C10" s="40">
        <v>9350</v>
      </c>
      <c r="D10" s="40">
        <f t="shared" si="10"/>
        <v>6225</v>
      </c>
      <c r="E10" s="45">
        <v>30105.545555555553</v>
      </c>
      <c r="F10" s="53">
        <f t="shared" si="0"/>
        <v>-14530.545555555553</v>
      </c>
      <c r="G10" s="56">
        <f t="shared" si="1"/>
        <v>32212.933744444443</v>
      </c>
      <c r="H10" s="56">
        <f t="shared" si="2"/>
        <v>-16637.933744444443</v>
      </c>
      <c r="I10" s="6"/>
      <c r="J10" s="71">
        <f t="shared" si="3"/>
        <v>-0.48265345428607076</v>
      </c>
      <c r="K10" s="54">
        <f t="shared" si="4"/>
        <v>-0.51649855540754275</v>
      </c>
      <c r="L10" s="2"/>
      <c r="M10" s="2"/>
      <c r="S10" s="50"/>
    </row>
    <row r="11" spans="1:19" s="3" customFormat="1" ht="18" customHeight="1" x14ac:dyDescent="0.2">
      <c r="A11" s="37" t="s">
        <v>14</v>
      </c>
      <c r="B11" s="40">
        <v>32600</v>
      </c>
      <c r="C11" s="40">
        <v>32600</v>
      </c>
      <c r="D11" s="40">
        <f t="shared" ref="D11" si="11">B11-C11</f>
        <v>0</v>
      </c>
      <c r="E11" s="45">
        <v>40743.360000000001</v>
      </c>
      <c r="F11" s="53">
        <f t="shared" ref="F11:F13" si="12">B11-E11</f>
        <v>-8143.3600000000006</v>
      </c>
      <c r="G11" s="56">
        <f t="shared" ref="G11:G13" si="13">E11*1.07</f>
        <v>43595.395200000006</v>
      </c>
      <c r="H11" s="56">
        <f t="shared" ref="H11:H13" si="14">B11-G11</f>
        <v>-10995.395200000006</v>
      </c>
      <c r="I11" s="6"/>
      <c r="J11" s="71">
        <f t="shared" ref="J11:J13" si="15">(B11-E11)/E11</f>
        <v>-0.19986962292751506</v>
      </c>
      <c r="K11" s="54">
        <f t="shared" ref="K11:K13" si="16">(B11-G11)/G11</f>
        <v>-0.25221460086683661</v>
      </c>
      <c r="L11" s="2"/>
      <c r="M11" s="2"/>
      <c r="S11" s="50"/>
    </row>
    <row r="12" spans="1:19" s="3" customFormat="1" ht="18" customHeight="1" x14ac:dyDescent="0.2">
      <c r="A12" s="37" t="s">
        <v>13</v>
      </c>
      <c r="B12" s="40">
        <v>27093.75</v>
      </c>
      <c r="C12" s="40">
        <v>3200</v>
      </c>
      <c r="D12" s="40">
        <f>B12-C12</f>
        <v>23893.75</v>
      </c>
      <c r="E12" s="45">
        <v>135683.33666666667</v>
      </c>
      <c r="F12" s="53">
        <f t="shared" si="12"/>
        <v>-108589.58666666667</v>
      </c>
      <c r="G12" s="56">
        <f t="shared" si="13"/>
        <v>145181.17023333334</v>
      </c>
      <c r="H12" s="56">
        <f t="shared" si="14"/>
        <v>-118087.42023333334</v>
      </c>
      <c r="I12" s="6"/>
      <c r="J12" s="71">
        <f t="shared" si="15"/>
        <v>-0.80031630511445018</v>
      </c>
      <c r="K12" s="54">
        <f t="shared" si="16"/>
        <v>-0.81337972440602824</v>
      </c>
      <c r="L12" s="2"/>
      <c r="M12" s="2"/>
      <c r="S12" s="50"/>
    </row>
    <row r="13" spans="1:19" s="3" customFormat="1" ht="18" customHeight="1" x14ac:dyDescent="0.2">
      <c r="A13" s="37" t="s">
        <v>22</v>
      </c>
      <c r="B13" s="40">
        <v>26906.25</v>
      </c>
      <c r="C13" s="40">
        <v>0</v>
      </c>
      <c r="D13" s="40">
        <f t="shared" ref="D13:D14" si="17">B13-C13</f>
        <v>26906.25</v>
      </c>
      <c r="E13" s="45">
        <v>41520</v>
      </c>
      <c r="F13" s="53">
        <f t="shared" si="12"/>
        <v>-14613.75</v>
      </c>
      <c r="G13" s="56">
        <f t="shared" si="13"/>
        <v>44426.400000000001</v>
      </c>
      <c r="H13" s="56">
        <f t="shared" si="14"/>
        <v>-17520.150000000001</v>
      </c>
      <c r="I13" s="6"/>
      <c r="J13" s="71">
        <f t="shared" si="15"/>
        <v>-0.35196893063583817</v>
      </c>
      <c r="K13" s="54">
        <f t="shared" si="16"/>
        <v>-0.3943634865755497</v>
      </c>
      <c r="L13" s="2"/>
      <c r="M13" s="2"/>
      <c r="S13" s="50"/>
    </row>
    <row r="14" spans="1:19" s="3" customFormat="1" ht="18" customHeight="1" x14ac:dyDescent="0.2">
      <c r="A14" s="37" t="s">
        <v>21</v>
      </c>
      <c r="B14" s="40">
        <v>5610</v>
      </c>
      <c r="C14" s="40">
        <v>5610</v>
      </c>
      <c r="D14" s="40">
        <f t="shared" si="17"/>
        <v>0</v>
      </c>
      <c r="E14" s="45">
        <v>36740</v>
      </c>
      <c r="F14" s="53">
        <f t="shared" si="0"/>
        <v>-31130</v>
      </c>
      <c r="G14" s="56">
        <f t="shared" si="1"/>
        <v>39311.800000000003</v>
      </c>
      <c r="H14" s="56">
        <f t="shared" si="2"/>
        <v>-33701.800000000003</v>
      </c>
      <c r="I14" s="6"/>
      <c r="J14" s="71">
        <f t="shared" si="3"/>
        <v>-0.84730538922155685</v>
      </c>
      <c r="K14" s="54">
        <f t="shared" si="4"/>
        <v>-0.85729475628182883</v>
      </c>
      <c r="L14" s="2"/>
      <c r="M14" s="2"/>
      <c r="S14" s="50"/>
    </row>
    <row r="15" spans="1:19" s="3" customFormat="1" ht="18" customHeight="1" thickBot="1" x14ac:dyDescent="0.25">
      <c r="A15" s="39" t="s">
        <v>8</v>
      </c>
      <c r="B15" s="46">
        <f>SUM(B3:B14)</f>
        <v>500650.01</v>
      </c>
      <c r="C15" s="46">
        <f>SUM(C3:C14)</f>
        <v>395265.01</v>
      </c>
      <c r="D15" s="46">
        <f>SUM(D3:D14)</f>
        <v>105385</v>
      </c>
      <c r="E15" s="47">
        <f>SUM(E3:E14)</f>
        <v>774228.42936507938</v>
      </c>
      <c r="F15" s="57">
        <f>B15-E15</f>
        <v>-273578.41936507937</v>
      </c>
      <c r="G15" s="84">
        <f>E15*1.07</f>
        <v>828424.41942063498</v>
      </c>
      <c r="H15" s="83">
        <f t="shared" si="2"/>
        <v>-327774.40942063497</v>
      </c>
      <c r="I15" s="6"/>
      <c r="J15" s="85">
        <f t="shared" si="3"/>
        <v>-0.35335620469198287</v>
      </c>
      <c r="K15" s="86">
        <f t="shared" si="4"/>
        <v>-0.39566000438503074</v>
      </c>
      <c r="L15" s="2"/>
      <c r="M15" s="2"/>
      <c r="N15" s="50"/>
      <c r="O15" s="50"/>
      <c r="P15" s="50"/>
      <c r="Q15" s="50"/>
      <c r="R15" s="50"/>
      <c r="S15" s="50"/>
    </row>
    <row r="16" spans="1:19" ht="25" customHeight="1" thickBot="1" x14ac:dyDescent="0.25">
      <c r="A16" s="115" t="s">
        <v>4</v>
      </c>
      <c r="B16" s="116"/>
      <c r="C16" s="116"/>
      <c r="D16" s="116"/>
      <c r="E16" s="116"/>
      <c r="F16" s="117"/>
      <c r="G16" s="115" t="s">
        <v>6</v>
      </c>
      <c r="H16" s="116"/>
      <c r="I16" s="116"/>
      <c r="J16" s="116"/>
      <c r="K16" s="117"/>
      <c r="O16" s="1"/>
      <c r="P16" s="1"/>
    </row>
    <row r="17" spans="1:16" s="51" customFormat="1" ht="32" customHeight="1" x14ac:dyDescent="0.2">
      <c r="A17" s="41"/>
      <c r="B17" s="42" t="s">
        <v>38</v>
      </c>
      <c r="C17" s="42" t="s">
        <v>36</v>
      </c>
      <c r="D17" s="42" t="s">
        <v>0</v>
      </c>
      <c r="E17" s="43" t="s">
        <v>1</v>
      </c>
      <c r="F17" s="44" t="s">
        <v>7</v>
      </c>
      <c r="G17" s="42" t="s">
        <v>38</v>
      </c>
      <c r="H17" s="42" t="s">
        <v>36</v>
      </c>
      <c r="I17" s="42" t="s">
        <v>0</v>
      </c>
      <c r="J17" s="43" t="s">
        <v>1</v>
      </c>
      <c r="K17" s="44" t="s">
        <v>7</v>
      </c>
      <c r="L17" s="50"/>
      <c r="M17" s="50"/>
      <c r="N17" s="50"/>
      <c r="O17" s="50"/>
      <c r="P17" s="50"/>
    </row>
    <row r="18" spans="1:16" s="51" customFormat="1" ht="18" customHeight="1" x14ac:dyDescent="0.2">
      <c r="A18" s="37" t="s">
        <v>20</v>
      </c>
      <c r="B18" s="48">
        <v>10</v>
      </c>
      <c r="C18" s="48">
        <v>10</v>
      </c>
      <c r="D18" s="40" t="s">
        <v>32</v>
      </c>
      <c r="E18" s="49">
        <v>36</v>
      </c>
      <c r="F18" s="53">
        <f t="shared" ref="F18:F29" si="18">B18-E18</f>
        <v>-26</v>
      </c>
      <c r="G18" s="77">
        <f>B18/186</f>
        <v>5.3763440860215055E-2</v>
      </c>
      <c r="H18" s="77">
        <f>C18/186</f>
        <v>5.3763440860215055E-2</v>
      </c>
      <c r="I18" s="40" t="s">
        <v>32</v>
      </c>
      <c r="J18" s="79">
        <f>E18/186</f>
        <v>0.19354838709677419</v>
      </c>
      <c r="K18" s="71">
        <f t="shared" ref="K18:K29" si="19">G18-J18</f>
        <v>-0.13978494623655913</v>
      </c>
      <c r="L18" s="50"/>
      <c r="M18" s="114" t="s">
        <v>35</v>
      </c>
      <c r="N18" s="114"/>
      <c r="O18" s="50"/>
      <c r="P18" s="50"/>
    </row>
    <row r="19" spans="1:16" s="51" customFormat="1" ht="18" customHeight="1" x14ac:dyDescent="0.2">
      <c r="A19" s="37" t="s">
        <v>19</v>
      </c>
      <c r="B19" s="48">
        <v>36</v>
      </c>
      <c r="C19" s="48">
        <v>36</v>
      </c>
      <c r="D19" s="40" t="s">
        <v>32</v>
      </c>
      <c r="E19" s="49">
        <v>45</v>
      </c>
      <c r="F19" s="53">
        <f t="shared" ref="F19:F21" si="20">B19-E19</f>
        <v>-9</v>
      </c>
      <c r="G19" s="77">
        <f>B19/180</f>
        <v>0.2</v>
      </c>
      <c r="H19" s="77">
        <f>C19/180</f>
        <v>0.2</v>
      </c>
      <c r="I19" s="40" t="s">
        <v>32</v>
      </c>
      <c r="J19" s="79">
        <f>E19/180</f>
        <v>0.25</v>
      </c>
      <c r="K19" s="71">
        <f t="shared" ref="K19:K21" si="21">G19-J19</f>
        <v>-4.9999999999999989E-2</v>
      </c>
      <c r="L19" s="50"/>
      <c r="M19" s="50">
        <v>28</v>
      </c>
      <c r="N19" s="50">
        <v>168</v>
      </c>
      <c r="O19" s="50"/>
      <c r="P19" s="50"/>
    </row>
    <row r="20" spans="1:16" s="51" customFormat="1" ht="18" customHeight="1" x14ac:dyDescent="0.2">
      <c r="A20" s="37" t="s">
        <v>18</v>
      </c>
      <c r="B20" s="48">
        <v>15</v>
      </c>
      <c r="C20" s="48">
        <v>15</v>
      </c>
      <c r="D20" s="40" t="s">
        <v>32</v>
      </c>
      <c r="E20" s="49">
        <v>35</v>
      </c>
      <c r="F20" s="53">
        <f t="shared" si="20"/>
        <v>-20</v>
      </c>
      <c r="G20" s="77">
        <f>B20/186</f>
        <v>8.0645161290322578E-2</v>
      </c>
      <c r="H20" s="77">
        <f>C20/186</f>
        <v>8.0645161290322578E-2</v>
      </c>
      <c r="I20" s="40" t="s">
        <v>32</v>
      </c>
      <c r="J20" s="79">
        <f>E20/186</f>
        <v>0.18817204301075269</v>
      </c>
      <c r="K20" s="71">
        <f t="shared" si="21"/>
        <v>-0.10752688172043011</v>
      </c>
      <c r="L20" s="50"/>
      <c r="M20" s="50">
        <v>29</v>
      </c>
      <c r="N20" s="50">
        <v>174</v>
      </c>
      <c r="O20" s="50"/>
      <c r="P20" s="50"/>
    </row>
    <row r="21" spans="1:16" s="51" customFormat="1" ht="18" customHeight="1" x14ac:dyDescent="0.2">
      <c r="A21" s="37" t="s">
        <v>17</v>
      </c>
      <c r="B21" s="48">
        <v>43</v>
      </c>
      <c r="C21" s="48">
        <v>43</v>
      </c>
      <c r="D21" s="40" t="s">
        <v>32</v>
      </c>
      <c r="E21" s="49">
        <v>31</v>
      </c>
      <c r="F21" s="53">
        <f t="shared" si="20"/>
        <v>12</v>
      </c>
      <c r="G21" s="77">
        <f>B21/180</f>
        <v>0.2388888888888889</v>
      </c>
      <c r="H21" s="77">
        <f>C21/180</f>
        <v>0.2388888888888889</v>
      </c>
      <c r="I21" s="40" t="s">
        <v>32</v>
      </c>
      <c r="J21" s="79">
        <f>E21/180</f>
        <v>0.17222222222222222</v>
      </c>
      <c r="K21" s="71">
        <f t="shared" si="21"/>
        <v>6.666666666666668E-2</v>
      </c>
      <c r="L21" s="50"/>
      <c r="M21" s="50">
        <v>30</v>
      </c>
      <c r="N21" s="50">
        <v>180</v>
      </c>
      <c r="O21" s="50"/>
      <c r="P21" s="50"/>
    </row>
    <row r="22" spans="1:16" s="51" customFormat="1" ht="18" customHeight="1" x14ac:dyDescent="0.2">
      <c r="A22" s="37" t="s">
        <v>16</v>
      </c>
      <c r="B22" s="48">
        <v>27</v>
      </c>
      <c r="C22" s="48">
        <v>27</v>
      </c>
      <c r="D22" s="40">
        <f t="shared" ref="D22:D25" si="22">B22-C22</f>
        <v>0</v>
      </c>
      <c r="E22" s="49">
        <v>44</v>
      </c>
      <c r="F22" s="53">
        <f t="shared" si="18"/>
        <v>-17</v>
      </c>
      <c r="G22" s="77">
        <f>B22/186</f>
        <v>0.14516129032258066</v>
      </c>
      <c r="H22" s="77">
        <f>C22/186</f>
        <v>0.14516129032258066</v>
      </c>
      <c r="I22" s="61">
        <f t="shared" ref="I22:I26" si="23">G22-H22</f>
        <v>0</v>
      </c>
      <c r="J22" s="79">
        <f>E22/186</f>
        <v>0.23655913978494625</v>
      </c>
      <c r="K22" s="71">
        <f t="shared" si="19"/>
        <v>-9.1397849462365593E-2</v>
      </c>
      <c r="L22" s="50"/>
      <c r="M22" s="50">
        <v>31</v>
      </c>
      <c r="N22" s="50">
        <v>186</v>
      </c>
      <c r="O22" s="50"/>
      <c r="P22" s="50"/>
    </row>
    <row r="23" spans="1:16" s="51" customFormat="1" ht="18" customHeight="1" x14ac:dyDescent="0.2">
      <c r="A23" s="37" t="s">
        <v>2</v>
      </c>
      <c r="B23" s="48">
        <v>25</v>
      </c>
      <c r="C23" s="48">
        <v>15</v>
      </c>
      <c r="D23" s="40">
        <f t="shared" si="22"/>
        <v>10</v>
      </c>
      <c r="E23" s="49">
        <v>35</v>
      </c>
      <c r="F23" s="53">
        <f t="shared" si="18"/>
        <v>-10</v>
      </c>
      <c r="G23" s="77">
        <f>B23/186</f>
        <v>0.13440860215053763</v>
      </c>
      <c r="H23" s="77">
        <f>C23/186</f>
        <v>8.0645161290322578E-2</v>
      </c>
      <c r="I23" s="111">
        <f t="shared" si="23"/>
        <v>5.3763440860215048E-2</v>
      </c>
      <c r="J23" s="79">
        <f>E23/186</f>
        <v>0.18817204301075269</v>
      </c>
      <c r="K23" s="71">
        <f t="shared" si="19"/>
        <v>-5.3763440860215062E-2</v>
      </c>
      <c r="L23" s="50"/>
      <c r="O23" s="50"/>
      <c r="P23" s="50"/>
    </row>
    <row r="24" spans="1:16" s="51" customFormat="1" ht="18" customHeight="1" x14ac:dyDescent="0.2">
      <c r="A24" s="37" t="s">
        <v>3</v>
      </c>
      <c r="B24" s="48">
        <v>24</v>
      </c>
      <c r="C24" s="48">
        <v>14</v>
      </c>
      <c r="D24" s="40">
        <f t="shared" si="22"/>
        <v>10</v>
      </c>
      <c r="E24" s="49">
        <v>25</v>
      </c>
      <c r="F24" s="53">
        <f t="shared" si="18"/>
        <v>-1</v>
      </c>
      <c r="G24" s="77">
        <f>B24/180</f>
        <v>0.13333333333333333</v>
      </c>
      <c r="H24" s="77">
        <f>C24/180</f>
        <v>7.7777777777777779E-2</v>
      </c>
      <c r="I24" s="61">
        <f t="shared" si="23"/>
        <v>5.5555555555555552E-2</v>
      </c>
      <c r="J24" s="79">
        <f>E24/180</f>
        <v>0.1388888888888889</v>
      </c>
      <c r="K24" s="71">
        <f t="shared" si="19"/>
        <v>-5.5555555555555636E-3</v>
      </c>
      <c r="L24" s="50"/>
      <c r="O24" s="50"/>
      <c r="P24" s="50"/>
    </row>
    <row r="25" spans="1:16" s="51" customFormat="1" ht="18" customHeight="1" x14ac:dyDescent="0.2">
      <c r="A25" s="37" t="s">
        <v>15</v>
      </c>
      <c r="B25" s="48">
        <v>4</v>
      </c>
      <c r="C25" s="48">
        <v>2</v>
      </c>
      <c r="D25" s="40">
        <f t="shared" si="22"/>
        <v>2</v>
      </c>
      <c r="E25" s="49">
        <v>19</v>
      </c>
      <c r="F25" s="53">
        <f t="shared" si="18"/>
        <v>-15</v>
      </c>
      <c r="G25" s="77">
        <f>B25/186</f>
        <v>2.1505376344086023E-2</v>
      </c>
      <c r="H25" s="77">
        <f>C25/186</f>
        <v>1.0752688172043012E-2</v>
      </c>
      <c r="I25" s="61">
        <f t="shared" si="23"/>
        <v>1.0752688172043012E-2</v>
      </c>
      <c r="J25" s="79">
        <f>E25/186</f>
        <v>0.10215053763440861</v>
      </c>
      <c r="K25" s="71">
        <f t="shared" si="19"/>
        <v>-8.0645161290322592E-2</v>
      </c>
      <c r="L25" s="50"/>
      <c r="O25" s="50"/>
      <c r="P25" s="50"/>
    </row>
    <row r="26" spans="1:16" s="51" customFormat="1" ht="18" customHeight="1" x14ac:dyDescent="0.2">
      <c r="A26" s="37" t="s">
        <v>14</v>
      </c>
      <c r="B26" s="48">
        <v>12</v>
      </c>
      <c r="C26" s="48">
        <v>12</v>
      </c>
      <c r="D26" s="40">
        <f t="shared" ref="D26" si="24">B26-C26</f>
        <v>0</v>
      </c>
      <c r="E26" s="49">
        <v>29</v>
      </c>
      <c r="F26" s="53">
        <f t="shared" ref="F26:F28" si="25">B26-E26</f>
        <v>-17</v>
      </c>
      <c r="G26" s="77">
        <f>B26/180</f>
        <v>6.6666666666666666E-2</v>
      </c>
      <c r="H26" s="77">
        <f>C26/180</f>
        <v>6.6666666666666666E-2</v>
      </c>
      <c r="I26" s="61">
        <f t="shared" si="23"/>
        <v>0</v>
      </c>
      <c r="J26" s="79">
        <f>E26/180</f>
        <v>0.16111111111111112</v>
      </c>
      <c r="K26" s="71">
        <f t="shared" ref="K26:K28" si="26">G26-J26</f>
        <v>-9.4444444444444456E-2</v>
      </c>
      <c r="L26" s="50"/>
      <c r="M26" s="50"/>
      <c r="N26" s="50"/>
      <c r="O26" s="50"/>
      <c r="P26" s="50"/>
    </row>
    <row r="27" spans="1:16" s="51" customFormat="1" ht="18" customHeight="1" x14ac:dyDescent="0.2">
      <c r="A27" s="37" t="s">
        <v>13</v>
      </c>
      <c r="B27" s="48">
        <v>7</v>
      </c>
      <c r="C27" s="48">
        <v>2</v>
      </c>
      <c r="D27" s="40">
        <f>B27-C27</f>
        <v>5</v>
      </c>
      <c r="E27" s="49">
        <v>64</v>
      </c>
      <c r="F27" s="53">
        <f t="shared" si="25"/>
        <v>-57</v>
      </c>
      <c r="G27" s="77">
        <f>B27/186</f>
        <v>3.7634408602150539E-2</v>
      </c>
      <c r="H27" s="77">
        <f>C27/186</f>
        <v>1.0752688172043012E-2</v>
      </c>
      <c r="I27" s="61">
        <f>G27-H27</f>
        <v>2.6881720430107527E-2</v>
      </c>
      <c r="J27" s="79">
        <f>E27/186</f>
        <v>0.34408602150537637</v>
      </c>
      <c r="K27" s="71">
        <f t="shared" si="26"/>
        <v>-0.30645161290322581</v>
      </c>
      <c r="L27" s="50"/>
      <c r="M27" s="50"/>
      <c r="N27" s="50"/>
      <c r="O27" s="50"/>
      <c r="P27" s="50"/>
    </row>
    <row r="28" spans="1:16" s="51" customFormat="1" ht="18" customHeight="1" x14ac:dyDescent="0.2">
      <c r="A28" s="37" t="s">
        <v>22</v>
      </c>
      <c r="B28" s="48">
        <v>5</v>
      </c>
      <c r="C28" s="48">
        <v>0</v>
      </c>
      <c r="D28" s="40">
        <f t="shared" ref="D28:D29" si="27">B28-C28</f>
        <v>5</v>
      </c>
      <c r="E28" s="49">
        <v>25</v>
      </c>
      <c r="F28" s="53">
        <f t="shared" si="25"/>
        <v>-20</v>
      </c>
      <c r="G28" s="77">
        <f>B28/186</f>
        <v>2.6881720430107527E-2</v>
      </c>
      <c r="H28" s="77">
        <f>C28/186</f>
        <v>0</v>
      </c>
      <c r="I28" s="61">
        <f>G28-H28</f>
        <v>2.6881720430107527E-2</v>
      </c>
      <c r="J28" s="79">
        <f>E28/186</f>
        <v>0.13440860215053763</v>
      </c>
      <c r="K28" s="71">
        <f t="shared" si="26"/>
        <v>-0.1075268817204301</v>
      </c>
      <c r="L28" s="50"/>
      <c r="M28" s="50"/>
      <c r="N28" s="50"/>
      <c r="O28" s="50"/>
      <c r="P28" s="50"/>
    </row>
    <row r="29" spans="1:16" s="51" customFormat="1" ht="18" customHeight="1" thickBot="1" x14ac:dyDescent="0.25">
      <c r="A29" s="38" t="s">
        <v>21</v>
      </c>
      <c r="B29" s="109">
        <v>4</v>
      </c>
      <c r="C29" s="109">
        <v>4</v>
      </c>
      <c r="D29" s="58">
        <f t="shared" si="27"/>
        <v>0</v>
      </c>
      <c r="E29" s="110">
        <v>31</v>
      </c>
      <c r="F29" s="55">
        <f t="shared" si="18"/>
        <v>-27</v>
      </c>
      <c r="G29" s="78">
        <f>B29/168</f>
        <v>2.3809523809523808E-2</v>
      </c>
      <c r="H29" s="78">
        <f>C29/168</f>
        <v>2.3809523809523808E-2</v>
      </c>
      <c r="I29" s="60">
        <f>G29-H29</f>
        <v>0</v>
      </c>
      <c r="J29" s="80">
        <f>E29/168</f>
        <v>0.18452380952380953</v>
      </c>
      <c r="K29" s="72">
        <f t="shared" si="19"/>
        <v>-0.16071428571428573</v>
      </c>
      <c r="L29" s="50"/>
      <c r="M29" s="50"/>
      <c r="N29" s="50"/>
      <c r="O29" s="50"/>
      <c r="P29" s="50"/>
    </row>
    <row r="30" spans="1:16" s="51" customFormat="1" ht="18" hidden="1" customHeight="1" x14ac:dyDescent="0.2">
      <c r="A30" s="104"/>
      <c r="B30" s="105"/>
      <c r="C30" s="105"/>
      <c r="D30" s="106"/>
      <c r="E30" s="105"/>
      <c r="F30" s="106"/>
      <c r="G30" s="107"/>
      <c r="H30" s="107"/>
      <c r="I30" s="108"/>
      <c r="J30" s="107"/>
      <c r="K30" s="108"/>
      <c r="L30" s="50"/>
      <c r="M30" s="50"/>
      <c r="N30" s="50"/>
      <c r="O30" s="50"/>
      <c r="P30" s="50"/>
    </row>
    <row r="31" spans="1:16" s="51" customFormat="1" ht="18" hidden="1" customHeight="1" x14ac:dyDescent="0.2">
      <c r="A31" s="104"/>
      <c r="B31" s="105"/>
      <c r="C31" s="105"/>
      <c r="D31" s="106"/>
      <c r="E31" s="105"/>
      <c r="F31" s="106"/>
      <c r="G31" s="107"/>
      <c r="H31" s="107"/>
      <c r="I31" s="108"/>
      <c r="J31" s="107"/>
      <c r="K31" s="108"/>
      <c r="L31" s="50"/>
      <c r="M31" s="50"/>
      <c r="N31" s="50"/>
      <c r="O31" s="50"/>
      <c r="P31" s="50"/>
    </row>
    <row r="32" spans="1:16" s="51" customFormat="1" ht="18" hidden="1" customHeight="1" x14ac:dyDescent="0.2">
      <c r="A32" s="104"/>
      <c r="B32" s="105"/>
      <c r="C32" s="105"/>
      <c r="D32" s="106"/>
      <c r="E32" s="105"/>
      <c r="F32" s="106"/>
      <c r="G32" s="107"/>
      <c r="H32" s="107"/>
      <c r="I32" s="108"/>
      <c r="J32" s="107"/>
      <c r="K32" s="108"/>
      <c r="L32" s="50"/>
      <c r="M32" s="50"/>
      <c r="N32" s="50"/>
      <c r="O32" s="50"/>
      <c r="P32" s="50"/>
    </row>
    <row r="33" spans="1:16" s="51" customFormat="1" ht="18" hidden="1" customHeight="1" x14ac:dyDescent="0.2">
      <c r="A33" s="104"/>
      <c r="B33" s="105"/>
      <c r="C33" s="105"/>
      <c r="D33" s="106"/>
      <c r="E33" s="105"/>
      <c r="F33" s="106"/>
      <c r="G33" s="107"/>
      <c r="H33" s="107"/>
      <c r="I33" s="108"/>
      <c r="J33" s="107"/>
      <c r="K33" s="108"/>
      <c r="L33" s="50"/>
      <c r="M33" s="50"/>
      <c r="N33" s="50"/>
      <c r="O33" s="50"/>
      <c r="P33" s="50"/>
    </row>
    <row r="34" spans="1:16" s="51" customFormat="1" ht="18" hidden="1" customHeight="1" x14ac:dyDescent="0.2">
      <c r="A34" s="104"/>
      <c r="B34" s="105"/>
      <c r="C34" s="105"/>
      <c r="D34" s="106"/>
      <c r="E34" s="105"/>
      <c r="F34" s="106"/>
      <c r="G34" s="107"/>
      <c r="H34" s="107"/>
      <c r="I34" s="108"/>
      <c r="J34" s="107"/>
      <c r="K34" s="108"/>
      <c r="L34" s="50"/>
      <c r="M34" s="50"/>
      <c r="N34" s="50"/>
      <c r="O34" s="50"/>
      <c r="P34" s="50"/>
    </row>
    <row r="35" spans="1:16" s="51" customFormat="1" ht="18" hidden="1" customHeight="1" x14ac:dyDescent="0.2">
      <c r="A35" s="104"/>
      <c r="B35" s="105"/>
      <c r="C35" s="105"/>
      <c r="D35" s="106"/>
      <c r="E35" s="105"/>
      <c r="F35" s="106"/>
      <c r="G35" s="107"/>
      <c r="H35" s="107"/>
      <c r="I35" s="108"/>
      <c r="J35" s="107"/>
      <c r="K35" s="108"/>
      <c r="L35" s="50"/>
      <c r="M35" s="50"/>
      <c r="N35" s="50"/>
      <c r="O35" s="50"/>
      <c r="P35" s="50"/>
    </row>
    <row r="36" spans="1:16" s="51" customFormat="1" ht="18" hidden="1" customHeight="1" x14ac:dyDescent="0.2">
      <c r="A36" s="104"/>
      <c r="B36" s="105"/>
      <c r="C36" s="105"/>
      <c r="D36" s="106"/>
      <c r="E36" s="105"/>
      <c r="F36" s="106"/>
      <c r="G36" s="107"/>
      <c r="H36" s="107"/>
      <c r="I36" s="108"/>
      <c r="J36" s="107"/>
      <c r="K36" s="108"/>
      <c r="L36" s="50"/>
      <c r="M36" s="50"/>
      <c r="N36" s="50"/>
      <c r="O36" s="50"/>
      <c r="P36" s="50"/>
    </row>
    <row r="37" spans="1:16" s="51" customFormat="1" ht="18" hidden="1" customHeight="1" x14ac:dyDescent="0.2">
      <c r="A37" s="104"/>
      <c r="B37" s="105"/>
      <c r="C37" s="105"/>
      <c r="D37" s="106"/>
      <c r="E37" s="105"/>
      <c r="F37" s="106"/>
      <c r="G37" s="107"/>
      <c r="H37" s="107"/>
      <c r="I37" s="108"/>
      <c r="J37" s="107"/>
      <c r="K37" s="108"/>
      <c r="L37" s="50"/>
      <c r="M37" s="50"/>
      <c r="N37" s="50"/>
      <c r="O37" s="50"/>
      <c r="P37" s="50"/>
    </row>
    <row r="38" spans="1:16" s="51" customFormat="1" ht="18" hidden="1" customHeight="1" x14ac:dyDescent="0.2">
      <c r="A38" s="104"/>
      <c r="B38" s="105"/>
      <c r="C38" s="105"/>
      <c r="D38" s="106"/>
      <c r="E38" s="105"/>
      <c r="F38" s="106"/>
      <c r="G38" s="107"/>
      <c r="H38" s="107"/>
      <c r="I38" s="108"/>
      <c r="J38" s="107"/>
      <c r="K38" s="108"/>
      <c r="L38" s="50"/>
      <c r="M38" s="50"/>
      <c r="N38" s="50"/>
      <c r="O38" s="50"/>
      <c r="P38" s="50"/>
    </row>
    <row r="39" spans="1:16" s="51" customFormat="1" ht="18" hidden="1" customHeight="1" x14ac:dyDescent="0.2">
      <c r="A39" s="104"/>
      <c r="B39" s="105"/>
      <c r="C39" s="105"/>
      <c r="D39" s="106"/>
      <c r="E39" s="105"/>
      <c r="F39" s="106"/>
      <c r="G39" s="107"/>
      <c r="H39" s="107"/>
      <c r="I39" s="108"/>
      <c r="J39" s="107"/>
      <c r="K39" s="108"/>
      <c r="L39" s="50"/>
      <c r="M39" s="50"/>
      <c r="N39" s="50"/>
      <c r="O39" s="50"/>
      <c r="P39" s="50"/>
    </row>
    <row r="40" spans="1:16" s="51" customFormat="1" ht="18" hidden="1" customHeight="1" x14ac:dyDescent="0.2">
      <c r="A40" s="104"/>
      <c r="B40" s="105"/>
      <c r="C40" s="105"/>
      <c r="D40" s="106"/>
      <c r="E40" s="105"/>
      <c r="F40" s="106"/>
      <c r="G40" s="107"/>
      <c r="H40" s="107"/>
      <c r="I40" s="108"/>
      <c r="J40" s="107"/>
      <c r="K40" s="108"/>
      <c r="L40" s="50"/>
      <c r="M40" s="50"/>
      <c r="N40" s="50"/>
      <c r="O40" s="50"/>
      <c r="P40" s="50"/>
    </row>
    <row r="41" spans="1:16" s="51" customFormat="1" ht="18" hidden="1" customHeight="1" x14ac:dyDescent="0.2">
      <c r="A41" s="104"/>
      <c r="B41" s="105"/>
      <c r="C41" s="105"/>
      <c r="D41" s="106"/>
      <c r="E41" s="105"/>
      <c r="F41" s="106"/>
      <c r="G41" s="107"/>
      <c r="H41" s="107"/>
      <c r="I41" s="108"/>
      <c r="J41" s="107"/>
      <c r="K41" s="108"/>
      <c r="L41" s="50"/>
      <c r="M41" s="50"/>
      <c r="N41" s="50"/>
      <c r="O41" s="50"/>
      <c r="P41" s="50"/>
    </row>
    <row r="42" spans="1:16" s="51" customFormat="1" ht="18" hidden="1" customHeight="1" x14ac:dyDescent="0.2">
      <c r="A42" s="104"/>
      <c r="B42" s="105"/>
      <c r="C42" s="105"/>
      <c r="D42" s="106"/>
      <c r="E42" s="105"/>
      <c r="F42" s="106"/>
      <c r="G42" s="107"/>
      <c r="H42" s="107"/>
      <c r="I42" s="108"/>
      <c r="J42" s="107"/>
      <c r="K42" s="108"/>
      <c r="L42" s="50"/>
      <c r="M42" s="50"/>
      <c r="N42" s="50"/>
      <c r="O42" s="50"/>
      <c r="P42" s="50"/>
    </row>
    <row r="43" spans="1:16" s="51" customFormat="1" ht="18" hidden="1" customHeight="1" thickBot="1" x14ac:dyDescent="0.25">
      <c r="A43" s="104"/>
      <c r="B43" s="105"/>
      <c r="C43" s="105"/>
      <c r="D43" s="106"/>
      <c r="E43" s="105"/>
      <c r="F43" s="106"/>
      <c r="G43" s="107"/>
      <c r="H43" s="107"/>
      <c r="I43" s="108"/>
      <c r="J43" s="107"/>
      <c r="K43" s="108"/>
      <c r="L43" s="50"/>
      <c r="M43" s="50"/>
      <c r="N43" s="50"/>
      <c r="O43" s="50"/>
      <c r="P43" s="50"/>
    </row>
    <row r="44" spans="1:16" ht="25" customHeight="1" thickBot="1" x14ac:dyDescent="0.25">
      <c r="A44" s="115" t="s">
        <v>5</v>
      </c>
      <c r="B44" s="116"/>
      <c r="C44" s="116"/>
      <c r="D44" s="116"/>
      <c r="E44" s="116"/>
      <c r="F44" s="116"/>
      <c r="G44" s="117"/>
      <c r="H44" s="1"/>
      <c r="I44" s="1"/>
      <c r="J44"/>
      <c r="K44"/>
      <c r="L44"/>
      <c r="M44"/>
      <c r="N44"/>
    </row>
    <row r="45" spans="1:16" s="51" customFormat="1" ht="32" customHeight="1" x14ac:dyDescent="0.2">
      <c r="A45" s="42"/>
      <c r="B45" s="42" t="s">
        <v>38</v>
      </c>
      <c r="C45" s="42" t="s">
        <v>36</v>
      </c>
      <c r="D45" s="42" t="s">
        <v>0</v>
      </c>
      <c r="E45" s="43" t="s">
        <v>1</v>
      </c>
      <c r="F45" s="112" t="s">
        <v>7</v>
      </c>
      <c r="G45" s="113"/>
      <c r="H45" s="50"/>
      <c r="I45" s="50"/>
    </row>
    <row r="46" spans="1:16" s="51" customFormat="1" ht="18" customHeight="1" x14ac:dyDescent="0.2">
      <c r="A46" s="37" t="s">
        <v>20</v>
      </c>
      <c r="B46" s="40">
        <f t="shared" ref="B46:C49" si="28">B3/B18</f>
        <v>1975.0010000000002</v>
      </c>
      <c r="C46" s="40">
        <f t="shared" si="28"/>
        <v>1975.0010000000002</v>
      </c>
      <c r="D46" s="40" t="s">
        <v>32</v>
      </c>
      <c r="E46" s="53">
        <f>E3/E18</f>
        <v>1502.7311111111112</v>
      </c>
      <c r="F46" s="53">
        <f t="shared" ref="F46:F57" si="29">B46-E46</f>
        <v>472.269888888889</v>
      </c>
      <c r="G46" s="70">
        <f t="shared" ref="G46:G57" si="30">(B46-E46)/E46</f>
        <v>0.31427438042438294</v>
      </c>
      <c r="H46" s="7"/>
      <c r="I46" s="50"/>
    </row>
    <row r="47" spans="1:16" s="51" customFormat="1" ht="18" customHeight="1" x14ac:dyDescent="0.2">
      <c r="A47" s="37" t="s">
        <v>19</v>
      </c>
      <c r="B47" s="40">
        <f t="shared" si="28"/>
        <v>2960.8333333333335</v>
      </c>
      <c r="C47" s="40">
        <f t="shared" si="28"/>
        <v>2960.8333333333335</v>
      </c>
      <c r="D47" s="40" t="s">
        <v>32</v>
      </c>
      <c r="E47" s="53">
        <f>E4/E19</f>
        <v>2060.5553333333332</v>
      </c>
      <c r="F47" s="53">
        <f t="shared" ref="F47:F49" si="31">B47-E47</f>
        <v>900.27800000000025</v>
      </c>
      <c r="G47" s="71">
        <f t="shared" ref="G47:G49" si="32">(B47-E47)/E47</f>
        <v>0.4369103733524265</v>
      </c>
      <c r="H47" s="7"/>
      <c r="I47" s="50"/>
    </row>
    <row r="48" spans="1:16" s="51" customFormat="1" ht="18" customHeight="1" x14ac:dyDescent="0.2">
      <c r="A48" s="37" t="s">
        <v>18</v>
      </c>
      <c r="B48" s="40">
        <f t="shared" si="28"/>
        <v>1522.2226666666668</v>
      </c>
      <c r="C48" s="40">
        <f t="shared" si="28"/>
        <v>1522.2226666666668</v>
      </c>
      <c r="D48" s="40" t="s">
        <v>32</v>
      </c>
      <c r="E48" s="53">
        <f>E5/E20</f>
        <v>2741.9387755102048</v>
      </c>
      <c r="F48" s="53">
        <f t="shared" si="31"/>
        <v>-1219.716108843538</v>
      </c>
      <c r="G48" s="71">
        <f t="shared" si="32"/>
        <v>-0.44483710567774437</v>
      </c>
      <c r="H48" s="7"/>
      <c r="I48" s="50"/>
    </row>
    <row r="49" spans="1:13" s="51" customFormat="1" ht="18" customHeight="1" x14ac:dyDescent="0.2">
      <c r="A49" s="37" t="s">
        <v>17</v>
      </c>
      <c r="B49" s="40">
        <f t="shared" si="28"/>
        <v>2066.9769767441858</v>
      </c>
      <c r="C49" s="40">
        <f t="shared" si="28"/>
        <v>2066.9769767441858</v>
      </c>
      <c r="D49" s="40" t="s">
        <v>32</v>
      </c>
      <c r="E49" s="53">
        <f>E6/E21</f>
        <v>1699.8387096774193</v>
      </c>
      <c r="F49" s="53">
        <f t="shared" si="31"/>
        <v>367.1382670667665</v>
      </c>
      <c r="G49" s="71">
        <f t="shared" si="32"/>
        <v>0.21598417836739278</v>
      </c>
      <c r="H49" s="7"/>
      <c r="I49" s="50"/>
    </row>
    <row r="50" spans="1:13" s="51" customFormat="1" ht="18" customHeight="1" x14ac:dyDescent="0.2">
      <c r="A50" s="37" t="s">
        <v>16</v>
      </c>
      <c r="B50" s="40">
        <f t="shared" ref="B50:C52" si="33">B7/B22</f>
        <v>1632.0977777777778</v>
      </c>
      <c r="C50" s="40">
        <f t="shared" si="33"/>
        <v>1632.0977777777778</v>
      </c>
      <c r="D50" s="40">
        <f t="shared" ref="D50:D54" si="34">B50-C50</f>
        <v>0</v>
      </c>
      <c r="E50" s="53">
        <f t="shared" ref="E50:E57" si="35">E7/E22</f>
        <v>1846.5913636363637</v>
      </c>
      <c r="F50" s="53">
        <f t="shared" si="29"/>
        <v>-214.4935858585859</v>
      </c>
      <c r="G50" s="71">
        <f t="shared" si="30"/>
        <v>-0.1161564979033578</v>
      </c>
      <c r="H50" s="7"/>
      <c r="I50" s="50"/>
    </row>
    <row r="51" spans="1:13" s="51" customFormat="1" ht="18" customHeight="1" x14ac:dyDescent="0.2">
      <c r="A51" s="37" t="s">
        <v>2</v>
      </c>
      <c r="B51" s="40">
        <f t="shared" si="33"/>
        <v>2235.8000000000002</v>
      </c>
      <c r="C51" s="40">
        <f t="shared" si="33"/>
        <v>2389.6666666666665</v>
      </c>
      <c r="D51" s="40">
        <f t="shared" si="34"/>
        <v>-153.86666666666633</v>
      </c>
      <c r="E51" s="53">
        <f t="shared" si="35"/>
        <v>2314.2857142857142</v>
      </c>
      <c r="F51" s="53">
        <f t="shared" si="29"/>
        <v>-78.485714285714039</v>
      </c>
      <c r="G51" s="71">
        <f t="shared" si="30"/>
        <v>-3.3913580246913475E-2</v>
      </c>
      <c r="H51" s="7"/>
      <c r="I51" s="50"/>
    </row>
    <row r="52" spans="1:13" s="51" customFormat="1" ht="18" customHeight="1" x14ac:dyDescent="0.2">
      <c r="A52" s="37" t="s">
        <v>3</v>
      </c>
      <c r="B52" s="40">
        <f t="shared" si="33"/>
        <v>2285.4170833333333</v>
      </c>
      <c r="C52" s="40">
        <f t="shared" si="33"/>
        <v>1895.7150000000001</v>
      </c>
      <c r="D52" s="40">
        <f t="shared" si="34"/>
        <v>389.70208333333312</v>
      </c>
      <c r="E52" s="53">
        <f t="shared" si="35"/>
        <v>1268</v>
      </c>
      <c r="F52" s="53">
        <f t="shared" si="29"/>
        <v>1017.4170833333333</v>
      </c>
      <c r="G52" s="71">
        <f t="shared" si="30"/>
        <v>0.80237940325972656</v>
      </c>
      <c r="H52" s="7"/>
      <c r="I52" s="50"/>
    </row>
    <row r="53" spans="1:13" s="51" customFormat="1" ht="18" customHeight="1" x14ac:dyDescent="0.2">
      <c r="A53" s="37" t="s">
        <v>15</v>
      </c>
      <c r="B53" s="40">
        <f t="shared" ref="B53:B55" si="36">B10/B25</f>
        <v>3893.75</v>
      </c>
      <c r="C53" s="40">
        <f t="shared" ref="C53" si="37">C10/C25</f>
        <v>4675</v>
      </c>
      <c r="D53" s="40">
        <f t="shared" si="34"/>
        <v>-781.25</v>
      </c>
      <c r="E53" s="53">
        <f t="shared" si="35"/>
        <v>1584.5023976608186</v>
      </c>
      <c r="F53" s="53">
        <f t="shared" si="29"/>
        <v>2309.2476023391814</v>
      </c>
      <c r="G53" s="71">
        <f t="shared" si="30"/>
        <v>1.4573960921411639</v>
      </c>
      <c r="H53" s="7"/>
      <c r="I53" s="50"/>
    </row>
    <row r="54" spans="1:13" s="51" customFormat="1" ht="18" customHeight="1" x14ac:dyDescent="0.2">
      <c r="A54" s="37" t="s">
        <v>14</v>
      </c>
      <c r="B54" s="40">
        <f t="shared" si="36"/>
        <v>2716.6666666666665</v>
      </c>
      <c r="C54" s="40">
        <f t="shared" ref="C54" si="38">C11/C26</f>
        <v>2716.6666666666665</v>
      </c>
      <c r="D54" s="40">
        <f t="shared" si="34"/>
        <v>0</v>
      </c>
      <c r="E54" s="53">
        <f t="shared" si="35"/>
        <v>1404.943448275862</v>
      </c>
      <c r="F54" s="53">
        <f t="shared" si="29"/>
        <v>1311.7232183908045</v>
      </c>
      <c r="G54" s="71">
        <f t="shared" si="30"/>
        <v>0.93364841125850528</v>
      </c>
      <c r="H54" s="7"/>
      <c r="I54" s="50"/>
    </row>
    <row r="55" spans="1:13" s="51" customFormat="1" ht="18" customHeight="1" x14ac:dyDescent="0.2">
      <c r="A55" s="37" t="s">
        <v>13</v>
      </c>
      <c r="B55" s="40">
        <f t="shared" si="36"/>
        <v>3870.5357142857142</v>
      </c>
      <c r="C55" s="40">
        <f t="shared" ref="C55" si="39">C12/C27</f>
        <v>1600</v>
      </c>
      <c r="D55" s="40">
        <f t="shared" ref="D55:D57" si="40">B55-C55</f>
        <v>2270.5357142857142</v>
      </c>
      <c r="E55" s="53">
        <f t="shared" si="35"/>
        <v>2120.0521354166667</v>
      </c>
      <c r="F55" s="53">
        <f t="shared" ref="F55:F56" si="41">B55-E55</f>
        <v>1750.4835788690475</v>
      </c>
      <c r="G55" s="71">
        <f t="shared" ref="G55:G56" si="42">(B55-E55)/E55</f>
        <v>0.8256794960964553</v>
      </c>
      <c r="H55" s="7"/>
      <c r="I55" s="50"/>
    </row>
    <row r="56" spans="1:13" s="51" customFormat="1" ht="18" customHeight="1" x14ac:dyDescent="0.2">
      <c r="A56" s="37" t="s">
        <v>22</v>
      </c>
      <c r="B56" s="40">
        <v>0</v>
      </c>
      <c r="C56" s="40">
        <v>0</v>
      </c>
      <c r="D56" s="40">
        <f t="shared" si="40"/>
        <v>0</v>
      </c>
      <c r="E56" s="53">
        <f t="shared" si="35"/>
        <v>1660.8</v>
      </c>
      <c r="F56" s="53">
        <f t="shared" si="41"/>
        <v>-1660.8</v>
      </c>
      <c r="G56" s="71">
        <f t="shared" si="42"/>
        <v>-1</v>
      </c>
      <c r="H56" s="7"/>
      <c r="I56" s="50"/>
    </row>
    <row r="57" spans="1:13" s="51" customFormat="1" ht="18" customHeight="1" x14ac:dyDescent="0.2">
      <c r="A57" s="38" t="s">
        <v>21</v>
      </c>
      <c r="B57" s="58">
        <f>B14/B29</f>
        <v>1402.5</v>
      </c>
      <c r="C57" s="58">
        <f>C14/C29</f>
        <v>1402.5</v>
      </c>
      <c r="D57" s="58">
        <f t="shared" si="40"/>
        <v>0</v>
      </c>
      <c r="E57" s="55">
        <f t="shared" si="35"/>
        <v>1185.1612903225807</v>
      </c>
      <c r="F57" s="55">
        <f t="shared" si="29"/>
        <v>217.33870967741927</v>
      </c>
      <c r="G57" s="72">
        <f t="shared" si="30"/>
        <v>0.18338323353293406</v>
      </c>
      <c r="H57" s="7"/>
      <c r="I57" s="50"/>
    </row>
    <row r="58" spans="1:13" x14ac:dyDescent="0.2">
      <c r="M58" s="76"/>
    </row>
  </sheetData>
  <mergeCells count="6">
    <mergeCell ref="F45:G45"/>
    <mergeCell ref="M18:N18"/>
    <mergeCell ref="A16:F16"/>
    <mergeCell ref="G16:K16"/>
    <mergeCell ref="A1:K1"/>
    <mergeCell ref="A44:G44"/>
  </mergeCells>
  <conditionalFormatting sqref="F3:F15 H3:H15 J3:K15 D7:D15 F18:F43 K18:K43 D22:D43">
    <cfRule type="cellIs" dxfId="13" priority="5" operator="lessThan">
      <formula>-0.009</formula>
    </cfRule>
    <cfRule type="cellIs" dxfId="12" priority="6" operator="greaterThan">
      <formula>0.009</formula>
    </cfRule>
  </conditionalFormatting>
  <conditionalFormatting sqref="G46:G57 D50:D57">
    <cfRule type="cellIs" dxfId="11" priority="3" operator="lessThan">
      <formula>-0.009</formula>
    </cfRule>
    <cfRule type="cellIs" dxfId="10" priority="4" operator="greaterThan">
      <formula>0.009</formula>
    </cfRule>
  </conditionalFormatting>
  <conditionalFormatting sqref="I22:I43">
    <cfRule type="cellIs" dxfId="9" priority="1" operator="lessThan">
      <formula>-0.009</formula>
    </cfRule>
    <cfRule type="cellIs" dxfId="8" priority="2" operator="greaterThan">
      <formula>0.009</formula>
    </cfRule>
  </conditionalFormatting>
  <pageMargins left="0.7" right="0.7" top="0.75" bottom="0.75" header="0.3" footer="0.3"/>
  <pageSetup paperSize="8" orientation="landscape" horizontalDpi="0" verticalDpi="0"/>
  <ignoredErrors>
    <ignoredError sqref="F15 H44:J44 G19:G20 G22:G27 G21 J21 I19:J20 I22:J27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2EE7-0E54-844A-AF1A-607B6AD7349E}">
  <dimension ref="A1:P43"/>
  <sheetViews>
    <sheetView workbookViewId="0">
      <selection activeCell="M26" sqref="M26"/>
    </sheetView>
  </sheetViews>
  <sheetFormatPr baseColWidth="10" defaultRowHeight="16" x14ac:dyDescent="0.2"/>
  <cols>
    <col min="1" max="1" width="8.83203125" customWidth="1"/>
  </cols>
  <sheetData>
    <row r="1" spans="1:16" ht="28" customHeight="1" thickBot="1" x14ac:dyDescent="0.25">
      <c r="A1" s="118" t="s">
        <v>28</v>
      </c>
      <c r="B1" s="119"/>
      <c r="C1" s="119"/>
      <c r="D1" s="119"/>
      <c r="E1" s="119"/>
      <c r="F1" s="119"/>
      <c r="G1" s="119"/>
      <c r="H1" s="119"/>
      <c r="I1" s="119"/>
      <c r="J1" s="119"/>
      <c r="K1" s="120"/>
      <c r="L1" s="1"/>
      <c r="M1" s="50"/>
      <c r="N1" s="50"/>
      <c r="O1" s="50"/>
      <c r="P1" s="50"/>
    </row>
    <row r="2" spans="1:16" s="5" customFormat="1" ht="32" customHeight="1" x14ac:dyDescent="0.2">
      <c r="A2" s="42"/>
      <c r="B2" s="42">
        <v>2026</v>
      </c>
      <c r="C2" s="42">
        <v>2025</v>
      </c>
      <c r="D2" s="112" t="s">
        <v>31</v>
      </c>
      <c r="E2" s="113"/>
      <c r="F2" s="42">
        <v>2024</v>
      </c>
      <c r="G2" s="121" t="s">
        <v>25</v>
      </c>
      <c r="H2" s="122"/>
      <c r="I2" s="4"/>
      <c r="J2" s="4"/>
      <c r="K2" s="4"/>
    </row>
    <row r="3" spans="1:16" s="3" customFormat="1" ht="18" customHeight="1" x14ac:dyDescent="0.2">
      <c r="A3" s="37" t="s">
        <v>22</v>
      </c>
      <c r="B3" s="40"/>
      <c r="C3" s="40"/>
      <c r="D3" s="45">
        <f>B3-C3</f>
        <v>0</v>
      </c>
      <c r="E3" s="70" t="e">
        <f>(B3-C3)/C3</f>
        <v>#DIV/0!</v>
      </c>
      <c r="F3" s="40"/>
      <c r="G3" s="53">
        <f>C3-F3</f>
        <v>0</v>
      </c>
      <c r="H3" s="69" t="e">
        <f>(C3-F3)/F3</f>
        <v>#DIV/0!</v>
      </c>
      <c r="I3" s="6"/>
      <c r="J3" s="2"/>
      <c r="K3" s="2"/>
    </row>
    <row r="4" spans="1:16" s="3" customFormat="1" ht="18" customHeight="1" x14ac:dyDescent="0.2">
      <c r="A4" s="37" t="s">
        <v>21</v>
      </c>
      <c r="B4" s="40"/>
      <c r="C4" s="40"/>
      <c r="D4" s="45">
        <f t="shared" ref="D4:D14" si="0">B4-C4</f>
        <v>0</v>
      </c>
      <c r="E4" s="71" t="e">
        <f t="shared" ref="E4:E15" si="1">(B4-C4)/C4</f>
        <v>#DIV/0!</v>
      </c>
      <c r="F4" s="40"/>
      <c r="G4" s="53">
        <f t="shared" ref="G4:G14" si="2">C4-F4</f>
        <v>0</v>
      </c>
      <c r="H4" s="69" t="e">
        <f t="shared" ref="H4:H15" si="3">(C4-F4)/F4</f>
        <v>#DIV/0!</v>
      </c>
      <c r="I4" s="6"/>
      <c r="J4" s="2"/>
      <c r="K4" s="2"/>
    </row>
    <row r="5" spans="1:16" s="3" customFormat="1" ht="18" customHeight="1" x14ac:dyDescent="0.2">
      <c r="A5" s="37" t="s">
        <v>20</v>
      </c>
      <c r="B5" s="40"/>
      <c r="C5" s="40"/>
      <c r="D5" s="45">
        <f t="shared" si="0"/>
        <v>0</v>
      </c>
      <c r="E5" s="71" t="e">
        <f t="shared" si="1"/>
        <v>#DIV/0!</v>
      </c>
      <c r="F5" s="40"/>
      <c r="G5" s="53">
        <f t="shared" si="2"/>
        <v>0</v>
      </c>
      <c r="H5" s="69" t="e">
        <f t="shared" si="3"/>
        <v>#DIV/0!</v>
      </c>
      <c r="I5" s="6"/>
      <c r="J5" s="2"/>
      <c r="K5" s="2"/>
    </row>
    <row r="6" spans="1:16" s="3" customFormat="1" ht="18" customHeight="1" x14ac:dyDescent="0.2">
      <c r="A6" s="37" t="s">
        <v>19</v>
      </c>
      <c r="B6" s="40"/>
      <c r="C6" s="40"/>
      <c r="D6" s="45">
        <f t="shared" si="0"/>
        <v>0</v>
      </c>
      <c r="E6" s="71" t="e">
        <f t="shared" si="1"/>
        <v>#DIV/0!</v>
      </c>
      <c r="F6" s="40"/>
      <c r="G6" s="53">
        <f t="shared" si="2"/>
        <v>0</v>
      </c>
      <c r="H6" s="69" t="e">
        <f t="shared" si="3"/>
        <v>#DIV/0!</v>
      </c>
      <c r="I6" s="6"/>
      <c r="J6" s="2"/>
      <c r="K6" s="2"/>
    </row>
    <row r="7" spans="1:16" s="3" customFormat="1" ht="18" customHeight="1" x14ac:dyDescent="0.2">
      <c r="A7" s="37" t="s">
        <v>18</v>
      </c>
      <c r="B7" s="40"/>
      <c r="C7" s="40"/>
      <c r="D7" s="45">
        <f t="shared" si="0"/>
        <v>0</v>
      </c>
      <c r="E7" s="71" t="e">
        <f t="shared" si="1"/>
        <v>#DIV/0!</v>
      </c>
      <c r="F7" s="40"/>
      <c r="G7" s="53">
        <f t="shared" si="2"/>
        <v>0</v>
      </c>
      <c r="H7" s="69" t="e">
        <f t="shared" si="3"/>
        <v>#DIV/0!</v>
      </c>
      <c r="I7" s="6"/>
      <c r="J7" s="2"/>
      <c r="K7" s="2"/>
    </row>
    <row r="8" spans="1:16" s="3" customFormat="1" ht="18" customHeight="1" x14ac:dyDescent="0.2">
      <c r="A8" s="37" t="s">
        <v>17</v>
      </c>
      <c r="B8" s="40"/>
      <c r="C8" s="40"/>
      <c r="D8" s="45">
        <f t="shared" si="0"/>
        <v>0</v>
      </c>
      <c r="E8" s="71" t="e">
        <f t="shared" si="1"/>
        <v>#DIV/0!</v>
      </c>
      <c r="F8" s="40"/>
      <c r="G8" s="53">
        <f t="shared" si="2"/>
        <v>0</v>
      </c>
      <c r="H8" s="69" t="e">
        <f t="shared" si="3"/>
        <v>#DIV/0!</v>
      </c>
      <c r="I8" s="6"/>
      <c r="J8" s="2"/>
      <c r="K8" s="2"/>
    </row>
    <row r="9" spans="1:16" s="3" customFormat="1" ht="18" customHeight="1" x14ac:dyDescent="0.2">
      <c r="A9" s="37" t="s">
        <v>16</v>
      </c>
      <c r="B9" s="40"/>
      <c r="C9" s="40"/>
      <c r="D9" s="45">
        <f t="shared" si="0"/>
        <v>0</v>
      </c>
      <c r="E9" s="71" t="e">
        <f t="shared" si="1"/>
        <v>#DIV/0!</v>
      </c>
      <c r="F9" s="40"/>
      <c r="G9" s="53">
        <f t="shared" si="2"/>
        <v>0</v>
      </c>
      <c r="H9" s="69" t="e">
        <f t="shared" si="3"/>
        <v>#DIV/0!</v>
      </c>
      <c r="I9" s="6"/>
      <c r="J9" s="2"/>
      <c r="K9" s="2"/>
    </row>
    <row r="10" spans="1:16" s="3" customFormat="1" ht="18" customHeight="1" x14ac:dyDescent="0.2">
      <c r="A10" s="37" t="s">
        <v>2</v>
      </c>
      <c r="B10" s="40"/>
      <c r="C10" s="40"/>
      <c r="D10" s="45">
        <f t="shared" si="0"/>
        <v>0</v>
      </c>
      <c r="E10" s="71" t="e">
        <f t="shared" si="1"/>
        <v>#DIV/0!</v>
      </c>
      <c r="F10" s="40"/>
      <c r="G10" s="53">
        <f t="shared" si="2"/>
        <v>0</v>
      </c>
      <c r="H10" s="69" t="e">
        <f t="shared" si="3"/>
        <v>#DIV/0!</v>
      </c>
      <c r="I10" s="6"/>
      <c r="J10" s="2"/>
      <c r="K10" s="2"/>
    </row>
    <row r="11" spans="1:16" s="3" customFormat="1" ht="18" customHeight="1" x14ac:dyDescent="0.2">
      <c r="A11" s="37" t="s">
        <v>26</v>
      </c>
      <c r="B11" s="40"/>
      <c r="C11" s="40"/>
      <c r="D11" s="45">
        <f t="shared" si="0"/>
        <v>0</v>
      </c>
      <c r="E11" s="71" t="e">
        <f t="shared" si="1"/>
        <v>#DIV/0!</v>
      </c>
      <c r="F11" s="40"/>
      <c r="G11" s="53">
        <f t="shared" si="2"/>
        <v>0</v>
      </c>
      <c r="H11" s="69" t="e">
        <f t="shared" si="3"/>
        <v>#DIV/0!</v>
      </c>
      <c r="I11" s="6"/>
      <c r="J11" s="2"/>
      <c r="K11" s="2"/>
    </row>
    <row r="12" spans="1:16" s="3" customFormat="1" ht="18" customHeight="1" x14ac:dyDescent="0.2">
      <c r="A12" s="37" t="s">
        <v>15</v>
      </c>
      <c r="B12" s="40"/>
      <c r="C12" s="40"/>
      <c r="D12" s="45">
        <f t="shared" si="0"/>
        <v>0</v>
      </c>
      <c r="E12" s="71" t="e">
        <f t="shared" si="1"/>
        <v>#DIV/0!</v>
      </c>
      <c r="F12" s="40"/>
      <c r="G12" s="53">
        <f t="shared" si="2"/>
        <v>0</v>
      </c>
      <c r="H12" s="69" t="e">
        <f t="shared" si="3"/>
        <v>#DIV/0!</v>
      </c>
      <c r="I12" s="6"/>
      <c r="J12" s="2"/>
      <c r="K12" s="2"/>
    </row>
    <row r="13" spans="1:16" s="3" customFormat="1" ht="18" customHeight="1" x14ac:dyDescent="0.2">
      <c r="A13" s="37" t="s">
        <v>14</v>
      </c>
      <c r="B13" s="40"/>
      <c r="C13" s="40"/>
      <c r="D13" s="45">
        <f t="shared" si="0"/>
        <v>0</v>
      </c>
      <c r="E13" s="71" t="e">
        <f t="shared" si="1"/>
        <v>#DIV/0!</v>
      </c>
      <c r="F13" s="40"/>
      <c r="G13" s="53">
        <f t="shared" si="2"/>
        <v>0</v>
      </c>
      <c r="H13" s="69" t="e">
        <f t="shared" si="3"/>
        <v>#DIV/0!</v>
      </c>
      <c r="I13" s="6"/>
      <c r="J13" s="2"/>
      <c r="K13" s="2"/>
    </row>
    <row r="14" spans="1:16" s="3" customFormat="1" ht="18" customHeight="1" x14ac:dyDescent="0.2">
      <c r="A14" s="37" t="s">
        <v>13</v>
      </c>
      <c r="B14" s="40"/>
      <c r="C14" s="40"/>
      <c r="D14" s="45">
        <f t="shared" si="0"/>
        <v>0</v>
      </c>
      <c r="E14" s="71" t="e">
        <f t="shared" si="1"/>
        <v>#DIV/0!</v>
      </c>
      <c r="F14" s="40"/>
      <c r="G14" s="53">
        <f t="shared" si="2"/>
        <v>0</v>
      </c>
      <c r="H14" s="69" t="e">
        <f t="shared" si="3"/>
        <v>#DIV/0!</v>
      </c>
      <c r="I14" s="6"/>
      <c r="J14" s="2"/>
      <c r="K14" s="2"/>
    </row>
    <row r="15" spans="1:16" s="3" customFormat="1" ht="18" customHeight="1" thickBot="1" x14ac:dyDescent="0.25">
      <c r="A15" s="39" t="s">
        <v>8</v>
      </c>
      <c r="B15" s="97">
        <f>SUM(B3:B14)</f>
        <v>0</v>
      </c>
      <c r="C15" s="97">
        <f>SUM(C3:C14)</f>
        <v>0</v>
      </c>
      <c r="D15" s="98">
        <f>SUM(D3:D14)</f>
        <v>0</v>
      </c>
      <c r="E15" s="85" t="e">
        <f t="shared" si="1"/>
        <v>#DIV/0!</v>
      </c>
      <c r="F15" s="97">
        <f>SUM(F3:F14)</f>
        <v>0</v>
      </c>
      <c r="G15" s="68">
        <f>SUM(G3:G14)</f>
        <v>0</v>
      </c>
      <c r="H15" s="99" t="e">
        <f t="shared" si="3"/>
        <v>#DIV/0!</v>
      </c>
      <c r="I15" s="6"/>
      <c r="J15" s="2"/>
      <c r="K15" s="2"/>
      <c r="L15" s="50"/>
      <c r="M15" s="50"/>
      <c r="N15" s="50"/>
    </row>
    <row r="16" spans="1:16" ht="25" customHeight="1" thickBot="1" x14ac:dyDescent="0.25">
      <c r="A16" s="115" t="s">
        <v>4</v>
      </c>
      <c r="B16" s="116"/>
      <c r="C16" s="116"/>
      <c r="D16" s="116"/>
      <c r="E16" s="116"/>
      <c r="F16" s="117"/>
      <c r="G16" s="116" t="s">
        <v>6</v>
      </c>
      <c r="H16" s="116"/>
      <c r="I16" s="116"/>
      <c r="J16" s="116"/>
      <c r="K16" s="117"/>
      <c r="L16" s="1"/>
      <c r="M16" s="1"/>
      <c r="N16" s="1"/>
      <c r="O16" s="1"/>
      <c r="P16" s="1"/>
    </row>
    <row r="17" spans="1:16" s="51" customFormat="1" ht="32" customHeight="1" x14ac:dyDescent="0.2">
      <c r="A17" s="41"/>
      <c r="B17" s="42">
        <v>2026</v>
      </c>
      <c r="C17" s="42">
        <v>2025</v>
      </c>
      <c r="D17" s="43" t="s">
        <v>31</v>
      </c>
      <c r="E17" s="42">
        <v>2024</v>
      </c>
      <c r="F17" s="91" t="s">
        <v>31</v>
      </c>
      <c r="G17" s="88">
        <v>2026</v>
      </c>
      <c r="H17" s="42">
        <v>2025</v>
      </c>
      <c r="I17" s="43" t="s">
        <v>31</v>
      </c>
      <c r="J17" s="42">
        <v>2024</v>
      </c>
      <c r="K17" s="59" t="s">
        <v>25</v>
      </c>
      <c r="L17" s="50"/>
      <c r="M17" s="50"/>
      <c r="N17" s="50"/>
      <c r="O17" s="50"/>
      <c r="P17" s="50"/>
    </row>
    <row r="18" spans="1:16" s="51" customFormat="1" ht="18" customHeight="1" x14ac:dyDescent="0.2">
      <c r="A18" s="37" t="s">
        <v>22</v>
      </c>
      <c r="B18" s="48"/>
      <c r="C18" s="48"/>
      <c r="D18" s="49"/>
      <c r="E18" s="95"/>
      <c r="F18" s="92"/>
      <c r="G18" s="89"/>
      <c r="H18" s="61"/>
      <c r="I18" s="73"/>
      <c r="J18" s="61"/>
      <c r="K18" s="71"/>
      <c r="M18" s="50" t="s">
        <v>30</v>
      </c>
      <c r="N18" s="50"/>
      <c r="O18" s="50"/>
      <c r="P18" s="50"/>
    </row>
    <row r="19" spans="1:16" s="51" customFormat="1" ht="18" customHeight="1" x14ac:dyDescent="0.2">
      <c r="A19" s="37" t="s">
        <v>21</v>
      </c>
      <c r="B19" s="48"/>
      <c r="C19" s="48"/>
      <c r="D19" s="49"/>
      <c r="E19" s="48"/>
      <c r="F19" s="92"/>
      <c r="G19" s="89"/>
      <c r="H19" s="61"/>
      <c r="I19" s="73"/>
      <c r="J19" s="61"/>
      <c r="K19" s="71"/>
      <c r="M19" s="50" t="s">
        <v>9</v>
      </c>
      <c r="N19" s="50"/>
      <c r="O19" s="50"/>
      <c r="P19" s="50"/>
    </row>
    <row r="20" spans="1:16" s="51" customFormat="1" ht="18" customHeight="1" x14ac:dyDescent="0.2">
      <c r="A20" s="37" t="s">
        <v>20</v>
      </c>
      <c r="B20" s="48"/>
      <c r="C20" s="48"/>
      <c r="D20" s="49"/>
      <c r="E20" s="48"/>
      <c r="F20" s="92"/>
      <c r="G20" s="89"/>
      <c r="H20" s="61"/>
      <c r="I20" s="73"/>
      <c r="J20" s="61"/>
      <c r="K20" s="71"/>
      <c r="M20" s="50" t="s">
        <v>10</v>
      </c>
      <c r="N20" s="50"/>
      <c r="O20" s="50"/>
      <c r="P20" s="50"/>
    </row>
    <row r="21" spans="1:16" s="51" customFormat="1" ht="18" customHeight="1" x14ac:dyDescent="0.2">
      <c r="A21" s="37" t="s">
        <v>19</v>
      </c>
      <c r="B21" s="48"/>
      <c r="C21" s="48"/>
      <c r="D21" s="49"/>
      <c r="E21" s="48"/>
      <c r="F21" s="92"/>
      <c r="G21" s="89"/>
      <c r="H21" s="61"/>
      <c r="I21" s="73"/>
      <c r="J21" s="61"/>
      <c r="K21" s="71"/>
      <c r="M21" s="50" t="s">
        <v>11</v>
      </c>
      <c r="N21" s="50"/>
      <c r="O21" s="50"/>
      <c r="P21" s="50"/>
    </row>
    <row r="22" spans="1:16" s="51" customFormat="1" ht="18" customHeight="1" x14ac:dyDescent="0.2">
      <c r="A22" s="37" t="s">
        <v>18</v>
      </c>
      <c r="B22" s="48"/>
      <c r="C22" s="48"/>
      <c r="D22" s="49"/>
      <c r="E22" s="48"/>
      <c r="F22" s="92"/>
      <c r="G22" s="89"/>
      <c r="H22" s="61"/>
      <c r="I22" s="73"/>
      <c r="J22" s="61"/>
      <c r="K22" s="71"/>
      <c r="M22" s="50" t="s">
        <v>12</v>
      </c>
      <c r="N22" s="50"/>
      <c r="O22" s="50"/>
      <c r="P22" s="50"/>
    </row>
    <row r="23" spans="1:16" s="51" customFormat="1" ht="18" customHeight="1" x14ac:dyDescent="0.2">
      <c r="A23" s="37" t="s">
        <v>17</v>
      </c>
      <c r="B23" s="48"/>
      <c r="C23" s="48"/>
      <c r="D23" s="49"/>
      <c r="E23" s="48"/>
      <c r="F23" s="92"/>
      <c r="G23" s="89"/>
      <c r="H23" s="61"/>
      <c r="I23" s="73"/>
      <c r="J23" s="61"/>
      <c r="K23" s="71"/>
      <c r="L23" s="50"/>
      <c r="M23" s="50"/>
      <c r="N23" s="50"/>
      <c r="O23" s="50"/>
      <c r="P23" s="50"/>
    </row>
    <row r="24" spans="1:16" s="51" customFormat="1" ht="18" customHeight="1" x14ac:dyDescent="0.2">
      <c r="A24" s="37" t="s">
        <v>16</v>
      </c>
      <c r="B24" s="48"/>
      <c r="C24" s="48"/>
      <c r="D24" s="49"/>
      <c r="E24" s="48"/>
      <c r="F24" s="92"/>
      <c r="G24" s="89"/>
      <c r="H24" s="61"/>
      <c r="I24" s="73"/>
      <c r="J24" s="61"/>
      <c r="K24" s="71"/>
      <c r="L24" s="7"/>
      <c r="M24" s="50">
        <v>28</v>
      </c>
      <c r="N24" s="50">
        <v>7</v>
      </c>
      <c r="O24" s="50"/>
      <c r="P24" s="50"/>
    </row>
    <row r="25" spans="1:16" s="51" customFormat="1" ht="18" customHeight="1" x14ac:dyDescent="0.2">
      <c r="A25" s="37" t="s">
        <v>2</v>
      </c>
      <c r="B25" s="48"/>
      <c r="C25" s="48"/>
      <c r="D25" s="49"/>
      <c r="E25" s="48"/>
      <c r="F25" s="92"/>
      <c r="G25" s="89"/>
      <c r="H25" s="61"/>
      <c r="I25" s="73"/>
      <c r="J25" s="61"/>
      <c r="K25" s="71"/>
      <c r="L25" s="7"/>
      <c r="M25" s="50">
        <f>M24*N24</f>
        <v>196</v>
      </c>
      <c r="N25" s="50"/>
      <c r="O25" s="50"/>
      <c r="P25" s="50"/>
    </row>
    <row r="26" spans="1:16" s="51" customFormat="1" ht="18" customHeight="1" x14ac:dyDescent="0.2">
      <c r="A26" s="37" t="s">
        <v>26</v>
      </c>
      <c r="B26" s="48"/>
      <c r="C26" s="48"/>
      <c r="D26" s="49"/>
      <c r="E26" s="48"/>
      <c r="F26" s="92"/>
      <c r="G26" s="89"/>
      <c r="H26" s="61"/>
      <c r="I26" s="73"/>
      <c r="J26" s="61"/>
      <c r="K26" s="71"/>
      <c r="L26" s="7"/>
      <c r="M26" s="50"/>
      <c r="N26" s="50"/>
      <c r="O26" s="50"/>
      <c r="P26" s="50"/>
    </row>
    <row r="27" spans="1:16" s="51" customFormat="1" ht="18" customHeight="1" x14ac:dyDescent="0.2">
      <c r="A27" s="37" t="s">
        <v>15</v>
      </c>
      <c r="B27" s="48"/>
      <c r="C27" s="48"/>
      <c r="D27" s="49"/>
      <c r="E27" s="48"/>
      <c r="F27" s="92"/>
      <c r="G27" s="89"/>
      <c r="H27" s="61"/>
      <c r="I27" s="73"/>
      <c r="J27" s="61"/>
      <c r="K27" s="71"/>
      <c r="L27" s="7"/>
      <c r="M27" s="50"/>
      <c r="N27" s="50"/>
      <c r="O27" s="50"/>
      <c r="P27" s="50"/>
    </row>
    <row r="28" spans="1:16" s="51" customFormat="1" ht="18" customHeight="1" x14ac:dyDescent="0.2">
      <c r="A28" s="37" t="s">
        <v>14</v>
      </c>
      <c r="B28" s="48"/>
      <c r="C28" s="48"/>
      <c r="D28" s="49"/>
      <c r="E28" s="48"/>
      <c r="F28" s="92"/>
      <c r="G28" s="89"/>
      <c r="H28" s="61"/>
      <c r="I28" s="73"/>
      <c r="J28" s="61"/>
      <c r="K28" s="71"/>
      <c r="L28" s="7"/>
      <c r="M28" s="50"/>
      <c r="N28" s="50"/>
      <c r="O28" s="50"/>
      <c r="P28" s="50"/>
    </row>
    <row r="29" spans="1:16" s="51" customFormat="1" ht="18" customHeight="1" thickBot="1" x14ac:dyDescent="0.25">
      <c r="A29" s="37" t="s">
        <v>13</v>
      </c>
      <c r="B29" s="48"/>
      <c r="C29" s="48"/>
      <c r="D29" s="49"/>
      <c r="E29" s="96"/>
      <c r="F29" s="93"/>
      <c r="G29" s="90"/>
      <c r="H29" s="60"/>
      <c r="I29" s="74"/>
      <c r="J29" s="60"/>
      <c r="K29" s="72"/>
      <c r="L29" s="7"/>
      <c r="M29" s="50"/>
      <c r="N29" s="50"/>
      <c r="O29" s="50"/>
      <c r="P29" s="50"/>
    </row>
    <row r="30" spans="1:16" ht="25" customHeight="1" thickBot="1" x14ac:dyDescent="0.25">
      <c r="A30" s="115" t="s">
        <v>5</v>
      </c>
      <c r="B30" s="116"/>
      <c r="C30" s="116"/>
      <c r="D30" s="116"/>
      <c r="E30" s="116"/>
      <c r="F30" s="116"/>
      <c r="G30" s="116"/>
      <c r="H30" s="117"/>
      <c r="I30" s="7"/>
      <c r="J30" s="7"/>
      <c r="K30" s="1"/>
      <c r="L30" s="1"/>
      <c r="M30" s="1"/>
    </row>
    <row r="31" spans="1:16" s="51" customFormat="1" ht="32" customHeight="1" x14ac:dyDescent="0.2">
      <c r="A31" s="42"/>
      <c r="B31" s="42">
        <v>2025</v>
      </c>
      <c r="C31" s="42">
        <v>2025</v>
      </c>
      <c r="D31" s="112" t="s">
        <v>31</v>
      </c>
      <c r="E31" s="113"/>
      <c r="F31" s="42">
        <v>2024</v>
      </c>
      <c r="G31" s="121" t="s">
        <v>25</v>
      </c>
      <c r="H31" s="122"/>
      <c r="I31" s="52"/>
      <c r="J31" s="52"/>
      <c r="K31" s="50"/>
      <c r="L31" s="50"/>
      <c r="M31" s="50"/>
    </row>
    <row r="32" spans="1:16" s="51" customFormat="1" ht="17" customHeight="1" x14ac:dyDescent="0.2">
      <c r="A32" s="75" t="s">
        <v>22</v>
      </c>
      <c r="B32" s="40" t="e">
        <f>B3/B18</f>
        <v>#DIV/0!</v>
      </c>
      <c r="C32" s="40" t="e">
        <f>C3/C18</f>
        <v>#DIV/0!</v>
      </c>
      <c r="D32" s="45" t="e">
        <f>B32-C32</f>
        <v>#DIV/0!</v>
      </c>
      <c r="E32" s="70" t="e">
        <f>(B32-C32)/C32</f>
        <v>#DIV/0!</v>
      </c>
      <c r="F32" s="40"/>
      <c r="G32" s="53" t="e">
        <f>C32-F32</f>
        <v>#DIV/0!</v>
      </c>
      <c r="H32" s="69" t="e">
        <f>(C32-F32)/F32</f>
        <v>#DIV/0!</v>
      </c>
      <c r="J32" s="52"/>
      <c r="K32" s="50"/>
      <c r="L32" s="50"/>
      <c r="M32" s="50"/>
    </row>
    <row r="33" spans="1:13" s="51" customFormat="1" ht="17" customHeight="1" x14ac:dyDescent="0.2">
      <c r="A33" s="37" t="s">
        <v>21</v>
      </c>
      <c r="B33" s="40" t="e">
        <f t="shared" ref="B33:C43" si="4">B4/B19</f>
        <v>#DIV/0!</v>
      </c>
      <c r="C33" s="40" t="e">
        <f t="shared" si="4"/>
        <v>#DIV/0!</v>
      </c>
      <c r="D33" s="45" t="e">
        <f t="shared" ref="D33:D43" si="5">B33-C33</f>
        <v>#DIV/0!</v>
      </c>
      <c r="E33" s="71" t="e">
        <f t="shared" ref="E33:E43" si="6">(B33-C33)/C33</f>
        <v>#DIV/0!</v>
      </c>
      <c r="F33" s="40"/>
      <c r="G33" s="53" t="e">
        <f t="shared" ref="G33:G43" si="7">C33-F33</f>
        <v>#DIV/0!</v>
      </c>
      <c r="H33" s="69" t="e">
        <f t="shared" ref="H33:H43" si="8">(C33-F33)/F33</f>
        <v>#DIV/0!</v>
      </c>
      <c r="J33" s="52"/>
      <c r="K33" s="50"/>
      <c r="L33" s="50"/>
      <c r="M33" s="50"/>
    </row>
    <row r="34" spans="1:13" s="51" customFormat="1" ht="17" customHeight="1" x14ac:dyDescent="0.2">
      <c r="A34" s="37" t="s">
        <v>20</v>
      </c>
      <c r="B34" s="40" t="e">
        <f t="shared" si="4"/>
        <v>#DIV/0!</v>
      </c>
      <c r="C34" s="40" t="e">
        <f t="shared" si="4"/>
        <v>#DIV/0!</v>
      </c>
      <c r="D34" s="45" t="e">
        <f t="shared" si="5"/>
        <v>#DIV/0!</v>
      </c>
      <c r="E34" s="71" t="e">
        <f t="shared" si="6"/>
        <v>#DIV/0!</v>
      </c>
      <c r="F34" s="40"/>
      <c r="G34" s="53" t="e">
        <f t="shared" si="7"/>
        <v>#DIV/0!</v>
      </c>
      <c r="H34" s="69" t="e">
        <f t="shared" si="8"/>
        <v>#DIV/0!</v>
      </c>
      <c r="J34" s="52"/>
      <c r="K34" s="50"/>
      <c r="L34" s="50"/>
      <c r="M34" s="50"/>
    </row>
    <row r="35" spans="1:13" s="51" customFormat="1" ht="17" customHeight="1" x14ac:dyDescent="0.2">
      <c r="A35" s="37" t="s">
        <v>19</v>
      </c>
      <c r="B35" s="40" t="e">
        <f t="shared" si="4"/>
        <v>#DIV/0!</v>
      </c>
      <c r="C35" s="40" t="e">
        <f t="shared" si="4"/>
        <v>#DIV/0!</v>
      </c>
      <c r="D35" s="45" t="e">
        <f t="shared" si="5"/>
        <v>#DIV/0!</v>
      </c>
      <c r="E35" s="71" t="e">
        <f t="shared" si="6"/>
        <v>#DIV/0!</v>
      </c>
      <c r="F35" s="40"/>
      <c r="G35" s="53" t="e">
        <f t="shared" si="7"/>
        <v>#DIV/0!</v>
      </c>
      <c r="H35" s="69" t="e">
        <f t="shared" si="8"/>
        <v>#DIV/0!</v>
      </c>
      <c r="J35" s="52"/>
      <c r="K35" s="50"/>
      <c r="L35" s="50"/>
      <c r="M35" s="50"/>
    </row>
    <row r="36" spans="1:13" s="51" customFormat="1" ht="17" customHeight="1" x14ac:dyDescent="0.2">
      <c r="A36" s="37" t="s">
        <v>18</v>
      </c>
      <c r="B36" s="40" t="e">
        <f t="shared" si="4"/>
        <v>#DIV/0!</v>
      </c>
      <c r="C36" s="40" t="e">
        <f t="shared" si="4"/>
        <v>#DIV/0!</v>
      </c>
      <c r="D36" s="45" t="e">
        <f t="shared" si="5"/>
        <v>#DIV/0!</v>
      </c>
      <c r="E36" s="71" t="e">
        <f t="shared" si="6"/>
        <v>#DIV/0!</v>
      </c>
      <c r="F36" s="40"/>
      <c r="G36" s="53" t="e">
        <f t="shared" si="7"/>
        <v>#DIV/0!</v>
      </c>
      <c r="H36" s="69" t="e">
        <f t="shared" si="8"/>
        <v>#DIV/0!</v>
      </c>
      <c r="J36" s="52"/>
      <c r="K36" s="50"/>
      <c r="L36" s="50"/>
      <c r="M36" s="50"/>
    </row>
    <row r="37" spans="1:13" s="51" customFormat="1" ht="17" customHeight="1" x14ac:dyDescent="0.2">
      <c r="A37" s="37" t="s">
        <v>17</v>
      </c>
      <c r="B37" s="40" t="e">
        <f t="shared" si="4"/>
        <v>#DIV/0!</v>
      </c>
      <c r="C37" s="40" t="e">
        <f t="shared" si="4"/>
        <v>#DIV/0!</v>
      </c>
      <c r="D37" s="45" t="e">
        <f t="shared" si="5"/>
        <v>#DIV/0!</v>
      </c>
      <c r="E37" s="71" t="e">
        <f t="shared" si="6"/>
        <v>#DIV/0!</v>
      </c>
      <c r="F37" s="40"/>
      <c r="G37" s="53" t="e">
        <f t="shared" si="7"/>
        <v>#DIV/0!</v>
      </c>
      <c r="H37" s="69" t="e">
        <f t="shared" si="8"/>
        <v>#DIV/0!</v>
      </c>
      <c r="J37" s="52"/>
      <c r="K37" s="50"/>
      <c r="L37" s="50"/>
      <c r="M37" s="50"/>
    </row>
    <row r="38" spans="1:13" s="51" customFormat="1" ht="17" customHeight="1" x14ac:dyDescent="0.2">
      <c r="A38" s="37" t="s">
        <v>16</v>
      </c>
      <c r="B38" s="40" t="e">
        <f t="shared" si="4"/>
        <v>#DIV/0!</v>
      </c>
      <c r="C38" s="40" t="e">
        <f t="shared" si="4"/>
        <v>#DIV/0!</v>
      </c>
      <c r="D38" s="45" t="e">
        <f t="shared" si="5"/>
        <v>#DIV/0!</v>
      </c>
      <c r="E38" s="71" t="e">
        <f t="shared" si="6"/>
        <v>#DIV/0!</v>
      </c>
      <c r="F38" s="40"/>
      <c r="G38" s="53" t="e">
        <f t="shared" si="7"/>
        <v>#DIV/0!</v>
      </c>
      <c r="H38" s="69" t="e">
        <f t="shared" si="8"/>
        <v>#DIV/0!</v>
      </c>
      <c r="I38" s="7"/>
      <c r="J38" s="52"/>
      <c r="K38" s="50"/>
      <c r="L38" s="50"/>
      <c r="M38" s="50"/>
    </row>
    <row r="39" spans="1:13" s="51" customFormat="1" ht="17" customHeight="1" x14ac:dyDescent="0.2">
      <c r="A39" s="37" t="s">
        <v>2</v>
      </c>
      <c r="B39" s="40" t="e">
        <f t="shared" si="4"/>
        <v>#DIV/0!</v>
      </c>
      <c r="C39" s="40" t="e">
        <f t="shared" si="4"/>
        <v>#DIV/0!</v>
      </c>
      <c r="D39" s="45" t="e">
        <f t="shared" si="5"/>
        <v>#DIV/0!</v>
      </c>
      <c r="E39" s="71" t="e">
        <f t="shared" si="6"/>
        <v>#DIV/0!</v>
      </c>
      <c r="F39" s="40"/>
      <c r="G39" s="53" t="e">
        <f t="shared" si="7"/>
        <v>#DIV/0!</v>
      </c>
      <c r="H39" s="69" t="e">
        <f t="shared" si="8"/>
        <v>#DIV/0!</v>
      </c>
      <c r="I39" s="7"/>
      <c r="J39" s="52"/>
      <c r="K39" s="50"/>
      <c r="L39" s="50"/>
      <c r="M39" s="50"/>
    </row>
    <row r="40" spans="1:13" s="51" customFormat="1" ht="17" customHeight="1" x14ac:dyDescent="0.2">
      <c r="A40" s="37" t="s">
        <v>26</v>
      </c>
      <c r="B40" s="40" t="e">
        <f t="shared" si="4"/>
        <v>#DIV/0!</v>
      </c>
      <c r="C40" s="40" t="e">
        <f t="shared" si="4"/>
        <v>#DIV/0!</v>
      </c>
      <c r="D40" s="45" t="e">
        <f t="shared" si="5"/>
        <v>#DIV/0!</v>
      </c>
      <c r="E40" s="71" t="e">
        <f t="shared" si="6"/>
        <v>#DIV/0!</v>
      </c>
      <c r="F40" s="40"/>
      <c r="G40" s="53" t="e">
        <f t="shared" si="7"/>
        <v>#DIV/0!</v>
      </c>
      <c r="H40" s="69" t="e">
        <f t="shared" si="8"/>
        <v>#DIV/0!</v>
      </c>
      <c r="I40" s="7"/>
      <c r="J40" s="52"/>
      <c r="K40" s="50"/>
      <c r="L40" s="50"/>
      <c r="M40" s="50"/>
    </row>
    <row r="41" spans="1:13" s="51" customFormat="1" ht="17" customHeight="1" x14ac:dyDescent="0.2">
      <c r="A41" s="37" t="s">
        <v>15</v>
      </c>
      <c r="B41" s="40" t="e">
        <f t="shared" si="4"/>
        <v>#DIV/0!</v>
      </c>
      <c r="C41" s="40" t="e">
        <f t="shared" si="4"/>
        <v>#DIV/0!</v>
      </c>
      <c r="D41" s="45" t="e">
        <f t="shared" si="5"/>
        <v>#DIV/0!</v>
      </c>
      <c r="E41" s="71" t="e">
        <f t="shared" si="6"/>
        <v>#DIV/0!</v>
      </c>
      <c r="F41" s="40"/>
      <c r="G41" s="53" t="e">
        <f t="shared" si="7"/>
        <v>#DIV/0!</v>
      </c>
      <c r="H41" s="69" t="e">
        <f t="shared" si="8"/>
        <v>#DIV/0!</v>
      </c>
      <c r="I41" s="7"/>
      <c r="J41" s="52"/>
      <c r="K41" s="50"/>
      <c r="L41" s="50"/>
      <c r="M41" s="50"/>
    </row>
    <row r="42" spans="1:13" s="51" customFormat="1" ht="17" customHeight="1" x14ac:dyDescent="0.2">
      <c r="A42" s="37" t="s">
        <v>14</v>
      </c>
      <c r="B42" s="40" t="e">
        <f t="shared" si="4"/>
        <v>#DIV/0!</v>
      </c>
      <c r="C42" s="40" t="e">
        <f t="shared" si="4"/>
        <v>#DIV/0!</v>
      </c>
      <c r="D42" s="45" t="e">
        <f t="shared" si="5"/>
        <v>#DIV/0!</v>
      </c>
      <c r="E42" s="71" t="e">
        <f t="shared" si="6"/>
        <v>#DIV/0!</v>
      </c>
      <c r="F42" s="40"/>
      <c r="G42" s="53" t="e">
        <f t="shared" si="7"/>
        <v>#DIV/0!</v>
      </c>
      <c r="H42" s="69" t="e">
        <f t="shared" si="8"/>
        <v>#DIV/0!</v>
      </c>
      <c r="I42" s="7"/>
      <c r="J42" s="52"/>
      <c r="K42" s="50"/>
      <c r="L42" s="50"/>
      <c r="M42" s="50"/>
    </row>
    <row r="43" spans="1:13" s="51" customFormat="1" ht="17" customHeight="1" x14ac:dyDescent="0.2">
      <c r="A43" s="38" t="s">
        <v>13</v>
      </c>
      <c r="B43" s="58" t="e">
        <f t="shared" si="4"/>
        <v>#DIV/0!</v>
      </c>
      <c r="C43" s="58" t="e">
        <f t="shared" si="4"/>
        <v>#DIV/0!</v>
      </c>
      <c r="D43" s="94" t="e">
        <f t="shared" si="5"/>
        <v>#DIV/0!</v>
      </c>
      <c r="E43" s="72" t="e">
        <f t="shared" si="6"/>
        <v>#DIV/0!</v>
      </c>
      <c r="F43" s="58"/>
      <c r="G43" s="55" t="e">
        <f t="shared" si="7"/>
        <v>#DIV/0!</v>
      </c>
      <c r="H43" s="87" t="e">
        <f t="shared" si="8"/>
        <v>#DIV/0!</v>
      </c>
      <c r="J43" s="52"/>
      <c r="K43" s="50"/>
      <c r="L43" s="50"/>
      <c r="M43" s="50"/>
    </row>
  </sheetData>
  <mergeCells count="8">
    <mergeCell ref="D31:E31"/>
    <mergeCell ref="G31:H31"/>
    <mergeCell ref="A1:K1"/>
    <mergeCell ref="D2:E2"/>
    <mergeCell ref="G2:H2"/>
    <mergeCell ref="A16:F16"/>
    <mergeCell ref="G16:K16"/>
    <mergeCell ref="A30:H30"/>
  </mergeCells>
  <conditionalFormatting sqref="G3:H15 G18:H29 G32:H43">
    <cfRule type="cellIs" dxfId="7" priority="4" operator="equal">
      <formula>0</formula>
    </cfRule>
    <cfRule type="cellIs" dxfId="6" priority="5" operator="lessThan">
      <formula>0</formula>
    </cfRule>
    <cfRule type="cellIs" dxfId="5" priority="6" operator="greaterThan">
      <formula>0</formula>
    </cfRule>
  </conditionalFormatting>
  <conditionalFormatting sqref="J18:J29">
    <cfRule type="cellIs" dxfId="4" priority="1" operator="equal">
      <formula>0</formula>
    </cfRule>
    <cfRule type="cellIs" dxfId="3" priority="2" operator="lessThan">
      <formula>0</formula>
    </cfRule>
    <cfRule type="cellIs" dxfId="2" priority="3" operator="greaterThan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ABDB-C407-E64C-848B-2132CD3F94FC}">
  <dimension ref="A1:J64"/>
  <sheetViews>
    <sheetView zoomScale="75" zoomScaleNormal="70" workbookViewId="0"/>
  </sheetViews>
  <sheetFormatPr baseColWidth="10" defaultRowHeight="18" x14ac:dyDescent="0.2"/>
  <cols>
    <col min="1" max="1" width="15.83203125" style="9" customWidth="1"/>
    <col min="2" max="8" width="12.83203125" style="9" customWidth="1"/>
    <col min="9" max="9" width="15.33203125" style="8" customWidth="1"/>
    <col min="10" max="10" width="8.83203125" style="8" customWidth="1"/>
  </cols>
  <sheetData>
    <row r="1" spans="1:10" x14ac:dyDescent="0.2">
      <c r="A1" s="36" t="s">
        <v>23</v>
      </c>
      <c r="B1" s="35">
        <v>2020</v>
      </c>
      <c r="C1" s="34">
        <v>2021</v>
      </c>
      <c r="D1" s="34">
        <v>2022</v>
      </c>
      <c r="E1" s="34">
        <v>2023</v>
      </c>
      <c r="F1" s="33">
        <v>2024</v>
      </c>
      <c r="G1" s="33" t="s">
        <v>24</v>
      </c>
      <c r="H1" s="33" t="s">
        <v>33</v>
      </c>
      <c r="I1" s="123" t="s">
        <v>31</v>
      </c>
      <c r="J1" s="124"/>
    </row>
    <row r="2" spans="1:10" x14ac:dyDescent="0.2">
      <c r="A2" s="13" t="s">
        <v>22</v>
      </c>
      <c r="B2" s="31"/>
      <c r="C2" s="31"/>
      <c r="D2" s="31"/>
      <c r="E2" s="31"/>
      <c r="F2" s="30"/>
      <c r="G2" s="30"/>
      <c r="H2" s="30"/>
      <c r="I2" s="62">
        <f>H2-G2</f>
        <v>0</v>
      </c>
      <c r="J2" s="66" t="e">
        <f>(H2-G2)/G2</f>
        <v>#DIV/0!</v>
      </c>
    </row>
    <row r="3" spans="1:10" x14ac:dyDescent="0.2">
      <c r="A3" s="13" t="s">
        <v>21</v>
      </c>
      <c r="B3" s="31"/>
      <c r="C3" s="31"/>
      <c r="D3" s="31"/>
      <c r="E3" s="31"/>
      <c r="F3" s="30"/>
      <c r="G3" s="30"/>
      <c r="H3" s="30"/>
      <c r="I3" s="62">
        <f t="shared" ref="I3:I13" si="0">H3-G3</f>
        <v>0</v>
      </c>
      <c r="J3" s="66" t="e">
        <f t="shared" ref="J3:J13" si="1">(H3-G3)/G3</f>
        <v>#DIV/0!</v>
      </c>
    </row>
    <row r="4" spans="1:10" x14ac:dyDescent="0.2">
      <c r="A4" s="13" t="s">
        <v>20</v>
      </c>
      <c r="B4" s="32"/>
      <c r="C4" s="31"/>
      <c r="D4" s="31"/>
      <c r="E4" s="31"/>
      <c r="F4" s="30"/>
      <c r="G4" s="30"/>
      <c r="H4" s="30"/>
      <c r="I4" s="62">
        <f t="shared" si="0"/>
        <v>0</v>
      </c>
      <c r="J4" s="66" t="s">
        <v>32</v>
      </c>
    </row>
    <row r="5" spans="1:10" x14ac:dyDescent="0.2">
      <c r="A5" s="13" t="s">
        <v>19</v>
      </c>
      <c r="B5" s="32"/>
      <c r="C5" s="31"/>
      <c r="D5" s="31"/>
      <c r="E5" s="31"/>
      <c r="F5" s="30"/>
      <c r="G5" s="30"/>
      <c r="H5" s="30"/>
      <c r="I5" s="62">
        <f t="shared" si="0"/>
        <v>0</v>
      </c>
      <c r="J5" s="66" t="e">
        <f t="shared" si="1"/>
        <v>#DIV/0!</v>
      </c>
    </row>
    <row r="6" spans="1:10" x14ac:dyDescent="0.2">
      <c r="A6" s="13" t="s">
        <v>18</v>
      </c>
      <c r="B6" s="32"/>
      <c r="C6" s="31"/>
      <c r="D6" s="31"/>
      <c r="E6" s="31"/>
      <c r="F6" s="30"/>
      <c r="G6" s="30"/>
      <c r="H6" s="30"/>
      <c r="I6" s="62">
        <f t="shared" si="0"/>
        <v>0</v>
      </c>
      <c r="J6" s="66" t="e">
        <f t="shared" si="1"/>
        <v>#DIV/0!</v>
      </c>
    </row>
    <row r="7" spans="1:10" x14ac:dyDescent="0.2">
      <c r="A7" s="13" t="s">
        <v>17</v>
      </c>
      <c r="B7" s="31"/>
      <c r="C7" s="31"/>
      <c r="D7" s="31"/>
      <c r="E7" s="31"/>
      <c r="F7" s="30"/>
      <c r="G7" s="30"/>
      <c r="H7" s="30"/>
      <c r="I7" s="62">
        <f t="shared" si="0"/>
        <v>0</v>
      </c>
      <c r="J7" s="66" t="e">
        <f t="shared" si="1"/>
        <v>#DIV/0!</v>
      </c>
    </row>
    <row r="8" spans="1:10" x14ac:dyDescent="0.2">
      <c r="A8" s="13" t="s">
        <v>16</v>
      </c>
      <c r="B8" s="31"/>
      <c r="C8" s="31"/>
      <c r="D8" s="31"/>
      <c r="E8" s="31"/>
      <c r="F8" s="30"/>
      <c r="G8" s="30"/>
      <c r="H8" s="30"/>
      <c r="I8" s="62">
        <f t="shared" si="0"/>
        <v>0</v>
      </c>
      <c r="J8" s="66" t="e">
        <f t="shared" si="1"/>
        <v>#DIV/0!</v>
      </c>
    </row>
    <row r="9" spans="1:10" x14ac:dyDescent="0.2">
      <c r="A9" s="13" t="s">
        <v>2</v>
      </c>
      <c r="B9" s="31"/>
      <c r="C9" s="31"/>
      <c r="D9" s="31"/>
      <c r="E9" s="31"/>
      <c r="F9" s="30"/>
      <c r="G9" s="30"/>
      <c r="H9" s="30"/>
      <c r="I9" s="62">
        <f t="shared" si="0"/>
        <v>0</v>
      </c>
      <c r="J9" s="66" t="e">
        <f t="shared" si="1"/>
        <v>#DIV/0!</v>
      </c>
    </row>
    <row r="10" spans="1:10" x14ac:dyDescent="0.2">
      <c r="A10" s="13" t="s">
        <v>3</v>
      </c>
      <c r="B10" s="31"/>
      <c r="C10" s="31"/>
      <c r="D10" s="31"/>
      <c r="E10" s="31"/>
      <c r="F10" s="30"/>
      <c r="G10" s="30"/>
      <c r="H10" s="30"/>
      <c r="I10" s="62">
        <f t="shared" si="0"/>
        <v>0</v>
      </c>
      <c r="J10" s="66" t="e">
        <f t="shared" si="1"/>
        <v>#DIV/0!</v>
      </c>
    </row>
    <row r="11" spans="1:10" x14ac:dyDescent="0.2">
      <c r="A11" s="13" t="s">
        <v>15</v>
      </c>
      <c r="B11" s="31"/>
      <c r="C11" s="31"/>
      <c r="D11" s="31"/>
      <c r="E11" s="31"/>
      <c r="F11" s="30"/>
      <c r="G11" s="30"/>
      <c r="H11" s="30"/>
      <c r="I11" s="62">
        <f t="shared" si="0"/>
        <v>0</v>
      </c>
      <c r="J11" s="66" t="e">
        <f t="shared" si="1"/>
        <v>#DIV/0!</v>
      </c>
    </row>
    <row r="12" spans="1:10" x14ac:dyDescent="0.2">
      <c r="A12" s="13" t="s">
        <v>14</v>
      </c>
      <c r="B12" s="31"/>
      <c r="C12" s="31"/>
      <c r="D12" s="31"/>
      <c r="E12" s="31"/>
      <c r="F12" s="30"/>
      <c r="G12" s="30"/>
      <c r="H12" s="30"/>
      <c r="I12" s="62">
        <f t="shared" si="0"/>
        <v>0</v>
      </c>
      <c r="J12" s="66" t="e">
        <f t="shared" si="1"/>
        <v>#DIV/0!</v>
      </c>
    </row>
    <row r="13" spans="1:10" ht="19" thickBot="1" x14ac:dyDescent="0.25">
      <c r="A13" s="12" t="s">
        <v>13</v>
      </c>
      <c r="B13" s="29"/>
      <c r="C13" s="29"/>
      <c r="D13" s="29"/>
      <c r="E13" s="29"/>
      <c r="F13" s="28"/>
      <c r="G13" s="28"/>
      <c r="H13" s="28"/>
      <c r="I13" s="62">
        <f t="shared" si="0"/>
        <v>0</v>
      </c>
      <c r="J13" s="66" t="e">
        <f t="shared" si="1"/>
        <v>#DIV/0!</v>
      </c>
    </row>
    <row r="14" spans="1:10" ht="19" thickBot="1" x14ac:dyDescent="0.25">
      <c r="A14" s="11" t="s">
        <v>8</v>
      </c>
      <c r="B14" s="27">
        <f t="shared" ref="B14:H14" si="2">SUM(B2:B13)</f>
        <v>0</v>
      </c>
      <c r="C14" s="27">
        <f t="shared" si="2"/>
        <v>0</v>
      </c>
      <c r="D14" s="27">
        <f t="shared" si="2"/>
        <v>0</v>
      </c>
      <c r="E14" s="27">
        <f t="shared" si="2"/>
        <v>0</v>
      </c>
      <c r="F14" s="26">
        <f t="shared" si="2"/>
        <v>0</v>
      </c>
      <c r="G14" s="26">
        <f t="shared" si="2"/>
        <v>0</v>
      </c>
      <c r="H14" s="26">
        <f t="shared" si="2"/>
        <v>0</v>
      </c>
      <c r="I14" s="63">
        <f>H14-G14</f>
        <v>0</v>
      </c>
      <c r="J14" s="67" t="e">
        <f>(H14-G14)/G14</f>
        <v>#DIV/0!</v>
      </c>
    </row>
    <row r="15" spans="1:10" x14ac:dyDescent="0.2">
      <c r="A15" s="16" t="s">
        <v>4</v>
      </c>
      <c r="B15" s="15">
        <v>2020</v>
      </c>
      <c r="C15" s="15">
        <v>2021</v>
      </c>
      <c r="D15" s="15">
        <v>2022</v>
      </c>
      <c r="E15" s="15">
        <v>2023</v>
      </c>
      <c r="F15" s="14">
        <v>2024</v>
      </c>
      <c r="G15" s="14">
        <v>2025</v>
      </c>
      <c r="H15" s="14">
        <v>2026</v>
      </c>
      <c r="I15" s="123" t="s">
        <v>31</v>
      </c>
      <c r="J15" s="124"/>
    </row>
    <row r="16" spans="1:10" x14ac:dyDescent="0.2">
      <c r="A16" s="13" t="s">
        <v>22</v>
      </c>
      <c r="B16" s="24"/>
      <c r="C16" s="24"/>
      <c r="D16" s="24"/>
      <c r="E16" s="24"/>
      <c r="F16" s="23"/>
      <c r="G16" s="23"/>
      <c r="H16" s="23"/>
      <c r="I16" s="62">
        <f>H16-G16</f>
        <v>0</v>
      </c>
      <c r="J16" s="66" t="e">
        <f>(H16-G16)/G16</f>
        <v>#DIV/0!</v>
      </c>
    </row>
    <row r="17" spans="1:10" x14ac:dyDescent="0.2">
      <c r="A17" s="13" t="s">
        <v>21</v>
      </c>
      <c r="B17" s="24"/>
      <c r="C17" s="24"/>
      <c r="D17" s="24"/>
      <c r="E17" s="24"/>
      <c r="F17" s="23"/>
      <c r="G17" s="23"/>
      <c r="H17" s="23"/>
      <c r="I17" s="62">
        <f t="shared" ref="I17:I27" si="3">H17-G17</f>
        <v>0</v>
      </c>
      <c r="J17" s="66" t="e">
        <f t="shared" ref="J17:J27" si="4">(H17-G17)/G17</f>
        <v>#DIV/0!</v>
      </c>
    </row>
    <row r="18" spans="1:10" x14ac:dyDescent="0.2">
      <c r="A18" s="13" t="s">
        <v>20</v>
      </c>
      <c r="B18" s="25"/>
      <c r="C18" s="24"/>
      <c r="D18" s="24"/>
      <c r="E18" s="24"/>
      <c r="F18" s="23"/>
      <c r="G18" s="23"/>
      <c r="H18" s="23"/>
      <c r="I18" s="62">
        <f t="shared" si="3"/>
        <v>0</v>
      </c>
      <c r="J18" s="66" t="s">
        <v>32</v>
      </c>
    </row>
    <row r="19" spans="1:10" x14ac:dyDescent="0.2">
      <c r="A19" s="13" t="s">
        <v>19</v>
      </c>
      <c r="B19" s="25"/>
      <c r="C19" s="24"/>
      <c r="D19" s="24"/>
      <c r="E19" s="24"/>
      <c r="F19" s="23"/>
      <c r="G19" s="23"/>
      <c r="H19" s="23"/>
      <c r="I19" s="62">
        <f t="shared" si="3"/>
        <v>0</v>
      </c>
      <c r="J19" s="66" t="e">
        <f t="shared" si="4"/>
        <v>#DIV/0!</v>
      </c>
    </row>
    <row r="20" spans="1:10" x14ac:dyDescent="0.2">
      <c r="A20" s="13" t="s">
        <v>18</v>
      </c>
      <c r="B20" s="25"/>
      <c r="C20" s="24"/>
      <c r="D20" s="24"/>
      <c r="E20" s="24"/>
      <c r="F20" s="23"/>
      <c r="G20" s="23"/>
      <c r="H20" s="23"/>
      <c r="I20" s="62">
        <f>H20-G20</f>
        <v>0</v>
      </c>
      <c r="J20" s="66" t="e">
        <f t="shared" si="4"/>
        <v>#DIV/0!</v>
      </c>
    </row>
    <row r="21" spans="1:10" x14ac:dyDescent="0.2">
      <c r="A21" s="13" t="s">
        <v>17</v>
      </c>
      <c r="B21" s="24"/>
      <c r="C21" s="24"/>
      <c r="D21" s="24"/>
      <c r="E21" s="24"/>
      <c r="F21" s="23"/>
      <c r="G21" s="23"/>
      <c r="H21" s="23"/>
      <c r="I21" s="62">
        <f t="shared" si="3"/>
        <v>0</v>
      </c>
      <c r="J21" s="66" t="e">
        <f t="shared" si="4"/>
        <v>#DIV/0!</v>
      </c>
    </row>
    <row r="22" spans="1:10" x14ac:dyDescent="0.2">
      <c r="A22" s="13" t="s">
        <v>16</v>
      </c>
      <c r="B22" s="24"/>
      <c r="C22" s="24"/>
      <c r="D22" s="24"/>
      <c r="E22" s="24"/>
      <c r="F22" s="23"/>
      <c r="G22" s="23"/>
      <c r="H22" s="23"/>
      <c r="I22" s="62">
        <f t="shared" si="3"/>
        <v>0</v>
      </c>
      <c r="J22" s="66" t="e">
        <f t="shared" si="4"/>
        <v>#DIV/0!</v>
      </c>
    </row>
    <row r="23" spans="1:10" x14ac:dyDescent="0.2">
      <c r="A23" s="13" t="s">
        <v>2</v>
      </c>
      <c r="B23" s="24"/>
      <c r="C23" s="24"/>
      <c r="D23" s="24"/>
      <c r="E23" s="24"/>
      <c r="F23" s="23"/>
      <c r="G23" s="23"/>
      <c r="H23" s="23"/>
      <c r="I23" s="62">
        <f t="shared" si="3"/>
        <v>0</v>
      </c>
      <c r="J23" s="66" t="e">
        <f t="shared" si="4"/>
        <v>#DIV/0!</v>
      </c>
    </row>
    <row r="24" spans="1:10" x14ac:dyDescent="0.2">
      <c r="A24" s="13" t="s">
        <v>3</v>
      </c>
      <c r="B24" s="24"/>
      <c r="C24" s="24"/>
      <c r="D24" s="24"/>
      <c r="E24" s="24"/>
      <c r="F24" s="23"/>
      <c r="G24" s="23"/>
      <c r="H24" s="23"/>
      <c r="I24" s="62">
        <f t="shared" si="3"/>
        <v>0</v>
      </c>
      <c r="J24" s="66" t="e">
        <f t="shared" si="4"/>
        <v>#DIV/0!</v>
      </c>
    </row>
    <row r="25" spans="1:10" x14ac:dyDescent="0.2">
      <c r="A25" s="13" t="s">
        <v>15</v>
      </c>
      <c r="B25" s="24"/>
      <c r="C25" s="24"/>
      <c r="D25" s="24"/>
      <c r="E25" s="24"/>
      <c r="F25" s="23"/>
      <c r="G25" s="23"/>
      <c r="H25" s="23"/>
      <c r="I25" s="62">
        <f t="shared" si="3"/>
        <v>0</v>
      </c>
      <c r="J25" s="66" t="e">
        <f t="shared" si="4"/>
        <v>#DIV/0!</v>
      </c>
    </row>
    <row r="26" spans="1:10" x14ac:dyDescent="0.2">
      <c r="A26" s="13" t="s">
        <v>14</v>
      </c>
      <c r="B26" s="24"/>
      <c r="C26" s="24"/>
      <c r="D26" s="24"/>
      <c r="E26" s="24"/>
      <c r="F26" s="23"/>
      <c r="G26" s="23"/>
      <c r="H26" s="23"/>
      <c r="I26" s="62">
        <f t="shared" si="3"/>
        <v>0</v>
      </c>
      <c r="J26" s="66" t="e">
        <f t="shared" si="4"/>
        <v>#DIV/0!</v>
      </c>
    </row>
    <row r="27" spans="1:10" ht="19" thickBot="1" x14ac:dyDescent="0.25">
      <c r="A27" s="12" t="s">
        <v>13</v>
      </c>
      <c r="B27" s="22"/>
      <c r="C27" s="22"/>
      <c r="D27" s="22"/>
      <c r="E27" s="22"/>
      <c r="F27" s="21"/>
      <c r="G27" s="21"/>
      <c r="H27" s="21"/>
      <c r="I27" s="62">
        <f t="shared" si="3"/>
        <v>0</v>
      </c>
      <c r="J27" s="66" t="e">
        <f t="shared" si="4"/>
        <v>#DIV/0!</v>
      </c>
    </row>
    <row r="28" spans="1:10" ht="19" thickBot="1" x14ac:dyDescent="0.25">
      <c r="A28" s="11" t="s">
        <v>8</v>
      </c>
      <c r="B28" s="20">
        <f t="shared" ref="B28:H28" si="5">SUM(B16:B27)</f>
        <v>0</v>
      </c>
      <c r="C28" s="20">
        <f t="shared" si="5"/>
        <v>0</v>
      </c>
      <c r="D28" s="20">
        <f t="shared" si="5"/>
        <v>0</v>
      </c>
      <c r="E28" s="20">
        <f t="shared" si="5"/>
        <v>0</v>
      </c>
      <c r="F28" s="19">
        <f t="shared" si="5"/>
        <v>0</v>
      </c>
      <c r="G28" s="19">
        <f t="shared" si="5"/>
        <v>0</v>
      </c>
      <c r="H28" s="19">
        <f t="shared" si="5"/>
        <v>0</v>
      </c>
      <c r="I28" s="63">
        <f>H28-G28</f>
        <v>0</v>
      </c>
      <c r="J28" s="67" t="e">
        <f>(H28-G28)/G28</f>
        <v>#DIV/0!</v>
      </c>
    </row>
    <row r="29" spans="1:10" x14ac:dyDescent="0.2">
      <c r="A29" s="16" t="s">
        <v>6</v>
      </c>
      <c r="B29" s="15">
        <v>2020</v>
      </c>
      <c r="C29" s="15">
        <v>2021</v>
      </c>
      <c r="D29" s="15">
        <v>2022</v>
      </c>
      <c r="E29" s="15">
        <v>2023</v>
      </c>
      <c r="F29" s="14">
        <v>2024</v>
      </c>
      <c r="G29" s="14">
        <v>2025</v>
      </c>
      <c r="H29" s="14">
        <v>2026</v>
      </c>
      <c r="I29" s="123" t="s">
        <v>31</v>
      </c>
      <c r="J29" s="124"/>
    </row>
    <row r="30" spans="1:10" x14ac:dyDescent="0.2">
      <c r="A30" s="13" t="s">
        <v>22</v>
      </c>
      <c r="B30" s="100"/>
      <c r="C30" s="101">
        <f t="shared" ref="C30:H30" si="6">C16/217</f>
        <v>0</v>
      </c>
      <c r="D30" s="101">
        <f t="shared" si="6"/>
        <v>0</v>
      </c>
      <c r="E30" s="101">
        <f t="shared" si="6"/>
        <v>0</v>
      </c>
      <c r="F30" s="101">
        <f t="shared" si="6"/>
        <v>0</v>
      </c>
      <c r="G30" s="101">
        <f t="shared" si="6"/>
        <v>0</v>
      </c>
      <c r="H30" s="101">
        <f t="shared" si="6"/>
        <v>0</v>
      </c>
      <c r="I30" s="64">
        <f>H30-G30</f>
        <v>0</v>
      </c>
      <c r="J30" s="66" t="e">
        <f>(H30-G30)/G30</f>
        <v>#DIV/0!</v>
      </c>
    </row>
    <row r="31" spans="1:10" x14ac:dyDescent="0.2">
      <c r="A31" s="13" t="s">
        <v>21</v>
      </c>
      <c r="B31" s="100"/>
      <c r="C31" s="101">
        <f>C17/196</f>
        <v>0</v>
      </c>
      <c r="D31" s="101">
        <f>D17/196</f>
        <v>0</v>
      </c>
      <c r="E31" s="101">
        <f>E17/196</f>
        <v>0</v>
      </c>
      <c r="F31" s="101">
        <f>F17/203</f>
        <v>0</v>
      </c>
      <c r="G31" s="101">
        <f>G17/196</f>
        <v>0</v>
      </c>
      <c r="H31" s="101">
        <f>H17/196</f>
        <v>0</v>
      </c>
      <c r="I31" s="64">
        <f t="shared" ref="I31:I41" si="7">H31-G31</f>
        <v>0</v>
      </c>
      <c r="J31" s="66" t="e">
        <f t="shared" ref="J31:J41" si="8">(H31-G31)/G31</f>
        <v>#DIV/0!</v>
      </c>
    </row>
    <row r="32" spans="1:10" x14ac:dyDescent="0.2">
      <c r="A32" s="13" t="s">
        <v>20</v>
      </c>
      <c r="B32" s="102"/>
      <c r="C32" s="101">
        <f t="shared" ref="C32:H32" si="9">C18/217</f>
        <v>0</v>
      </c>
      <c r="D32" s="101">
        <f t="shared" si="9"/>
        <v>0</v>
      </c>
      <c r="E32" s="101">
        <f t="shared" si="9"/>
        <v>0</v>
      </c>
      <c r="F32" s="101">
        <f t="shared" si="9"/>
        <v>0</v>
      </c>
      <c r="G32" s="101">
        <f t="shared" si="9"/>
        <v>0</v>
      </c>
      <c r="H32" s="101">
        <f t="shared" si="9"/>
        <v>0</v>
      </c>
      <c r="I32" s="64">
        <f t="shared" si="7"/>
        <v>0</v>
      </c>
      <c r="J32" s="66" t="s">
        <v>32</v>
      </c>
    </row>
    <row r="33" spans="1:10" x14ac:dyDescent="0.2">
      <c r="A33" s="13" t="s">
        <v>19</v>
      </c>
      <c r="B33" s="102"/>
      <c r="C33" s="101">
        <f t="shared" ref="C33:H33" si="10">C19/210</f>
        <v>0</v>
      </c>
      <c r="D33" s="101">
        <f t="shared" si="10"/>
        <v>0</v>
      </c>
      <c r="E33" s="101">
        <f t="shared" si="10"/>
        <v>0</v>
      </c>
      <c r="F33" s="101">
        <f t="shared" si="10"/>
        <v>0</v>
      </c>
      <c r="G33" s="101">
        <f t="shared" si="10"/>
        <v>0</v>
      </c>
      <c r="H33" s="101">
        <f t="shared" si="10"/>
        <v>0</v>
      </c>
      <c r="I33" s="64">
        <f t="shared" si="7"/>
        <v>0</v>
      </c>
      <c r="J33" s="66" t="e">
        <f t="shared" si="8"/>
        <v>#DIV/0!</v>
      </c>
    </row>
    <row r="34" spans="1:10" x14ac:dyDescent="0.2">
      <c r="A34" s="13" t="s">
        <v>18</v>
      </c>
      <c r="B34" s="102"/>
      <c r="C34" s="101">
        <f t="shared" ref="C34:H34" si="11">C20/217</f>
        <v>0</v>
      </c>
      <c r="D34" s="101">
        <f t="shared" si="11"/>
        <v>0</v>
      </c>
      <c r="E34" s="101">
        <f t="shared" si="11"/>
        <v>0</v>
      </c>
      <c r="F34" s="101">
        <f t="shared" si="11"/>
        <v>0</v>
      </c>
      <c r="G34" s="101">
        <f t="shared" si="11"/>
        <v>0</v>
      </c>
      <c r="H34" s="101">
        <f t="shared" si="11"/>
        <v>0</v>
      </c>
      <c r="I34" s="64">
        <f t="shared" si="7"/>
        <v>0</v>
      </c>
      <c r="J34" s="66" t="e">
        <f t="shared" si="8"/>
        <v>#DIV/0!</v>
      </c>
    </row>
    <row r="35" spans="1:10" x14ac:dyDescent="0.2">
      <c r="A35" s="13" t="s">
        <v>17</v>
      </c>
      <c r="B35" s="101"/>
      <c r="C35" s="101">
        <f t="shared" ref="C35:H35" si="12">C21/210</f>
        <v>0</v>
      </c>
      <c r="D35" s="101">
        <f t="shared" si="12"/>
        <v>0</v>
      </c>
      <c r="E35" s="101">
        <f t="shared" si="12"/>
        <v>0</v>
      </c>
      <c r="F35" s="101">
        <f t="shared" si="12"/>
        <v>0</v>
      </c>
      <c r="G35" s="101">
        <f t="shared" si="12"/>
        <v>0</v>
      </c>
      <c r="H35" s="101">
        <f t="shared" si="12"/>
        <v>0</v>
      </c>
      <c r="I35" s="64">
        <f t="shared" si="7"/>
        <v>0</v>
      </c>
      <c r="J35" s="66" t="e">
        <f t="shared" si="8"/>
        <v>#DIV/0!</v>
      </c>
    </row>
    <row r="36" spans="1:10" x14ac:dyDescent="0.2">
      <c r="A36" s="13" t="s">
        <v>16</v>
      </c>
      <c r="B36" s="101"/>
      <c r="C36" s="101">
        <f t="shared" ref="C36:H37" si="13">C22/217</f>
        <v>0</v>
      </c>
      <c r="D36" s="101">
        <f t="shared" si="13"/>
        <v>0</v>
      </c>
      <c r="E36" s="101">
        <f t="shared" si="13"/>
        <v>0</v>
      </c>
      <c r="F36" s="101">
        <f t="shared" si="13"/>
        <v>0</v>
      </c>
      <c r="G36" s="101">
        <f t="shared" si="13"/>
        <v>0</v>
      </c>
      <c r="H36" s="101">
        <f t="shared" si="13"/>
        <v>0</v>
      </c>
      <c r="I36" s="64">
        <f t="shared" si="7"/>
        <v>0</v>
      </c>
      <c r="J36" s="66" t="e">
        <f t="shared" si="8"/>
        <v>#DIV/0!</v>
      </c>
    </row>
    <row r="37" spans="1:10" x14ac:dyDescent="0.2">
      <c r="A37" s="13" t="s">
        <v>2</v>
      </c>
      <c r="B37" s="101"/>
      <c r="C37" s="101">
        <f t="shared" si="13"/>
        <v>0</v>
      </c>
      <c r="D37" s="101">
        <f t="shared" si="13"/>
        <v>0</v>
      </c>
      <c r="E37" s="101">
        <f t="shared" si="13"/>
        <v>0</v>
      </c>
      <c r="F37" s="101">
        <f t="shared" si="13"/>
        <v>0</v>
      </c>
      <c r="G37" s="101">
        <f t="shared" si="13"/>
        <v>0</v>
      </c>
      <c r="H37" s="101">
        <f t="shared" si="13"/>
        <v>0</v>
      </c>
      <c r="I37" s="64">
        <f t="shared" si="7"/>
        <v>0</v>
      </c>
      <c r="J37" s="66" t="e">
        <f t="shared" si="8"/>
        <v>#DIV/0!</v>
      </c>
    </row>
    <row r="38" spans="1:10" x14ac:dyDescent="0.2">
      <c r="A38" s="13" t="s">
        <v>3</v>
      </c>
      <c r="B38" s="101">
        <f t="shared" ref="B38:H38" si="14">B24/210</f>
        <v>0</v>
      </c>
      <c r="C38" s="101">
        <f t="shared" si="14"/>
        <v>0</v>
      </c>
      <c r="D38" s="101">
        <f t="shared" si="14"/>
        <v>0</v>
      </c>
      <c r="E38" s="101">
        <f t="shared" si="14"/>
        <v>0</v>
      </c>
      <c r="F38" s="101">
        <f t="shared" si="14"/>
        <v>0</v>
      </c>
      <c r="G38" s="101">
        <f t="shared" si="14"/>
        <v>0</v>
      </c>
      <c r="H38" s="101">
        <f t="shared" si="14"/>
        <v>0</v>
      </c>
      <c r="I38" s="64">
        <f t="shared" si="7"/>
        <v>0</v>
      </c>
      <c r="J38" s="66" t="e">
        <f t="shared" si="8"/>
        <v>#DIV/0!</v>
      </c>
    </row>
    <row r="39" spans="1:10" x14ac:dyDescent="0.2">
      <c r="A39" s="13" t="s">
        <v>15</v>
      </c>
      <c r="B39" s="101">
        <f t="shared" ref="B39:H39" si="15">B25/217</f>
        <v>0</v>
      </c>
      <c r="C39" s="101">
        <f t="shared" si="15"/>
        <v>0</v>
      </c>
      <c r="D39" s="101">
        <f t="shared" si="15"/>
        <v>0</v>
      </c>
      <c r="E39" s="101">
        <f t="shared" si="15"/>
        <v>0</v>
      </c>
      <c r="F39" s="101">
        <f t="shared" si="15"/>
        <v>0</v>
      </c>
      <c r="G39" s="101">
        <f t="shared" si="15"/>
        <v>0</v>
      </c>
      <c r="H39" s="101">
        <f t="shared" si="15"/>
        <v>0</v>
      </c>
      <c r="I39" s="64">
        <f t="shared" si="7"/>
        <v>0</v>
      </c>
      <c r="J39" s="66" t="e">
        <f t="shared" si="8"/>
        <v>#DIV/0!</v>
      </c>
    </row>
    <row r="40" spans="1:10" x14ac:dyDescent="0.2">
      <c r="A40" s="13" t="s">
        <v>14</v>
      </c>
      <c r="B40" s="101">
        <f t="shared" ref="B40:H40" si="16">B26/210</f>
        <v>0</v>
      </c>
      <c r="C40" s="101">
        <f t="shared" si="16"/>
        <v>0</v>
      </c>
      <c r="D40" s="101">
        <f t="shared" si="16"/>
        <v>0</v>
      </c>
      <c r="E40" s="101">
        <f t="shared" si="16"/>
        <v>0</v>
      </c>
      <c r="F40" s="101">
        <f t="shared" si="16"/>
        <v>0</v>
      </c>
      <c r="G40" s="101">
        <f t="shared" si="16"/>
        <v>0</v>
      </c>
      <c r="H40" s="101">
        <f t="shared" si="16"/>
        <v>0</v>
      </c>
      <c r="I40" s="64">
        <f t="shared" si="7"/>
        <v>0</v>
      </c>
      <c r="J40" s="66" t="e">
        <f t="shared" si="8"/>
        <v>#DIV/0!</v>
      </c>
    </row>
    <row r="41" spans="1:10" ht="19" thickBot="1" x14ac:dyDescent="0.25">
      <c r="A41" s="12" t="s">
        <v>13</v>
      </c>
      <c r="B41" s="103">
        <f t="shared" ref="B41:H41" si="17">B27/217</f>
        <v>0</v>
      </c>
      <c r="C41" s="103">
        <f t="shared" si="17"/>
        <v>0</v>
      </c>
      <c r="D41" s="103">
        <f t="shared" si="17"/>
        <v>0</v>
      </c>
      <c r="E41" s="103">
        <f t="shared" si="17"/>
        <v>0</v>
      </c>
      <c r="F41" s="103">
        <f t="shared" si="17"/>
        <v>0</v>
      </c>
      <c r="G41" s="103">
        <f t="shared" si="17"/>
        <v>0</v>
      </c>
      <c r="H41" s="103">
        <f t="shared" si="17"/>
        <v>0</v>
      </c>
      <c r="I41" s="64">
        <f t="shared" si="7"/>
        <v>0</v>
      </c>
      <c r="J41" s="66" t="e">
        <f t="shared" si="8"/>
        <v>#DIV/0!</v>
      </c>
    </row>
    <row r="42" spans="1:10" ht="19" thickBot="1" x14ac:dyDescent="0.25">
      <c r="A42" s="11" t="s">
        <v>34</v>
      </c>
      <c r="B42" s="18">
        <f t="shared" ref="B42:G42" si="18">SUM(B30:B41)/12</f>
        <v>0</v>
      </c>
      <c r="C42" s="18">
        <f t="shared" si="18"/>
        <v>0</v>
      </c>
      <c r="D42" s="18">
        <f t="shared" si="18"/>
        <v>0</v>
      </c>
      <c r="E42" s="18">
        <f t="shared" si="18"/>
        <v>0</v>
      </c>
      <c r="F42" s="17">
        <f t="shared" si="18"/>
        <v>0</v>
      </c>
      <c r="G42" s="17">
        <f t="shared" si="18"/>
        <v>0</v>
      </c>
      <c r="H42" s="17">
        <f>SUM(H30:H41)/12</f>
        <v>0</v>
      </c>
      <c r="I42" s="65">
        <f>H42-G42</f>
        <v>0</v>
      </c>
      <c r="J42" s="67" t="e">
        <f>(H42-G42)/G42</f>
        <v>#DIV/0!</v>
      </c>
    </row>
    <row r="43" spans="1:10" x14ac:dyDescent="0.2">
      <c r="A43" s="16" t="s">
        <v>5</v>
      </c>
      <c r="B43" s="15">
        <v>2020</v>
      </c>
      <c r="C43" s="15">
        <v>2021</v>
      </c>
      <c r="D43" s="15">
        <v>2022</v>
      </c>
      <c r="E43" s="15">
        <v>2023</v>
      </c>
      <c r="F43" s="14">
        <v>2024</v>
      </c>
      <c r="G43" s="14">
        <v>2025</v>
      </c>
      <c r="H43" s="14">
        <v>2026</v>
      </c>
      <c r="I43" s="123" t="s">
        <v>31</v>
      </c>
      <c r="J43" s="124"/>
    </row>
    <row r="44" spans="1:10" x14ac:dyDescent="0.2">
      <c r="A44" s="13" t="s">
        <v>22</v>
      </c>
      <c r="B44" s="31"/>
      <c r="C44" s="31">
        <v>0</v>
      </c>
      <c r="D44" s="31" t="e">
        <f t="shared" ref="C44:F46" si="19">D2/D16</f>
        <v>#DIV/0!</v>
      </c>
      <c r="E44" s="31" t="e">
        <f t="shared" si="19"/>
        <v>#DIV/0!</v>
      </c>
      <c r="F44" s="30" t="e">
        <f t="shared" si="19"/>
        <v>#DIV/0!</v>
      </c>
      <c r="G44" s="30" t="e">
        <f>G2/G16</f>
        <v>#DIV/0!</v>
      </c>
      <c r="H44" s="30" t="e">
        <f>H2/H16</f>
        <v>#DIV/0!</v>
      </c>
      <c r="I44" s="62" t="e">
        <f>H44-G44</f>
        <v>#DIV/0!</v>
      </c>
      <c r="J44" s="66" t="e">
        <f>(H44-G44)/G44</f>
        <v>#DIV/0!</v>
      </c>
    </row>
    <row r="45" spans="1:10" x14ac:dyDescent="0.2">
      <c r="A45" s="13" t="s">
        <v>21</v>
      </c>
      <c r="B45" s="31"/>
      <c r="C45" s="31" t="e">
        <f t="shared" si="19"/>
        <v>#DIV/0!</v>
      </c>
      <c r="D45" s="31" t="e">
        <f t="shared" si="19"/>
        <v>#DIV/0!</v>
      </c>
      <c r="E45" s="31" t="e">
        <f t="shared" si="19"/>
        <v>#DIV/0!</v>
      </c>
      <c r="F45" s="30" t="e">
        <f t="shared" si="19"/>
        <v>#DIV/0!</v>
      </c>
      <c r="G45" s="30" t="e">
        <f>G3/G17</f>
        <v>#DIV/0!</v>
      </c>
      <c r="H45" s="30" t="e">
        <f t="shared" ref="H45:H54" si="20">H3/H17</f>
        <v>#DIV/0!</v>
      </c>
      <c r="I45" s="62" t="e">
        <f t="shared" ref="I45:I55" si="21">H45-G45</f>
        <v>#DIV/0!</v>
      </c>
      <c r="J45" s="66" t="e">
        <f t="shared" ref="J45:J55" si="22">(H45-G45)/G45</f>
        <v>#DIV/0!</v>
      </c>
    </row>
    <row r="46" spans="1:10" x14ac:dyDescent="0.2">
      <c r="A46" s="13" t="s">
        <v>20</v>
      </c>
      <c r="B46" s="32"/>
      <c r="C46" s="31" t="e">
        <f t="shared" si="19"/>
        <v>#DIV/0!</v>
      </c>
      <c r="D46" s="31" t="e">
        <f t="shared" si="19"/>
        <v>#DIV/0!</v>
      </c>
      <c r="E46" s="31" t="e">
        <f t="shared" si="19"/>
        <v>#DIV/0!</v>
      </c>
      <c r="F46" s="30" t="e">
        <f t="shared" si="19"/>
        <v>#DIV/0!</v>
      </c>
      <c r="G46" s="30">
        <v>0</v>
      </c>
      <c r="H46" s="30" t="e">
        <f t="shared" si="20"/>
        <v>#DIV/0!</v>
      </c>
      <c r="I46" s="62" t="e">
        <f t="shared" si="21"/>
        <v>#DIV/0!</v>
      </c>
      <c r="J46" s="66" t="s">
        <v>32</v>
      </c>
    </row>
    <row r="47" spans="1:10" x14ac:dyDescent="0.2">
      <c r="A47" s="13" t="s">
        <v>19</v>
      </c>
      <c r="B47" s="32"/>
      <c r="C47" s="31" t="e">
        <f t="shared" ref="C47:F55" si="23">C5/C19</f>
        <v>#DIV/0!</v>
      </c>
      <c r="D47" s="31" t="e">
        <f t="shared" si="23"/>
        <v>#DIV/0!</v>
      </c>
      <c r="E47" s="31" t="e">
        <f t="shared" si="23"/>
        <v>#DIV/0!</v>
      </c>
      <c r="F47" s="30" t="e">
        <f t="shared" si="23"/>
        <v>#DIV/0!</v>
      </c>
      <c r="G47" s="30" t="e">
        <f t="shared" ref="G47:G55" si="24">G5/G19</f>
        <v>#DIV/0!</v>
      </c>
      <c r="H47" s="30" t="e">
        <f t="shared" si="20"/>
        <v>#DIV/0!</v>
      </c>
      <c r="I47" s="62" t="e">
        <f t="shared" si="21"/>
        <v>#DIV/0!</v>
      </c>
      <c r="J47" s="66" t="e">
        <f t="shared" si="22"/>
        <v>#DIV/0!</v>
      </c>
    </row>
    <row r="48" spans="1:10" x14ac:dyDescent="0.2">
      <c r="A48" s="13" t="s">
        <v>18</v>
      </c>
      <c r="B48" s="32"/>
      <c r="C48" s="31" t="e">
        <f t="shared" si="23"/>
        <v>#DIV/0!</v>
      </c>
      <c r="D48" s="31" t="e">
        <f t="shared" si="23"/>
        <v>#DIV/0!</v>
      </c>
      <c r="E48" s="31" t="e">
        <f t="shared" si="23"/>
        <v>#DIV/0!</v>
      </c>
      <c r="F48" s="30" t="e">
        <f t="shared" si="23"/>
        <v>#DIV/0!</v>
      </c>
      <c r="G48" s="30" t="e">
        <f t="shared" si="24"/>
        <v>#DIV/0!</v>
      </c>
      <c r="H48" s="30" t="e">
        <f t="shared" si="20"/>
        <v>#DIV/0!</v>
      </c>
      <c r="I48" s="62" t="e">
        <f t="shared" si="21"/>
        <v>#DIV/0!</v>
      </c>
      <c r="J48" s="66" t="e">
        <f t="shared" si="22"/>
        <v>#DIV/0!</v>
      </c>
    </row>
    <row r="49" spans="1:10" x14ac:dyDescent="0.2">
      <c r="A49" s="13" t="s">
        <v>17</v>
      </c>
      <c r="B49" s="31"/>
      <c r="C49" s="31">
        <v>0</v>
      </c>
      <c r="D49" s="31" t="e">
        <f t="shared" si="23"/>
        <v>#DIV/0!</v>
      </c>
      <c r="E49" s="31" t="e">
        <f t="shared" si="23"/>
        <v>#DIV/0!</v>
      </c>
      <c r="F49" s="30" t="e">
        <f t="shared" si="23"/>
        <v>#DIV/0!</v>
      </c>
      <c r="G49" s="30" t="e">
        <f t="shared" si="24"/>
        <v>#DIV/0!</v>
      </c>
      <c r="H49" s="30" t="e">
        <f t="shared" si="20"/>
        <v>#DIV/0!</v>
      </c>
      <c r="I49" s="62" t="e">
        <f t="shared" si="21"/>
        <v>#DIV/0!</v>
      </c>
      <c r="J49" s="66" t="e">
        <f t="shared" si="22"/>
        <v>#DIV/0!</v>
      </c>
    </row>
    <row r="50" spans="1:10" x14ac:dyDescent="0.2">
      <c r="A50" s="13" t="s">
        <v>16</v>
      </c>
      <c r="B50" s="31"/>
      <c r="C50" s="31" t="e">
        <f t="shared" si="23"/>
        <v>#DIV/0!</v>
      </c>
      <c r="D50" s="31" t="e">
        <f t="shared" si="23"/>
        <v>#DIV/0!</v>
      </c>
      <c r="E50" s="31" t="e">
        <f t="shared" si="23"/>
        <v>#DIV/0!</v>
      </c>
      <c r="F50" s="30" t="e">
        <f t="shared" si="23"/>
        <v>#DIV/0!</v>
      </c>
      <c r="G50" s="30" t="e">
        <f t="shared" si="24"/>
        <v>#DIV/0!</v>
      </c>
      <c r="H50" s="30" t="e">
        <f t="shared" si="20"/>
        <v>#DIV/0!</v>
      </c>
      <c r="I50" s="62" t="e">
        <f t="shared" si="21"/>
        <v>#DIV/0!</v>
      </c>
      <c r="J50" s="66" t="e">
        <f t="shared" si="22"/>
        <v>#DIV/0!</v>
      </c>
    </row>
    <row r="51" spans="1:10" x14ac:dyDescent="0.2">
      <c r="A51" s="13" t="s">
        <v>2</v>
      </c>
      <c r="B51" s="31"/>
      <c r="C51" s="31" t="e">
        <f t="shared" si="23"/>
        <v>#DIV/0!</v>
      </c>
      <c r="D51" s="31" t="e">
        <f t="shared" si="23"/>
        <v>#DIV/0!</v>
      </c>
      <c r="E51" s="31" t="e">
        <f t="shared" si="23"/>
        <v>#DIV/0!</v>
      </c>
      <c r="F51" s="30" t="e">
        <f t="shared" si="23"/>
        <v>#DIV/0!</v>
      </c>
      <c r="G51" s="30" t="e">
        <f t="shared" si="24"/>
        <v>#DIV/0!</v>
      </c>
      <c r="H51" s="30" t="e">
        <f t="shared" si="20"/>
        <v>#DIV/0!</v>
      </c>
      <c r="I51" s="62" t="e">
        <f t="shared" si="21"/>
        <v>#DIV/0!</v>
      </c>
      <c r="J51" s="66" t="e">
        <f t="shared" si="22"/>
        <v>#DIV/0!</v>
      </c>
    </row>
    <row r="52" spans="1:10" x14ac:dyDescent="0.2">
      <c r="A52" s="13" t="s">
        <v>3</v>
      </c>
      <c r="B52" s="31" t="e">
        <f>B10/B24</f>
        <v>#DIV/0!</v>
      </c>
      <c r="C52" s="31" t="e">
        <f t="shared" si="23"/>
        <v>#DIV/0!</v>
      </c>
      <c r="D52" s="31" t="e">
        <f t="shared" si="23"/>
        <v>#DIV/0!</v>
      </c>
      <c r="E52" s="31" t="e">
        <f t="shared" si="23"/>
        <v>#DIV/0!</v>
      </c>
      <c r="F52" s="30" t="e">
        <f t="shared" si="23"/>
        <v>#DIV/0!</v>
      </c>
      <c r="G52" s="30" t="e">
        <f t="shared" si="24"/>
        <v>#DIV/0!</v>
      </c>
      <c r="H52" s="30" t="e">
        <f t="shared" si="20"/>
        <v>#DIV/0!</v>
      </c>
      <c r="I52" s="62" t="e">
        <f t="shared" si="21"/>
        <v>#DIV/0!</v>
      </c>
      <c r="J52" s="66" t="e">
        <f t="shared" si="22"/>
        <v>#DIV/0!</v>
      </c>
    </row>
    <row r="53" spans="1:10" x14ac:dyDescent="0.2">
      <c r="A53" s="13" t="s">
        <v>15</v>
      </c>
      <c r="B53" s="31">
        <v>0</v>
      </c>
      <c r="C53" s="31" t="e">
        <f t="shared" si="23"/>
        <v>#DIV/0!</v>
      </c>
      <c r="D53" s="31" t="e">
        <f t="shared" si="23"/>
        <v>#DIV/0!</v>
      </c>
      <c r="E53" s="31" t="e">
        <f t="shared" si="23"/>
        <v>#DIV/0!</v>
      </c>
      <c r="F53" s="30" t="e">
        <f t="shared" si="23"/>
        <v>#DIV/0!</v>
      </c>
      <c r="G53" s="30" t="e">
        <f t="shared" si="24"/>
        <v>#DIV/0!</v>
      </c>
      <c r="H53" s="30" t="e">
        <f t="shared" si="20"/>
        <v>#DIV/0!</v>
      </c>
      <c r="I53" s="62" t="e">
        <f t="shared" si="21"/>
        <v>#DIV/0!</v>
      </c>
      <c r="J53" s="66" t="e">
        <f t="shared" si="22"/>
        <v>#DIV/0!</v>
      </c>
    </row>
    <row r="54" spans="1:10" x14ac:dyDescent="0.2">
      <c r="A54" s="13" t="s">
        <v>14</v>
      </c>
      <c r="B54" s="31" t="e">
        <f>B12/B26</f>
        <v>#DIV/0!</v>
      </c>
      <c r="C54" s="31" t="e">
        <f t="shared" si="23"/>
        <v>#DIV/0!</v>
      </c>
      <c r="D54" s="31" t="e">
        <f t="shared" si="23"/>
        <v>#DIV/0!</v>
      </c>
      <c r="E54" s="31" t="e">
        <f t="shared" si="23"/>
        <v>#DIV/0!</v>
      </c>
      <c r="F54" s="30" t="e">
        <f t="shared" si="23"/>
        <v>#DIV/0!</v>
      </c>
      <c r="G54" s="30" t="e">
        <f t="shared" si="24"/>
        <v>#DIV/0!</v>
      </c>
      <c r="H54" s="30" t="e">
        <f t="shared" si="20"/>
        <v>#DIV/0!</v>
      </c>
      <c r="I54" s="62" t="e">
        <f t="shared" si="21"/>
        <v>#DIV/0!</v>
      </c>
      <c r="J54" s="66" t="e">
        <f t="shared" si="22"/>
        <v>#DIV/0!</v>
      </c>
    </row>
    <row r="55" spans="1:10" ht="19" thickBot="1" x14ac:dyDescent="0.25">
      <c r="A55" s="12" t="s">
        <v>13</v>
      </c>
      <c r="B55" s="29" t="e">
        <f>B13/B27</f>
        <v>#DIV/0!</v>
      </c>
      <c r="C55" s="29" t="e">
        <f t="shared" si="23"/>
        <v>#DIV/0!</v>
      </c>
      <c r="D55" s="29" t="e">
        <f t="shared" si="23"/>
        <v>#DIV/0!</v>
      </c>
      <c r="E55" s="29" t="e">
        <f t="shared" si="23"/>
        <v>#DIV/0!</v>
      </c>
      <c r="F55" s="28" t="e">
        <f t="shared" si="23"/>
        <v>#DIV/0!</v>
      </c>
      <c r="G55" s="28" t="e">
        <f t="shared" si="24"/>
        <v>#DIV/0!</v>
      </c>
      <c r="H55" s="28" t="e">
        <f>H13/H27</f>
        <v>#DIV/0!</v>
      </c>
      <c r="I55" s="62" t="e">
        <f t="shared" si="21"/>
        <v>#DIV/0!</v>
      </c>
      <c r="J55" s="66" t="e">
        <f t="shared" si="22"/>
        <v>#DIV/0!</v>
      </c>
    </row>
    <row r="56" spans="1:10" ht="19" thickBot="1" x14ac:dyDescent="0.25">
      <c r="A56" s="11" t="s">
        <v>34</v>
      </c>
      <c r="B56" s="27" t="e">
        <f t="shared" ref="B56:H56" si="25">SUM(B44:B55)/12</f>
        <v>#DIV/0!</v>
      </c>
      <c r="C56" s="27" t="e">
        <f t="shared" si="25"/>
        <v>#DIV/0!</v>
      </c>
      <c r="D56" s="27" t="e">
        <f t="shared" si="25"/>
        <v>#DIV/0!</v>
      </c>
      <c r="E56" s="27" t="e">
        <f t="shared" si="25"/>
        <v>#DIV/0!</v>
      </c>
      <c r="F56" s="26" t="e">
        <f t="shared" si="25"/>
        <v>#DIV/0!</v>
      </c>
      <c r="G56" s="26" t="e">
        <f t="shared" si="25"/>
        <v>#DIV/0!</v>
      </c>
      <c r="H56" s="26" t="e">
        <f t="shared" si="25"/>
        <v>#DIV/0!</v>
      </c>
      <c r="I56" s="63" t="e">
        <f>H56-G56</f>
        <v>#DIV/0!</v>
      </c>
      <c r="J56" s="67" t="e">
        <f>(H56-G56)/G56</f>
        <v>#DIV/0!</v>
      </c>
    </row>
    <row r="59" spans="1:10" x14ac:dyDescent="0.2">
      <c r="C59" s="10"/>
      <c r="D59"/>
      <c r="E59" s="10"/>
      <c r="F59"/>
      <c r="G59"/>
      <c r="H59"/>
      <c r="I59" s="10"/>
      <c r="J59" s="10"/>
    </row>
    <row r="60" spans="1:10" x14ac:dyDescent="0.2">
      <c r="C60"/>
      <c r="D60"/>
      <c r="E60"/>
      <c r="F60"/>
      <c r="G60"/>
      <c r="H60"/>
      <c r="I60"/>
      <c r="J60"/>
    </row>
    <row r="61" spans="1:10" x14ac:dyDescent="0.2">
      <c r="C61" s="10"/>
      <c r="D61"/>
      <c r="E61" s="10"/>
      <c r="F61"/>
      <c r="G61"/>
      <c r="H61"/>
      <c r="I61" s="10"/>
      <c r="J61" s="10"/>
    </row>
    <row r="62" spans="1:10" x14ac:dyDescent="0.2">
      <c r="C62" s="10"/>
      <c r="D62"/>
      <c r="E62" s="10"/>
      <c r="F62"/>
      <c r="G62"/>
      <c r="H62"/>
      <c r="I62" s="10"/>
      <c r="J62" s="10"/>
    </row>
    <row r="63" spans="1:10" x14ac:dyDescent="0.2">
      <c r="C63" s="10"/>
      <c r="D63"/>
      <c r="E63" s="10"/>
      <c r="F63"/>
      <c r="G63"/>
      <c r="H63"/>
      <c r="I63" s="10"/>
      <c r="J63" s="10"/>
    </row>
    <row r="64" spans="1:10" x14ac:dyDescent="0.2">
      <c r="C64" s="10"/>
      <c r="D64"/>
      <c r="E64" s="10"/>
      <c r="F64"/>
      <c r="G64"/>
      <c r="H64"/>
      <c r="I64" s="10"/>
      <c r="J64" s="10"/>
    </row>
  </sheetData>
  <mergeCells count="4">
    <mergeCell ref="I1:J1"/>
    <mergeCell ref="I15:J15"/>
    <mergeCell ref="I29:J29"/>
    <mergeCell ref="I43:J43"/>
  </mergeCells>
  <conditionalFormatting sqref="I2:J3 I4 I5:J14 I16:J17 I18 I19:J28 I30:J31 I32 I33:J42 I44:J45 I46 I47:J56">
    <cfRule type="cellIs" dxfId="1" priority="1" operator="greaterThan">
      <formula>0.009</formula>
    </cfRule>
    <cfRule type="cellIs" dxfId="0" priority="2" operator="lessThan">
      <formula>-0.009</formula>
    </cfRule>
  </conditionalFormatting>
  <pageMargins left="0.7" right="0.7" top="0.75" bottom="0.75" header="0.3" footer="0.3"/>
  <pageSetup paperSize="9" orientation="portrait" horizontalDpi="0" verticalDpi="0"/>
  <ignoredErrors>
    <ignoredError sqref="C31:H41 B39:B40" formula="1"/>
    <ignoredError sqref="H49:I56" evalError="1"/>
    <ignoredError sqref="H28 B14:B15 C14:G14 F28 C28:E28 G28 B28" formulaRange="1"/>
    <ignoredError sqref="G1:H1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OTB</vt:lpstr>
      <vt:lpstr>Fin Year</vt:lpstr>
      <vt:lpstr>YOY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Carike Ligthelm</dc:creator>
  <cp:lastModifiedBy>Carike Ligthelm</cp:lastModifiedBy>
  <cp:lastPrinted>2026-05-15T14:29:41Z</cp:lastPrinted>
  <dcterms:created xsi:type="dcterms:W3CDTF">2025-04-03T10:02:25Z</dcterms:created>
  <dcterms:modified xsi:type="dcterms:W3CDTF">2026-08-14T08:52:22Z</dcterms:modified>
</cp:coreProperties>
</file>