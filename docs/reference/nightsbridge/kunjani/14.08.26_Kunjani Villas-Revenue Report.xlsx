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Kunjani Villas/Revenue Reports | KV/2026/Aug 26/"/>
    </mc:Choice>
  </mc:AlternateContent>
  <xr:revisionPtr revIDLastSave="0" documentId="13_ncr:1_{59DF3767-9A01-6248-9931-515009AFC83F}" xr6:coauthVersionLast="47" xr6:coauthVersionMax="47" xr10:uidLastSave="{00000000-0000-0000-0000-000000000000}"/>
  <bookViews>
    <workbookView xWindow="16800" yWindow="500" windowWidth="1680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9" i="1"/>
  <c r="C28" i="1"/>
  <c r="C27" i="1"/>
  <c r="C26" i="1"/>
  <c r="C25" i="1"/>
  <c r="C24" i="1"/>
  <c r="C23" i="1"/>
  <c r="C22" i="1"/>
  <c r="C10" i="1"/>
  <c r="E27" i="1"/>
  <c r="B27" i="1"/>
  <c r="J18" i="1"/>
  <c r="H18" i="1"/>
  <c r="G18" i="1"/>
  <c r="F18" i="1"/>
  <c r="D18" i="1"/>
  <c r="J8" i="1"/>
  <c r="G8" i="1"/>
  <c r="F8" i="1"/>
  <c r="D8" i="1"/>
  <c r="B24" i="1"/>
  <c r="B28" i="1"/>
  <c r="D28" i="1" s="1"/>
  <c r="J19" i="1"/>
  <c r="G19" i="1"/>
  <c r="I19" i="1" s="1"/>
  <c r="E26" i="1"/>
  <c r="B26" i="1"/>
  <c r="J17" i="1"/>
  <c r="H17" i="1"/>
  <c r="G17" i="1"/>
  <c r="F17" i="1"/>
  <c r="D17" i="1"/>
  <c r="J7" i="1"/>
  <c r="G7" i="1"/>
  <c r="F7" i="1"/>
  <c r="D7" i="1"/>
  <c r="E25" i="1"/>
  <c r="B25" i="1"/>
  <c r="G25" i="1" s="1"/>
  <c r="J16" i="1"/>
  <c r="H16" i="1"/>
  <c r="G16" i="1"/>
  <c r="F16" i="1"/>
  <c r="D16" i="1"/>
  <c r="J6" i="1"/>
  <c r="G6" i="1"/>
  <c r="K6" i="1" s="1"/>
  <c r="F6" i="1"/>
  <c r="D6" i="1"/>
  <c r="H15" i="1"/>
  <c r="G15" i="1"/>
  <c r="J15" i="1"/>
  <c r="E24" i="1"/>
  <c r="F15" i="1"/>
  <c r="D15" i="1"/>
  <c r="J5" i="1"/>
  <c r="G5" i="1"/>
  <c r="K5" i="1" s="1"/>
  <c r="F5" i="1"/>
  <c r="D5" i="1"/>
  <c r="G27" i="1" l="1"/>
  <c r="D27" i="1"/>
  <c r="F27" i="1"/>
  <c r="K18" i="1"/>
  <c r="I18" i="1"/>
  <c r="K8" i="1"/>
  <c r="H8" i="1"/>
  <c r="G26" i="1"/>
  <c r="D26" i="1"/>
  <c r="F26" i="1"/>
  <c r="K17" i="1"/>
  <c r="I17" i="1"/>
  <c r="K7" i="1"/>
  <c r="H7" i="1"/>
  <c r="H6" i="1"/>
  <c r="G24" i="1"/>
  <c r="K16" i="1"/>
  <c r="I16" i="1"/>
  <c r="D25" i="1"/>
  <c r="F25" i="1"/>
  <c r="I15" i="1"/>
  <c r="K15" i="1"/>
  <c r="F24" i="1"/>
  <c r="D24" i="1"/>
  <c r="H5" i="1"/>
  <c r="E23" i="1" l="1"/>
  <c r="B23" i="1"/>
  <c r="J14" i="1"/>
  <c r="H14" i="1"/>
  <c r="G14" i="1"/>
  <c r="K14" i="1" s="1"/>
  <c r="F14" i="1"/>
  <c r="D14" i="1"/>
  <c r="J4" i="1"/>
  <c r="G4" i="1"/>
  <c r="F4" i="1"/>
  <c r="D4" i="1"/>
  <c r="G29" i="5"/>
  <c r="G28" i="5"/>
  <c r="G27" i="5"/>
  <c r="G26" i="5"/>
  <c r="G25" i="5"/>
  <c r="G24" i="5"/>
  <c r="G23" i="5"/>
  <c r="G22" i="5"/>
  <c r="G21" i="5"/>
  <c r="G20" i="5"/>
  <c r="G19" i="5"/>
  <c r="G18" i="5"/>
  <c r="F29" i="5"/>
  <c r="F28" i="5"/>
  <c r="F27" i="5"/>
  <c r="F26" i="5"/>
  <c r="F25" i="5"/>
  <c r="F24" i="5"/>
  <c r="F23" i="5"/>
  <c r="F22" i="5"/>
  <c r="F21" i="5"/>
  <c r="F20" i="5"/>
  <c r="F19" i="5"/>
  <c r="F18" i="5"/>
  <c r="E29" i="5"/>
  <c r="E28" i="5"/>
  <c r="E27" i="5"/>
  <c r="E26" i="5"/>
  <c r="E25" i="5"/>
  <c r="E24" i="5"/>
  <c r="E23" i="5"/>
  <c r="E22" i="5"/>
  <c r="E21" i="5"/>
  <c r="E20" i="5"/>
  <c r="E19" i="5"/>
  <c r="E18" i="5"/>
  <c r="D29" i="5"/>
  <c r="D28" i="5"/>
  <c r="D27" i="5"/>
  <c r="D26" i="5"/>
  <c r="D25" i="5"/>
  <c r="D24" i="5"/>
  <c r="D23" i="5"/>
  <c r="D22" i="5"/>
  <c r="D21" i="5"/>
  <c r="D20" i="5"/>
  <c r="D19" i="5"/>
  <c r="D18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G15" i="5"/>
  <c r="G4" i="5"/>
  <c r="G5" i="5"/>
  <c r="G6" i="5"/>
  <c r="G7" i="5"/>
  <c r="G8" i="5"/>
  <c r="G9" i="5"/>
  <c r="G10" i="5"/>
  <c r="G11" i="5"/>
  <c r="G12" i="5"/>
  <c r="G13" i="5"/>
  <c r="G14" i="5"/>
  <c r="G3" i="5"/>
  <c r="J13" i="1"/>
  <c r="H13" i="1"/>
  <c r="G13" i="1"/>
  <c r="G23" i="1" l="1"/>
  <c r="D23" i="1"/>
  <c r="F23" i="1"/>
  <c r="K4" i="1"/>
  <c r="I14" i="1"/>
  <c r="H4" i="1"/>
  <c r="E22" i="1"/>
  <c r="B22" i="1"/>
  <c r="K13" i="1"/>
  <c r="F13" i="1"/>
  <c r="D13" i="1"/>
  <c r="J3" i="1"/>
  <c r="G3" i="1"/>
  <c r="F3" i="1"/>
  <c r="D3" i="1"/>
  <c r="K3" i="1" l="1"/>
  <c r="G22" i="1"/>
  <c r="D22" i="1"/>
  <c r="F22" i="1"/>
  <c r="I13" i="1"/>
  <c r="H3" i="1"/>
  <c r="J9" i="1" l="1"/>
  <c r="E28" i="1"/>
  <c r="G9" i="1"/>
  <c r="F19" i="1"/>
  <c r="C33" i="5"/>
  <c r="C34" i="5"/>
  <c r="C35" i="5"/>
  <c r="C36" i="5"/>
  <c r="C37" i="5"/>
  <c r="C38" i="5"/>
  <c r="D38" i="5" s="1"/>
  <c r="C39" i="5"/>
  <c r="C40" i="5"/>
  <c r="C41" i="5"/>
  <c r="C42" i="5"/>
  <c r="C43" i="5"/>
  <c r="C32" i="5"/>
  <c r="D32" i="5" s="1"/>
  <c r="B33" i="5"/>
  <c r="E33" i="5" s="1"/>
  <c r="B34" i="5"/>
  <c r="B35" i="5"/>
  <c r="B36" i="5"/>
  <c r="B37" i="5"/>
  <c r="B38" i="5"/>
  <c r="B39" i="5"/>
  <c r="B40" i="5"/>
  <c r="E40" i="5" s="1"/>
  <c r="B41" i="5"/>
  <c r="E41" i="5" s="1"/>
  <c r="B42" i="5"/>
  <c r="E42" i="5" s="1"/>
  <c r="B43" i="5"/>
  <c r="B32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K9" i="1" l="1"/>
  <c r="G28" i="1"/>
  <c r="E43" i="5"/>
  <c r="E35" i="5"/>
  <c r="E39" i="5"/>
  <c r="D42" i="5"/>
  <c r="E37" i="5"/>
  <c r="D33" i="5"/>
  <c r="E34" i="5"/>
  <c r="D34" i="5"/>
  <c r="H9" i="1"/>
  <c r="E38" i="5"/>
  <c r="D37" i="5"/>
  <c r="D41" i="5"/>
  <c r="D36" i="5"/>
  <c r="E32" i="5"/>
  <c r="D40" i="5"/>
  <c r="D39" i="5"/>
  <c r="K19" i="1"/>
  <c r="D43" i="5"/>
  <c r="D35" i="5"/>
  <c r="E36" i="5"/>
  <c r="E15" i="5"/>
  <c r="D15" i="5"/>
  <c r="F15" i="5"/>
  <c r="J13" i="2" l="1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J37" i="2" l="1"/>
  <c r="J31" i="2"/>
  <c r="J28" i="2"/>
  <c r="I37" i="2"/>
  <c r="J34" i="2"/>
  <c r="I49" i="2"/>
  <c r="H42" i="2"/>
  <c r="H56" i="2"/>
  <c r="B14" i="2"/>
  <c r="C14" i="2"/>
  <c r="D14" i="2"/>
  <c r="E14" i="2"/>
  <c r="F14" i="2"/>
  <c r="G14" i="2"/>
  <c r="I14" i="2" s="1"/>
  <c r="B28" i="2"/>
  <c r="C28" i="2"/>
  <c r="D28" i="2"/>
  <c r="E28" i="2"/>
  <c r="F28" i="2"/>
  <c r="G28" i="2"/>
  <c r="J30" i="2"/>
  <c r="I31" i="2"/>
  <c r="I32" i="2"/>
  <c r="J33" i="2"/>
  <c r="I34" i="2"/>
  <c r="J35" i="2"/>
  <c r="J36" i="2"/>
  <c r="I39" i="2"/>
  <c r="I40" i="2"/>
  <c r="I41" i="2"/>
  <c r="B42" i="2"/>
  <c r="C44" i="2"/>
  <c r="D44" i="2"/>
  <c r="E44" i="2"/>
  <c r="F44" i="2"/>
  <c r="G44" i="2"/>
  <c r="I44" i="2" s="1"/>
  <c r="C45" i="2"/>
  <c r="D45" i="2"/>
  <c r="E45" i="2"/>
  <c r="F45" i="2"/>
  <c r="G45" i="2"/>
  <c r="I45" i="2" s="1"/>
  <c r="C46" i="2"/>
  <c r="D46" i="2"/>
  <c r="E46" i="2"/>
  <c r="F46" i="2"/>
  <c r="G46" i="2"/>
  <c r="J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I50" i="2" s="1"/>
  <c r="C51" i="2"/>
  <c r="D51" i="2"/>
  <c r="E51" i="2"/>
  <c r="F51" i="2"/>
  <c r="G51" i="2"/>
  <c r="I51" i="2" s="1"/>
  <c r="C52" i="2"/>
  <c r="D52" i="2"/>
  <c r="E52" i="2"/>
  <c r="F52" i="2"/>
  <c r="G52" i="2"/>
  <c r="J52" i="2" s="1"/>
  <c r="C53" i="2"/>
  <c r="D53" i="2"/>
  <c r="E53" i="2"/>
  <c r="F53" i="2"/>
  <c r="G53" i="2"/>
  <c r="J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I55" i="2" s="1"/>
  <c r="J55" i="2" l="1"/>
  <c r="J32" i="2"/>
  <c r="I30" i="2"/>
  <c r="J38" i="2"/>
  <c r="I38" i="2"/>
  <c r="J44" i="2"/>
  <c r="I35" i="2"/>
  <c r="J40" i="2"/>
  <c r="J39" i="2"/>
  <c r="I33" i="2"/>
  <c r="I52" i="2"/>
  <c r="J41" i="2"/>
  <c r="I53" i="2"/>
  <c r="I28" i="2"/>
  <c r="I48" i="2"/>
  <c r="I36" i="2"/>
  <c r="J45" i="2"/>
  <c r="J47" i="2"/>
  <c r="I47" i="2"/>
  <c r="F56" i="2"/>
  <c r="I54" i="2"/>
  <c r="J51" i="2"/>
  <c r="J56" i="2"/>
  <c r="I46" i="2"/>
  <c r="J14" i="2"/>
  <c r="J50" i="2"/>
  <c r="C56" i="2"/>
  <c r="G42" i="2"/>
  <c r="C42" i="2"/>
  <c r="D42" i="2"/>
  <c r="D56" i="2"/>
  <c r="E42" i="2"/>
  <c r="E56" i="2"/>
  <c r="G56" i="2"/>
  <c r="F42" i="2"/>
  <c r="I42" i="2" l="1"/>
  <c r="J42" i="2"/>
  <c r="I56" i="2"/>
  <c r="F28" i="1"/>
  <c r="E10" i="1" l="1"/>
  <c r="G10" i="1" s="1"/>
  <c r="B10" i="1"/>
  <c r="F9" i="1"/>
  <c r="J10" i="1" l="1"/>
  <c r="K10" i="1"/>
  <c r="H10" i="1"/>
  <c r="D10" i="1"/>
  <c r="F10" i="1"/>
</calcChain>
</file>

<file path=xl/sharedStrings.xml><?xml version="1.0" encoding="utf-8"?>
<sst xmlns="http://schemas.openxmlformats.org/spreadsheetml/2006/main" count="157" uniqueCount="35">
  <si>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</si>
  <si>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</si>
  <si>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</si>
  <si>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</si>
  <si>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</si>
  <si>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</si>
  <si>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</si>
  <si>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</si>
  <si>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</si>
  <si>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</si>
  <si>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</si>
  <si>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</si>
  <si>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</si>
  <si>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</si>
  <si>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</si>
  <si>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</si>
  <si>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</si>
  <si>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</si>
  <si>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</si>
  <si>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</si>
  <si>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</si>
  <si>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</si>
  <si>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2024 vs 2025</t>
  </si>
  <si>
    <t>Target (+10%)</t>
  </si>
  <si>
    <t>2025 vs 2024</t>
  </si>
  <si>
    <t>Sep</t>
  </si>
  <si>
    <t>OTB vs Target</t>
  </si>
  <si>
    <t xml:space="preserve"> | Financial Year</t>
  </si>
  <si>
    <t>5 rooms until April 2025</t>
  </si>
  <si>
    <t>8 rooms</t>
  </si>
  <si>
    <t>2026 vs 2025</t>
  </si>
  <si>
    <t>8 Rooms</t>
  </si>
  <si>
    <t>OTB @ 31 Jul 2026</t>
  </si>
  <si>
    <t>Kunjani Villa's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</si>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</sst>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1" fillId="2" borderId="27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0" fontId="16" fillId="0" borderId="0" xfId="0" applyFont="1"/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9" fontId="11" fillId="6" borderId="1" xfId="1" applyFont="1" applyFill="1" applyBorder="1" applyAlignment="1">
      <alignment horizontal="center" vertical="center"/>
    </xf>
    <xf numFmtId="9" fontId="11" fillId="6" borderId="25" xfId="1" applyFont="1" applyFill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0" fontId="1" fillId="0" borderId="28" xfId="0" applyFont="1" applyBorder="1"/>
    <xf numFmtId="164" fontId="11" fillId="2" borderId="1" xfId="1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Kunjani Villas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0.15322580645161291</c:v>
                </c:pt>
                <c:pt idx="1">
                  <c:v>0.18951612903225806</c:v>
                </c:pt>
                <c:pt idx="2">
                  <c:v>3.3333333333333333E-2</c:v>
                </c:pt>
                <c:pt idx="3">
                  <c:v>0.21370967741935484</c:v>
                </c:pt>
                <c:pt idx="4">
                  <c:v>0.25</c:v>
                </c:pt>
                <c:pt idx="5">
                  <c:v>0.41129032258064518</c:v>
                </c:pt>
                <c:pt idx="6">
                  <c:v>0.49596774193548387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0.15322580645161291</c:v>
                </c:pt>
                <c:pt idx="1">
                  <c:v>9.2741935483870969E-2</c:v>
                </c:pt>
                <c:pt idx="2">
                  <c:v>2.0833333333333332E-2</c:v>
                </c:pt>
                <c:pt idx="3">
                  <c:v>0.15322580645161291</c:v>
                </c:pt>
                <c:pt idx="4">
                  <c:v>0.19166666666666668</c:v>
                </c:pt>
                <c:pt idx="5">
                  <c:v>0.38709677419354838</c:v>
                </c:pt>
                <c:pt idx="6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>
                  <c:v>0</c:v>
                </c:pt>
                <c:pt idx="1">
                  <c:v>9.6774193548387094E-2</c:v>
                </c:pt>
                <c:pt idx="2">
                  <c:v>1.2500000000000001E-2</c:v>
                </c:pt>
                <c:pt idx="3">
                  <c:v>6.0483870967741937E-2</c:v>
                </c:pt>
                <c:pt idx="4">
                  <c:v>5.833333333333332E-2</c:v>
                </c:pt>
                <c:pt idx="5">
                  <c:v>2.4193548387096808E-2</c:v>
                </c:pt>
                <c:pt idx="6">
                  <c:v>0.1411290322580645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0.27419354838709675</c:v>
                </c:pt>
                <c:pt idx="1">
                  <c:v>9.6774193548387094E-2</c:v>
                </c:pt>
                <c:pt idx="2">
                  <c:v>0.1125</c:v>
                </c:pt>
                <c:pt idx="3">
                  <c:v>0.66129032258064513</c:v>
                </c:pt>
                <c:pt idx="4">
                  <c:v>0.46666666666666667</c:v>
                </c:pt>
                <c:pt idx="5">
                  <c:v>0.58870967741935487</c:v>
                </c:pt>
                <c:pt idx="6">
                  <c:v>0.76209677419354838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-0.12096774193548385</c:v>
                </c:pt>
                <c:pt idx="1">
                  <c:v>9.2741935483870969E-2</c:v>
                </c:pt>
                <c:pt idx="2">
                  <c:v>-7.9166666666666663E-2</c:v>
                </c:pt>
                <c:pt idx="3">
                  <c:v>-0.44758064516129026</c:v>
                </c:pt>
                <c:pt idx="4">
                  <c:v>-0.21666666666666667</c:v>
                </c:pt>
                <c:pt idx="5">
                  <c:v>-0.17741935483870969</c:v>
                </c:pt>
                <c:pt idx="6">
                  <c:v>-0.2661290322580645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Kunjani</a:t>
            </a:r>
            <a:r>
              <a:rPr lang="en-GB" baseline="0"/>
              <a:t> Villas </a:t>
            </a:r>
            <a:r>
              <a:rPr lang="en-GB"/>
              <a:t>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3806.1802631578948</c:v>
                </c:pt>
                <c:pt idx="1">
                  <c:v>3598.2491489361705</c:v>
                </c:pt>
                <c:pt idx="2">
                  <c:v>4607.3662499999991</c:v>
                </c:pt>
                <c:pt idx="3">
                  <c:v>4894.5986792452841</c:v>
                </c:pt>
                <c:pt idx="4">
                  <c:v>6029.1908333333349</c:v>
                </c:pt>
                <c:pt idx="5">
                  <c:v>5853.2433333333347</c:v>
                </c:pt>
                <c:pt idx="6">
                  <c:v>6052.5795121951223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3806.1802631578948</c:v>
                </c:pt>
                <c:pt idx="1">
                  <c:v>4270.0573913043481</c:v>
                </c:pt>
                <c:pt idx="2">
                  <c:v>5125.116</c:v>
                </c:pt>
                <c:pt idx="3">
                  <c:v>4859.7902631578954</c:v>
                </c:pt>
                <c:pt idx="4">
                  <c:v>5831.21347826087</c:v>
                </c:pt>
                <c:pt idx="5">
                  <c:v>5490.1127083333331</c:v>
                </c:pt>
                <c:pt idx="6">
                  <c:v>4814.176818181817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0</c:v>
                </c:pt>
                <c:pt idx="1">
                  <c:v>-671.80824236817762</c:v>
                </c:pt>
                <c:pt idx="2">
                  <c:v>-517.74975000000086</c:v>
                </c:pt>
                <c:pt idx="3">
                  <c:v>34.80841608738865</c:v>
                </c:pt>
                <c:pt idx="4">
                  <c:v>197.97735507246489</c:v>
                </c:pt>
                <c:pt idx="5">
                  <c:v>363.1306250000016</c:v>
                </c:pt>
                <c:pt idx="6">
                  <c:v>1238.4026940133053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1049.4382352941175</c:v>
                </c:pt>
                <c:pt idx="1">
                  <c:v>2672.82125</c:v>
                </c:pt>
                <c:pt idx="2">
                  <c:v>2411.0833333333335</c:v>
                </c:pt>
                <c:pt idx="3">
                  <c:v>1708.5784146341466</c:v>
                </c:pt>
                <c:pt idx="4">
                  <c:v>4388.0930357142861</c:v>
                </c:pt>
                <c:pt idx="5">
                  <c:v>4624.7222602739721</c:v>
                </c:pt>
                <c:pt idx="6">
                  <c:v>4244.2434391534389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2756.7420278637774</c:v>
                </c:pt>
                <c:pt idx="1">
                  <c:v>925.42789893617055</c:v>
                </c:pt>
                <c:pt idx="2">
                  <c:v>2196.2829166666656</c:v>
                </c:pt>
                <c:pt idx="3">
                  <c:v>3186.0202646111375</c:v>
                </c:pt>
                <c:pt idx="4">
                  <c:v>1641.0977976190488</c:v>
                </c:pt>
                <c:pt idx="5">
                  <c:v>1228.5210730593626</c:v>
                </c:pt>
                <c:pt idx="6">
                  <c:v>1808.3360730416834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Kunjani</a:t>
            </a:r>
            <a:r>
              <a:rPr lang="en-GB" baseline="0"/>
              <a:t> Villas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144634.85</c:v>
                </c:pt>
                <c:pt idx="1">
                  <c:v>169117.71000000002</c:v>
                </c:pt>
                <c:pt idx="2">
                  <c:v>36858.929999999993</c:v>
                </c:pt>
                <c:pt idx="3">
                  <c:v>259413.73000000007</c:v>
                </c:pt>
                <c:pt idx="4">
                  <c:v>361751.45000000007</c:v>
                </c:pt>
                <c:pt idx="5">
                  <c:v>597030.82000000018</c:v>
                </c:pt>
                <c:pt idx="6">
                  <c:v>744467.28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D-294F-8B55-D19CFCA8F92D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144634.85</c:v>
                </c:pt>
                <c:pt idx="1">
                  <c:v>98211.32</c:v>
                </c:pt>
                <c:pt idx="2">
                  <c:v>25625.58</c:v>
                </c:pt>
                <c:pt idx="3">
                  <c:v>184672.03000000003</c:v>
                </c:pt>
                <c:pt idx="4">
                  <c:v>268235.82</c:v>
                </c:pt>
                <c:pt idx="5">
                  <c:v>527050.81999999995</c:v>
                </c:pt>
                <c:pt idx="6">
                  <c:v>423647.55999999988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D-294F-8B55-D19CFCA8F92D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0</c:v>
                </c:pt>
                <c:pt idx="1">
                  <c:v>70906.390000000014</c:v>
                </c:pt>
                <c:pt idx="2">
                  <c:v>11233.349999999991</c:v>
                </c:pt>
                <c:pt idx="3">
                  <c:v>74741.700000000041</c:v>
                </c:pt>
                <c:pt idx="4">
                  <c:v>93515.630000000063</c:v>
                </c:pt>
                <c:pt idx="5">
                  <c:v>69980.000000000233</c:v>
                </c:pt>
                <c:pt idx="6">
                  <c:v>320819.72000000015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D-294F-8B55-D19CFCA8F92D}"/>
            </c:ext>
          </c:extLst>
        </c:ser>
        <c:ser>
          <c:idx val="4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73273.050000000017</c:v>
                </c:pt>
                <c:pt idx="1">
                  <c:v>104970.00000000003</c:v>
                </c:pt>
                <c:pt idx="2">
                  <c:v>-28240.320000000007</c:v>
                </c:pt>
                <c:pt idx="3">
                  <c:v>-20793.129999999976</c:v>
                </c:pt>
                <c:pt idx="4">
                  <c:v>-129714.96999999997</c:v>
                </c:pt>
                <c:pt idx="5">
                  <c:v>-78178.629999999772</c:v>
                </c:pt>
                <c:pt idx="6">
                  <c:v>-57694.729999999981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BD-294F-8B55-D19CFCA8F92D}"/>
            </c:ext>
          </c:extLst>
        </c:ser>
        <c:ser>
          <c:idx val="6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66136.87000000001</c:v>
                </c:pt>
                <c:pt idx="1">
                  <c:v>98555.229000000021</c:v>
                </c:pt>
                <c:pt idx="2">
                  <c:v>-34750.24500000001</c:v>
                </c:pt>
                <c:pt idx="3">
                  <c:v>-48813.816000000021</c:v>
                </c:pt>
                <c:pt idx="4">
                  <c:v>-178861.61199999996</c:v>
                </c:pt>
                <c:pt idx="5">
                  <c:v>-145699.57499999984</c:v>
                </c:pt>
                <c:pt idx="6">
                  <c:v>-137910.9310000001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BD-294F-8B55-D19CFCA8F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050656"/>
        <c:axId val="1714979488"/>
      </c:barChart>
      <c:catAx>
        <c:axId val="19030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979488"/>
        <c:crosses val="autoZero"/>
        <c:auto val="1"/>
        <c:lblAlgn val="ctr"/>
        <c:lblOffset val="100"/>
        <c:noMultiLvlLbl val="0"/>
      </c:catAx>
      <c:valAx>
        <c:axId val="17149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5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622299</xdr:colOff>
      <xdr:row>29</xdr:row>
      <xdr:rowOff>69850</xdr:rowOff>
    </xdr:from>
    <xdr:to>
      <xdr:col>12</xdr:col>
      <xdr:colOff>767820</xdr:colOff>
      <xdr:row>45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850899</xdr:colOff>
      <xdr:row>29</xdr:row>
      <xdr:rowOff>69850</xdr:rowOff>
    </xdr:from>
    <xdr:to>
      <xdr:col>19</xdr:col>
      <xdr:colOff>74612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88636</xdr:colOff>
      <xdr:row>29</xdr:row>
      <xdr:rowOff>83607</xdr:rowOff>
    </xdr:from>
    <xdr:to>
      <xdr:col>6</xdr:col>
      <xdr:colOff>500857</xdr:colOff>
      <xdr:row>45</xdr:row>
      <xdr:rowOff>109007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98C05-570E-A67D-BF12-B65187DB6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29"/>
  <sheetViews>
    <sheetView tabSelected="1" zoomScaleNormal="100" workbookViewId="0">
      <selection activeCell="B2" sqref="B2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5" width="10.6640625" style="7" customWidth="1"/>
    <col min="6" max="8" width="10.83203125" style="7"/>
    <col min="9" max="9" width="9.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2" ht="28" customHeight="1" thickBot="1" x14ac:dyDescent="0.25">
      <c r="A1" s="116" t="s">
        <v>33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N1" s="66"/>
      <c r="O1" s="66"/>
      <c r="P1" s="66"/>
      <c r="Q1" s="66"/>
      <c r="R1" s="66"/>
      <c r="S1" s="66"/>
    </row>
    <row r="2" spans="1:22" s="5" customFormat="1" ht="32" customHeight="1" x14ac:dyDescent="0.2">
      <c r="A2" s="55"/>
      <c r="B2" s="55" t="s">
        <v>34</v>
      </c>
      <c r="C2" s="55" t="s">
        <v>32</v>
      </c>
      <c r="D2" s="55" t="s">
        <v>0</v>
      </c>
      <c r="E2" s="56" t="s">
        <v>1</v>
      </c>
      <c r="F2" s="57" t="s">
        <v>7</v>
      </c>
      <c r="G2" s="101" t="s">
        <v>23</v>
      </c>
      <c r="H2" s="102" t="s">
        <v>26</v>
      </c>
      <c r="I2" s="4"/>
      <c r="J2" s="57" t="s">
        <v>7</v>
      </c>
      <c r="K2" s="102" t="s">
        <v>26</v>
      </c>
      <c r="L2" s="4"/>
      <c r="M2" s="4"/>
    </row>
    <row r="3" spans="1:22" s="3" customFormat="1" ht="18" customHeight="1" x14ac:dyDescent="0.2">
      <c r="A3" s="50" t="s">
        <v>13</v>
      </c>
      <c r="B3" s="53">
        <v>144634.85</v>
      </c>
      <c r="C3" s="53">
        <v>144634.85</v>
      </c>
      <c r="D3" s="53">
        <f t="shared" ref="D3:D4" si="0">B3-C3</f>
        <v>0</v>
      </c>
      <c r="E3" s="59">
        <v>71361.799999999988</v>
      </c>
      <c r="F3" s="69">
        <f t="shared" ref="F3:F8" si="1">B3-E3</f>
        <v>73273.050000000017</v>
      </c>
      <c r="G3" s="74">
        <f t="shared" ref="G3:G8" si="2">E3*1.1</f>
        <v>78497.98</v>
      </c>
      <c r="H3" s="74">
        <f t="shared" ref="H3:H8" si="3">B3-G3</f>
        <v>66136.87000000001</v>
      </c>
      <c r="I3" s="6"/>
      <c r="J3" s="95">
        <f t="shared" ref="J3:J8" si="4">(B3-E3)/E3</f>
        <v>1.0267825363149476</v>
      </c>
      <c r="K3" s="71">
        <f t="shared" ref="K3:K8" si="5">(B3-G3)/G3</f>
        <v>0.84252957846813403</v>
      </c>
      <c r="L3" s="2"/>
      <c r="M3" s="2"/>
      <c r="S3" s="66"/>
    </row>
    <row r="4" spans="1:22" s="3" customFormat="1" ht="18" customHeight="1" x14ac:dyDescent="0.2">
      <c r="A4" s="50" t="s">
        <v>2</v>
      </c>
      <c r="B4" s="53">
        <v>169117.71000000002</v>
      </c>
      <c r="C4" s="53">
        <v>98211.32</v>
      </c>
      <c r="D4" s="53">
        <f t="shared" si="0"/>
        <v>70906.390000000014</v>
      </c>
      <c r="E4" s="59">
        <v>64147.71</v>
      </c>
      <c r="F4" s="69">
        <f t="shared" si="1"/>
        <v>104970.00000000003</v>
      </c>
      <c r="G4" s="74">
        <f t="shared" si="2"/>
        <v>70562.481</v>
      </c>
      <c r="H4" s="74">
        <f t="shared" si="3"/>
        <v>98555.229000000021</v>
      </c>
      <c r="I4" s="6"/>
      <c r="J4" s="95">
        <f t="shared" si="4"/>
        <v>1.636379537165084</v>
      </c>
      <c r="K4" s="71">
        <f t="shared" si="5"/>
        <v>1.3967086701500762</v>
      </c>
      <c r="L4" s="2"/>
      <c r="M4" s="2"/>
      <c r="S4" s="66"/>
    </row>
    <row r="5" spans="1:22" s="3" customFormat="1" ht="18" customHeight="1" x14ac:dyDescent="0.2">
      <c r="A5" s="50" t="s">
        <v>3</v>
      </c>
      <c r="B5" s="53">
        <v>36858.929999999993</v>
      </c>
      <c r="C5" s="53">
        <v>25625.58</v>
      </c>
      <c r="D5" s="53">
        <f t="shared" ref="D5" si="6">B5-C5</f>
        <v>11233.349999999991</v>
      </c>
      <c r="E5" s="59">
        <v>65099.25</v>
      </c>
      <c r="F5" s="69">
        <f t="shared" si="1"/>
        <v>-28240.320000000007</v>
      </c>
      <c r="G5" s="74">
        <f t="shared" si="2"/>
        <v>71609.175000000003</v>
      </c>
      <c r="H5" s="74">
        <f t="shared" si="3"/>
        <v>-34750.24500000001</v>
      </c>
      <c r="I5" s="6"/>
      <c r="J5" s="95">
        <f t="shared" si="4"/>
        <v>-0.43380407608382598</v>
      </c>
      <c r="K5" s="71">
        <f t="shared" si="5"/>
        <v>-0.48527643280347815</v>
      </c>
      <c r="L5" s="2"/>
      <c r="M5" s="2"/>
      <c r="S5" s="66"/>
    </row>
    <row r="6" spans="1:22" s="3" customFormat="1" ht="18" customHeight="1" x14ac:dyDescent="0.2">
      <c r="A6" s="50" t="s">
        <v>12</v>
      </c>
      <c r="B6" s="53">
        <v>259413.73000000007</v>
      </c>
      <c r="C6" s="53">
        <v>184672.03000000003</v>
      </c>
      <c r="D6" s="53">
        <f>B6-C6</f>
        <v>74741.700000000041</v>
      </c>
      <c r="E6" s="59">
        <v>280206.86000000004</v>
      </c>
      <c r="F6" s="69">
        <f t="shared" si="1"/>
        <v>-20793.129999999976</v>
      </c>
      <c r="G6" s="74">
        <f t="shared" si="2"/>
        <v>308227.54600000009</v>
      </c>
      <c r="H6" s="74">
        <f t="shared" si="3"/>
        <v>-48813.816000000021</v>
      </c>
      <c r="I6" s="6"/>
      <c r="J6" s="95">
        <f t="shared" si="4"/>
        <v>-7.4206355975724406E-2</v>
      </c>
      <c r="K6" s="71">
        <f t="shared" si="5"/>
        <v>-0.15836941452338593</v>
      </c>
      <c r="L6" s="2"/>
      <c r="M6" s="2"/>
      <c r="S6" s="66"/>
    </row>
    <row r="7" spans="1:22" s="3" customFormat="1" ht="18" customHeight="1" x14ac:dyDescent="0.2">
      <c r="A7" s="50" t="s">
        <v>11</v>
      </c>
      <c r="B7" s="53">
        <v>361751.45000000007</v>
      </c>
      <c r="C7" s="53">
        <v>268235.82</v>
      </c>
      <c r="D7" s="53">
        <f>B7-C7</f>
        <v>93515.630000000063</v>
      </c>
      <c r="E7" s="59">
        <v>491466.42000000004</v>
      </c>
      <c r="F7" s="69">
        <f t="shared" si="1"/>
        <v>-129714.96999999997</v>
      </c>
      <c r="G7" s="74">
        <f t="shared" si="2"/>
        <v>540613.06200000003</v>
      </c>
      <c r="H7" s="74">
        <f t="shared" si="3"/>
        <v>-178861.61199999996</v>
      </c>
      <c r="I7" s="6"/>
      <c r="J7" s="95">
        <f t="shared" si="4"/>
        <v>-0.2639345532498435</v>
      </c>
      <c r="K7" s="71">
        <f t="shared" si="5"/>
        <v>-0.33084959386349411</v>
      </c>
      <c r="L7" s="2"/>
      <c r="M7" s="2"/>
      <c r="S7" s="66"/>
    </row>
    <row r="8" spans="1:22" s="3" customFormat="1" ht="18" customHeight="1" x14ac:dyDescent="0.2">
      <c r="A8" s="50" t="s">
        <v>10</v>
      </c>
      <c r="B8" s="53">
        <v>597030.82000000018</v>
      </c>
      <c r="C8" s="53">
        <v>527050.81999999995</v>
      </c>
      <c r="D8" s="53">
        <f>B8-C8</f>
        <v>69980.000000000233</v>
      </c>
      <c r="E8" s="59">
        <v>675209.45</v>
      </c>
      <c r="F8" s="69">
        <f t="shared" si="1"/>
        <v>-78178.629999999772</v>
      </c>
      <c r="G8" s="74">
        <f t="shared" si="2"/>
        <v>742730.39500000002</v>
      </c>
      <c r="H8" s="74">
        <f t="shared" si="3"/>
        <v>-145699.57499999984</v>
      </c>
      <c r="I8" s="6"/>
      <c r="J8" s="95">
        <f t="shared" si="4"/>
        <v>-0.11578426516394251</v>
      </c>
      <c r="K8" s="71">
        <f t="shared" si="5"/>
        <v>-0.19616751378540234</v>
      </c>
      <c r="L8" s="2"/>
      <c r="M8" s="2"/>
      <c r="S8" s="66"/>
    </row>
    <row r="9" spans="1:22" s="3" customFormat="1" ht="18" customHeight="1" x14ac:dyDescent="0.2">
      <c r="A9" s="50">
        <v>46388</v>
      </c>
      <c r="B9" s="53">
        <v>744467.28</v>
      </c>
      <c r="C9" s="53">
        <v>423647.55999999988</v>
      </c>
      <c r="D9" s="53">
        <f>B9-C9</f>
        <v>320819.72000000015</v>
      </c>
      <c r="E9" s="59">
        <v>802162.01</v>
      </c>
      <c r="F9" s="69">
        <f t="shared" ref="F9" si="7">B9-E9</f>
        <v>-57694.729999999981</v>
      </c>
      <c r="G9" s="103">
        <f t="shared" ref="G9:G10" si="8">E9*1.1</f>
        <v>882378.21100000013</v>
      </c>
      <c r="H9" s="103">
        <f t="shared" ref="H9:H10" si="9">B9-G9</f>
        <v>-137910.9310000001</v>
      </c>
      <c r="I9" s="6"/>
      <c r="J9" s="96">
        <f t="shared" ref="J9" si="10">(B9-E9)/E9</f>
        <v>-7.1924036891250903E-2</v>
      </c>
      <c r="K9" s="106">
        <f t="shared" ref="K9:K10" si="11">(B9-G9)/G9</f>
        <v>-0.15629457899204638</v>
      </c>
      <c r="L9" s="2"/>
      <c r="M9" s="2"/>
      <c r="S9" s="66"/>
    </row>
    <row r="10" spans="1:22" s="3" customFormat="1" ht="18" customHeight="1" thickBot="1" x14ac:dyDescent="0.25">
      <c r="A10" s="52" t="s">
        <v>8</v>
      </c>
      <c r="B10" s="61">
        <f>SUM(B3:B9)</f>
        <v>2313274.7700000005</v>
      </c>
      <c r="C10" s="61">
        <f>SUM(C3:C9)</f>
        <v>1672077.9799999997</v>
      </c>
      <c r="D10" s="61">
        <f>SUM(D3:D9)</f>
        <v>641196.7900000005</v>
      </c>
      <c r="E10" s="62">
        <f>SUM(E3:E9)</f>
        <v>2449653.5</v>
      </c>
      <c r="F10" s="75">
        <f>B10-E10</f>
        <v>-136378.72999999952</v>
      </c>
      <c r="G10" s="104">
        <f t="shared" si="8"/>
        <v>2694618.85</v>
      </c>
      <c r="H10" s="105">
        <f t="shared" si="9"/>
        <v>-381344.07999999961</v>
      </c>
      <c r="I10" s="6"/>
      <c r="J10" s="115">
        <f>(B10-E10)/E10</f>
        <v>-5.5672661460079771E-2</v>
      </c>
      <c r="K10" s="107">
        <f t="shared" si="11"/>
        <v>-0.14152060132734529</v>
      </c>
      <c r="L10" s="2"/>
      <c r="M10" s="2"/>
      <c r="N10" s="66"/>
      <c r="O10" s="66"/>
      <c r="P10" s="66"/>
      <c r="Q10" s="66"/>
      <c r="R10" s="66"/>
      <c r="S10" s="66"/>
    </row>
    <row r="11" spans="1:22" ht="25" customHeight="1" thickBot="1" x14ac:dyDescent="0.25">
      <c r="A11" s="119" t="s">
        <v>4</v>
      </c>
      <c r="B11" s="120"/>
      <c r="C11" s="120"/>
      <c r="D11" s="120"/>
      <c r="E11" s="120"/>
      <c r="F11" s="121"/>
      <c r="G11" s="119" t="s">
        <v>6</v>
      </c>
      <c r="H11" s="120"/>
      <c r="I11" s="120"/>
      <c r="J11" s="120"/>
      <c r="K11" s="121"/>
      <c r="O11" s="1"/>
      <c r="P11" s="66"/>
      <c r="Q11" s="66"/>
      <c r="R11" s="66"/>
      <c r="S11" s="66"/>
      <c r="T11" s="3"/>
      <c r="U11" s="3"/>
      <c r="V11" s="3"/>
    </row>
    <row r="12" spans="1:22" s="67" customFormat="1" ht="32" customHeight="1" x14ac:dyDescent="0.2">
      <c r="A12" s="54"/>
      <c r="B12" s="55" t="s">
        <v>34</v>
      </c>
      <c r="C12" s="55" t="s">
        <v>32</v>
      </c>
      <c r="D12" s="55" t="s">
        <v>0</v>
      </c>
      <c r="E12" s="56" t="s">
        <v>1</v>
      </c>
      <c r="F12" s="57" t="s">
        <v>7</v>
      </c>
      <c r="G12" s="55" t="s">
        <v>34</v>
      </c>
      <c r="H12" s="55" t="s">
        <v>32</v>
      </c>
      <c r="I12" s="55" t="s">
        <v>0</v>
      </c>
      <c r="J12" s="56" t="s">
        <v>1</v>
      </c>
      <c r="K12" s="57" t="s">
        <v>7</v>
      </c>
      <c r="L12" s="66"/>
      <c r="M12" s="66"/>
      <c r="N12" s="66"/>
      <c r="O12" s="66"/>
      <c r="P12" s="66"/>
      <c r="Q12" s="66"/>
      <c r="R12" s="66"/>
      <c r="S12" s="66"/>
      <c r="T12" s="3"/>
      <c r="U12" s="3"/>
      <c r="V12" s="3"/>
    </row>
    <row r="13" spans="1:22" s="67" customFormat="1" ht="18" customHeight="1" x14ac:dyDescent="0.2">
      <c r="A13" s="50" t="s">
        <v>13</v>
      </c>
      <c r="B13" s="64">
        <v>38</v>
      </c>
      <c r="C13" s="64">
        <v>38</v>
      </c>
      <c r="D13" s="53">
        <f t="shared" ref="D13:D14" si="12">B13-C13</f>
        <v>0</v>
      </c>
      <c r="E13" s="65">
        <v>68</v>
      </c>
      <c r="F13" s="76">
        <f t="shared" ref="F13:F18" si="13">B13-E13</f>
        <v>-30</v>
      </c>
      <c r="G13" s="109">
        <f t="shared" ref="G13:H14" si="14">B13/248</f>
        <v>0.15322580645161291</v>
      </c>
      <c r="H13" s="109">
        <f t="shared" si="14"/>
        <v>0.15322580645161291</v>
      </c>
      <c r="I13" s="80">
        <f t="shared" ref="I13" si="15">G13-H13</f>
        <v>0</v>
      </c>
      <c r="J13" s="110">
        <f>E13/248</f>
        <v>0.27419354838709675</v>
      </c>
      <c r="K13" s="111">
        <f t="shared" ref="K13:K18" si="16">G13-J13</f>
        <v>-0.12096774193548385</v>
      </c>
      <c r="L13" s="66"/>
      <c r="M13" s="66" t="s">
        <v>31</v>
      </c>
      <c r="O13" s="66"/>
      <c r="P13" s="66"/>
      <c r="Q13" s="66"/>
      <c r="R13" s="66"/>
      <c r="S13" s="66"/>
      <c r="T13" s="3"/>
      <c r="U13" s="3"/>
      <c r="V13" s="3"/>
    </row>
    <row r="14" spans="1:22" s="67" customFormat="1" ht="18" customHeight="1" x14ac:dyDescent="0.2">
      <c r="A14" s="50" t="s">
        <v>2</v>
      </c>
      <c r="B14" s="64">
        <v>47</v>
      </c>
      <c r="C14" s="64">
        <v>23</v>
      </c>
      <c r="D14" s="53">
        <f t="shared" si="12"/>
        <v>24</v>
      </c>
      <c r="E14" s="65">
        <v>24</v>
      </c>
      <c r="F14" s="76">
        <f t="shared" si="13"/>
        <v>23</v>
      </c>
      <c r="G14" s="109">
        <f t="shared" si="14"/>
        <v>0.18951612903225806</v>
      </c>
      <c r="H14" s="109">
        <f t="shared" si="14"/>
        <v>9.2741935483870969E-2</v>
      </c>
      <c r="I14" s="80">
        <f t="shared" ref="I14:I19" si="17">G14-H14</f>
        <v>9.6774193548387094E-2</v>
      </c>
      <c r="J14" s="110">
        <f>E14/248</f>
        <v>9.6774193548387094E-2</v>
      </c>
      <c r="K14" s="111">
        <f t="shared" si="16"/>
        <v>9.2741935483870969E-2</v>
      </c>
      <c r="L14" s="66"/>
      <c r="M14" s="66">
        <v>28</v>
      </c>
      <c r="N14" s="66">
        <v>224</v>
      </c>
      <c r="O14" s="66"/>
      <c r="P14" s="66"/>
      <c r="Q14" s="66"/>
      <c r="R14" s="66"/>
      <c r="S14" s="66"/>
      <c r="T14" s="3"/>
      <c r="U14" s="3"/>
      <c r="V14" s="3"/>
    </row>
    <row r="15" spans="1:22" s="67" customFormat="1" ht="18" customHeight="1" x14ac:dyDescent="0.2">
      <c r="A15" s="50" t="s">
        <v>3</v>
      </c>
      <c r="B15" s="64">
        <v>8</v>
      </c>
      <c r="C15" s="64">
        <v>5</v>
      </c>
      <c r="D15" s="53">
        <f t="shared" ref="D15" si="18">B15-C15</f>
        <v>3</v>
      </c>
      <c r="E15" s="65">
        <v>27</v>
      </c>
      <c r="F15" s="76">
        <f t="shared" si="13"/>
        <v>-19</v>
      </c>
      <c r="G15" s="109">
        <f>B15/240</f>
        <v>3.3333333333333333E-2</v>
      </c>
      <c r="H15" s="109">
        <f>C15/240</f>
        <v>2.0833333333333332E-2</v>
      </c>
      <c r="I15" s="80">
        <f t="shared" si="17"/>
        <v>1.2500000000000001E-2</v>
      </c>
      <c r="J15" s="110">
        <f>E15/240</f>
        <v>0.1125</v>
      </c>
      <c r="K15" s="111">
        <f t="shared" si="16"/>
        <v>-7.9166666666666663E-2</v>
      </c>
      <c r="L15" s="66"/>
      <c r="M15" s="66">
        <v>29</v>
      </c>
      <c r="N15" s="66">
        <v>232</v>
      </c>
      <c r="O15" s="66"/>
      <c r="P15" s="66"/>
      <c r="Q15" s="66"/>
      <c r="R15" s="66"/>
      <c r="S15" s="66"/>
      <c r="T15" s="3"/>
      <c r="U15" s="3"/>
      <c r="V15" s="3"/>
    </row>
    <row r="16" spans="1:22" s="67" customFormat="1" ht="18" customHeight="1" x14ac:dyDescent="0.2">
      <c r="A16" s="50" t="s">
        <v>12</v>
      </c>
      <c r="B16" s="64">
        <v>53</v>
      </c>
      <c r="C16" s="64">
        <v>38</v>
      </c>
      <c r="D16" s="53">
        <f>B16-C16</f>
        <v>15</v>
      </c>
      <c r="E16" s="65">
        <v>164</v>
      </c>
      <c r="F16" s="76">
        <f t="shared" si="13"/>
        <v>-111</v>
      </c>
      <c r="G16" s="109">
        <f t="shared" ref="G16" si="19">B16/248</f>
        <v>0.21370967741935484</v>
      </c>
      <c r="H16" s="109">
        <f t="shared" ref="H16" si="20">C16/248</f>
        <v>0.15322580645161291</v>
      </c>
      <c r="I16" s="80">
        <f t="shared" si="17"/>
        <v>6.0483870967741937E-2</v>
      </c>
      <c r="J16" s="110">
        <f>E16/248</f>
        <v>0.66129032258064513</v>
      </c>
      <c r="K16" s="111">
        <f t="shared" si="16"/>
        <v>-0.44758064516129026</v>
      </c>
      <c r="L16" s="66"/>
      <c r="M16" s="66">
        <v>30</v>
      </c>
      <c r="N16" s="66">
        <v>240</v>
      </c>
      <c r="O16" s="66"/>
      <c r="P16" s="66"/>
      <c r="Q16" s="66"/>
      <c r="R16" s="66"/>
      <c r="S16" s="66"/>
      <c r="T16" s="3"/>
      <c r="U16" s="3"/>
      <c r="V16" s="3"/>
    </row>
    <row r="17" spans="1:22" s="67" customFormat="1" ht="18" customHeight="1" x14ac:dyDescent="0.2">
      <c r="A17" s="50" t="s">
        <v>11</v>
      </c>
      <c r="B17" s="64">
        <v>60</v>
      </c>
      <c r="C17" s="64">
        <v>46</v>
      </c>
      <c r="D17" s="53">
        <f>B17-C17</f>
        <v>14</v>
      </c>
      <c r="E17" s="65">
        <v>112</v>
      </c>
      <c r="F17" s="76">
        <f t="shared" si="13"/>
        <v>-52</v>
      </c>
      <c r="G17" s="109">
        <f>B17/240</f>
        <v>0.25</v>
      </c>
      <c r="H17" s="109">
        <f>C17/240</f>
        <v>0.19166666666666668</v>
      </c>
      <c r="I17" s="80">
        <f t="shared" si="17"/>
        <v>5.833333333333332E-2</v>
      </c>
      <c r="J17" s="110">
        <f>E17/240</f>
        <v>0.46666666666666667</v>
      </c>
      <c r="K17" s="111">
        <f t="shared" si="16"/>
        <v>-0.21666666666666667</v>
      </c>
      <c r="L17" s="66"/>
      <c r="M17" s="66">
        <v>31</v>
      </c>
      <c r="N17" s="66">
        <v>248</v>
      </c>
      <c r="O17" s="66"/>
      <c r="P17" s="66"/>
      <c r="Q17" s="66"/>
      <c r="R17" s="66"/>
      <c r="S17" s="66"/>
      <c r="T17" s="3"/>
      <c r="U17" s="3"/>
      <c r="V17" s="3"/>
    </row>
    <row r="18" spans="1:22" s="67" customFormat="1" ht="18" customHeight="1" x14ac:dyDescent="0.2">
      <c r="A18" s="50" t="s">
        <v>10</v>
      </c>
      <c r="B18" s="64">
        <v>102</v>
      </c>
      <c r="C18" s="64">
        <v>96</v>
      </c>
      <c r="D18" s="53">
        <f>B18-C18</f>
        <v>6</v>
      </c>
      <c r="E18" s="65">
        <v>146</v>
      </c>
      <c r="F18" s="76">
        <f t="shared" si="13"/>
        <v>-44</v>
      </c>
      <c r="G18" s="109">
        <f>B18/248</f>
        <v>0.41129032258064518</v>
      </c>
      <c r="H18" s="109">
        <f>C18/248</f>
        <v>0.38709677419354838</v>
      </c>
      <c r="I18" s="80">
        <f t="shared" si="17"/>
        <v>2.4193548387096808E-2</v>
      </c>
      <c r="J18" s="110">
        <f>E18/248</f>
        <v>0.58870967741935487</v>
      </c>
      <c r="K18" s="111">
        <f t="shared" si="16"/>
        <v>-0.17741935483870969</v>
      </c>
      <c r="L18" s="66"/>
      <c r="M18" s="66"/>
      <c r="N18" s="66"/>
      <c r="O18" s="66"/>
      <c r="P18" s="66"/>
      <c r="Q18" s="66"/>
      <c r="R18" s="66"/>
      <c r="S18" s="66"/>
      <c r="T18" s="3"/>
      <c r="U18" s="3"/>
      <c r="V18" s="3"/>
    </row>
    <row r="19" spans="1:22" s="67" customFormat="1" ht="18" customHeight="1" thickBot="1" x14ac:dyDescent="0.25">
      <c r="A19" s="50">
        <v>46388</v>
      </c>
      <c r="B19" s="64">
        <v>123</v>
      </c>
      <c r="C19" s="64">
        <v>88</v>
      </c>
      <c r="D19" s="53">
        <f>B19-C19</f>
        <v>35</v>
      </c>
      <c r="E19" s="65">
        <v>189</v>
      </c>
      <c r="F19" s="76">
        <f t="shared" ref="F19" si="21">B19-E19</f>
        <v>-66</v>
      </c>
      <c r="G19" s="109">
        <f>B19/248</f>
        <v>0.49596774193548387</v>
      </c>
      <c r="H19" s="109">
        <f>C19/248</f>
        <v>0.35483870967741937</v>
      </c>
      <c r="I19" s="79">
        <f t="shared" si="17"/>
        <v>0.1411290322580645</v>
      </c>
      <c r="J19" s="112">
        <f>E19/248</f>
        <v>0.76209677419354838</v>
      </c>
      <c r="K19" s="113">
        <f t="shared" ref="K19" si="22">G19-J19</f>
        <v>-0.2661290322580645</v>
      </c>
      <c r="L19" s="66"/>
      <c r="M19" s="66"/>
      <c r="N19" s="66"/>
      <c r="O19" s="66"/>
      <c r="P19" s="66"/>
      <c r="Q19" s="66"/>
      <c r="R19" s="66"/>
      <c r="S19" s="66"/>
      <c r="T19" s="3"/>
      <c r="U19" s="3"/>
      <c r="V19" s="3"/>
    </row>
    <row r="20" spans="1:22" ht="25" customHeight="1" thickBot="1" x14ac:dyDescent="0.25">
      <c r="A20" s="119" t="s">
        <v>5</v>
      </c>
      <c r="B20" s="120"/>
      <c r="C20" s="120"/>
      <c r="D20" s="120"/>
      <c r="E20" s="120"/>
      <c r="F20" s="120"/>
      <c r="G20" s="121"/>
      <c r="H20" s="114"/>
      <c r="I20" s="1"/>
      <c r="J20"/>
      <c r="K20"/>
      <c r="L20"/>
      <c r="M20"/>
      <c r="N20"/>
      <c r="P20" s="66"/>
      <c r="Q20" s="66"/>
      <c r="R20" s="66"/>
      <c r="S20" s="66"/>
      <c r="T20" s="3"/>
      <c r="U20" s="3"/>
      <c r="V20" s="3"/>
    </row>
    <row r="21" spans="1:22" s="67" customFormat="1" ht="32" customHeight="1" x14ac:dyDescent="0.2">
      <c r="A21" s="55"/>
      <c r="B21" s="55" t="s">
        <v>34</v>
      </c>
      <c r="C21" s="55" t="s">
        <v>32</v>
      </c>
      <c r="D21" s="55" t="s">
        <v>0</v>
      </c>
      <c r="E21" s="57" t="s">
        <v>1</v>
      </c>
      <c r="F21" s="122" t="s">
        <v>7</v>
      </c>
      <c r="G21" s="123"/>
      <c r="H21" s="66"/>
      <c r="I21" s="66"/>
      <c r="P21" s="66"/>
      <c r="Q21"/>
      <c r="R21"/>
      <c r="S21"/>
      <c r="T21"/>
      <c r="U21"/>
      <c r="V21"/>
    </row>
    <row r="22" spans="1:22" s="67" customFormat="1" ht="18" customHeight="1" x14ac:dyDescent="0.2">
      <c r="A22" s="50" t="s">
        <v>13</v>
      </c>
      <c r="B22" s="53">
        <f t="shared" ref="B22:B27" si="23">B3/B13</f>
        <v>3806.1802631578948</v>
      </c>
      <c r="C22" s="53">
        <f t="shared" ref="C22" si="24">C3/C13</f>
        <v>3806.1802631578948</v>
      </c>
      <c r="D22" s="53">
        <f t="shared" ref="D22:D23" si="25">B22-C22</f>
        <v>0</v>
      </c>
      <c r="E22" s="69">
        <f t="shared" ref="E22:E28" si="26">E3/E13</f>
        <v>1049.4382352941175</v>
      </c>
      <c r="F22" s="69">
        <f t="shared" ref="F22:F27" si="27">B22-E22</f>
        <v>2756.7420278637774</v>
      </c>
      <c r="G22" s="95">
        <f t="shared" ref="G22:G28" si="28">(B22-E22)/E22</f>
        <v>2.6268740123530643</v>
      </c>
      <c r="H22" s="100"/>
      <c r="I22" s="66"/>
      <c r="P22" s="66"/>
    </row>
    <row r="23" spans="1:22" s="67" customFormat="1" ht="18" customHeight="1" x14ac:dyDescent="0.2">
      <c r="A23" s="50" t="s">
        <v>2</v>
      </c>
      <c r="B23" s="53">
        <f t="shared" si="23"/>
        <v>3598.2491489361705</v>
      </c>
      <c r="C23" s="53">
        <f t="shared" ref="C23" si="29">C4/C14</f>
        <v>4270.0573913043481</v>
      </c>
      <c r="D23" s="53">
        <f t="shared" si="25"/>
        <v>-671.80824236817762</v>
      </c>
      <c r="E23" s="69">
        <f t="shared" si="26"/>
        <v>2672.82125</v>
      </c>
      <c r="F23" s="69">
        <f t="shared" si="27"/>
        <v>925.42789893617055</v>
      </c>
      <c r="G23" s="95">
        <f t="shared" ref="G23:G27" si="30">(B23-E23)/E23</f>
        <v>0.34623635940344705</v>
      </c>
      <c r="H23" s="100"/>
      <c r="I23" s="66"/>
      <c r="P23" s="66"/>
    </row>
    <row r="24" spans="1:22" s="67" customFormat="1" ht="18" customHeight="1" x14ac:dyDescent="0.2">
      <c r="A24" s="50" t="s">
        <v>3</v>
      </c>
      <c r="B24" s="53">
        <f t="shared" si="23"/>
        <v>4607.3662499999991</v>
      </c>
      <c r="C24" s="53">
        <f t="shared" ref="C24" si="31">C5/C15</f>
        <v>5125.116</v>
      </c>
      <c r="D24" s="53">
        <f t="shared" ref="D24" si="32">B24-C24</f>
        <v>-517.74975000000086</v>
      </c>
      <c r="E24" s="69">
        <f t="shared" si="26"/>
        <v>2411.0833333333335</v>
      </c>
      <c r="F24" s="69">
        <f t="shared" si="27"/>
        <v>2196.2829166666656</v>
      </c>
      <c r="G24" s="95">
        <f t="shared" si="30"/>
        <v>0.91091124321708727</v>
      </c>
      <c r="H24" s="100"/>
      <c r="I24" s="66"/>
      <c r="P24" s="66"/>
    </row>
    <row r="25" spans="1:22" s="67" customFormat="1" ht="18" customHeight="1" x14ac:dyDescent="0.2">
      <c r="A25" s="50" t="s">
        <v>12</v>
      </c>
      <c r="B25" s="53">
        <f t="shared" si="23"/>
        <v>4894.5986792452841</v>
      </c>
      <c r="C25" s="53">
        <f t="shared" ref="C25" si="33">C6/C16</f>
        <v>4859.7902631578954</v>
      </c>
      <c r="D25" s="53">
        <f>B25-C25</f>
        <v>34.80841608738865</v>
      </c>
      <c r="E25" s="69">
        <f t="shared" si="26"/>
        <v>1708.5784146341466</v>
      </c>
      <c r="F25" s="69">
        <f t="shared" si="27"/>
        <v>3186.0202646111375</v>
      </c>
      <c r="G25" s="95">
        <f t="shared" si="30"/>
        <v>1.8647199550939848</v>
      </c>
      <c r="H25" s="100"/>
      <c r="I25" s="66"/>
      <c r="P25" s="66"/>
    </row>
    <row r="26" spans="1:22" s="67" customFormat="1" ht="18" customHeight="1" x14ac:dyDescent="0.2">
      <c r="A26" s="50" t="s">
        <v>11</v>
      </c>
      <c r="B26" s="53">
        <f t="shared" si="23"/>
        <v>6029.1908333333349</v>
      </c>
      <c r="C26" s="53">
        <f t="shared" ref="C26" si="34">C7/C17</f>
        <v>5831.21347826087</v>
      </c>
      <c r="D26" s="53">
        <f>B26-C26</f>
        <v>197.97735507246489</v>
      </c>
      <c r="E26" s="69">
        <f t="shared" si="26"/>
        <v>4388.0930357142861</v>
      </c>
      <c r="F26" s="69">
        <f t="shared" si="27"/>
        <v>1641.0977976190488</v>
      </c>
      <c r="G26" s="95">
        <f t="shared" si="30"/>
        <v>0.37398883393362553</v>
      </c>
      <c r="H26" s="100"/>
      <c r="I26" s="66"/>
      <c r="P26" s="66"/>
    </row>
    <row r="27" spans="1:22" s="67" customFormat="1" ht="18" customHeight="1" x14ac:dyDescent="0.2">
      <c r="A27" s="50" t="s">
        <v>10</v>
      </c>
      <c r="B27" s="53">
        <f t="shared" si="23"/>
        <v>5853.2433333333347</v>
      </c>
      <c r="C27" s="53">
        <f t="shared" ref="C27" si="35">C8/C18</f>
        <v>5490.1127083333331</v>
      </c>
      <c r="D27" s="53">
        <f>B27-C27</f>
        <v>363.1306250000016</v>
      </c>
      <c r="E27" s="69">
        <f t="shared" si="26"/>
        <v>4624.7222602739721</v>
      </c>
      <c r="F27" s="69">
        <f t="shared" si="27"/>
        <v>1228.5210730593626</v>
      </c>
      <c r="G27" s="95">
        <f t="shared" si="30"/>
        <v>0.26564213025553324</v>
      </c>
      <c r="H27" s="100"/>
      <c r="I27" s="66"/>
    </row>
    <row r="28" spans="1:22" s="67" customFormat="1" ht="18" customHeight="1" x14ac:dyDescent="0.2">
      <c r="A28" s="51">
        <v>46388</v>
      </c>
      <c r="B28" s="77">
        <f>B9/B19</f>
        <v>6052.5795121951223</v>
      </c>
      <c r="C28" s="77">
        <f>C9/C19</f>
        <v>4814.176818181817</v>
      </c>
      <c r="D28" s="77">
        <f>B28-C28</f>
        <v>1238.4026940133053</v>
      </c>
      <c r="E28" s="72">
        <f t="shared" si="26"/>
        <v>4244.2434391534389</v>
      </c>
      <c r="F28" s="72">
        <f t="shared" ref="F28" si="36">B28-E28</f>
        <v>1808.3360730416834</v>
      </c>
      <c r="G28" s="96">
        <f t="shared" si="28"/>
        <v>0.42606794331344389</v>
      </c>
      <c r="H28" s="100"/>
      <c r="I28" s="66"/>
    </row>
    <row r="29" spans="1:22" x14ac:dyDescent="0.2">
      <c r="M29" s="100"/>
      <c r="Q29" s="67"/>
      <c r="R29" s="67"/>
      <c r="S29" s="67"/>
      <c r="T29" s="67"/>
      <c r="U29" s="67"/>
      <c r="V29" s="67"/>
    </row>
  </sheetData>
  <mergeCells count="5">
    <mergeCell ref="A1:K1"/>
    <mergeCell ref="A20:G20"/>
    <mergeCell ref="F21:G21"/>
    <mergeCell ref="A11:F11"/>
    <mergeCell ref="G11:K11"/>
  </mergeCells>
  <conditionalFormatting sqref="D1 F1 I1 K1 S1:T1 V1 H3:K8 D3:D11 F3:F11 S3:T20 V3:V20 H9:H10 J9:J10 I9:I11 K9:K11 D13:D20 F13:F20 I13:I20 K13:K20 F22:G27 D22:D1048576 I22:I1048576 K22:K1048576 S22:T1048576 V22:V1048576 G28 F28:F1048576">
    <cfRule type="cellIs" dxfId="11" priority="5" operator="lessThan">
      <formula>-0.0009</formula>
    </cfRule>
    <cfRule type="cellIs" dxfId="10" priority="6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B28 G13:J13 B22 A14 A23:B23 D22:I23 A20:B20 D14:I14 D20:I21 F19 A21 G15:J15 E28 D25:D26 I16 G17:J17 G16:H16 J16 A22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activeCell="B10" sqref="B10"/>
    </sheetView>
  </sheetViews>
  <sheetFormatPr baseColWidth="10" defaultRowHeight="16" x14ac:dyDescent="0.2"/>
  <cols>
    <col min="1" max="1" width="8.83203125" customWidth="1"/>
  </cols>
  <sheetData>
    <row r="1" spans="1:14" ht="28" customHeight="1" thickBot="1" x14ac:dyDescent="0.25">
      <c r="A1" s="116" t="s">
        <v>27</v>
      </c>
      <c r="B1" s="117"/>
      <c r="C1" s="117"/>
      <c r="D1" s="117"/>
      <c r="E1" s="117"/>
      <c r="F1" s="117"/>
      <c r="G1" s="117"/>
      <c r="H1" s="118"/>
      <c r="I1" s="1"/>
      <c r="J1" s="66"/>
      <c r="K1" s="66"/>
      <c r="L1" s="66"/>
      <c r="M1" s="66"/>
    </row>
    <row r="2" spans="1:14" s="5" customFormat="1" ht="32" customHeight="1" x14ac:dyDescent="0.2">
      <c r="A2" s="55"/>
      <c r="B2" s="55">
        <v>2025</v>
      </c>
      <c r="C2" s="56">
        <v>2024</v>
      </c>
      <c r="D2" s="122" t="s">
        <v>24</v>
      </c>
      <c r="E2" s="123"/>
      <c r="F2" s="58">
        <v>2026</v>
      </c>
      <c r="G2" s="125" t="s">
        <v>30</v>
      </c>
      <c r="H2" s="126"/>
      <c r="I2" s="4"/>
      <c r="J2" s="4"/>
      <c r="K2" s="4"/>
    </row>
    <row r="3" spans="1:14" s="3" customFormat="1" ht="18" customHeight="1" x14ac:dyDescent="0.2">
      <c r="A3" s="50" t="s">
        <v>17</v>
      </c>
      <c r="B3" s="53">
        <v>406502.65000000008</v>
      </c>
      <c r="C3" s="59">
        <v>338410.45999999996</v>
      </c>
      <c r="D3" s="69">
        <f t="shared" ref="D3:D15" si="0">B3-C3</f>
        <v>68092.190000000119</v>
      </c>
      <c r="E3" s="92">
        <f>(B3-C3)/C3</f>
        <v>0.20121183606440571</v>
      </c>
      <c r="F3" s="60">
        <v>721898.93</v>
      </c>
      <c r="G3" s="74">
        <f>F3-B3</f>
        <v>315396.27999999997</v>
      </c>
      <c r="H3" s="71">
        <f>(F3-B3)/B3</f>
        <v>0.77587754962975009</v>
      </c>
      <c r="I3" s="6"/>
      <c r="J3" s="2"/>
      <c r="K3" s="2"/>
    </row>
    <row r="4" spans="1:14" s="3" customFormat="1" ht="18" customHeight="1" x14ac:dyDescent="0.2">
      <c r="A4" s="50" t="s">
        <v>16</v>
      </c>
      <c r="B4" s="53">
        <v>211407.6</v>
      </c>
      <c r="C4" s="59">
        <v>172099.58000000002</v>
      </c>
      <c r="D4" s="69">
        <f t="shared" si="0"/>
        <v>39308.01999999999</v>
      </c>
      <c r="E4" s="92">
        <f t="shared" ref="E4:E14" si="1">(B4-C4)/C4</f>
        <v>0.22840276542220489</v>
      </c>
      <c r="F4" s="60">
        <v>373595.17</v>
      </c>
      <c r="G4" s="74">
        <f t="shared" ref="G4:G14" si="2">F4-B4</f>
        <v>162187.56999999998</v>
      </c>
      <c r="H4" s="71">
        <f t="shared" ref="H4:H15" si="3">(F4-B4)/B4</f>
        <v>0.76717946753096844</v>
      </c>
      <c r="I4" s="6"/>
      <c r="J4" s="2"/>
      <c r="K4" s="2"/>
    </row>
    <row r="5" spans="1:14" s="3" customFormat="1" ht="18" customHeight="1" x14ac:dyDescent="0.2">
      <c r="A5" s="50" t="s">
        <v>15</v>
      </c>
      <c r="B5" s="53">
        <v>98532.95</v>
      </c>
      <c r="C5" s="59">
        <v>97375</v>
      </c>
      <c r="D5" s="69">
        <f t="shared" si="0"/>
        <v>1157.9499999999971</v>
      </c>
      <c r="E5" s="92">
        <f t="shared" si="1"/>
        <v>1.189165596919124E-2</v>
      </c>
      <c r="F5" s="60">
        <v>68175.08</v>
      </c>
      <c r="G5" s="74">
        <f t="shared" si="2"/>
        <v>-30357.869999999995</v>
      </c>
      <c r="H5" s="71">
        <f t="shared" si="3"/>
        <v>-0.30809866141224834</v>
      </c>
      <c r="I5" s="6"/>
      <c r="J5" s="2"/>
      <c r="K5" s="2"/>
    </row>
    <row r="6" spans="1:14" s="3" customFormat="1" ht="18" customHeight="1" x14ac:dyDescent="0.2">
      <c r="A6" s="50" t="s">
        <v>14</v>
      </c>
      <c r="B6" s="53">
        <v>51250.009999999995</v>
      </c>
      <c r="C6" s="59">
        <v>19445</v>
      </c>
      <c r="D6" s="69">
        <f t="shared" si="0"/>
        <v>31805.009999999995</v>
      </c>
      <c r="E6" s="92">
        <f t="shared" si="1"/>
        <v>1.6356394960143994</v>
      </c>
      <c r="F6" s="60">
        <v>6110.44</v>
      </c>
      <c r="G6" s="74">
        <f t="shared" si="2"/>
        <v>-45139.569999999992</v>
      </c>
      <c r="H6" s="71">
        <f t="shared" si="3"/>
        <v>-0.88077192570303886</v>
      </c>
      <c r="I6" s="6"/>
      <c r="J6" s="2"/>
      <c r="K6" s="2"/>
    </row>
    <row r="7" spans="1:14" s="3" customFormat="1" ht="18" customHeight="1" x14ac:dyDescent="0.2">
      <c r="A7" s="50" t="s">
        <v>13</v>
      </c>
      <c r="B7" s="53">
        <v>71330.799999999988</v>
      </c>
      <c r="C7" s="59">
        <v>17360</v>
      </c>
      <c r="D7" s="69">
        <f t="shared" si="0"/>
        <v>53970.799999999988</v>
      </c>
      <c r="E7" s="92">
        <f t="shared" si="1"/>
        <v>3.1089170506912436</v>
      </c>
      <c r="F7" s="60">
        <v>69212.91</v>
      </c>
      <c r="G7" s="74">
        <f t="shared" si="2"/>
        <v>-2117.8899999999849</v>
      </c>
      <c r="H7" s="71">
        <f t="shared" si="3"/>
        <v>-2.9691101179294011E-2</v>
      </c>
      <c r="I7" s="6"/>
      <c r="J7" s="2"/>
      <c r="K7" s="2"/>
    </row>
    <row r="8" spans="1:14" s="3" customFormat="1" ht="18" customHeight="1" x14ac:dyDescent="0.2">
      <c r="A8" s="50" t="s">
        <v>2</v>
      </c>
      <c r="B8" s="53">
        <v>64147.71</v>
      </c>
      <c r="C8" s="59">
        <v>28781</v>
      </c>
      <c r="D8" s="69">
        <f t="shared" si="0"/>
        <v>35366.71</v>
      </c>
      <c r="E8" s="92">
        <f t="shared" si="1"/>
        <v>1.2288214447031027</v>
      </c>
      <c r="F8" s="60">
        <v>54348.460000000006</v>
      </c>
      <c r="G8" s="74">
        <f t="shared" si="2"/>
        <v>-9799.2499999999927</v>
      </c>
      <c r="H8" s="71">
        <f t="shared" si="3"/>
        <v>-0.15276071429517893</v>
      </c>
      <c r="I8" s="6"/>
      <c r="J8" s="2"/>
      <c r="K8" s="2"/>
    </row>
    <row r="9" spans="1:14" s="3" customFormat="1" ht="18" customHeight="1" x14ac:dyDescent="0.2">
      <c r="A9" s="50" t="s">
        <v>25</v>
      </c>
      <c r="B9" s="53">
        <v>65099.25</v>
      </c>
      <c r="C9" s="59">
        <v>106540</v>
      </c>
      <c r="D9" s="69">
        <f t="shared" si="0"/>
        <v>-41440.75</v>
      </c>
      <c r="E9" s="92">
        <f t="shared" si="1"/>
        <v>-0.38896893185657971</v>
      </c>
      <c r="F9" s="60"/>
      <c r="G9" s="74">
        <f t="shared" si="2"/>
        <v>-65099.25</v>
      </c>
      <c r="H9" s="71">
        <f t="shared" si="3"/>
        <v>-1</v>
      </c>
      <c r="I9" s="6"/>
      <c r="J9" s="2"/>
      <c r="K9" s="2"/>
    </row>
    <row r="10" spans="1:14" s="3" customFormat="1" ht="18" customHeight="1" x14ac:dyDescent="0.2">
      <c r="A10" s="50" t="s">
        <v>12</v>
      </c>
      <c r="B10" s="53">
        <v>280206.86000000004</v>
      </c>
      <c r="C10" s="59">
        <v>217591.5</v>
      </c>
      <c r="D10" s="69">
        <f t="shared" si="0"/>
        <v>62615.360000000044</v>
      </c>
      <c r="E10" s="92">
        <f t="shared" si="1"/>
        <v>0.28776565261051118</v>
      </c>
      <c r="F10" s="60"/>
      <c r="G10" s="74">
        <f t="shared" si="2"/>
        <v>-280206.86000000004</v>
      </c>
      <c r="H10" s="71">
        <f t="shared" si="3"/>
        <v>-1</v>
      </c>
      <c r="I10" s="6"/>
      <c r="J10" s="2"/>
      <c r="K10" s="2"/>
    </row>
    <row r="11" spans="1:14" s="3" customFormat="1" ht="18" customHeight="1" x14ac:dyDescent="0.2">
      <c r="A11" s="50" t="s">
        <v>11</v>
      </c>
      <c r="B11" s="53">
        <v>491466.42000000004</v>
      </c>
      <c r="C11" s="59">
        <v>326421.45</v>
      </c>
      <c r="D11" s="69">
        <f t="shared" si="0"/>
        <v>165044.97000000003</v>
      </c>
      <c r="E11" s="92">
        <f t="shared" si="1"/>
        <v>0.50561925388175322</v>
      </c>
      <c r="F11" s="60"/>
      <c r="G11" s="74">
        <f t="shared" si="2"/>
        <v>-491466.42000000004</v>
      </c>
      <c r="H11" s="71">
        <f t="shared" si="3"/>
        <v>-1</v>
      </c>
      <c r="I11" s="6"/>
      <c r="J11" s="2"/>
      <c r="K11" s="2"/>
    </row>
    <row r="12" spans="1:14" s="3" customFormat="1" ht="18" customHeight="1" x14ac:dyDescent="0.2">
      <c r="A12" s="50" t="s">
        <v>10</v>
      </c>
      <c r="B12" s="53">
        <v>675209.45</v>
      </c>
      <c r="C12" s="59">
        <v>401507.56270270271</v>
      </c>
      <c r="D12" s="69">
        <f t="shared" si="0"/>
        <v>273701.88729729725</v>
      </c>
      <c r="E12" s="92">
        <f t="shared" si="1"/>
        <v>0.68168550912193027</v>
      </c>
      <c r="F12" s="60"/>
      <c r="G12" s="74">
        <f t="shared" si="2"/>
        <v>-675209.45</v>
      </c>
      <c r="H12" s="71">
        <f t="shared" si="3"/>
        <v>-1</v>
      </c>
      <c r="I12" s="6"/>
      <c r="J12" s="2"/>
      <c r="K12" s="2"/>
    </row>
    <row r="13" spans="1:14" s="3" customFormat="1" ht="18" customHeight="1" x14ac:dyDescent="0.2">
      <c r="A13" s="50" t="s">
        <v>19</v>
      </c>
      <c r="B13" s="53">
        <v>802162.01</v>
      </c>
      <c r="C13" s="59">
        <v>333719.53000000003</v>
      </c>
      <c r="D13" s="69">
        <f t="shared" si="0"/>
        <v>468442.48</v>
      </c>
      <c r="E13" s="92">
        <f t="shared" si="1"/>
        <v>1.4037011259125289</v>
      </c>
      <c r="F13" s="60"/>
      <c r="G13" s="74">
        <f t="shared" si="2"/>
        <v>-802162.01</v>
      </c>
      <c r="H13" s="71">
        <f t="shared" si="3"/>
        <v>-1</v>
      </c>
      <c r="I13" s="6"/>
      <c r="J13" s="2"/>
      <c r="K13" s="2"/>
    </row>
    <row r="14" spans="1:14" s="3" customFormat="1" ht="18" customHeight="1" x14ac:dyDescent="0.2">
      <c r="A14" s="50" t="s">
        <v>18</v>
      </c>
      <c r="B14" s="53">
        <v>938235.4800000001</v>
      </c>
      <c r="C14" s="59">
        <v>346620</v>
      </c>
      <c r="D14" s="69">
        <f t="shared" si="0"/>
        <v>591615.4800000001</v>
      </c>
      <c r="E14" s="92">
        <f t="shared" si="1"/>
        <v>1.7068128786567425</v>
      </c>
      <c r="F14" s="60"/>
      <c r="G14" s="74">
        <f t="shared" si="2"/>
        <v>-938235.4800000001</v>
      </c>
      <c r="H14" s="71">
        <f t="shared" si="3"/>
        <v>-1</v>
      </c>
      <c r="I14" s="6"/>
      <c r="J14" s="2"/>
      <c r="K14" s="2"/>
    </row>
    <row r="15" spans="1:14" s="3" customFormat="1" ht="18" customHeight="1" thickBot="1" x14ac:dyDescent="0.25">
      <c r="A15" s="52" t="s">
        <v>8</v>
      </c>
      <c r="B15" s="61">
        <f>SUM(B3:B14)</f>
        <v>4155551.19</v>
      </c>
      <c r="C15" s="62">
        <f>SUM(C3:C14)</f>
        <v>2405871.0827027028</v>
      </c>
      <c r="D15" s="91">
        <f t="shared" si="0"/>
        <v>1749680.1072972971</v>
      </c>
      <c r="E15" s="93">
        <f>(B15-C15)/C15</f>
        <v>0.72725430713093109</v>
      </c>
      <c r="F15" s="63">
        <f>SUM(F3:F14)</f>
        <v>1293340.99</v>
      </c>
      <c r="G15" s="105">
        <f>F15-B15</f>
        <v>-2862210.2</v>
      </c>
      <c r="H15" s="108">
        <f t="shared" si="3"/>
        <v>-0.68876788400241085</v>
      </c>
      <c r="I15" s="6"/>
      <c r="J15" s="2"/>
      <c r="K15" s="2"/>
      <c r="L15" s="66"/>
      <c r="M15" s="66"/>
      <c r="N15" s="66"/>
    </row>
    <row r="16" spans="1:14" ht="25" customHeight="1" thickBot="1" x14ac:dyDescent="0.25">
      <c r="A16" s="119" t="s">
        <v>4</v>
      </c>
      <c r="B16" s="120"/>
      <c r="C16" s="120"/>
      <c r="D16" s="121"/>
      <c r="E16" s="119" t="s">
        <v>6</v>
      </c>
      <c r="F16" s="120"/>
      <c r="G16" s="120"/>
      <c r="H16" s="121"/>
      <c r="I16" s="1"/>
      <c r="J16" s="1"/>
      <c r="K16" s="1"/>
      <c r="L16" s="1"/>
      <c r="M16" s="1"/>
    </row>
    <row r="17" spans="1:14" s="67" customFormat="1" ht="32" customHeight="1" x14ac:dyDescent="0.2">
      <c r="A17" s="54"/>
      <c r="B17" s="55">
        <v>2025</v>
      </c>
      <c r="C17" s="56">
        <v>2024</v>
      </c>
      <c r="D17" s="78" t="s">
        <v>24</v>
      </c>
      <c r="E17" s="55">
        <v>2025</v>
      </c>
      <c r="F17" s="56">
        <v>2024</v>
      </c>
      <c r="G17" s="57" t="s">
        <v>24</v>
      </c>
      <c r="H17" s="97">
        <v>2026</v>
      </c>
      <c r="I17" s="66"/>
      <c r="J17" s="66"/>
      <c r="K17" s="66"/>
      <c r="L17" s="66"/>
      <c r="M17" s="66"/>
      <c r="N17" s="66"/>
    </row>
    <row r="18" spans="1:14" s="67" customFormat="1" ht="18" customHeight="1" x14ac:dyDescent="0.2">
      <c r="A18" s="50" t="s">
        <v>17</v>
      </c>
      <c r="B18" s="64">
        <v>144</v>
      </c>
      <c r="C18" s="65">
        <v>135</v>
      </c>
      <c r="D18" s="76">
        <f>B18-C18</f>
        <v>9</v>
      </c>
      <c r="E18" s="80">
        <f>B18/155</f>
        <v>0.92903225806451617</v>
      </c>
      <c r="F18" s="98">
        <f>C18/155</f>
        <v>0.87096774193548387</v>
      </c>
      <c r="G18" s="95">
        <f t="shared" ref="G18:G29" si="4">E18-F18</f>
        <v>5.8064516129032295E-2</v>
      </c>
      <c r="H18" s="70"/>
      <c r="J18" s="124" t="s">
        <v>28</v>
      </c>
      <c r="K18" s="124"/>
      <c r="L18" s="66"/>
      <c r="M18" s="66"/>
      <c r="N18" s="66"/>
    </row>
    <row r="19" spans="1:14" s="67" customFormat="1" ht="18" customHeight="1" x14ac:dyDescent="0.2">
      <c r="A19" s="50" t="s">
        <v>16</v>
      </c>
      <c r="B19" s="64">
        <v>74</v>
      </c>
      <c r="C19" s="65">
        <v>56</v>
      </c>
      <c r="D19" s="76">
        <f>B19-C19</f>
        <v>18</v>
      </c>
      <c r="E19" s="80">
        <f>B19/240</f>
        <v>0.30833333333333335</v>
      </c>
      <c r="F19" s="98">
        <f>C19/150</f>
        <v>0.37333333333333335</v>
      </c>
      <c r="G19" s="95">
        <f t="shared" si="4"/>
        <v>-6.5000000000000002E-2</v>
      </c>
      <c r="H19" s="70"/>
      <c r="J19" s="66">
        <v>28</v>
      </c>
      <c r="K19" s="66">
        <v>140</v>
      </c>
      <c r="L19" s="66"/>
      <c r="M19" s="66"/>
      <c r="N19" s="66"/>
    </row>
    <row r="20" spans="1:14" s="67" customFormat="1" ht="18" customHeight="1" x14ac:dyDescent="0.2">
      <c r="A20" s="50" t="s">
        <v>15</v>
      </c>
      <c r="B20" s="64">
        <v>41</v>
      </c>
      <c r="C20" s="65">
        <v>44</v>
      </c>
      <c r="D20" s="76">
        <f>-B20-C20</f>
        <v>-85</v>
      </c>
      <c r="E20" s="80">
        <f>B20/248</f>
        <v>0.16532258064516128</v>
      </c>
      <c r="F20" s="98">
        <f>C20/155</f>
        <v>0.28387096774193549</v>
      </c>
      <c r="G20" s="95">
        <f t="shared" si="4"/>
        <v>-0.1185483870967742</v>
      </c>
      <c r="H20" s="70"/>
      <c r="J20" s="66">
        <v>29</v>
      </c>
      <c r="K20" s="66">
        <v>145</v>
      </c>
      <c r="L20" s="66"/>
      <c r="M20" s="66"/>
      <c r="N20" s="66"/>
    </row>
    <row r="21" spans="1:14" s="67" customFormat="1" ht="18" customHeight="1" x14ac:dyDescent="0.2">
      <c r="A21" s="50" t="s">
        <v>14</v>
      </c>
      <c r="B21" s="64">
        <v>21</v>
      </c>
      <c r="C21" s="65">
        <v>9</v>
      </c>
      <c r="D21" s="76">
        <f t="shared" ref="D21:D29" si="5">B21-C21</f>
        <v>12</v>
      </c>
      <c r="E21" s="80">
        <f>B21/240</f>
        <v>8.7499999999999994E-2</v>
      </c>
      <c r="F21" s="98">
        <f>C21/150</f>
        <v>0.06</v>
      </c>
      <c r="G21" s="95">
        <f t="shared" si="4"/>
        <v>2.7499999999999997E-2</v>
      </c>
      <c r="H21" s="70"/>
      <c r="J21" s="66">
        <v>30</v>
      </c>
      <c r="K21" s="66">
        <v>150</v>
      </c>
      <c r="L21" s="66"/>
      <c r="M21" s="66"/>
      <c r="N21" s="66"/>
    </row>
    <row r="22" spans="1:14" s="67" customFormat="1" ht="18" customHeight="1" x14ac:dyDescent="0.2">
      <c r="A22" s="50" t="s">
        <v>13</v>
      </c>
      <c r="B22" s="64">
        <v>38</v>
      </c>
      <c r="C22" s="65">
        <v>7</v>
      </c>
      <c r="D22" s="76">
        <f t="shared" si="5"/>
        <v>31</v>
      </c>
      <c r="E22" s="80">
        <f>B22/248</f>
        <v>0.15322580645161291</v>
      </c>
      <c r="F22" s="98">
        <f>C22/155</f>
        <v>4.5161290322580643E-2</v>
      </c>
      <c r="G22" s="95">
        <f t="shared" si="4"/>
        <v>0.10806451612903226</v>
      </c>
      <c r="H22" s="70"/>
      <c r="J22" s="66">
        <v>31</v>
      </c>
      <c r="K22" s="66">
        <v>155</v>
      </c>
      <c r="L22" s="66"/>
      <c r="M22" s="66"/>
      <c r="N22" s="66"/>
    </row>
    <row r="23" spans="1:14" s="67" customFormat="1" ht="18" customHeight="1" x14ac:dyDescent="0.2">
      <c r="A23" s="50" t="s">
        <v>2</v>
      </c>
      <c r="B23" s="64">
        <v>24</v>
      </c>
      <c r="C23" s="65">
        <v>12</v>
      </c>
      <c r="D23" s="76">
        <f t="shared" si="5"/>
        <v>12</v>
      </c>
      <c r="E23" s="80">
        <f>B23/248</f>
        <v>9.6774193548387094E-2</v>
      </c>
      <c r="F23" s="98">
        <f>C23/155</f>
        <v>7.7419354838709681E-2</v>
      </c>
      <c r="G23" s="95">
        <f t="shared" si="4"/>
        <v>1.9354838709677413E-2</v>
      </c>
      <c r="H23" s="70"/>
      <c r="I23" s="66"/>
      <c r="J23" s="66"/>
      <c r="K23" s="66"/>
      <c r="L23" s="66"/>
      <c r="M23" s="66"/>
      <c r="N23" s="66"/>
    </row>
    <row r="24" spans="1:14" s="67" customFormat="1" ht="18" customHeight="1" x14ac:dyDescent="0.2">
      <c r="A24" s="50" t="s">
        <v>25</v>
      </c>
      <c r="B24" s="64">
        <v>27</v>
      </c>
      <c r="C24" s="65">
        <v>41</v>
      </c>
      <c r="D24" s="76">
        <f t="shared" si="5"/>
        <v>-14</v>
      </c>
      <c r="E24" s="80">
        <f>B24/240</f>
        <v>0.1125</v>
      </c>
      <c r="F24" s="98">
        <f>C24/150</f>
        <v>0.27333333333333332</v>
      </c>
      <c r="G24" s="95">
        <f t="shared" si="4"/>
        <v>-0.16083333333333333</v>
      </c>
      <c r="H24" s="70"/>
      <c r="I24" s="66"/>
      <c r="J24" s="124" t="s">
        <v>29</v>
      </c>
      <c r="K24" s="124"/>
      <c r="L24" s="66"/>
      <c r="M24" s="66"/>
      <c r="N24" s="66"/>
    </row>
    <row r="25" spans="1:14" s="67" customFormat="1" ht="18" customHeight="1" x14ac:dyDescent="0.2">
      <c r="A25" s="50" t="s">
        <v>12</v>
      </c>
      <c r="B25" s="64">
        <v>86</v>
      </c>
      <c r="C25" s="65">
        <v>69</v>
      </c>
      <c r="D25" s="76">
        <f t="shared" si="5"/>
        <v>17</v>
      </c>
      <c r="E25" s="80">
        <f>B25/248</f>
        <v>0.34677419354838712</v>
      </c>
      <c r="F25" s="98">
        <f>C25/155</f>
        <v>0.44516129032258067</v>
      </c>
      <c r="G25" s="95">
        <f t="shared" si="4"/>
        <v>-9.838709677419355E-2</v>
      </c>
      <c r="H25" s="70"/>
      <c r="I25" s="66"/>
      <c r="J25" s="66">
        <v>28</v>
      </c>
      <c r="K25" s="66">
        <v>224</v>
      </c>
      <c r="L25" s="66"/>
      <c r="M25" s="66"/>
      <c r="N25" s="66"/>
    </row>
    <row r="26" spans="1:14" s="67" customFormat="1" ht="18" customHeight="1" x14ac:dyDescent="0.2">
      <c r="A26" s="50" t="s">
        <v>11</v>
      </c>
      <c r="B26" s="64">
        <v>101</v>
      </c>
      <c r="C26" s="65">
        <v>113</v>
      </c>
      <c r="D26" s="76">
        <f t="shared" si="5"/>
        <v>-12</v>
      </c>
      <c r="E26" s="80">
        <f>B26/240</f>
        <v>0.42083333333333334</v>
      </c>
      <c r="F26" s="98">
        <f>C26/150</f>
        <v>0.7533333333333333</v>
      </c>
      <c r="G26" s="95">
        <f t="shared" si="4"/>
        <v>-0.33249999999999996</v>
      </c>
      <c r="H26" s="70"/>
      <c r="I26" s="66"/>
      <c r="J26" s="66">
        <v>29</v>
      </c>
      <c r="K26" s="66">
        <v>232</v>
      </c>
      <c r="L26" s="66"/>
      <c r="M26" s="66"/>
      <c r="N26" s="66"/>
    </row>
    <row r="27" spans="1:14" s="67" customFormat="1" ht="18" customHeight="1" x14ac:dyDescent="0.2">
      <c r="A27" s="50" t="s">
        <v>10</v>
      </c>
      <c r="B27" s="64">
        <v>146</v>
      </c>
      <c r="C27" s="65">
        <v>130</v>
      </c>
      <c r="D27" s="76">
        <f t="shared" si="5"/>
        <v>16</v>
      </c>
      <c r="E27" s="80">
        <f>B27/248</f>
        <v>0.58870967741935487</v>
      </c>
      <c r="F27" s="98">
        <f>C27/155</f>
        <v>0.83870967741935487</v>
      </c>
      <c r="G27" s="95">
        <f t="shared" si="4"/>
        <v>-0.25</v>
      </c>
      <c r="H27" s="70"/>
      <c r="I27" s="66"/>
      <c r="J27" s="66">
        <v>30</v>
      </c>
      <c r="K27" s="66">
        <v>240</v>
      </c>
      <c r="L27" s="66"/>
      <c r="M27" s="66"/>
      <c r="N27" s="66"/>
    </row>
    <row r="28" spans="1:14" s="67" customFormat="1" ht="18" customHeight="1" x14ac:dyDescent="0.2">
      <c r="A28" s="50" t="s">
        <v>19</v>
      </c>
      <c r="B28" s="64">
        <v>189</v>
      </c>
      <c r="C28" s="65">
        <v>134</v>
      </c>
      <c r="D28" s="76">
        <f t="shared" si="5"/>
        <v>55</v>
      </c>
      <c r="E28" s="80">
        <f>B28/248</f>
        <v>0.76209677419354838</v>
      </c>
      <c r="F28" s="98">
        <f>C28/155</f>
        <v>0.86451612903225805</v>
      </c>
      <c r="G28" s="95">
        <f t="shared" si="4"/>
        <v>-0.10241935483870968</v>
      </c>
      <c r="H28" s="70"/>
      <c r="I28" s="66"/>
      <c r="J28" s="66">
        <v>31</v>
      </c>
      <c r="K28" s="66">
        <v>248</v>
      </c>
      <c r="L28" s="66"/>
      <c r="M28" s="66"/>
      <c r="N28" s="66"/>
    </row>
    <row r="29" spans="1:14" s="67" customFormat="1" ht="18" customHeight="1" thickBot="1" x14ac:dyDescent="0.25">
      <c r="A29" s="50" t="s">
        <v>18</v>
      </c>
      <c r="B29" s="64">
        <v>196</v>
      </c>
      <c r="C29" s="65">
        <v>139</v>
      </c>
      <c r="D29" s="76">
        <f t="shared" si="5"/>
        <v>57</v>
      </c>
      <c r="E29" s="79">
        <f>B29/224</f>
        <v>0.875</v>
      </c>
      <c r="F29" s="99">
        <f>C29/145</f>
        <v>0.95862068965517244</v>
      </c>
      <c r="G29" s="96">
        <f t="shared" si="4"/>
        <v>-8.3620689655172442E-2</v>
      </c>
      <c r="H29" s="73"/>
      <c r="I29" s="66"/>
      <c r="J29" s="66"/>
      <c r="K29" s="66"/>
      <c r="L29" s="66"/>
      <c r="M29" s="66"/>
      <c r="N29" s="66"/>
    </row>
    <row r="30" spans="1:14" ht="25" customHeight="1" thickBot="1" x14ac:dyDescent="0.25">
      <c r="A30" s="119" t="s">
        <v>5</v>
      </c>
      <c r="B30" s="120"/>
      <c r="C30" s="120"/>
      <c r="D30" s="120"/>
      <c r="E30" s="121"/>
      <c r="F30" s="7"/>
      <c r="G30" s="7"/>
      <c r="H30" s="1"/>
      <c r="I30" s="1"/>
      <c r="J30" s="1"/>
    </row>
    <row r="31" spans="1:14" s="67" customFormat="1" ht="32" customHeight="1" x14ac:dyDescent="0.2">
      <c r="A31" s="55"/>
      <c r="B31" s="55">
        <v>2025</v>
      </c>
      <c r="C31" s="56">
        <v>2024</v>
      </c>
      <c r="D31" s="122" t="s">
        <v>24</v>
      </c>
      <c r="E31" s="123"/>
      <c r="F31" s="68"/>
      <c r="G31" s="68"/>
      <c r="H31" s="66"/>
      <c r="I31" s="66"/>
      <c r="J31" s="66"/>
    </row>
    <row r="32" spans="1:14" s="67" customFormat="1" ht="17" customHeight="1" x14ac:dyDescent="0.2">
      <c r="A32" s="50" t="s">
        <v>17</v>
      </c>
      <c r="B32" s="53">
        <f>B3/B18</f>
        <v>2822.9350694444452</v>
      </c>
      <c r="C32" s="69">
        <f>C3/C18</f>
        <v>2506.7441481481478</v>
      </c>
      <c r="D32" s="69">
        <f>B32-C32</f>
        <v>316.19092129629735</v>
      </c>
      <c r="E32" s="94">
        <f>(B32-C32)/C32</f>
        <v>0.12613609631038045</v>
      </c>
      <c r="G32" s="68"/>
      <c r="H32" s="66"/>
      <c r="I32" s="66"/>
      <c r="J32" s="66"/>
    </row>
    <row r="33" spans="1:10" s="67" customFormat="1" ht="17" customHeight="1" x14ac:dyDescent="0.2">
      <c r="A33" s="50" t="s">
        <v>16</v>
      </c>
      <c r="B33" s="53">
        <f t="shared" ref="B33:C43" si="6">B4/B19</f>
        <v>2856.8594594594597</v>
      </c>
      <c r="C33" s="69">
        <f t="shared" si="6"/>
        <v>3073.2067857142861</v>
      </c>
      <c r="D33" s="69">
        <f t="shared" ref="D33:D43" si="7">B33-C33</f>
        <v>-216.34732625482638</v>
      </c>
      <c r="E33" s="95">
        <f t="shared" ref="E33:E43" si="8">(B33-C33)/C33</f>
        <v>-7.0397907248061123E-2</v>
      </c>
      <c r="G33" s="68"/>
      <c r="H33" s="66"/>
      <c r="I33" s="66"/>
      <c r="J33" s="66"/>
    </row>
    <row r="34" spans="1:10" s="67" customFormat="1" ht="17" customHeight="1" x14ac:dyDescent="0.2">
      <c r="A34" s="50" t="s">
        <v>15</v>
      </c>
      <c r="B34" s="53">
        <f t="shared" si="6"/>
        <v>2403.2426829268293</v>
      </c>
      <c r="C34" s="69">
        <f t="shared" si="6"/>
        <v>2213.068181818182</v>
      </c>
      <c r="D34" s="69">
        <f t="shared" si="7"/>
        <v>190.17450110864729</v>
      </c>
      <c r="E34" s="95">
        <f t="shared" si="8"/>
        <v>8.5932508844985669E-2</v>
      </c>
      <c r="G34" s="68"/>
      <c r="H34" s="66"/>
      <c r="I34" s="66"/>
      <c r="J34" s="66"/>
    </row>
    <row r="35" spans="1:10" s="67" customFormat="1" ht="17" customHeight="1" x14ac:dyDescent="0.2">
      <c r="A35" s="50" t="s">
        <v>14</v>
      </c>
      <c r="B35" s="53">
        <f t="shared" si="6"/>
        <v>2440.4766666666665</v>
      </c>
      <c r="C35" s="69">
        <f t="shared" si="6"/>
        <v>2160.5555555555557</v>
      </c>
      <c r="D35" s="69">
        <f t="shared" si="7"/>
        <v>279.9211111111108</v>
      </c>
      <c r="E35" s="95">
        <f t="shared" si="8"/>
        <v>0.1295597840061711</v>
      </c>
      <c r="G35" s="68"/>
      <c r="H35" s="66"/>
      <c r="I35" s="66"/>
      <c r="J35" s="66"/>
    </row>
    <row r="36" spans="1:10" s="67" customFormat="1" ht="17" customHeight="1" x14ac:dyDescent="0.2">
      <c r="A36" s="50" t="s">
        <v>13</v>
      </c>
      <c r="B36" s="53">
        <f t="shared" si="6"/>
        <v>1877.1263157894734</v>
      </c>
      <c r="C36" s="69">
        <f t="shared" si="6"/>
        <v>2480</v>
      </c>
      <c r="D36" s="69">
        <f t="shared" si="7"/>
        <v>-602.87368421052656</v>
      </c>
      <c r="E36" s="95">
        <f t="shared" si="8"/>
        <v>-0.24309422750424459</v>
      </c>
      <c r="G36" s="68"/>
      <c r="H36" s="66"/>
      <c r="I36" s="66"/>
      <c r="J36" s="66"/>
    </row>
    <row r="37" spans="1:10" s="67" customFormat="1" ht="17" customHeight="1" x14ac:dyDescent="0.2">
      <c r="A37" s="50" t="s">
        <v>2</v>
      </c>
      <c r="B37" s="53">
        <f t="shared" si="6"/>
        <v>2672.82125</v>
      </c>
      <c r="C37" s="69">
        <f t="shared" si="6"/>
        <v>2398.4166666666665</v>
      </c>
      <c r="D37" s="69">
        <f t="shared" si="7"/>
        <v>274.40458333333345</v>
      </c>
      <c r="E37" s="95">
        <f t="shared" si="8"/>
        <v>0.11441072235155142</v>
      </c>
      <c r="G37" s="68"/>
      <c r="H37" s="66"/>
      <c r="I37" s="66"/>
      <c r="J37" s="66"/>
    </row>
    <row r="38" spans="1:10" s="67" customFormat="1" ht="17" customHeight="1" x14ac:dyDescent="0.2">
      <c r="A38" s="50" t="s">
        <v>25</v>
      </c>
      <c r="B38" s="53">
        <f t="shared" si="6"/>
        <v>2411.0833333333335</v>
      </c>
      <c r="C38" s="69">
        <f t="shared" si="6"/>
        <v>2598.5365853658536</v>
      </c>
      <c r="D38" s="69">
        <f t="shared" si="7"/>
        <v>-187.45325203252014</v>
      </c>
      <c r="E38" s="95">
        <f t="shared" si="8"/>
        <v>-7.2138007634065388E-2</v>
      </c>
      <c r="F38" s="7"/>
      <c r="G38" s="68"/>
      <c r="H38" s="66"/>
      <c r="I38" s="66"/>
      <c r="J38" s="66"/>
    </row>
    <row r="39" spans="1:10" s="67" customFormat="1" ht="17" customHeight="1" x14ac:dyDescent="0.2">
      <c r="A39" s="50" t="s">
        <v>12</v>
      </c>
      <c r="B39" s="53">
        <f t="shared" si="6"/>
        <v>3258.2193023255818</v>
      </c>
      <c r="C39" s="69">
        <f t="shared" si="6"/>
        <v>3153.5</v>
      </c>
      <c r="D39" s="69">
        <f t="shared" si="7"/>
        <v>104.71930232558179</v>
      </c>
      <c r="E39" s="95">
        <f t="shared" si="8"/>
        <v>3.3207325931689166E-2</v>
      </c>
      <c r="F39" s="7"/>
      <c r="G39" s="68"/>
      <c r="H39" s="66"/>
      <c r="I39" s="66"/>
      <c r="J39" s="66"/>
    </row>
    <row r="40" spans="1:10" s="67" customFormat="1" ht="17" customHeight="1" x14ac:dyDescent="0.2">
      <c r="A40" s="50" t="s">
        <v>11</v>
      </c>
      <c r="B40" s="53">
        <f t="shared" si="6"/>
        <v>4866.0041584158416</v>
      </c>
      <c r="C40" s="69">
        <f t="shared" si="6"/>
        <v>2888.6853982300886</v>
      </c>
      <c r="D40" s="69">
        <f t="shared" si="7"/>
        <v>1977.318760185753</v>
      </c>
      <c r="E40" s="95">
        <f t="shared" si="8"/>
        <v>0.68450470978849609</v>
      </c>
      <c r="F40" s="7"/>
      <c r="G40" s="68"/>
      <c r="H40" s="66"/>
      <c r="I40" s="66"/>
      <c r="J40" s="66"/>
    </row>
    <row r="41" spans="1:10" s="67" customFormat="1" ht="17" customHeight="1" x14ac:dyDescent="0.2">
      <c r="A41" s="50" t="s">
        <v>10</v>
      </c>
      <c r="B41" s="53">
        <f t="shared" si="6"/>
        <v>4624.7222602739721</v>
      </c>
      <c r="C41" s="69">
        <f t="shared" si="6"/>
        <v>3088.5197130977131</v>
      </c>
      <c r="D41" s="69">
        <f t="shared" si="7"/>
        <v>1536.202547176259</v>
      </c>
      <c r="E41" s="95">
        <f t="shared" si="8"/>
        <v>0.49739120675240367</v>
      </c>
      <c r="F41" s="7"/>
      <c r="G41" s="68"/>
      <c r="H41" s="66"/>
      <c r="I41" s="66"/>
      <c r="J41" s="66"/>
    </row>
    <row r="42" spans="1:10" s="67" customFormat="1" ht="17" customHeight="1" x14ac:dyDescent="0.2">
      <c r="A42" s="50" t="s">
        <v>19</v>
      </c>
      <c r="B42" s="53">
        <f t="shared" si="6"/>
        <v>4244.2434391534389</v>
      </c>
      <c r="C42" s="69">
        <f t="shared" si="6"/>
        <v>2490.4442537313435</v>
      </c>
      <c r="D42" s="69">
        <f t="shared" si="7"/>
        <v>1753.7991854220954</v>
      </c>
      <c r="E42" s="95">
        <f t="shared" si="8"/>
        <v>0.70421138027660768</v>
      </c>
      <c r="F42" s="7"/>
      <c r="G42" s="68"/>
      <c r="H42" s="66"/>
      <c r="I42" s="66"/>
      <c r="J42" s="66"/>
    </row>
    <row r="43" spans="1:10" s="67" customFormat="1" ht="17" customHeight="1" x14ac:dyDescent="0.2">
      <c r="A43" s="50" t="s">
        <v>18</v>
      </c>
      <c r="B43" s="77">
        <f t="shared" si="6"/>
        <v>4786.9157142857148</v>
      </c>
      <c r="C43" s="72">
        <f t="shared" si="6"/>
        <v>2493.6690647482014</v>
      </c>
      <c r="D43" s="72">
        <f t="shared" si="7"/>
        <v>2293.2466495375133</v>
      </c>
      <c r="E43" s="96">
        <f t="shared" si="8"/>
        <v>0.91962750068003685</v>
      </c>
      <c r="G43" s="68"/>
      <c r="H43" s="66"/>
      <c r="I43" s="66"/>
      <c r="J43" s="66"/>
    </row>
  </sheetData>
  <mergeCells count="9">
    <mergeCell ref="J18:K18"/>
    <mergeCell ref="J24:K24"/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D29 D32:E43">
    <cfRule type="cellIs" dxfId="9" priority="15" operator="equal">
      <formula>0</formula>
    </cfRule>
    <cfRule type="cellIs" dxfId="8" priority="16" operator="lessThan">
      <formula>0</formula>
    </cfRule>
    <cfRule type="cellIs" dxfId="7" priority="17" operator="greaterThan">
      <formula>0</formula>
    </cfRule>
  </conditionalFormatting>
  <conditionalFormatting sqref="G3:H15">
    <cfRule type="cellIs" dxfId="6" priority="3" operator="equal">
      <formula>0</formula>
    </cfRule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ignoredErrors>
    <ignoredError sqref="B15:D15" formulaRange="1"/>
    <ignoredError sqref="B32:E43 E15:F15 E3 E4:E8 E9:E14" evalError="1"/>
    <ignoredError sqref="E20:E26 D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59" zoomScaleNormal="70" workbookViewId="0">
      <selection activeCell="A2" sqref="A2"/>
    </sheetView>
  </sheetViews>
  <sheetFormatPr baseColWidth="10" defaultRowHeight="18" x14ac:dyDescent="0.2"/>
  <cols>
    <col min="1" max="1" width="19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0" x14ac:dyDescent="0.2">
      <c r="A1" s="49" t="s">
        <v>20</v>
      </c>
      <c r="B1" s="48">
        <v>2019</v>
      </c>
      <c r="C1" s="48">
        <v>2020</v>
      </c>
      <c r="D1" s="47">
        <v>2021</v>
      </c>
      <c r="E1" s="47">
        <v>2022</v>
      </c>
      <c r="F1" s="47">
        <v>2023</v>
      </c>
      <c r="G1" s="46">
        <v>2024</v>
      </c>
      <c r="H1" s="46" t="s">
        <v>21</v>
      </c>
      <c r="I1" s="127" t="s">
        <v>22</v>
      </c>
      <c r="J1" s="128"/>
    </row>
    <row r="2" spans="1:10" x14ac:dyDescent="0.2">
      <c r="A2" s="19" t="s">
        <v>19</v>
      </c>
      <c r="B2" s="44"/>
      <c r="C2" s="44"/>
      <c r="D2" s="44"/>
      <c r="E2" s="44"/>
      <c r="F2" s="44"/>
      <c r="G2" s="43"/>
      <c r="H2" s="43"/>
      <c r="I2" s="81">
        <f>H2-G2</f>
        <v>0</v>
      </c>
      <c r="J2" s="89" t="e">
        <f>(H2-G2)/G2</f>
        <v>#DIV/0!</v>
      </c>
    </row>
    <row r="3" spans="1:10" x14ac:dyDescent="0.2">
      <c r="A3" s="19" t="s">
        <v>18</v>
      </c>
      <c r="B3" s="44"/>
      <c r="C3" s="44"/>
      <c r="D3" s="44"/>
      <c r="E3" s="44"/>
      <c r="F3" s="44"/>
      <c r="G3" s="43"/>
      <c r="H3" s="43"/>
      <c r="I3" s="81">
        <f t="shared" ref="I3:I13" si="0">H3-G3</f>
        <v>0</v>
      </c>
      <c r="J3" s="89" t="e">
        <f t="shared" ref="J3:J13" si="1">(H3-G3)/G3</f>
        <v>#DIV/0!</v>
      </c>
    </row>
    <row r="4" spans="1:10" x14ac:dyDescent="0.2">
      <c r="A4" s="19" t="s">
        <v>17</v>
      </c>
      <c r="B4" s="44"/>
      <c r="C4" s="45"/>
      <c r="D4" s="44"/>
      <c r="E4" s="44"/>
      <c r="F4" s="44"/>
      <c r="G4" s="43"/>
      <c r="H4" s="43"/>
      <c r="I4" s="81">
        <f t="shared" si="0"/>
        <v>0</v>
      </c>
      <c r="J4" s="89" t="e">
        <f t="shared" si="1"/>
        <v>#DIV/0!</v>
      </c>
    </row>
    <row r="5" spans="1:10" x14ac:dyDescent="0.2">
      <c r="A5" s="19" t="s">
        <v>16</v>
      </c>
      <c r="B5" s="44"/>
      <c r="C5" s="45"/>
      <c r="D5" s="44"/>
      <c r="E5" s="44"/>
      <c r="F5" s="44"/>
      <c r="G5" s="43"/>
      <c r="H5" s="43"/>
      <c r="I5" s="81">
        <f t="shared" si="0"/>
        <v>0</v>
      </c>
      <c r="J5" s="89" t="e">
        <f t="shared" si="1"/>
        <v>#DIV/0!</v>
      </c>
    </row>
    <row r="6" spans="1:10" x14ac:dyDescent="0.2">
      <c r="A6" s="19" t="s">
        <v>15</v>
      </c>
      <c r="B6" s="44"/>
      <c r="C6" s="45"/>
      <c r="D6" s="44"/>
      <c r="E6" s="44"/>
      <c r="F6" s="44"/>
      <c r="G6" s="43"/>
      <c r="H6" s="43"/>
      <c r="I6" s="81">
        <f t="shared" si="0"/>
        <v>0</v>
      </c>
      <c r="J6" s="89" t="e">
        <f t="shared" si="1"/>
        <v>#DIV/0!</v>
      </c>
    </row>
    <row r="7" spans="1:10" x14ac:dyDescent="0.2">
      <c r="A7" s="19" t="s">
        <v>14</v>
      </c>
      <c r="B7" s="44"/>
      <c r="C7" s="44"/>
      <c r="D7" s="44"/>
      <c r="E7" s="44"/>
      <c r="F7" s="44"/>
      <c r="G7" s="43"/>
      <c r="H7" s="43"/>
      <c r="I7" s="81">
        <f t="shared" si="0"/>
        <v>0</v>
      </c>
      <c r="J7" s="89" t="e">
        <f t="shared" si="1"/>
        <v>#DIV/0!</v>
      </c>
    </row>
    <row r="8" spans="1:10" x14ac:dyDescent="0.2">
      <c r="A8" s="19" t="s">
        <v>13</v>
      </c>
      <c r="B8" s="44"/>
      <c r="C8" s="44"/>
      <c r="D8" s="44"/>
      <c r="E8" s="44"/>
      <c r="F8" s="44"/>
      <c r="G8" s="43"/>
      <c r="H8" s="43"/>
      <c r="I8" s="81">
        <f t="shared" si="0"/>
        <v>0</v>
      </c>
      <c r="J8" s="89" t="e">
        <f t="shared" si="1"/>
        <v>#DIV/0!</v>
      </c>
    </row>
    <row r="9" spans="1:10" x14ac:dyDescent="0.2">
      <c r="A9" s="19" t="s">
        <v>2</v>
      </c>
      <c r="B9" s="44"/>
      <c r="C9" s="44"/>
      <c r="D9" s="44"/>
      <c r="E9" s="44"/>
      <c r="F9" s="44"/>
      <c r="G9" s="43"/>
      <c r="H9" s="43"/>
      <c r="I9" s="81">
        <f t="shared" si="0"/>
        <v>0</v>
      </c>
      <c r="J9" s="89" t="e">
        <f t="shared" si="1"/>
        <v>#DIV/0!</v>
      </c>
    </row>
    <row r="10" spans="1:10" x14ac:dyDescent="0.2">
      <c r="A10" s="19" t="s">
        <v>3</v>
      </c>
      <c r="B10" s="44"/>
      <c r="C10" s="44"/>
      <c r="D10" s="44"/>
      <c r="E10" s="44"/>
      <c r="F10" s="44"/>
      <c r="G10" s="43"/>
      <c r="H10" s="43"/>
      <c r="I10" s="81">
        <f t="shared" si="0"/>
        <v>0</v>
      </c>
      <c r="J10" s="89" t="e">
        <f t="shared" si="1"/>
        <v>#DIV/0!</v>
      </c>
    </row>
    <row r="11" spans="1:10" x14ac:dyDescent="0.2">
      <c r="A11" s="19" t="s">
        <v>12</v>
      </c>
      <c r="B11" s="44"/>
      <c r="C11" s="44"/>
      <c r="D11" s="44"/>
      <c r="E11" s="44"/>
      <c r="F11" s="44"/>
      <c r="G11" s="43"/>
      <c r="H11" s="43"/>
      <c r="I11" s="81">
        <f t="shared" si="0"/>
        <v>0</v>
      </c>
      <c r="J11" s="89" t="e">
        <f t="shared" si="1"/>
        <v>#DIV/0!</v>
      </c>
    </row>
    <row r="12" spans="1:10" x14ac:dyDescent="0.2">
      <c r="A12" s="19" t="s">
        <v>11</v>
      </c>
      <c r="B12" s="44"/>
      <c r="C12" s="44"/>
      <c r="D12" s="44"/>
      <c r="E12" s="44"/>
      <c r="F12" s="44"/>
      <c r="G12" s="43"/>
      <c r="H12" s="43"/>
      <c r="I12" s="81">
        <f t="shared" si="0"/>
        <v>0</v>
      </c>
      <c r="J12" s="89" t="e">
        <f t="shared" si="1"/>
        <v>#DIV/0!</v>
      </c>
    </row>
    <row r="13" spans="1:10" ht="19" thickBot="1" x14ac:dyDescent="0.25">
      <c r="A13" s="16" t="s">
        <v>10</v>
      </c>
      <c r="B13" s="42"/>
      <c r="C13" s="42"/>
      <c r="D13" s="42"/>
      <c r="E13" s="42"/>
      <c r="F13" s="42"/>
      <c r="G13" s="41"/>
      <c r="H13" s="41"/>
      <c r="I13" s="81">
        <f t="shared" si="0"/>
        <v>0</v>
      </c>
      <c r="J13" s="89" t="e">
        <f t="shared" si="1"/>
        <v>#DIV/0!</v>
      </c>
    </row>
    <row r="14" spans="1:10" ht="19" thickBot="1" x14ac:dyDescent="0.25">
      <c r="A14" s="13" t="s">
        <v>8</v>
      </c>
      <c r="B14" s="40">
        <f t="shared" ref="B14:G14" si="2">SUM(B2:B13)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39">
        <f t="shared" si="2"/>
        <v>0</v>
      </c>
      <c r="H14" s="39">
        <f t="shared" ref="H14" si="3">SUM(H2:H13)</f>
        <v>0</v>
      </c>
      <c r="I14" s="82">
        <f t="shared" ref="I14" si="4">G14-F14</f>
        <v>0</v>
      </c>
      <c r="J14" s="90" t="e">
        <f>(H14-G14)/G14</f>
        <v>#DIV/0!</v>
      </c>
    </row>
    <row r="15" spans="1:10" x14ac:dyDescent="0.2">
      <c r="A15" s="24" t="s">
        <v>4</v>
      </c>
      <c r="B15" s="23">
        <v>2019</v>
      </c>
      <c r="C15" s="23">
        <v>2020</v>
      </c>
      <c r="D15" s="23">
        <v>2021</v>
      </c>
      <c r="E15" s="23">
        <v>2022</v>
      </c>
      <c r="F15" s="23">
        <v>2023</v>
      </c>
      <c r="G15" s="22">
        <v>2024</v>
      </c>
      <c r="H15" s="22">
        <v>2025</v>
      </c>
      <c r="I15" s="127" t="s">
        <v>22</v>
      </c>
      <c r="J15" s="128"/>
    </row>
    <row r="16" spans="1:10" x14ac:dyDescent="0.2">
      <c r="A16" s="19" t="s">
        <v>19</v>
      </c>
      <c r="B16" s="37"/>
      <c r="C16" s="37"/>
      <c r="D16" s="37"/>
      <c r="E16" s="37"/>
      <c r="F16" s="37"/>
      <c r="G16" s="36"/>
      <c r="H16" s="36"/>
      <c r="I16" s="83">
        <f>H16-G16</f>
        <v>0</v>
      </c>
      <c r="J16" s="89" t="e">
        <f>(H16-G16)/G16</f>
        <v>#DIV/0!</v>
      </c>
    </row>
    <row r="17" spans="1:10" x14ac:dyDescent="0.2">
      <c r="A17" s="19" t="s">
        <v>18</v>
      </c>
      <c r="B17" s="37"/>
      <c r="C17" s="37"/>
      <c r="D17" s="37"/>
      <c r="E17" s="37"/>
      <c r="F17" s="37"/>
      <c r="G17" s="36"/>
      <c r="H17" s="36"/>
      <c r="I17" s="83">
        <f t="shared" ref="I17:I27" si="5">H17-G17</f>
        <v>0</v>
      </c>
      <c r="J17" s="89" t="e">
        <f t="shared" ref="J17:J27" si="6">(H17-G17)/G17</f>
        <v>#DIV/0!</v>
      </c>
    </row>
    <row r="18" spans="1:10" x14ac:dyDescent="0.2">
      <c r="A18" s="19" t="s">
        <v>17</v>
      </c>
      <c r="B18" s="37"/>
      <c r="C18" s="38"/>
      <c r="D18" s="37"/>
      <c r="E18" s="37"/>
      <c r="F18" s="37"/>
      <c r="G18" s="36"/>
      <c r="H18" s="36"/>
      <c r="I18" s="83">
        <f t="shared" si="5"/>
        <v>0</v>
      </c>
      <c r="J18" s="89" t="e">
        <f t="shared" si="6"/>
        <v>#DIV/0!</v>
      </c>
    </row>
    <row r="19" spans="1:10" x14ac:dyDescent="0.2">
      <c r="A19" s="19" t="s">
        <v>16</v>
      </c>
      <c r="B19" s="37"/>
      <c r="C19" s="38"/>
      <c r="D19" s="37"/>
      <c r="E19" s="37"/>
      <c r="F19" s="37"/>
      <c r="G19" s="36"/>
      <c r="H19" s="36"/>
      <c r="I19" s="83">
        <f t="shared" si="5"/>
        <v>0</v>
      </c>
      <c r="J19" s="89" t="e">
        <f t="shared" si="6"/>
        <v>#DIV/0!</v>
      </c>
    </row>
    <row r="20" spans="1:10" x14ac:dyDescent="0.2">
      <c r="A20" s="19" t="s">
        <v>15</v>
      </c>
      <c r="B20" s="37"/>
      <c r="C20" s="38"/>
      <c r="D20" s="37"/>
      <c r="E20" s="37"/>
      <c r="F20" s="37"/>
      <c r="G20" s="36"/>
      <c r="H20" s="36"/>
      <c r="I20" s="83">
        <f t="shared" si="5"/>
        <v>0</v>
      </c>
      <c r="J20" s="89" t="e">
        <f t="shared" si="6"/>
        <v>#DIV/0!</v>
      </c>
    </row>
    <row r="21" spans="1:10" x14ac:dyDescent="0.2">
      <c r="A21" s="19" t="s">
        <v>14</v>
      </c>
      <c r="B21" s="37"/>
      <c r="C21" s="37"/>
      <c r="D21" s="37"/>
      <c r="E21" s="37"/>
      <c r="F21" s="37"/>
      <c r="G21" s="36"/>
      <c r="H21" s="36"/>
      <c r="I21" s="83">
        <f t="shared" si="5"/>
        <v>0</v>
      </c>
      <c r="J21" s="89" t="e">
        <f t="shared" si="6"/>
        <v>#DIV/0!</v>
      </c>
    </row>
    <row r="22" spans="1:10" x14ac:dyDescent="0.2">
      <c r="A22" s="19" t="s">
        <v>13</v>
      </c>
      <c r="B22" s="37"/>
      <c r="C22" s="37"/>
      <c r="D22" s="37"/>
      <c r="E22" s="37"/>
      <c r="F22" s="37"/>
      <c r="G22" s="36"/>
      <c r="H22" s="36"/>
      <c r="I22" s="83">
        <f t="shared" si="5"/>
        <v>0</v>
      </c>
      <c r="J22" s="89" t="e">
        <f t="shared" si="6"/>
        <v>#DIV/0!</v>
      </c>
    </row>
    <row r="23" spans="1:10" x14ac:dyDescent="0.2">
      <c r="A23" s="19" t="s">
        <v>2</v>
      </c>
      <c r="B23" s="37"/>
      <c r="C23" s="37"/>
      <c r="D23" s="37"/>
      <c r="E23" s="37"/>
      <c r="F23" s="37"/>
      <c r="G23" s="36"/>
      <c r="H23" s="36"/>
      <c r="I23" s="83">
        <f t="shared" si="5"/>
        <v>0</v>
      </c>
      <c r="J23" s="89" t="e">
        <f t="shared" si="6"/>
        <v>#DIV/0!</v>
      </c>
    </row>
    <row r="24" spans="1:10" x14ac:dyDescent="0.2">
      <c r="A24" s="19" t="s">
        <v>3</v>
      </c>
      <c r="B24" s="37"/>
      <c r="C24" s="37"/>
      <c r="D24" s="37"/>
      <c r="E24" s="37"/>
      <c r="F24" s="37"/>
      <c r="G24" s="36"/>
      <c r="H24" s="36"/>
      <c r="I24" s="83">
        <f t="shared" si="5"/>
        <v>0</v>
      </c>
      <c r="J24" s="89" t="e">
        <f t="shared" si="6"/>
        <v>#DIV/0!</v>
      </c>
    </row>
    <row r="25" spans="1:10" x14ac:dyDescent="0.2">
      <c r="A25" s="19" t="s">
        <v>12</v>
      </c>
      <c r="B25" s="37"/>
      <c r="C25" s="37"/>
      <c r="D25" s="37"/>
      <c r="E25" s="37"/>
      <c r="F25" s="37"/>
      <c r="G25" s="36"/>
      <c r="H25" s="36"/>
      <c r="I25" s="83">
        <f t="shared" si="5"/>
        <v>0</v>
      </c>
      <c r="J25" s="89" t="e">
        <f t="shared" si="6"/>
        <v>#DIV/0!</v>
      </c>
    </row>
    <row r="26" spans="1:10" x14ac:dyDescent="0.2">
      <c r="A26" s="19" t="s">
        <v>11</v>
      </c>
      <c r="B26" s="37"/>
      <c r="C26" s="37"/>
      <c r="D26" s="37"/>
      <c r="E26" s="37"/>
      <c r="F26" s="37"/>
      <c r="G26" s="36"/>
      <c r="H26" s="36"/>
      <c r="I26" s="83">
        <f t="shared" si="5"/>
        <v>0</v>
      </c>
      <c r="J26" s="89" t="e">
        <f t="shared" si="6"/>
        <v>#DIV/0!</v>
      </c>
    </row>
    <row r="27" spans="1:10" ht="19" thickBot="1" x14ac:dyDescent="0.25">
      <c r="A27" s="16" t="s">
        <v>10</v>
      </c>
      <c r="B27" s="35"/>
      <c r="C27" s="35"/>
      <c r="D27" s="35"/>
      <c r="E27" s="35"/>
      <c r="F27" s="35"/>
      <c r="G27" s="34"/>
      <c r="H27" s="34"/>
      <c r="I27" s="83">
        <f t="shared" si="5"/>
        <v>0</v>
      </c>
      <c r="J27" s="89" t="e">
        <f t="shared" si="6"/>
        <v>#DIV/0!</v>
      </c>
    </row>
    <row r="28" spans="1:10" ht="19" thickBot="1" x14ac:dyDescent="0.25">
      <c r="A28" s="13" t="s">
        <v>8</v>
      </c>
      <c r="B28" s="33">
        <f t="shared" ref="B28:G28" si="7">SUM(B16:B27)</f>
        <v>0</v>
      </c>
      <c r="C28" s="33">
        <f t="shared" si="7"/>
        <v>0</v>
      </c>
      <c r="D28" s="33">
        <f t="shared" si="7"/>
        <v>0</v>
      </c>
      <c r="E28" s="33">
        <f t="shared" si="7"/>
        <v>0</v>
      </c>
      <c r="F28" s="33">
        <f t="shared" si="7"/>
        <v>0</v>
      </c>
      <c r="G28" s="32">
        <f t="shared" si="7"/>
        <v>0</v>
      </c>
      <c r="H28" s="32">
        <f t="shared" ref="H28" si="8">SUM(H16:H27)</f>
        <v>0</v>
      </c>
      <c r="I28" s="84">
        <f t="shared" ref="I28" si="9">G28-F28</f>
        <v>0</v>
      </c>
      <c r="J28" s="90" t="e">
        <f>(H28-G28)/G28</f>
        <v>#DIV/0!</v>
      </c>
    </row>
    <row r="29" spans="1:10" x14ac:dyDescent="0.2">
      <c r="A29" s="24" t="s">
        <v>6</v>
      </c>
      <c r="B29" s="23">
        <v>2019</v>
      </c>
      <c r="C29" s="23">
        <v>2020</v>
      </c>
      <c r="D29" s="23">
        <v>2021</v>
      </c>
      <c r="E29" s="23">
        <v>2022</v>
      </c>
      <c r="F29" s="23">
        <v>2023</v>
      </c>
      <c r="G29" s="22">
        <v>2024</v>
      </c>
      <c r="H29" s="22">
        <v>2025</v>
      </c>
      <c r="I29" s="127" t="s">
        <v>22</v>
      </c>
      <c r="J29" s="128"/>
    </row>
    <row r="30" spans="1:10" x14ac:dyDescent="0.2">
      <c r="A30" s="19" t="s">
        <v>19</v>
      </c>
      <c r="B30" s="30"/>
      <c r="C30" s="30"/>
      <c r="D30" s="30"/>
      <c r="E30" s="30"/>
      <c r="F30" s="30"/>
      <c r="G30" s="29"/>
      <c r="H30" s="29"/>
      <c r="I30" s="85">
        <f>H30-G30</f>
        <v>0</v>
      </c>
      <c r="J30" s="89" t="e">
        <f>(H30-G30)/G30</f>
        <v>#DIV/0!</v>
      </c>
    </row>
    <row r="31" spans="1:10" x14ac:dyDescent="0.2">
      <c r="A31" s="19" t="s">
        <v>18</v>
      </c>
      <c r="B31" s="30"/>
      <c r="C31" s="30"/>
      <c r="D31" s="30"/>
      <c r="E31" s="30"/>
      <c r="F31" s="30"/>
      <c r="G31" s="29"/>
      <c r="H31" s="29"/>
      <c r="I31" s="85">
        <f t="shared" ref="I31:I41" si="10">H31-G31</f>
        <v>0</v>
      </c>
      <c r="J31" s="89" t="e">
        <f t="shared" ref="J31:J41" si="11">(H31-G31)/G31</f>
        <v>#DIV/0!</v>
      </c>
    </row>
    <row r="32" spans="1:10" x14ac:dyDescent="0.2">
      <c r="A32" s="19" t="s">
        <v>17</v>
      </c>
      <c r="B32" s="30"/>
      <c r="C32" s="31"/>
      <c r="D32" s="30"/>
      <c r="E32" s="30"/>
      <c r="F32" s="30"/>
      <c r="G32" s="29"/>
      <c r="H32" s="29"/>
      <c r="I32" s="85">
        <f t="shared" si="10"/>
        <v>0</v>
      </c>
      <c r="J32" s="89" t="e">
        <f t="shared" si="11"/>
        <v>#DIV/0!</v>
      </c>
    </row>
    <row r="33" spans="1:10" x14ac:dyDescent="0.2">
      <c r="A33" s="19" t="s">
        <v>16</v>
      </c>
      <c r="B33" s="30"/>
      <c r="C33" s="31"/>
      <c r="D33" s="30"/>
      <c r="E33" s="30"/>
      <c r="F33" s="30"/>
      <c r="G33" s="29"/>
      <c r="H33" s="29"/>
      <c r="I33" s="85">
        <f t="shared" si="10"/>
        <v>0</v>
      </c>
      <c r="J33" s="89" t="e">
        <f t="shared" si="11"/>
        <v>#DIV/0!</v>
      </c>
    </row>
    <row r="34" spans="1:10" x14ac:dyDescent="0.2">
      <c r="A34" s="19" t="s">
        <v>15</v>
      </c>
      <c r="B34" s="30"/>
      <c r="C34" s="31"/>
      <c r="D34" s="30"/>
      <c r="E34" s="30"/>
      <c r="F34" s="30"/>
      <c r="G34" s="29"/>
      <c r="H34" s="29"/>
      <c r="I34" s="85">
        <f t="shared" si="10"/>
        <v>0</v>
      </c>
      <c r="J34" s="89" t="e">
        <f t="shared" si="11"/>
        <v>#DIV/0!</v>
      </c>
    </row>
    <row r="35" spans="1:10" x14ac:dyDescent="0.2">
      <c r="A35" s="19" t="s">
        <v>14</v>
      </c>
      <c r="B35" s="30"/>
      <c r="C35" s="30"/>
      <c r="D35" s="30"/>
      <c r="E35" s="30"/>
      <c r="F35" s="30"/>
      <c r="G35" s="29"/>
      <c r="H35" s="29"/>
      <c r="I35" s="85">
        <f t="shared" si="10"/>
        <v>0</v>
      </c>
      <c r="J35" s="89" t="e">
        <f t="shared" si="11"/>
        <v>#DIV/0!</v>
      </c>
    </row>
    <row r="36" spans="1:10" x14ac:dyDescent="0.2">
      <c r="A36" s="19" t="s">
        <v>13</v>
      </c>
      <c r="B36" s="30"/>
      <c r="C36" s="30"/>
      <c r="D36" s="30"/>
      <c r="E36" s="30"/>
      <c r="F36" s="30"/>
      <c r="G36" s="29"/>
      <c r="H36" s="29"/>
      <c r="I36" s="85">
        <f t="shared" si="10"/>
        <v>0</v>
      </c>
      <c r="J36" s="89" t="e">
        <f t="shared" si="11"/>
        <v>#DIV/0!</v>
      </c>
    </row>
    <row r="37" spans="1:10" x14ac:dyDescent="0.2">
      <c r="A37" s="19" t="s">
        <v>2</v>
      </c>
      <c r="B37" s="30"/>
      <c r="C37" s="30"/>
      <c r="D37" s="30"/>
      <c r="E37" s="30"/>
      <c r="F37" s="30"/>
      <c r="G37" s="29"/>
      <c r="H37" s="29"/>
      <c r="I37" s="85">
        <f t="shared" si="10"/>
        <v>0</v>
      </c>
      <c r="J37" s="89" t="e">
        <f t="shared" si="11"/>
        <v>#DIV/0!</v>
      </c>
    </row>
    <row r="38" spans="1:10" x14ac:dyDescent="0.2">
      <c r="A38" s="19" t="s">
        <v>3</v>
      </c>
      <c r="B38" s="30"/>
      <c r="C38" s="30"/>
      <c r="D38" s="30"/>
      <c r="E38" s="30"/>
      <c r="F38" s="30"/>
      <c r="G38" s="29"/>
      <c r="H38" s="29"/>
      <c r="I38" s="85">
        <f t="shared" si="10"/>
        <v>0</v>
      </c>
      <c r="J38" s="89" t="e">
        <f t="shared" si="11"/>
        <v>#DIV/0!</v>
      </c>
    </row>
    <row r="39" spans="1:10" x14ac:dyDescent="0.2">
      <c r="A39" s="19" t="s">
        <v>12</v>
      </c>
      <c r="B39" s="30"/>
      <c r="C39" s="30"/>
      <c r="D39" s="30"/>
      <c r="E39" s="30"/>
      <c r="F39" s="30"/>
      <c r="G39" s="29"/>
      <c r="H39" s="29"/>
      <c r="I39" s="85">
        <f t="shared" si="10"/>
        <v>0</v>
      </c>
      <c r="J39" s="89" t="e">
        <f t="shared" si="11"/>
        <v>#DIV/0!</v>
      </c>
    </row>
    <row r="40" spans="1:10" x14ac:dyDescent="0.2">
      <c r="A40" s="19" t="s">
        <v>11</v>
      </c>
      <c r="B40" s="30"/>
      <c r="C40" s="30"/>
      <c r="D40" s="30"/>
      <c r="E40" s="30"/>
      <c r="F40" s="30"/>
      <c r="G40" s="29"/>
      <c r="H40" s="29"/>
      <c r="I40" s="85">
        <f t="shared" si="10"/>
        <v>0</v>
      </c>
      <c r="J40" s="89" t="e">
        <f t="shared" si="11"/>
        <v>#DIV/0!</v>
      </c>
    </row>
    <row r="41" spans="1:10" ht="19" thickBot="1" x14ac:dyDescent="0.25">
      <c r="A41" s="16" t="s">
        <v>10</v>
      </c>
      <c r="B41" s="28"/>
      <c r="C41" s="28"/>
      <c r="D41" s="28"/>
      <c r="E41" s="28"/>
      <c r="F41" s="28"/>
      <c r="G41" s="27"/>
      <c r="H41" s="27"/>
      <c r="I41" s="85">
        <f t="shared" si="10"/>
        <v>0</v>
      </c>
      <c r="J41" s="89" t="e">
        <f t="shared" si="11"/>
        <v>#DIV/0!</v>
      </c>
    </row>
    <row r="42" spans="1:10" ht="19" thickBot="1" x14ac:dyDescent="0.25">
      <c r="A42" s="13" t="s">
        <v>9</v>
      </c>
      <c r="B42" s="26">
        <f t="shared" ref="B42:G42" si="12">SUM(B30:B41)/12</f>
        <v>0</v>
      </c>
      <c r="C42" s="26">
        <f t="shared" si="12"/>
        <v>0</v>
      </c>
      <c r="D42" s="26">
        <f t="shared" si="12"/>
        <v>0</v>
      </c>
      <c r="E42" s="26">
        <f t="shared" si="12"/>
        <v>0</v>
      </c>
      <c r="F42" s="26">
        <f t="shared" si="12"/>
        <v>0</v>
      </c>
      <c r="G42" s="25">
        <f t="shared" si="12"/>
        <v>0</v>
      </c>
      <c r="H42" s="25">
        <f t="shared" ref="H42" si="13">SUM(H30:H41)/12</f>
        <v>0</v>
      </c>
      <c r="I42" s="86">
        <f t="shared" ref="I42" si="14">G42-F42</f>
        <v>0</v>
      </c>
      <c r="J42" s="90" t="e">
        <f>(H42-G42)/G42</f>
        <v>#DIV/0!</v>
      </c>
    </row>
    <row r="43" spans="1:10" x14ac:dyDescent="0.2">
      <c r="A43" s="24" t="s">
        <v>5</v>
      </c>
      <c r="B43" s="23">
        <v>2019</v>
      </c>
      <c r="C43" s="23">
        <v>2020</v>
      </c>
      <c r="D43" s="23">
        <v>2021</v>
      </c>
      <c r="E43" s="23">
        <v>2022</v>
      </c>
      <c r="F43" s="23">
        <v>2023</v>
      </c>
      <c r="G43" s="22">
        <v>2024</v>
      </c>
      <c r="H43" s="22">
        <v>2025</v>
      </c>
      <c r="I43" s="127" t="s">
        <v>22</v>
      </c>
      <c r="J43" s="128"/>
    </row>
    <row r="44" spans="1:10" x14ac:dyDescent="0.2">
      <c r="A44" s="19" t="s">
        <v>19</v>
      </c>
      <c r="B44" s="18"/>
      <c r="C44" s="18" t="e">
        <f t="shared" ref="C44:G46" si="15">C2/C16</f>
        <v>#DIV/0!</v>
      </c>
      <c r="D44" s="18" t="e">
        <f t="shared" si="15"/>
        <v>#DIV/0!</v>
      </c>
      <c r="E44" s="18" t="e">
        <f t="shared" si="15"/>
        <v>#DIV/0!</v>
      </c>
      <c r="F44" s="18" t="e">
        <f t="shared" si="15"/>
        <v>#DIV/0!</v>
      </c>
      <c r="G44" s="17" t="e">
        <f t="shared" si="15"/>
        <v>#DIV/0!</v>
      </c>
      <c r="H44" s="17" t="e">
        <f t="shared" ref="H44" si="16">H2/H16</f>
        <v>#DIV/0!</v>
      </c>
      <c r="I44" s="87" t="e">
        <f>H44-G44</f>
        <v>#DIV/0!</v>
      </c>
      <c r="J44" s="89" t="e">
        <f>(H44-G44)/G44</f>
        <v>#DIV/0!</v>
      </c>
    </row>
    <row r="45" spans="1:10" x14ac:dyDescent="0.2">
      <c r="A45" s="19" t="s">
        <v>18</v>
      </c>
      <c r="B45" s="18"/>
      <c r="C45" s="18" t="e">
        <f t="shared" si="15"/>
        <v>#DIV/0!</v>
      </c>
      <c r="D45" s="18" t="e">
        <f t="shared" si="15"/>
        <v>#DIV/0!</v>
      </c>
      <c r="E45" s="18" t="e">
        <f t="shared" si="15"/>
        <v>#DIV/0!</v>
      </c>
      <c r="F45" s="18" t="e">
        <f t="shared" si="15"/>
        <v>#DIV/0!</v>
      </c>
      <c r="G45" s="17" t="e">
        <f t="shared" si="15"/>
        <v>#DIV/0!</v>
      </c>
      <c r="H45" s="17" t="e">
        <f>H3/H17</f>
        <v>#DIV/0!</v>
      </c>
      <c r="I45" s="87" t="e">
        <f t="shared" ref="I45:I55" si="17">H45-G45</f>
        <v>#DIV/0!</v>
      </c>
      <c r="J45" s="89" t="e">
        <f t="shared" ref="J45:J55" si="18">(H45-G45)/G45</f>
        <v>#DIV/0!</v>
      </c>
    </row>
    <row r="46" spans="1:10" x14ac:dyDescent="0.2">
      <c r="A46" s="19" t="s">
        <v>17</v>
      </c>
      <c r="B46" s="18"/>
      <c r="C46" s="21" t="e">
        <f t="shared" si="15"/>
        <v>#DIV/0!</v>
      </c>
      <c r="D46" s="18" t="e">
        <f t="shared" si="15"/>
        <v>#DIV/0!</v>
      </c>
      <c r="E46" s="18" t="e">
        <f t="shared" si="15"/>
        <v>#DIV/0!</v>
      </c>
      <c r="F46" s="18" t="e">
        <f t="shared" si="15"/>
        <v>#DIV/0!</v>
      </c>
      <c r="G46" s="17" t="e">
        <f t="shared" si="15"/>
        <v>#DIV/0!</v>
      </c>
      <c r="H46" s="17" t="e">
        <f>H4/H18</f>
        <v>#DIV/0!</v>
      </c>
      <c r="I46" s="87" t="e">
        <f t="shared" si="17"/>
        <v>#DIV/0!</v>
      </c>
      <c r="J46" s="89" t="e">
        <f t="shared" si="18"/>
        <v>#DIV/0!</v>
      </c>
    </row>
    <row r="47" spans="1:10" x14ac:dyDescent="0.2">
      <c r="A47" s="19" t="s">
        <v>16</v>
      </c>
      <c r="B47" s="18"/>
      <c r="C47" s="20">
        <v>0</v>
      </c>
      <c r="D47" s="18" t="e">
        <f t="shared" ref="D47:G55" si="19">D5/D19</f>
        <v>#DIV/0!</v>
      </c>
      <c r="E47" s="18" t="e">
        <f t="shared" si="19"/>
        <v>#DIV/0!</v>
      </c>
      <c r="F47" s="18" t="e">
        <f t="shared" si="19"/>
        <v>#DIV/0!</v>
      </c>
      <c r="G47" s="17" t="e">
        <f t="shared" si="19"/>
        <v>#DIV/0!</v>
      </c>
      <c r="H47" s="17" t="e">
        <f t="shared" ref="H47" si="20">H5/H19</f>
        <v>#DIV/0!</v>
      </c>
      <c r="I47" s="87" t="e">
        <f t="shared" si="17"/>
        <v>#DIV/0!</v>
      </c>
      <c r="J47" s="89" t="e">
        <f t="shared" si="18"/>
        <v>#DIV/0!</v>
      </c>
    </row>
    <row r="48" spans="1:10" x14ac:dyDescent="0.2">
      <c r="A48" s="19" t="s">
        <v>15</v>
      </c>
      <c r="B48" s="18"/>
      <c r="C48" s="20">
        <v>0</v>
      </c>
      <c r="D48" s="18" t="e">
        <f t="shared" si="19"/>
        <v>#DIV/0!</v>
      </c>
      <c r="E48" s="18" t="e">
        <f t="shared" si="19"/>
        <v>#DIV/0!</v>
      </c>
      <c r="F48" s="18" t="e">
        <f t="shared" si="19"/>
        <v>#DIV/0!</v>
      </c>
      <c r="G48" s="17" t="e">
        <f t="shared" si="19"/>
        <v>#DIV/0!</v>
      </c>
      <c r="H48" s="17" t="e">
        <f t="shared" ref="H48" si="21">H6/H20</f>
        <v>#DIV/0!</v>
      </c>
      <c r="I48" s="87" t="e">
        <f t="shared" si="17"/>
        <v>#DIV/0!</v>
      </c>
      <c r="J48" s="89" t="e">
        <f t="shared" si="18"/>
        <v>#DIV/0!</v>
      </c>
    </row>
    <row r="49" spans="1:10" x14ac:dyDescent="0.2">
      <c r="A49" s="19" t="s">
        <v>14</v>
      </c>
      <c r="B49" s="18"/>
      <c r="C49" s="18">
        <v>0</v>
      </c>
      <c r="D49" s="18" t="e">
        <f t="shared" si="19"/>
        <v>#DIV/0!</v>
      </c>
      <c r="E49" s="18" t="e">
        <f t="shared" si="19"/>
        <v>#DIV/0!</v>
      </c>
      <c r="F49" s="18" t="e">
        <f t="shared" si="19"/>
        <v>#DIV/0!</v>
      </c>
      <c r="G49" s="17" t="e">
        <f t="shared" si="19"/>
        <v>#DIV/0!</v>
      </c>
      <c r="H49" s="17" t="e">
        <f t="shared" ref="H49" si="22">H7/H21</f>
        <v>#DIV/0!</v>
      </c>
      <c r="I49" s="87" t="e">
        <f t="shared" si="17"/>
        <v>#DIV/0!</v>
      </c>
      <c r="J49" s="89" t="e">
        <f t="shared" si="18"/>
        <v>#DIV/0!</v>
      </c>
    </row>
    <row r="50" spans="1:10" x14ac:dyDescent="0.2">
      <c r="A50" s="19" t="s">
        <v>13</v>
      </c>
      <c r="B50" s="18"/>
      <c r="C50" s="18">
        <v>0</v>
      </c>
      <c r="D50" s="18" t="e">
        <f t="shared" si="19"/>
        <v>#DIV/0!</v>
      </c>
      <c r="E50" s="18" t="e">
        <f t="shared" si="19"/>
        <v>#DIV/0!</v>
      </c>
      <c r="F50" s="18" t="e">
        <f t="shared" si="19"/>
        <v>#DIV/0!</v>
      </c>
      <c r="G50" s="17" t="e">
        <f t="shared" si="19"/>
        <v>#DIV/0!</v>
      </c>
      <c r="H50" s="17" t="e">
        <f t="shared" ref="H50" si="23">H8/H22</f>
        <v>#DIV/0!</v>
      </c>
      <c r="I50" s="87" t="e">
        <f t="shared" si="17"/>
        <v>#DIV/0!</v>
      </c>
      <c r="J50" s="89" t="e">
        <f t="shared" si="18"/>
        <v>#DIV/0!</v>
      </c>
    </row>
    <row r="51" spans="1:10" x14ac:dyDescent="0.2">
      <c r="A51" s="19" t="s">
        <v>2</v>
      </c>
      <c r="B51" s="18"/>
      <c r="C51" s="18" t="e">
        <f>C9/C23</f>
        <v>#DIV/0!</v>
      </c>
      <c r="D51" s="18" t="e">
        <f t="shared" si="19"/>
        <v>#DIV/0!</v>
      </c>
      <c r="E51" s="18" t="e">
        <f t="shared" si="19"/>
        <v>#DIV/0!</v>
      </c>
      <c r="F51" s="18" t="e">
        <f t="shared" si="19"/>
        <v>#DIV/0!</v>
      </c>
      <c r="G51" s="17" t="e">
        <f t="shared" si="19"/>
        <v>#DIV/0!</v>
      </c>
      <c r="H51" s="17" t="e">
        <f t="shared" ref="H51" si="24">H9/H23</f>
        <v>#DIV/0!</v>
      </c>
      <c r="I51" s="87" t="e">
        <f t="shared" si="17"/>
        <v>#DIV/0!</v>
      </c>
      <c r="J51" s="89" t="e">
        <f t="shared" si="18"/>
        <v>#DIV/0!</v>
      </c>
    </row>
    <row r="52" spans="1:10" x14ac:dyDescent="0.2">
      <c r="A52" s="19" t="s">
        <v>3</v>
      </c>
      <c r="B52" s="18"/>
      <c r="C52" s="18" t="e">
        <f>C10/C24</f>
        <v>#DIV/0!</v>
      </c>
      <c r="D52" s="18" t="e">
        <f t="shared" si="19"/>
        <v>#DIV/0!</v>
      </c>
      <c r="E52" s="18" t="e">
        <f t="shared" si="19"/>
        <v>#DIV/0!</v>
      </c>
      <c r="F52" s="18" t="e">
        <f t="shared" si="19"/>
        <v>#DIV/0!</v>
      </c>
      <c r="G52" s="17" t="e">
        <f t="shared" si="19"/>
        <v>#DIV/0!</v>
      </c>
      <c r="H52" s="17" t="e">
        <f t="shared" ref="H52" si="25">H10/H24</f>
        <v>#DIV/0!</v>
      </c>
      <c r="I52" s="87" t="e">
        <f t="shared" si="17"/>
        <v>#DIV/0!</v>
      </c>
      <c r="J52" s="89" t="e">
        <f t="shared" si="18"/>
        <v>#DIV/0!</v>
      </c>
    </row>
    <row r="53" spans="1:10" x14ac:dyDescent="0.2">
      <c r="A53" s="19" t="s">
        <v>12</v>
      </c>
      <c r="B53" s="18"/>
      <c r="C53" s="18" t="e">
        <f>C11/C25</f>
        <v>#DIV/0!</v>
      </c>
      <c r="D53" s="18" t="e">
        <f t="shared" si="19"/>
        <v>#DIV/0!</v>
      </c>
      <c r="E53" s="18" t="e">
        <f t="shared" si="19"/>
        <v>#DIV/0!</v>
      </c>
      <c r="F53" s="18" t="e">
        <f t="shared" si="19"/>
        <v>#DIV/0!</v>
      </c>
      <c r="G53" s="17" t="e">
        <f t="shared" si="19"/>
        <v>#DIV/0!</v>
      </c>
      <c r="H53" s="17" t="e">
        <f t="shared" ref="H53" si="26">H11/H25</f>
        <v>#DIV/0!</v>
      </c>
      <c r="I53" s="87" t="e">
        <f t="shared" si="17"/>
        <v>#DIV/0!</v>
      </c>
      <c r="J53" s="89" t="e">
        <f t="shared" si="18"/>
        <v>#DIV/0!</v>
      </c>
    </row>
    <row r="54" spans="1:10" x14ac:dyDescent="0.2">
      <c r="A54" s="19" t="s">
        <v>11</v>
      </c>
      <c r="B54" s="18"/>
      <c r="C54" s="18" t="e">
        <f>C12/C26</f>
        <v>#DIV/0!</v>
      </c>
      <c r="D54" s="18" t="e">
        <f t="shared" si="19"/>
        <v>#DIV/0!</v>
      </c>
      <c r="E54" s="18" t="e">
        <f t="shared" si="19"/>
        <v>#DIV/0!</v>
      </c>
      <c r="F54" s="18" t="e">
        <f t="shared" si="19"/>
        <v>#DIV/0!</v>
      </c>
      <c r="G54" s="17" t="e">
        <f t="shared" si="19"/>
        <v>#DIV/0!</v>
      </c>
      <c r="H54" s="17" t="e">
        <f t="shared" ref="H54" si="27">H12/H26</f>
        <v>#DIV/0!</v>
      </c>
      <c r="I54" s="87" t="e">
        <f t="shared" si="17"/>
        <v>#DIV/0!</v>
      </c>
      <c r="J54" s="89" t="e">
        <f t="shared" si="18"/>
        <v>#DIV/0!</v>
      </c>
    </row>
    <row r="55" spans="1:10" ht="19" thickBot="1" x14ac:dyDescent="0.25">
      <c r="A55" s="16" t="s">
        <v>10</v>
      </c>
      <c r="B55" s="15" t="e">
        <f>B13/B27</f>
        <v>#DIV/0!</v>
      </c>
      <c r="C55" s="15" t="e">
        <f>C13/C27</f>
        <v>#DIV/0!</v>
      </c>
      <c r="D55" s="15" t="e">
        <f t="shared" si="19"/>
        <v>#DIV/0!</v>
      </c>
      <c r="E55" s="15" t="e">
        <f t="shared" si="19"/>
        <v>#DIV/0!</v>
      </c>
      <c r="F55" s="15" t="e">
        <f t="shared" si="19"/>
        <v>#DIV/0!</v>
      </c>
      <c r="G55" s="14" t="e">
        <f t="shared" si="19"/>
        <v>#DIV/0!</v>
      </c>
      <c r="H55" s="14" t="e">
        <f t="shared" ref="H55" si="28">H13/H27</f>
        <v>#DIV/0!</v>
      </c>
      <c r="I55" s="87" t="e">
        <f t="shared" si="17"/>
        <v>#DIV/0!</v>
      </c>
      <c r="J55" s="89" t="e">
        <f t="shared" si="18"/>
        <v>#DIV/0!</v>
      </c>
    </row>
    <row r="56" spans="1:10" ht="19" thickBot="1" x14ac:dyDescent="0.25">
      <c r="A56" s="13" t="s">
        <v>9</v>
      </c>
      <c r="B56" s="12" t="e">
        <f t="shared" ref="B56:G56" si="29">SUM(B44:B55)/12</f>
        <v>#DIV/0!</v>
      </c>
      <c r="C56" s="12" t="e">
        <f t="shared" si="29"/>
        <v>#DIV/0!</v>
      </c>
      <c r="D56" s="12" t="e">
        <f t="shared" si="29"/>
        <v>#DIV/0!</v>
      </c>
      <c r="E56" s="12" t="e">
        <f t="shared" si="29"/>
        <v>#DIV/0!</v>
      </c>
      <c r="F56" s="12" t="e">
        <f t="shared" si="29"/>
        <v>#DIV/0!</v>
      </c>
      <c r="G56" s="11" t="e">
        <f t="shared" si="29"/>
        <v>#DIV/0!</v>
      </c>
      <c r="H56" s="11" t="e">
        <f t="shared" ref="H56" si="30">SUM(H44:H55)/12</f>
        <v>#DIV/0!</v>
      </c>
      <c r="I56" s="88" t="e">
        <f t="shared" ref="I56" si="31">G56-F56</f>
        <v>#DIV/0!</v>
      </c>
      <c r="J56" s="90" t="e">
        <f>(H56-G56)/G56</f>
        <v>#DIV/0!</v>
      </c>
    </row>
    <row r="59" spans="1:10" x14ac:dyDescent="0.2">
      <c r="D59" s="10"/>
      <c r="E59"/>
      <c r="F59" s="10"/>
      <c r="G59"/>
      <c r="H59"/>
      <c r="I59" s="10"/>
      <c r="J59" s="10"/>
    </row>
    <row r="60" spans="1:10" x14ac:dyDescent="0.2">
      <c r="D60"/>
      <c r="E60"/>
      <c r="F60"/>
      <c r="G60"/>
      <c r="H60"/>
      <c r="I60"/>
      <c r="J60"/>
    </row>
    <row r="61" spans="1:10" x14ac:dyDescent="0.2">
      <c r="D61" s="10"/>
      <c r="E61"/>
      <c r="F61" s="10"/>
      <c r="G61"/>
      <c r="H61"/>
      <c r="I61" s="10"/>
      <c r="J61" s="10"/>
    </row>
    <row r="62" spans="1:10" x14ac:dyDescent="0.2">
      <c r="D62" s="10"/>
      <c r="E62"/>
      <c r="F62" s="10"/>
      <c r="G62"/>
      <c r="H62"/>
      <c r="I62" s="10"/>
      <c r="J62" s="10"/>
    </row>
    <row r="63" spans="1:10" x14ac:dyDescent="0.2">
      <c r="D63" s="10"/>
      <c r="E63"/>
      <c r="F63" s="10"/>
      <c r="G63"/>
      <c r="H63"/>
      <c r="I63" s="10"/>
      <c r="J63" s="10"/>
    </row>
    <row r="64" spans="1:10" x14ac:dyDescent="0.2">
      <c r="D64" s="10"/>
      <c r="E64"/>
      <c r="F64" s="10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ignoredErrors>
    <ignoredError sqref="I31:I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2026-08-14T07:33:25Z</dcterms:modified>
</cp:coreProperties>
</file>