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ropbox/Roomsonline 2024/Mziki/Revenue Reports | Mziki/"/>
    </mc:Choice>
  </mc:AlternateContent>
  <xr:revisionPtr revIDLastSave="0" documentId="13_ncr:1_{00F74D9F-E492-DB45-88EA-D6ACAFD22B43}" xr6:coauthVersionLast="47" xr6:coauthVersionMax="47" xr10:uidLastSave="{00000000-0000-0000-0000-000000000000}"/>
  <bookViews>
    <workbookView xWindow="12000" yWindow="500" windowWidth="16800" windowHeight="15800" xr2:uid="{529B9ECD-34EE-5444-862A-AF4A04B83C61}"/>
  </bookViews>
  <sheets>
    <sheet name="OTB R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4" i="1"/>
  <c r="J25" i="1"/>
  <c r="J26" i="1"/>
  <c r="J27" i="1"/>
  <c r="J28" i="1"/>
  <c r="J22" i="1"/>
  <c r="V19" i="1"/>
  <c r="U19" i="1"/>
  <c r="T19" i="1"/>
  <c r="S19" i="1"/>
  <c r="R19" i="1"/>
  <c r="V18" i="1"/>
  <c r="U18" i="1"/>
  <c r="T18" i="1"/>
  <c r="S18" i="1"/>
  <c r="R18" i="1"/>
  <c r="V17" i="1"/>
  <c r="U17" i="1"/>
  <c r="T17" i="1"/>
  <c r="S17" i="1"/>
  <c r="R17" i="1"/>
  <c r="V16" i="1"/>
  <c r="U16" i="1"/>
  <c r="T16" i="1"/>
  <c r="S16" i="1"/>
  <c r="R16" i="1"/>
  <c r="V15" i="1"/>
  <c r="U15" i="1"/>
  <c r="T15" i="1"/>
  <c r="S15" i="1"/>
  <c r="R15" i="1"/>
  <c r="V14" i="1"/>
  <c r="U14" i="1"/>
  <c r="T14" i="1"/>
  <c r="S14" i="1"/>
  <c r="R14" i="1"/>
  <c r="V13" i="1"/>
  <c r="U13" i="1"/>
  <c r="T13" i="1"/>
  <c r="S13" i="1"/>
  <c r="R13" i="1"/>
  <c r="D9" i="1" l="1"/>
  <c r="K9" i="1"/>
  <c r="K14" i="1"/>
  <c r="I15" i="1"/>
  <c r="D19" i="1"/>
  <c r="H19" i="1"/>
  <c r="H18" i="1"/>
  <c r="H17" i="1"/>
  <c r="H16" i="1"/>
  <c r="H15" i="1"/>
  <c r="H14" i="1"/>
  <c r="H13" i="1"/>
  <c r="C28" i="1"/>
  <c r="C27" i="1"/>
  <c r="C26" i="1"/>
  <c r="C25" i="1"/>
  <c r="C24" i="1"/>
  <c r="C23" i="1"/>
  <c r="C22" i="1"/>
  <c r="C10" i="1"/>
  <c r="E28" i="1"/>
  <c r="E27" i="1"/>
  <c r="B27" i="1"/>
  <c r="I27" i="1" s="1"/>
  <c r="J18" i="1"/>
  <c r="G18" i="1"/>
  <c r="K18" i="1" s="1"/>
  <c r="F18" i="1"/>
  <c r="D18" i="1"/>
  <c r="K8" i="1"/>
  <c r="G8" i="1"/>
  <c r="H8" i="1" s="1"/>
  <c r="F8" i="1"/>
  <c r="D8" i="1"/>
  <c r="J10" i="1"/>
  <c r="I10" i="1"/>
  <c r="K6" i="1"/>
  <c r="K7" i="1"/>
  <c r="K5" i="1"/>
  <c r="K4" i="1"/>
  <c r="K3" i="1"/>
  <c r="J19" i="1"/>
  <c r="G19" i="1"/>
  <c r="I19" i="1" s="1"/>
  <c r="E26" i="1"/>
  <c r="B26" i="1"/>
  <c r="F26" i="1" s="1"/>
  <c r="J17" i="1"/>
  <c r="G17" i="1"/>
  <c r="K17" i="1" s="1"/>
  <c r="F17" i="1"/>
  <c r="D17" i="1"/>
  <c r="G7" i="1"/>
  <c r="H7" i="1" s="1"/>
  <c r="F7" i="1"/>
  <c r="D7" i="1"/>
  <c r="E25" i="1"/>
  <c r="B25" i="1"/>
  <c r="I25" i="1" s="1"/>
  <c r="J16" i="1"/>
  <c r="G16" i="1"/>
  <c r="K16" i="1" s="1"/>
  <c r="F16" i="1"/>
  <c r="D16" i="1"/>
  <c r="G6" i="1"/>
  <c r="H6" i="1" s="1"/>
  <c r="F6" i="1"/>
  <c r="D6" i="1"/>
  <c r="E24" i="1"/>
  <c r="B24" i="1"/>
  <c r="I24" i="1" s="1"/>
  <c r="J15" i="1"/>
  <c r="G15" i="1"/>
  <c r="K15" i="1" s="1"/>
  <c r="F15" i="1"/>
  <c r="D15" i="1"/>
  <c r="G5" i="1"/>
  <c r="H5" i="1" s="1"/>
  <c r="F5" i="1"/>
  <c r="D5" i="1"/>
  <c r="J13" i="1"/>
  <c r="J14" i="1"/>
  <c r="G14" i="1"/>
  <c r="I14" i="1" s="1"/>
  <c r="G13" i="1"/>
  <c r="K13" i="1" s="1"/>
  <c r="G3" i="1"/>
  <c r="G4" i="1"/>
  <c r="G9" i="1"/>
  <c r="I18" i="1" l="1"/>
  <c r="I17" i="1"/>
  <c r="I16" i="1"/>
  <c r="I13" i="1"/>
  <c r="K19" i="1"/>
  <c r="D27" i="1"/>
  <c r="F27" i="1"/>
  <c r="I26" i="1"/>
  <c r="D26" i="1"/>
  <c r="F24" i="1"/>
  <c r="F25" i="1"/>
  <c r="D25" i="1"/>
  <c r="D24" i="1"/>
  <c r="B22" i="1"/>
  <c r="I22" i="1" s="1"/>
  <c r="B23" i="1"/>
  <c r="I23" i="1" s="1"/>
  <c r="B28" i="1"/>
  <c r="E22" i="1"/>
  <c r="E23" i="1"/>
  <c r="F19" i="1"/>
  <c r="F14" i="1"/>
  <c r="D14" i="1"/>
  <c r="F13" i="1"/>
  <c r="D13" i="1"/>
  <c r="I28" i="1" l="1"/>
  <c r="D28" i="1"/>
  <c r="F28" i="1"/>
  <c r="D23" i="1"/>
  <c r="D22" i="1"/>
  <c r="F23" i="1"/>
  <c r="F22" i="1"/>
  <c r="G10" i="1"/>
  <c r="E10" i="1"/>
  <c r="B10" i="1"/>
  <c r="K10" i="1" s="1"/>
  <c r="H3" i="1"/>
  <c r="H4" i="1"/>
  <c r="H9" i="1"/>
  <c r="F3" i="1"/>
  <c r="F4" i="1"/>
  <c r="F9" i="1"/>
  <c r="D3" i="1"/>
  <c r="D4" i="1"/>
  <c r="H10" i="1" l="1"/>
  <c r="D10" i="1"/>
  <c r="F10" i="1"/>
</calcChain>
</file>

<file path=xl/sharedStrings.xml><?xml version="1.0" encoding="utf-8"?>
<sst xmlns="http://schemas.openxmlformats.org/spreadsheetml/2006/main" count="69" uniqueCount="37">
  <si>
    <t>Variance</t>
  </si>
  <si>
    <t>Last Year Actual</t>
  </si>
  <si>
    <t>Target</t>
  </si>
  <si>
    <t>OTB vs Target</t>
  </si>
  <si>
    <t>July</t>
  </si>
  <si>
    <t>Aug</t>
  </si>
  <si>
    <t>Sept</t>
  </si>
  <si>
    <t>Room Nights</t>
  </si>
  <si>
    <t>ADR</t>
  </si>
  <si>
    <t>Occupancy</t>
  </si>
  <si>
    <t>OTB vs LY</t>
  </si>
  <si>
    <t>TOTAL</t>
  </si>
  <si>
    <t>Please note that all provisional bookings</t>
  </si>
  <si>
    <t>are included in the Revenue Reports</t>
  </si>
  <si>
    <t>8 Rooms</t>
  </si>
  <si>
    <t>Current</t>
  </si>
  <si>
    <t>28 = 224</t>
  </si>
  <si>
    <t>29 = 232</t>
  </si>
  <si>
    <t>30 = 240</t>
  </si>
  <si>
    <t>31 = 248</t>
  </si>
  <si>
    <t>Oct</t>
  </si>
  <si>
    <t>Nov</t>
  </si>
  <si>
    <t>Dec</t>
  </si>
  <si>
    <t>OTB @ 31 July 2024</t>
  </si>
  <si>
    <t>OTB 2025 vs 2024</t>
  </si>
  <si>
    <t>OTB @ 30 July 2025</t>
  </si>
  <si>
    <t>OTB @ 15 Aug 2024</t>
  </si>
  <si>
    <t>Mziki Safari Lodge - 14 August 2025</t>
  </si>
  <si>
    <t>OTB @ 14 Aug 2025</t>
  </si>
  <si>
    <t>LY - Last Year</t>
  </si>
  <si>
    <t>OTB - On The Books</t>
  </si>
  <si>
    <t>Revenue Comparison Review</t>
  </si>
  <si>
    <t>Revenue OTB vs LY</t>
  </si>
  <si>
    <t>Rev 2024   vs 2025</t>
  </si>
  <si>
    <t>Rev OTB   vs Target</t>
  </si>
  <si>
    <t>ADR      OTB vs LY</t>
  </si>
  <si>
    <t>ADR 2024 vs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</si>
</sst>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5C0B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17" fontId="8" fillId="0" borderId="1" xfId="0" applyNumberFormat="1" applyFont="1" applyBorder="1" applyAlignment="1">
      <alignment horizontal="left" vertical="center"/>
    </xf>
    <xf numFmtId="3" fontId="8" fillId="5" borderId="10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3" fontId="6" fillId="0" borderId="4" xfId="0" applyNumberFormat="1" applyFont="1" applyBorder="1" applyAlignment="1">
      <alignment horizontal="center" vertical="center"/>
    </xf>
    <xf numFmtId="3" fontId="6" fillId="2" borderId="5" xfId="0" applyNumberFormat="1" applyFont="1" applyFill="1" applyBorder="1" applyAlignment="1">
      <alignment horizontal="center" vertical="center"/>
    </xf>
    <xf numFmtId="3" fontId="6" fillId="4" borderId="5" xfId="0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3" fontId="6" fillId="5" borderId="1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" fontId="8" fillId="0" borderId="1" xfId="0" applyNumberFormat="1" applyFont="1" applyBorder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9" fontId="8" fillId="2" borderId="0" xfId="0" applyNumberFormat="1" applyFont="1" applyFill="1" applyAlignment="1">
      <alignment horizontal="center" vertical="center"/>
    </xf>
    <xf numFmtId="17" fontId="8" fillId="0" borderId="2" xfId="0" applyNumberFormat="1" applyFont="1" applyBorder="1" applyAlignment="1">
      <alignment horizontal="left" vertical="center"/>
    </xf>
    <xf numFmtId="3" fontId="8" fillId="5" borderId="2" xfId="0" applyNumberFormat="1" applyFont="1" applyFill="1" applyBorder="1" applyAlignment="1">
      <alignment horizontal="center" vertical="center"/>
    </xf>
    <xf numFmtId="3" fontId="8" fillId="5" borderId="13" xfId="0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/>
    </xf>
    <xf numFmtId="3" fontId="6" fillId="4" borderId="4" xfId="0" applyNumberFormat="1" applyFont="1" applyFill="1" applyBorder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8" fillId="2" borderId="4" xfId="0" applyNumberFormat="1" applyFont="1" applyFill="1" applyBorder="1" applyAlignment="1">
      <alignment horizontal="center" vertical="center"/>
    </xf>
    <xf numFmtId="9" fontId="8" fillId="3" borderId="15" xfId="1" applyFont="1" applyFill="1" applyBorder="1" applyAlignment="1">
      <alignment horizontal="center" vertical="center"/>
    </xf>
    <xf numFmtId="9" fontId="8" fillId="4" borderId="4" xfId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9" fontId="8" fillId="3" borderId="4" xfId="1" applyFont="1" applyFill="1" applyBorder="1" applyAlignment="1">
      <alignment horizontal="center" vertical="center"/>
    </xf>
    <xf numFmtId="9" fontId="8" fillId="3" borderId="16" xfId="1" applyFont="1" applyFill="1" applyBorder="1" applyAlignment="1">
      <alignment horizontal="center" vertical="center"/>
    </xf>
    <xf numFmtId="9" fontId="8" fillId="4" borderId="1" xfId="1" applyFont="1" applyFill="1" applyBorder="1" applyAlignment="1">
      <alignment horizontal="center" vertical="center"/>
    </xf>
    <xf numFmtId="9" fontId="8" fillId="3" borderId="1" xfId="1" applyFont="1" applyFill="1" applyBorder="1" applyAlignment="1">
      <alignment horizontal="center" vertical="center"/>
    </xf>
    <xf numFmtId="9" fontId="8" fillId="3" borderId="17" xfId="1" applyFont="1" applyFill="1" applyBorder="1" applyAlignment="1">
      <alignment horizontal="center" vertical="center"/>
    </xf>
    <xf numFmtId="9" fontId="8" fillId="4" borderId="2" xfId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9" fontId="8" fillId="3" borderId="2" xfId="1" applyFont="1" applyFill="1" applyBorder="1" applyAlignment="1">
      <alignment horizontal="center" vertical="center"/>
    </xf>
    <xf numFmtId="3" fontId="8" fillId="3" borderId="16" xfId="0" applyNumberFormat="1" applyFont="1" applyFill="1" applyBorder="1" applyAlignment="1">
      <alignment horizontal="center" vertical="center"/>
    </xf>
    <xf numFmtId="3" fontId="8" fillId="3" borderId="17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1"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C5C0B2"/>
      <color rgb="FFDDD9C4"/>
      <color rgb="FFF77FDB"/>
      <color rgb="FFFFB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Mziki Safari Lodge |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</c:f>
              <c:strCache>
                <c:ptCount val="1"/>
                <c:pt idx="0">
                  <c:v>OTB @ 14 Aug 2025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RR'!$B$3:$B$9</c:f>
              <c:numCache>
                <c:formatCode>#,##0</c:formatCode>
                <c:ptCount val="7"/>
                <c:pt idx="0">
                  <c:v>616332.09</c:v>
                </c:pt>
                <c:pt idx="1">
                  <c:v>465509.64</c:v>
                </c:pt>
                <c:pt idx="2">
                  <c:v>275673.57</c:v>
                </c:pt>
                <c:pt idx="3">
                  <c:v>297959.2</c:v>
                </c:pt>
                <c:pt idx="4">
                  <c:v>200820</c:v>
                </c:pt>
                <c:pt idx="5">
                  <c:v>132680</c:v>
                </c:pt>
                <c:pt idx="6">
                  <c:v>160320.44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2-E24E-90C2-D91A3EE328FB}"/>
            </c:ext>
          </c:extLst>
        </c:ser>
        <c:ser>
          <c:idx val="1"/>
          <c:order val="1"/>
          <c:tx>
            <c:strRef>
              <c:f>'OTB RR'!$C$2</c:f>
              <c:strCache>
                <c:ptCount val="1"/>
                <c:pt idx="0">
                  <c:v>OTB @ 30 July 2025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RR'!$C$3:$C$9</c:f>
              <c:numCache>
                <c:formatCode>#,##0</c:formatCode>
                <c:ptCount val="7"/>
                <c:pt idx="0">
                  <c:v>619832.09</c:v>
                </c:pt>
                <c:pt idx="1">
                  <c:v>374209.64</c:v>
                </c:pt>
                <c:pt idx="2">
                  <c:v>275673.57</c:v>
                </c:pt>
                <c:pt idx="3">
                  <c:v>281859.20000000001</c:v>
                </c:pt>
                <c:pt idx="4">
                  <c:v>76820</c:v>
                </c:pt>
                <c:pt idx="5">
                  <c:v>132680</c:v>
                </c:pt>
                <c:pt idx="6">
                  <c:v>160320.44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2-E24E-90C2-D91A3EE328FB}"/>
            </c:ext>
          </c:extLst>
        </c:ser>
        <c:ser>
          <c:idx val="2"/>
          <c:order val="2"/>
          <c:tx>
            <c:strRef>
              <c:f>'OTB RR'!$D$2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RR'!$D$3:$D$9</c:f>
              <c:numCache>
                <c:formatCode>#,##0</c:formatCode>
                <c:ptCount val="7"/>
                <c:pt idx="0">
                  <c:v>-3500</c:v>
                </c:pt>
                <c:pt idx="1">
                  <c:v>91300</c:v>
                </c:pt>
                <c:pt idx="2">
                  <c:v>0</c:v>
                </c:pt>
                <c:pt idx="3">
                  <c:v>16100</c:v>
                </c:pt>
                <c:pt idx="4">
                  <c:v>124000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2-E24E-90C2-D91A3EE328FB}"/>
            </c:ext>
          </c:extLst>
        </c:ser>
        <c:ser>
          <c:idx val="3"/>
          <c:order val="3"/>
          <c:tx>
            <c:strRef>
              <c:f>'OTB RR'!$F$2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RR'!$F$3:$F$9</c:f>
              <c:numCache>
                <c:formatCode>#,##0</c:formatCode>
                <c:ptCount val="7"/>
                <c:pt idx="0">
                  <c:v>277097.46999999997</c:v>
                </c:pt>
                <c:pt idx="1">
                  <c:v>-238325.47999999998</c:v>
                </c:pt>
                <c:pt idx="2">
                  <c:v>-337060.43</c:v>
                </c:pt>
                <c:pt idx="3">
                  <c:v>-324456.63999999996</c:v>
                </c:pt>
                <c:pt idx="4">
                  <c:v>-229090.76</c:v>
                </c:pt>
                <c:pt idx="5">
                  <c:v>-869795.72</c:v>
                </c:pt>
                <c:pt idx="6">
                  <c:v>-450314.25999999995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52-E24E-90C2-D91A3EE328FB}"/>
            </c:ext>
          </c:extLst>
        </c:ser>
        <c:ser>
          <c:idx val="4"/>
          <c:order val="4"/>
          <c:tx>
            <c:strRef>
              <c:f>'OTB RR'!$H$2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RR'!$H$3:$H$9</c:f>
              <c:numCache>
                <c:formatCode>#,##0</c:formatCode>
                <c:ptCount val="7"/>
                <c:pt idx="0">
                  <c:v>243174.00799999991</c:v>
                </c:pt>
                <c:pt idx="1">
                  <c:v>-308708.99200000009</c:v>
                </c:pt>
                <c:pt idx="2">
                  <c:v>-398333.83</c:v>
                </c:pt>
                <c:pt idx="3">
                  <c:v>-386698.22399999999</c:v>
                </c:pt>
                <c:pt idx="4">
                  <c:v>-272081.83600000007</c:v>
                </c:pt>
                <c:pt idx="5">
                  <c:v>-970043.29200000013</c:v>
                </c:pt>
                <c:pt idx="6">
                  <c:v>-511377.73000000004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52-E24E-90C2-D91A3EE3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063951"/>
        <c:axId val="859421887"/>
      </c:barChart>
      <c:catAx>
        <c:axId val="12090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1887"/>
        <c:crosses val="autoZero"/>
        <c:auto val="1"/>
        <c:lblAlgn val="ctr"/>
        <c:lblOffset val="100"/>
        <c:noMultiLvlLbl val="0"/>
      </c:catAx>
      <c:valAx>
        <c:axId val="8594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6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Mziki Safari Lodge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'OTB RR'!$G$12</c:f>
              <c:strCache>
                <c:ptCount val="1"/>
                <c:pt idx="0">
                  <c:v>OTB @ 14 Aug 2025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RR'!$G$13:$G$19</c:f>
              <c:numCache>
                <c:formatCode>0%</c:formatCode>
                <c:ptCount val="7"/>
                <c:pt idx="0">
                  <c:v>0.31854838709677419</c:v>
                </c:pt>
                <c:pt idx="1">
                  <c:v>0.27822580645161288</c:v>
                </c:pt>
                <c:pt idx="2">
                  <c:v>0.15416666666666667</c:v>
                </c:pt>
                <c:pt idx="3">
                  <c:v>0.14919354838709678</c:v>
                </c:pt>
                <c:pt idx="4">
                  <c:v>0.15</c:v>
                </c:pt>
                <c:pt idx="5">
                  <c:v>5.2419354838709679E-2</c:v>
                </c:pt>
                <c:pt idx="6">
                  <c:v>0.10483870967741936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'OTB RR'!$H$12</c:f>
              <c:strCache>
                <c:ptCount val="1"/>
                <c:pt idx="0">
                  <c:v>OTB @ 30 July 2025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RR'!$H$13:$H$19</c:f>
              <c:numCache>
                <c:formatCode>0%</c:formatCode>
                <c:ptCount val="7"/>
                <c:pt idx="0">
                  <c:v>0.32258064516129031</c:v>
                </c:pt>
                <c:pt idx="1">
                  <c:v>0.21370967741935484</c:v>
                </c:pt>
                <c:pt idx="2">
                  <c:v>0.15416666666666667</c:v>
                </c:pt>
                <c:pt idx="3">
                  <c:v>0.14112903225806453</c:v>
                </c:pt>
                <c:pt idx="4">
                  <c:v>0.05</c:v>
                </c:pt>
                <c:pt idx="5">
                  <c:v>5.2419354838709679E-2</c:v>
                </c:pt>
                <c:pt idx="6">
                  <c:v>0.10483870967741936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'OTB RR'!$I$12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RR'!$I$13:$I$19</c:f>
              <c:numCache>
                <c:formatCode>0%</c:formatCode>
                <c:ptCount val="7"/>
                <c:pt idx="0">
                  <c:v>-4.0322580645161255E-3</c:v>
                </c:pt>
                <c:pt idx="1">
                  <c:v>6.4516129032258035E-2</c:v>
                </c:pt>
                <c:pt idx="2">
                  <c:v>0</c:v>
                </c:pt>
                <c:pt idx="3">
                  <c:v>8.0645161290322509E-3</c:v>
                </c:pt>
                <c:pt idx="4">
                  <c:v>9.9999999999999992E-2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'OTB RR'!$J$12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RR'!$J$13:$J$19</c:f>
              <c:numCache>
                <c:formatCode>0%</c:formatCode>
                <c:ptCount val="7"/>
                <c:pt idx="0">
                  <c:v>0.24193548387096775</c:v>
                </c:pt>
                <c:pt idx="1">
                  <c:v>0.49596774193548387</c:v>
                </c:pt>
                <c:pt idx="2">
                  <c:v>0.49583333333333335</c:v>
                </c:pt>
                <c:pt idx="3">
                  <c:v>0.43548387096774194</c:v>
                </c:pt>
                <c:pt idx="4">
                  <c:v>0.34583333333333333</c:v>
                </c:pt>
                <c:pt idx="5">
                  <c:v>0.57258064516129037</c:v>
                </c:pt>
                <c:pt idx="6">
                  <c:v>0.36693548387096775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'OTB RR'!$K$12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RR'!$K$13:$K$19</c:f>
              <c:numCache>
                <c:formatCode>0%</c:formatCode>
                <c:ptCount val="7"/>
                <c:pt idx="0">
                  <c:v>7.6612903225806439E-2</c:v>
                </c:pt>
                <c:pt idx="1">
                  <c:v>-0.217741935483871</c:v>
                </c:pt>
                <c:pt idx="2">
                  <c:v>-0.34166666666666667</c:v>
                </c:pt>
                <c:pt idx="3">
                  <c:v>-0.28629032258064513</c:v>
                </c:pt>
                <c:pt idx="4">
                  <c:v>-0.19583333333333333</c:v>
                </c:pt>
                <c:pt idx="5">
                  <c:v>-0.52016129032258074</c:v>
                </c:pt>
                <c:pt idx="6">
                  <c:v>-0.26209677419354838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0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Mziki Safari Lodge 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RR'!$B$21</c:f>
              <c:strCache>
                <c:ptCount val="1"/>
                <c:pt idx="0">
                  <c:v>OTB @ 14 Aug 2025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RR'!$B$22:$B$28</c:f>
              <c:numCache>
                <c:formatCode>#,##0</c:formatCode>
                <c:ptCount val="7"/>
                <c:pt idx="0">
                  <c:v>7801.6720253164549</c:v>
                </c:pt>
                <c:pt idx="1">
                  <c:v>6746.5165217391304</c:v>
                </c:pt>
                <c:pt idx="2">
                  <c:v>7450.6370270270272</c:v>
                </c:pt>
                <c:pt idx="3">
                  <c:v>8052.9513513513521</c:v>
                </c:pt>
                <c:pt idx="4">
                  <c:v>5578.333333333333</c:v>
                </c:pt>
                <c:pt idx="5">
                  <c:v>10206.153846153846</c:v>
                </c:pt>
                <c:pt idx="6">
                  <c:v>6166.1707692307691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B-D941-AD53-00F6F86B9D9D}"/>
            </c:ext>
          </c:extLst>
        </c:ser>
        <c:ser>
          <c:idx val="1"/>
          <c:order val="1"/>
          <c:tx>
            <c:strRef>
              <c:f>'OTB RR'!$C$21</c:f>
              <c:strCache>
                <c:ptCount val="1"/>
                <c:pt idx="0">
                  <c:v>OTB @ 30 July 2025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RR'!$C$22:$C$28</c:f>
              <c:numCache>
                <c:formatCode>#,##0</c:formatCode>
                <c:ptCount val="7"/>
                <c:pt idx="0">
                  <c:v>7747.9011249999994</c:v>
                </c:pt>
                <c:pt idx="1">
                  <c:v>7060.5592452830188</c:v>
                </c:pt>
                <c:pt idx="2">
                  <c:v>7450.6370270270272</c:v>
                </c:pt>
                <c:pt idx="3">
                  <c:v>8053.12</c:v>
                </c:pt>
                <c:pt idx="4">
                  <c:v>6401.666666666667</c:v>
                </c:pt>
                <c:pt idx="5">
                  <c:v>10206.153846153846</c:v>
                </c:pt>
                <c:pt idx="6">
                  <c:v>6166.1707692307691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B-D941-AD53-00F6F86B9D9D}"/>
            </c:ext>
          </c:extLst>
        </c:ser>
        <c:ser>
          <c:idx val="2"/>
          <c:order val="2"/>
          <c:tx>
            <c:strRef>
              <c:f>'OTB RR'!$D$21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RR'!$D$22:$D$28</c:f>
              <c:numCache>
                <c:formatCode>#,##0</c:formatCode>
                <c:ptCount val="7"/>
                <c:pt idx="0">
                  <c:v>53.770900316455482</c:v>
                </c:pt>
                <c:pt idx="1">
                  <c:v>-314.04272354388831</c:v>
                </c:pt>
                <c:pt idx="2">
                  <c:v>0</c:v>
                </c:pt>
                <c:pt idx="3">
                  <c:v>-0.16864864864783158</c:v>
                </c:pt>
                <c:pt idx="4">
                  <c:v>-823.33333333333394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B-D941-AD53-00F6F86B9D9D}"/>
            </c:ext>
          </c:extLst>
        </c:ser>
        <c:ser>
          <c:idx val="3"/>
          <c:order val="3"/>
          <c:tx>
            <c:strRef>
              <c:f>'OTB RR'!$E$21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RR'!$E$22:$E$28</c:f>
              <c:numCache>
                <c:formatCode>#,##0</c:formatCode>
                <c:ptCount val="7"/>
                <c:pt idx="0">
                  <c:v>4523.1282666666666</c:v>
                </c:pt>
                <c:pt idx="1">
                  <c:v>5722.2367479674795</c:v>
                </c:pt>
                <c:pt idx="2">
                  <c:v>5149.0252100840335</c:v>
                </c:pt>
                <c:pt idx="3">
                  <c:v>5763.1096296296291</c:v>
                </c:pt>
                <c:pt idx="4">
                  <c:v>5179.6477108433737</c:v>
                </c:pt>
                <c:pt idx="5">
                  <c:v>7059.6881690140845</c:v>
                </c:pt>
                <c:pt idx="6">
                  <c:v>6710.2714285714283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3B-D941-AD53-00F6F86B9D9D}"/>
            </c:ext>
          </c:extLst>
        </c:ser>
        <c:ser>
          <c:idx val="4"/>
          <c:order val="4"/>
          <c:tx>
            <c:strRef>
              <c:f>'OTB RR'!$F$21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July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Jan-26</c:v>
                </c:pt>
              </c:strCache>
            </c:strRef>
          </c:cat>
          <c:val>
            <c:numRef>
              <c:f>'OTB RR'!$F$22:$F$28</c:f>
              <c:numCache>
                <c:formatCode>#,##0</c:formatCode>
                <c:ptCount val="7"/>
                <c:pt idx="0">
                  <c:v>3278.5437586497883</c:v>
                </c:pt>
                <c:pt idx="1">
                  <c:v>1024.279773771651</c:v>
                </c:pt>
                <c:pt idx="2">
                  <c:v>2301.6118169429938</c:v>
                </c:pt>
                <c:pt idx="3">
                  <c:v>2289.8417217217229</c:v>
                </c:pt>
                <c:pt idx="4">
                  <c:v>398.68562248995931</c:v>
                </c:pt>
                <c:pt idx="5">
                  <c:v>3146.4656771397613</c:v>
                </c:pt>
                <c:pt idx="6">
                  <c:v>-544.10065934065915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3B-D941-AD53-00F6F86B9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58512"/>
        <c:axId val="175946320"/>
      </c:barChart>
      <c:catAx>
        <c:axId val="17605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46320"/>
        <c:crosses val="autoZero"/>
        <c:auto val="1"/>
        <c:lblAlgn val="ctr"/>
        <c:lblOffset val="100"/>
        <c:noMultiLvlLbl val="0"/>
      </c:catAx>
      <c:valAx>
        <c:axId val="17594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5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29</xdr:row>
      <xdr:rowOff>101600</xdr:rowOff>
    </xdr:from>
    <xdr:to>
      <xdr:col>6</xdr:col>
      <xdr:colOff>482600</xdr:colOff>
      <xdr:row>45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591DE4-0579-0DDF-4E65-68922E74B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501650</xdr:colOff>
      <xdr:row>29</xdr:row>
      <xdr:rowOff>82550</xdr:rowOff>
    </xdr:from>
    <xdr:to>
      <xdr:col>12</xdr:col>
      <xdr:colOff>730250</xdr:colOff>
      <xdr:row>45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774700</xdr:colOff>
      <xdr:row>29</xdr:row>
      <xdr:rowOff>82550</xdr:rowOff>
    </xdr:from>
    <xdr:to>
      <xdr:col>19</xdr:col>
      <xdr:colOff>25400</xdr:colOff>
      <xdr:row>45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4CBFA-83BA-D4AA-1B9B-11D0F1487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V28"/>
  <sheetViews>
    <sheetView tabSelected="1" workbookViewId="0">
      <selection sqref="A1:K1"/>
    </sheetView>
  </sheetViews>
  <sheetFormatPr baseColWidth="10" defaultRowHeight="16" x14ac:dyDescent="0.2"/>
  <cols>
    <col min="1" max="1" width="8.83203125" style="2" customWidth="1"/>
    <col min="2" max="3" width="10.83203125" style="2"/>
    <col min="4" max="4" width="8.83203125" style="2" customWidth="1"/>
    <col min="5" max="8" width="10.83203125" style="2"/>
    <col min="9" max="9" width="10.83203125" style="2" customWidth="1"/>
    <col min="10" max="11" width="10.83203125" style="2"/>
    <col min="12" max="14" width="10.83203125" style="1"/>
  </cols>
  <sheetData>
    <row r="1" spans="1:22" ht="28" customHeight="1" thickBot="1" x14ac:dyDescent="0.25">
      <c r="A1" s="55" t="s">
        <v>27</v>
      </c>
      <c r="B1" s="56"/>
      <c r="C1" s="56"/>
      <c r="D1" s="56"/>
      <c r="E1" s="56"/>
      <c r="F1" s="56"/>
      <c r="G1" s="56"/>
      <c r="H1" s="56"/>
      <c r="I1" s="56"/>
      <c r="J1" s="56"/>
      <c r="K1" s="57"/>
    </row>
    <row r="2" spans="1:22" s="15" customFormat="1" ht="32" customHeight="1" x14ac:dyDescent="0.2">
      <c r="A2" s="5"/>
      <c r="B2" s="6" t="s">
        <v>28</v>
      </c>
      <c r="C2" s="6" t="s">
        <v>25</v>
      </c>
      <c r="D2" s="6" t="s">
        <v>0</v>
      </c>
      <c r="E2" s="7" t="s">
        <v>1</v>
      </c>
      <c r="F2" s="8" t="s">
        <v>10</v>
      </c>
      <c r="G2" s="9" t="s">
        <v>2</v>
      </c>
      <c r="H2" s="10" t="s">
        <v>3</v>
      </c>
      <c r="I2" s="11" t="s">
        <v>26</v>
      </c>
      <c r="J2" s="12" t="s">
        <v>23</v>
      </c>
      <c r="K2" s="13" t="s">
        <v>24</v>
      </c>
      <c r="L2" s="14"/>
      <c r="M2" s="14"/>
      <c r="N2" s="14"/>
    </row>
    <row r="3" spans="1:22" s="17" customFormat="1" ht="18" customHeight="1" x14ac:dyDescent="0.2">
      <c r="A3" s="19" t="s">
        <v>4</v>
      </c>
      <c r="B3" s="20">
        <v>616332.09</v>
      </c>
      <c r="C3" s="20">
        <v>619832.09</v>
      </c>
      <c r="D3" s="20">
        <f t="shared" ref="D3:D4" si="0">B3-C3</f>
        <v>-3500</v>
      </c>
      <c r="E3" s="21">
        <v>339234.62</v>
      </c>
      <c r="F3" s="44">
        <f t="shared" ref="F3:F9" si="1">B3-E3</f>
        <v>277097.46999999997</v>
      </c>
      <c r="G3" s="22">
        <f t="shared" ref="G3:G9" si="2">E3*1.1</f>
        <v>373158.08200000005</v>
      </c>
      <c r="H3" s="46">
        <f t="shared" ref="H3:H9" si="3">B3-G3</f>
        <v>243174.00799999991</v>
      </c>
      <c r="I3" s="23">
        <v>339234.62</v>
      </c>
      <c r="J3" s="24">
        <v>339234.62</v>
      </c>
      <c r="K3" s="27">
        <f t="shared" ref="K3:K8" si="4">B3-I3</f>
        <v>277097.46999999997</v>
      </c>
      <c r="L3" s="16"/>
      <c r="M3" s="16"/>
      <c r="N3" s="16"/>
    </row>
    <row r="4" spans="1:22" s="17" customFormat="1" ht="18" customHeight="1" x14ac:dyDescent="0.2">
      <c r="A4" s="19" t="s">
        <v>5</v>
      </c>
      <c r="B4" s="20">
        <v>465509.64</v>
      </c>
      <c r="C4" s="20">
        <v>374209.64</v>
      </c>
      <c r="D4" s="20">
        <f t="shared" si="0"/>
        <v>91300</v>
      </c>
      <c r="E4" s="21">
        <v>703835.12</v>
      </c>
      <c r="F4" s="44">
        <f t="shared" si="1"/>
        <v>-238325.47999999998</v>
      </c>
      <c r="G4" s="22">
        <f t="shared" si="2"/>
        <v>774218.6320000001</v>
      </c>
      <c r="H4" s="46">
        <f t="shared" si="3"/>
        <v>-308708.99200000009</v>
      </c>
      <c r="I4" s="23">
        <v>661890.13</v>
      </c>
      <c r="J4" s="24">
        <v>555862.35</v>
      </c>
      <c r="K4" s="27">
        <f t="shared" si="4"/>
        <v>-196380.49</v>
      </c>
      <c r="L4" s="16"/>
      <c r="M4" s="16"/>
      <c r="N4" s="16"/>
    </row>
    <row r="5" spans="1:22" s="17" customFormat="1" ht="18" customHeight="1" x14ac:dyDescent="0.2">
      <c r="A5" s="19" t="s">
        <v>6</v>
      </c>
      <c r="B5" s="20">
        <v>275673.57</v>
      </c>
      <c r="C5" s="20">
        <v>275673.57</v>
      </c>
      <c r="D5" s="20">
        <f t="shared" ref="D5" si="5">B5-C5</f>
        <v>0</v>
      </c>
      <c r="E5" s="21">
        <v>612734</v>
      </c>
      <c r="F5" s="44">
        <f t="shared" ref="F5:F8" si="6">B5-E5</f>
        <v>-337060.43</v>
      </c>
      <c r="G5" s="22">
        <f t="shared" ref="G5:G8" si="7">E5*1.1</f>
        <v>674007.4</v>
      </c>
      <c r="H5" s="46">
        <f t="shared" ref="H5:H8" si="8">B5-G5</f>
        <v>-398333.83</v>
      </c>
      <c r="I5" s="23">
        <v>423310.4</v>
      </c>
      <c r="J5" s="24">
        <v>411977.6</v>
      </c>
      <c r="K5" s="27">
        <f t="shared" si="4"/>
        <v>-147636.83000000002</v>
      </c>
      <c r="L5" s="16"/>
      <c r="M5" s="16"/>
      <c r="N5" s="16"/>
    </row>
    <row r="6" spans="1:22" s="17" customFormat="1" ht="18" customHeight="1" x14ac:dyDescent="0.2">
      <c r="A6" s="19" t="s">
        <v>20</v>
      </c>
      <c r="B6" s="20">
        <v>297959.2</v>
      </c>
      <c r="C6" s="20">
        <v>281859.20000000001</v>
      </c>
      <c r="D6" s="20">
        <f>B6-C6</f>
        <v>16100</v>
      </c>
      <c r="E6" s="21">
        <v>622415.84</v>
      </c>
      <c r="F6" s="44">
        <f t="shared" si="6"/>
        <v>-324456.63999999996</v>
      </c>
      <c r="G6" s="22">
        <f t="shared" si="7"/>
        <v>684657.424</v>
      </c>
      <c r="H6" s="46">
        <f t="shared" si="8"/>
        <v>-386698.22399999999</v>
      </c>
      <c r="I6" s="23">
        <v>229617.04</v>
      </c>
      <c r="J6" s="24">
        <v>218290</v>
      </c>
      <c r="K6" s="27">
        <f t="shared" si="4"/>
        <v>68342.16</v>
      </c>
      <c r="L6" s="16"/>
      <c r="M6" s="16"/>
      <c r="N6" s="16"/>
    </row>
    <row r="7" spans="1:22" s="17" customFormat="1" ht="18" customHeight="1" x14ac:dyDescent="0.2">
      <c r="A7" s="19" t="s">
        <v>21</v>
      </c>
      <c r="B7" s="20">
        <v>200820</v>
      </c>
      <c r="C7" s="20">
        <v>76820</v>
      </c>
      <c r="D7" s="20">
        <f>B7-C7</f>
        <v>124000</v>
      </c>
      <c r="E7" s="21">
        <v>429910.76</v>
      </c>
      <c r="F7" s="44">
        <f t="shared" si="6"/>
        <v>-229090.76</v>
      </c>
      <c r="G7" s="22">
        <f t="shared" si="7"/>
        <v>472901.83600000007</v>
      </c>
      <c r="H7" s="46">
        <f t="shared" si="8"/>
        <v>-272081.83600000007</v>
      </c>
      <c r="I7" s="23">
        <v>85986.12</v>
      </c>
      <c r="J7" s="24">
        <v>64386.12</v>
      </c>
      <c r="K7" s="27">
        <f t="shared" si="4"/>
        <v>114833.88</v>
      </c>
      <c r="L7" s="16"/>
      <c r="M7" s="16"/>
      <c r="N7" s="16"/>
    </row>
    <row r="8" spans="1:22" s="17" customFormat="1" ht="18" customHeight="1" x14ac:dyDescent="0.2">
      <c r="A8" s="19" t="s">
        <v>22</v>
      </c>
      <c r="B8" s="20">
        <v>132680</v>
      </c>
      <c r="C8" s="20">
        <v>132680</v>
      </c>
      <c r="D8" s="20">
        <f>B8-C8</f>
        <v>0</v>
      </c>
      <c r="E8" s="21">
        <v>1002475.72</v>
      </c>
      <c r="F8" s="44">
        <f t="shared" si="6"/>
        <v>-869795.72</v>
      </c>
      <c r="G8" s="22">
        <f t="shared" si="7"/>
        <v>1102723.2920000001</v>
      </c>
      <c r="H8" s="46">
        <f t="shared" si="8"/>
        <v>-970043.29200000013</v>
      </c>
      <c r="I8" s="23">
        <v>296373</v>
      </c>
      <c r="J8" s="24">
        <v>296373</v>
      </c>
      <c r="K8" s="27">
        <f t="shared" si="4"/>
        <v>-163693</v>
      </c>
      <c r="L8" s="16"/>
      <c r="M8" s="16"/>
      <c r="N8" s="16"/>
    </row>
    <row r="9" spans="1:22" s="17" customFormat="1" ht="18" customHeight="1" x14ac:dyDescent="0.2">
      <c r="A9" s="25">
        <v>46023</v>
      </c>
      <c r="B9" s="20">
        <v>160320.44</v>
      </c>
      <c r="C9" s="20">
        <v>160320.44</v>
      </c>
      <c r="D9" s="20">
        <f>B9-C9</f>
        <v>0</v>
      </c>
      <c r="E9" s="21">
        <v>610634.69999999995</v>
      </c>
      <c r="F9" s="44">
        <f t="shared" si="1"/>
        <v>-450314.25999999995</v>
      </c>
      <c r="G9" s="22">
        <f t="shared" si="2"/>
        <v>671698.17</v>
      </c>
      <c r="H9" s="46">
        <f t="shared" si="3"/>
        <v>-511377.73000000004</v>
      </c>
      <c r="I9" s="23">
        <v>148090</v>
      </c>
      <c r="J9" s="26"/>
      <c r="K9" s="27">
        <f>B9-I9</f>
        <v>12230.440000000002</v>
      </c>
      <c r="L9" s="16"/>
      <c r="M9" s="16"/>
      <c r="N9" s="16"/>
    </row>
    <row r="10" spans="1:22" s="35" customFormat="1" ht="18" customHeight="1" thickBot="1" x14ac:dyDescent="0.25">
      <c r="A10" s="28" t="s">
        <v>11</v>
      </c>
      <c r="B10" s="29">
        <f>SUM(B3:B9)</f>
        <v>2149294.94</v>
      </c>
      <c r="C10" s="29">
        <f>SUM(C3:C9)</f>
        <v>1921394.94</v>
      </c>
      <c r="D10" s="29">
        <f>SUM(D3:D9)</f>
        <v>227900</v>
      </c>
      <c r="E10" s="30">
        <f>SUM(E3:E9)</f>
        <v>4321240.76</v>
      </c>
      <c r="F10" s="47">
        <f>B10-E10</f>
        <v>-2171945.8199999998</v>
      </c>
      <c r="G10" s="31">
        <f>SUM(G3:G9)</f>
        <v>4753364.8360000001</v>
      </c>
      <c r="H10" s="48">
        <f>(B10-G10)</f>
        <v>-2604069.8960000002</v>
      </c>
      <c r="I10" s="32">
        <f>SUM(I3:I9)</f>
        <v>2184501.31</v>
      </c>
      <c r="J10" s="33">
        <f>SUM(J3:J9)</f>
        <v>1886123.69</v>
      </c>
      <c r="K10" s="49">
        <f>B10-I10</f>
        <v>-35206.370000000112</v>
      </c>
      <c r="L10" s="34"/>
      <c r="M10" s="34"/>
      <c r="N10" s="34"/>
    </row>
    <row r="11" spans="1:22" s="4" customFormat="1" ht="25" customHeight="1" thickBot="1" x14ac:dyDescent="0.3">
      <c r="A11" s="52" t="s">
        <v>7</v>
      </c>
      <c r="B11" s="53"/>
      <c r="C11" s="53"/>
      <c r="D11" s="53"/>
      <c r="E11" s="53"/>
      <c r="F11" s="54"/>
      <c r="G11" s="52" t="s">
        <v>9</v>
      </c>
      <c r="H11" s="53"/>
      <c r="I11" s="53"/>
      <c r="J11" s="53"/>
      <c r="K11" s="54"/>
      <c r="L11" s="3"/>
      <c r="M11" s="3"/>
      <c r="N11" s="3"/>
      <c r="R11" s="52" t="s">
        <v>31</v>
      </c>
      <c r="S11" s="53"/>
      <c r="T11" s="53"/>
      <c r="U11" s="53"/>
      <c r="V11" s="54"/>
    </row>
    <row r="12" spans="1:22" s="17" customFormat="1" ht="32" customHeight="1" x14ac:dyDescent="0.2">
      <c r="A12" s="5"/>
      <c r="B12" s="6" t="s">
        <v>28</v>
      </c>
      <c r="C12" s="6" t="s">
        <v>25</v>
      </c>
      <c r="D12" s="6" t="s">
        <v>0</v>
      </c>
      <c r="E12" s="7" t="s">
        <v>1</v>
      </c>
      <c r="F12" s="8" t="s">
        <v>10</v>
      </c>
      <c r="G12" s="6" t="s">
        <v>28</v>
      </c>
      <c r="H12" s="6" t="s">
        <v>25</v>
      </c>
      <c r="I12" s="6" t="s">
        <v>0</v>
      </c>
      <c r="J12" s="7" t="s">
        <v>1</v>
      </c>
      <c r="K12" s="8" t="s">
        <v>10</v>
      </c>
      <c r="L12" s="16"/>
      <c r="M12" s="16"/>
      <c r="N12" s="16"/>
      <c r="R12" s="8" t="s">
        <v>32</v>
      </c>
      <c r="S12" s="58" t="s">
        <v>33</v>
      </c>
      <c r="T12" s="59" t="s">
        <v>34</v>
      </c>
      <c r="U12" s="60" t="s">
        <v>35</v>
      </c>
      <c r="V12" s="58" t="s">
        <v>36</v>
      </c>
    </row>
    <row r="13" spans="1:22" s="17" customFormat="1" ht="18" customHeight="1" x14ac:dyDescent="0.2">
      <c r="A13" s="19" t="s">
        <v>4</v>
      </c>
      <c r="B13" s="36">
        <v>79</v>
      </c>
      <c r="C13" s="36">
        <v>80</v>
      </c>
      <c r="D13" s="36">
        <f t="shared" ref="D13:D14" si="9">B13-C13</f>
        <v>-1</v>
      </c>
      <c r="E13" s="37">
        <v>75</v>
      </c>
      <c r="F13" s="50">
        <f t="shared" ref="F13:F19" si="10">B13-E13</f>
        <v>4</v>
      </c>
      <c r="G13" s="38">
        <f>B13/248</f>
        <v>0.31854838709677419</v>
      </c>
      <c r="H13" s="38">
        <f>C13/248</f>
        <v>0.32258064516129031</v>
      </c>
      <c r="I13" s="38">
        <f t="shared" ref="I13:I19" si="11">G13-H13</f>
        <v>-4.0322580645161255E-3</v>
      </c>
      <c r="J13" s="39">
        <f>E13/310</f>
        <v>0.24193548387096775</v>
      </c>
      <c r="K13" s="51">
        <f t="shared" ref="K13:K19" si="12">G13-J13</f>
        <v>7.6612903225806439E-2</v>
      </c>
      <c r="L13" s="16"/>
      <c r="M13" s="16" t="s">
        <v>14</v>
      </c>
      <c r="N13" s="16"/>
      <c r="O13" s="16"/>
      <c r="R13" s="61">
        <f t="shared" ref="R13:R19" si="13">F3</f>
        <v>277097.46999999997</v>
      </c>
      <c r="S13" s="62">
        <f>(B3-E3)/E3</f>
        <v>0.81683134227279042</v>
      </c>
      <c r="T13" s="63">
        <f>(B3-G3)/G3</f>
        <v>0.65166485661162732</v>
      </c>
      <c r="U13" s="64">
        <f t="shared" ref="U13:U19" si="14">F22</f>
        <v>3278.5437586497883</v>
      </c>
      <c r="V13" s="65">
        <f>(B22-E22)/E22</f>
        <v>0.72483988190454773</v>
      </c>
    </row>
    <row r="14" spans="1:22" s="17" customFormat="1" ht="18" customHeight="1" x14ac:dyDescent="0.2">
      <c r="A14" s="19" t="s">
        <v>5</v>
      </c>
      <c r="B14" s="36">
        <v>69</v>
      </c>
      <c r="C14" s="36">
        <v>53</v>
      </c>
      <c r="D14" s="36">
        <f t="shared" si="9"/>
        <v>16</v>
      </c>
      <c r="E14" s="37">
        <v>123</v>
      </c>
      <c r="F14" s="50">
        <f t="shared" si="10"/>
        <v>-54</v>
      </c>
      <c r="G14" s="38">
        <f>B14/248</f>
        <v>0.27822580645161288</v>
      </c>
      <c r="H14" s="38">
        <f>C14/248</f>
        <v>0.21370967741935484</v>
      </c>
      <c r="I14" s="38">
        <f t="shared" si="11"/>
        <v>6.4516129032258035E-2</v>
      </c>
      <c r="J14" s="39">
        <f>E14/248</f>
        <v>0.49596774193548387</v>
      </c>
      <c r="K14" s="51">
        <f t="shared" si="12"/>
        <v>-0.217741935483871</v>
      </c>
      <c r="L14" s="16"/>
      <c r="M14" s="16" t="s">
        <v>15</v>
      </c>
      <c r="N14" s="16"/>
      <c r="O14" s="34"/>
      <c r="R14" s="44">
        <f t="shared" si="13"/>
        <v>-238325.47999999998</v>
      </c>
      <c r="S14" s="66">
        <f t="shared" ref="S14:S19" si="15">(B4-E4)/E4</f>
        <v>-0.33860981532152018</v>
      </c>
      <c r="T14" s="67">
        <f t="shared" ref="T14:T19" si="16">(B4-G4)/G4</f>
        <v>-0.39873619574683661</v>
      </c>
      <c r="U14" s="21">
        <f t="shared" si="14"/>
        <v>1024.279773771651</v>
      </c>
      <c r="V14" s="68">
        <f t="shared" ref="V14:V19" si="17">(B23-E23)/E23</f>
        <v>0.17899989442685535</v>
      </c>
    </row>
    <row r="15" spans="1:22" s="17" customFormat="1" ht="18" customHeight="1" x14ac:dyDescent="0.2">
      <c r="A15" s="19" t="s">
        <v>6</v>
      </c>
      <c r="B15" s="36">
        <v>37</v>
      </c>
      <c r="C15" s="36">
        <v>37</v>
      </c>
      <c r="D15" s="36">
        <f t="shared" ref="D15" si="18">B15-C15</f>
        <v>0</v>
      </c>
      <c r="E15" s="37">
        <v>119</v>
      </c>
      <c r="F15" s="50">
        <f t="shared" ref="F15:F18" si="19">B15-E15</f>
        <v>-82</v>
      </c>
      <c r="G15" s="38">
        <f>B15/240</f>
        <v>0.15416666666666667</v>
      </c>
      <c r="H15" s="38">
        <f>C15/240</f>
        <v>0.15416666666666667</v>
      </c>
      <c r="I15" s="38">
        <f t="shared" si="11"/>
        <v>0</v>
      </c>
      <c r="J15" s="39">
        <f>E15/240</f>
        <v>0.49583333333333335</v>
      </c>
      <c r="K15" s="51">
        <f t="shared" si="12"/>
        <v>-0.34166666666666667</v>
      </c>
      <c r="L15" s="16"/>
      <c r="M15" s="16" t="s">
        <v>16</v>
      </c>
      <c r="N15" s="16"/>
      <c r="O15" s="16"/>
      <c r="R15" s="44">
        <f t="shared" si="13"/>
        <v>-337060.43</v>
      </c>
      <c r="S15" s="66">
        <f t="shared" si="15"/>
        <v>-0.55009258503690017</v>
      </c>
      <c r="T15" s="67">
        <f t="shared" si="16"/>
        <v>-0.59099325912445477</v>
      </c>
      <c r="U15" s="21">
        <f t="shared" si="14"/>
        <v>2301.6118169429938</v>
      </c>
      <c r="V15" s="68">
        <f t="shared" si="17"/>
        <v>0.44699952380024</v>
      </c>
    </row>
    <row r="16" spans="1:22" s="17" customFormat="1" ht="18" customHeight="1" x14ac:dyDescent="0.2">
      <c r="A16" s="19" t="s">
        <v>20</v>
      </c>
      <c r="B16" s="36">
        <v>37</v>
      </c>
      <c r="C16" s="36">
        <v>35</v>
      </c>
      <c r="D16" s="36">
        <f>B16-C16</f>
        <v>2</v>
      </c>
      <c r="E16" s="37">
        <v>108</v>
      </c>
      <c r="F16" s="50">
        <f t="shared" si="19"/>
        <v>-71</v>
      </c>
      <c r="G16" s="38">
        <f>B16/248</f>
        <v>0.14919354838709678</v>
      </c>
      <c r="H16" s="38">
        <f>C16/248</f>
        <v>0.14112903225806453</v>
      </c>
      <c r="I16" s="38">
        <f t="shared" si="11"/>
        <v>8.0645161290322509E-3</v>
      </c>
      <c r="J16" s="39">
        <f>E16/248</f>
        <v>0.43548387096774194</v>
      </c>
      <c r="K16" s="51">
        <f t="shared" si="12"/>
        <v>-0.28629032258064513</v>
      </c>
      <c r="L16" s="16"/>
      <c r="M16" s="16" t="s">
        <v>17</v>
      </c>
      <c r="N16" s="16"/>
      <c r="O16" s="16"/>
      <c r="R16" s="44">
        <f t="shared" si="13"/>
        <v>-324456.63999999996</v>
      </c>
      <c r="S16" s="66">
        <f t="shared" si="15"/>
        <v>-0.52128596213104084</v>
      </c>
      <c r="T16" s="67">
        <f t="shared" si="16"/>
        <v>-0.56480542011912804</v>
      </c>
      <c r="U16" s="21">
        <f t="shared" si="14"/>
        <v>2289.8417217217229</v>
      </c>
      <c r="V16" s="68">
        <f t="shared" si="17"/>
        <v>0.39732746188777279</v>
      </c>
    </row>
    <row r="17" spans="1:22" s="17" customFormat="1" ht="18" customHeight="1" x14ac:dyDescent="0.2">
      <c r="A17" s="19" t="s">
        <v>21</v>
      </c>
      <c r="B17" s="36">
        <v>36</v>
      </c>
      <c r="C17" s="36">
        <v>12</v>
      </c>
      <c r="D17" s="36">
        <f>B17-C17</f>
        <v>24</v>
      </c>
      <c r="E17" s="37">
        <v>83</v>
      </c>
      <c r="F17" s="50">
        <f t="shared" si="19"/>
        <v>-47</v>
      </c>
      <c r="G17" s="38">
        <f>B17/240</f>
        <v>0.15</v>
      </c>
      <c r="H17" s="38">
        <f>C17/240</f>
        <v>0.05</v>
      </c>
      <c r="I17" s="38">
        <f t="shared" si="11"/>
        <v>9.9999999999999992E-2</v>
      </c>
      <c r="J17" s="39">
        <f>E17/240</f>
        <v>0.34583333333333333</v>
      </c>
      <c r="K17" s="51">
        <f t="shared" si="12"/>
        <v>-0.19583333333333333</v>
      </c>
      <c r="L17" s="16"/>
      <c r="M17" s="16" t="s">
        <v>18</v>
      </c>
      <c r="N17" s="16"/>
      <c r="O17" s="16"/>
      <c r="R17" s="44">
        <f t="shared" si="13"/>
        <v>-229090.76</v>
      </c>
      <c r="S17" s="66">
        <f t="shared" si="15"/>
        <v>-0.53287980044974914</v>
      </c>
      <c r="T17" s="67">
        <f t="shared" si="16"/>
        <v>-0.5753452731361357</v>
      </c>
      <c r="U17" s="21">
        <f t="shared" si="14"/>
        <v>398.68562248995931</v>
      </c>
      <c r="V17" s="68">
        <f t="shared" si="17"/>
        <v>7.6971571185300458E-2</v>
      </c>
    </row>
    <row r="18" spans="1:22" s="17" customFormat="1" ht="18" customHeight="1" x14ac:dyDescent="0.2">
      <c r="A18" s="19" t="s">
        <v>22</v>
      </c>
      <c r="B18" s="36">
        <v>13</v>
      </c>
      <c r="C18" s="36">
        <v>13</v>
      </c>
      <c r="D18" s="36">
        <f>B18-C18</f>
        <v>0</v>
      </c>
      <c r="E18" s="37">
        <v>142</v>
      </c>
      <c r="F18" s="50">
        <f t="shared" si="19"/>
        <v>-129</v>
      </c>
      <c r="G18" s="38">
        <f>B18/248</f>
        <v>5.2419354838709679E-2</v>
      </c>
      <c r="H18" s="38">
        <f>C18/248</f>
        <v>5.2419354838709679E-2</v>
      </c>
      <c r="I18" s="38">
        <f t="shared" si="11"/>
        <v>0</v>
      </c>
      <c r="J18" s="39">
        <f>E18/248</f>
        <v>0.57258064516129037</v>
      </c>
      <c r="K18" s="51">
        <f t="shared" si="12"/>
        <v>-0.52016129032258074</v>
      </c>
      <c r="L18" s="16"/>
      <c r="M18" s="16" t="s">
        <v>19</v>
      </c>
      <c r="N18" s="16"/>
      <c r="O18" s="16"/>
      <c r="R18" s="44">
        <f t="shared" si="13"/>
        <v>-869795.72</v>
      </c>
      <c r="S18" s="66">
        <f t="shared" si="15"/>
        <v>-0.86764766731706977</v>
      </c>
      <c r="T18" s="67">
        <f t="shared" si="16"/>
        <v>-0.87967969756097253</v>
      </c>
      <c r="U18" s="21">
        <f t="shared" si="14"/>
        <v>3146.4656771397613</v>
      </c>
      <c r="V18" s="68">
        <f t="shared" si="17"/>
        <v>0.44569471084431461</v>
      </c>
    </row>
    <row r="19" spans="1:22" s="17" customFormat="1" ht="18" customHeight="1" thickBot="1" x14ac:dyDescent="0.25">
      <c r="A19" s="25">
        <v>46023</v>
      </c>
      <c r="B19" s="36">
        <v>26</v>
      </c>
      <c r="C19" s="36">
        <v>26</v>
      </c>
      <c r="D19" s="36">
        <f>B19-C19</f>
        <v>0</v>
      </c>
      <c r="E19" s="37">
        <v>91</v>
      </c>
      <c r="F19" s="50">
        <f t="shared" si="10"/>
        <v>-65</v>
      </c>
      <c r="G19" s="38">
        <f>B19/248</f>
        <v>0.10483870967741936</v>
      </c>
      <c r="H19" s="38">
        <f>C19/248</f>
        <v>0.10483870967741936</v>
      </c>
      <c r="I19" s="38">
        <f t="shared" si="11"/>
        <v>0</v>
      </c>
      <c r="J19" s="39">
        <f>E19/248</f>
        <v>0.36693548387096775</v>
      </c>
      <c r="K19" s="51">
        <f t="shared" si="12"/>
        <v>-0.26209677419354838</v>
      </c>
      <c r="L19" s="16"/>
      <c r="M19" s="16" t="s">
        <v>19</v>
      </c>
      <c r="N19" s="16"/>
      <c r="O19" s="16"/>
      <c r="R19" s="45">
        <f t="shared" si="13"/>
        <v>-450314.25999999995</v>
      </c>
      <c r="S19" s="69">
        <f t="shared" si="15"/>
        <v>-0.7374527847827842</v>
      </c>
      <c r="T19" s="70">
        <f t="shared" si="16"/>
        <v>-0.76132071343889474</v>
      </c>
      <c r="U19" s="71">
        <f t="shared" si="14"/>
        <v>-544.10065934065915</v>
      </c>
      <c r="V19" s="72">
        <f t="shared" si="17"/>
        <v>-8.1084746739744709E-2</v>
      </c>
    </row>
    <row r="20" spans="1:22" s="4" customFormat="1" ht="25" customHeight="1" thickBot="1" x14ac:dyDescent="0.3">
      <c r="A20" s="52" t="s">
        <v>8</v>
      </c>
      <c r="B20" s="53"/>
      <c r="C20" s="53"/>
      <c r="D20" s="53"/>
      <c r="E20" s="53"/>
      <c r="F20" s="53"/>
      <c r="G20" s="53"/>
      <c r="H20" s="53"/>
      <c r="I20" s="53"/>
      <c r="J20" s="53"/>
      <c r="K20" s="54"/>
      <c r="L20" s="3"/>
      <c r="M20" s="3"/>
      <c r="N20" s="3"/>
      <c r="O20" s="3"/>
    </row>
    <row r="21" spans="1:22" s="17" customFormat="1" ht="32" customHeight="1" x14ac:dyDescent="0.2">
      <c r="A21" s="5"/>
      <c r="B21" s="6" t="s">
        <v>28</v>
      </c>
      <c r="C21" s="6" t="s">
        <v>25</v>
      </c>
      <c r="D21" s="6" t="s">
        <v>0</v>
      </c>
      <c r="E21" s="7" t="s">
        <v>1</v>
      </c>
      <c r="F21" s="8" t="s">
        <v>10</v>
      </c>
      <c r="G21" s="11" t="s">
        <v>23</v>
      </c>
      <c r="H21" s="12" t="s">
        <v>23</v>
      </c>
      <c r="I21" s="13" t="s">
        <v>24</v>
      </c>
      <c r="J21" s="58" t="s">
        <v>24</v>
      </c>
      <c r="K21" s="18"/>
      <c r="L21" s="16"/>
      <c r="M21" s="16"/>
      <c r="N21" s="16"/>
    </row>
    <row r="22" spans="1:22" s="17" customFormat="1" ht="18" customHeight="1" x14ac:dyDescent="0.2">
      <c r="A22" s="19" t="s">
        <v>4</v>
      </c>
      <c r="B22" s="20">
        <f t="shared" ref="B22:B27" si="20">B3/B13</f>
        <v>7801.6720253164549</v>
      </c>
      <c r="C22" s="20">
        <f t="shared" ref="C22" si="21">C3/C13</f>
        <v>7747.9011249999994</v>
      </c>
      <c r="D22" s="20">
        <f t="shared" ref="D22:D23" si="22">B22-C22</f>
        <v>53.770900316455482</v>
      </c>
      <c r="E22" s="44">
        <f t="shared" ref="E22:E28" si="23">E3/E13</f>
        <v>4523.1282666666666</v>
      </c>
      <c r="F22" s="44">
        <f t="shared" ref="F22:F28" si="24">B22-E22</f>
        <v>3278.5437586497883</v>
      </c>
      <c r="G22" s="23">
        <v>4647.05</v>
      </c>
      <c r="H22" s="24">
        <v>4647.05</v>
      </c>
      <c r="I22" s="73">
        <f>B22-G22</f>
        <v>3154.6220253164547</v>
      </c>
      <c r="J22" s="65">
        <f>(B22-E22)/E22</f>
        <v>0.72483988190454773</v>
      </c>
      <c r="K22" s="18"/>
      <c r="L22" s="16"/>
      <c r="M22" s="18" t="s">
        <v>30</v>
      </c>
      <c r="N22" s="16"/>
    </row>
    <row r="23" spans="1:22" s="17" customFormat="1" ht="18" customHeight="1" x14ac:dyDescent="0.2">
      <c r="A23" s="19" t="s">
        <v>5</v>
      </c>
      <c r="B23" s="20">
        <f t="shared" si="20"/>
        <v>6746.5165217391304</v>
      </c>
      <c r="C23" s="20">
        <f t="shared" ref="C23" si="25">C4/C14</f>
        <v>7060.5592452830188</v>
      </c>
      <c r="D23" s="20">
        <f t="shared" si="22"/>
        <v>-314.04272354388831</v>
      </c>
      <c r="E23" s="44">
        <f t="shared" si="23"/>
        <v>5722.2367479674795</v>
      </c>
      <c r="F23" s="44">
        <f t="shared" si="24"/>
        <v>1024.279773771651</v>
      </c>
      <c r="G23" s="23">
        <v>5755.5663478260867</v>
      </c>
      <c r="H23" s="24">
        <v>6041.9820652173912</v>
      </c>
      <c r="I23" s="73">
        <f t="shared" ref="I23:I26" si="26">B23-G23</f>
        <v>990.95017391304373</v>
      </c>
      <c r="J23" s="68">
        <f t="shared" ref="J23:J28" si="27">(B23-E23)/E23</f>
        <v>0.17899989442685535</v>
      </c>
      <c r="K23" s="18"/>
      <c r="L23" s="16"/>
      <c r="M23" s="18" t="s">
        <v>29</v>
      </c>
      <c r="N23" s="16"/>
    </row>
    <row r="24" spans="1:22" s="17" customFormat="1" ht="18" customHeight="1" x14ac:dyDescent="0.2">
      <c r="A24" s="19" t="s">
        <v>6</v>
      </c>
      <c r="B24" s="20">
        <f t="shared" si="20"/>
        <v>7450.6370270270272</v>
      </c>
      <c r="C24" s="20">
        <f t="shared" ref="C24" si="28">C5/C15</f>
        <v>7450.6370270270272</v>
      </c>
      <c r="D24" s="20">
        <f t="shared" ref="D24" si="29">B24-C24</f>
        <v>0</v>
      </c>
      <c r="E24" s="44">
        <f t="shared" si="23"/>
        <v>5149.0252100840335</v>
      </c>
      <c r="F24" s="44">
        <f t="shared" ref="F24:F27" si="30">B24-E24</f>
        <v>2301.6118169429938</v>
      </c>
      <c r="G24" s="23">
        <v>5497.5376623376624</v>
      </c>
      <c r="H24" s="24">
        <v>5567.2648648648646</v>
      </c>
      <c r="I24" s="73">
        <f t="shared" si="26"/>
        <v>1953.0993646893648</v>
      </c>
      <c r="J24" s="68">
        <f t="shared" si="27"/>
        <v>0.44699952380024</v>
      </c>
      <c r="K24" s="18"/>
      <c r="L24" s="16"/>
      <c r="M24" s="18"/>
      <c r="N24" s="16"/>
    </row>
    <row r="25" spans="1:22" s="17" customFormat="1" ht="18" customHeight="1" x14ac:dyDescent="0.2">
      <c r="A25" s="19" t="s">
        <v>20</v>
      </c>
      <c r="B25" s="20">
        <f t="shared" si="20"/>
        <v>8052.9513513513521</v>
      </c>
      <c r="C25" s="20">
        <f t="shared" ref="C25" si="31">C6/C16</f>
        <v>8053.12</v>
      </c>
      <c r="D25" s="20">
        <f>B25-C25</f>
        <v>-0.16864864864783158</v>
      </c>
      <c r="E25" s="44">
        <f t="shared" si="23"/>
        <v>5763.1096296296291</v>
      </c>
      <c r="F25" s="44">
        <f t="shared" si="30"/>
        <v>2289.8417217217229</v>
      </c>
      <c r="G25" s="23">
        <v>6560.4868571428569</v>
      </c>
      <c r="H25" s="24">
        <v>6614.848484848485</v>
      </c>
      <c r="I25" s="73">
        <f t="shared" si="26"/>
        <v>1492.4644942084951</v>
      </c>
      <c r="J25" s="68">
        <f t="shared" si="27"/>
        <v>0.39732746188777279</v>
      </c>
      <c r="K25" s="18"/>
      <c r="L25" s="16"/>
      <c r="M25" s="18"/>
      <c r="N25" s="16"/>
    </row>
    <row r="26" spans="1:22" s="17" customFormat="1" ht="18" customHeight="1" x14ac:dyDescent="0.2">
      <c r="A26" s="19" t="s">
        <v>21</v>
      </c>
      <c r="B26" s="20">
        <f t="shared" si="20"/>
        <v>5578.333333333333</v>
      </c>
      <c r="C26" s="20">
        <f t="shared" ref="C26" si="32">C7/C17</f>
        <v>6401.666666666667</v>
      </c>
      <c r="D26" s="20">
        <f>B26-C26</f>
        <v>-823.33333333333394</v>
      </c>
      <c r="E26" s="44">
        <f t="shared" si="23"/>
        <v>5179.6477108433737</v>
      </c>
      <c r="F26" s="44">
        <f t="shared" si="30"/>
        <v>398.68562248995931</v>
      </c>
      <c r="G26" s="23">
        <v>5732.4079999999994</v>
      </c>
      <c r="H26" s="24">
        <v>5853.283636363637</v>
      </c>
      <c r="I26" s="73">
        <f t="shared" si="26"/>
        <v>-154.07466666666642</v>
      </c>
      <c r="J26" s="68">
        <f t="shared" si="27"/>
        <v>7.6971571185300458E-2</v>
      </c>
      <c r="K26" s="18"/>
      <c r="L26" s="16"/>
      <c r="M26" s="18" t="s">
        <v>12</v>
      </c>
      <c r="N26" s="16"/>
    </row>
    <row r="27" spans="1:22" s="17" customFormat="1" ht="18" customHeight="1" x14ac:dyDescent="0.2">
      <c r="A27" s="19" t="s">
        <v>22</v>
      </c>
      <c r="B27" s="20">
        <f t="shared" si="20"/>
        <v>10206.153846153846</v>
      </c>
      <c r="C27" s="20">
        <f t="shared" ref="C27" si="33">C8/C18</f>
        <v>10206.153846153846</v>
      </c>
      <c r="D27" s="20">
        <f>B27-C27</f>
        <v>0</v>
      </c>
      <c r="E27" s="44">
        <f t="shared" si="23"/>
        <v>7059.6881690140845</v>
      </c>
      <c r="F27" s="44">
        <f t="shared" si="30"/>
        <v>3146.4656771397613</v>
      </c>
      <c r="G27" s="23">
        <v>8232.5833333333339</v>
      </c>
      <c r="H27" s="24">
        <v>8232.5833333333339</v>
      </c>
      <c r="I27" s="73">
        <f>B27-G27</f>
        <v>1973.5705128205118</v>
      </c>
      <c r="J27" s="68">
        <f t="shared" si="27"/>
        <v>0.44569471084431461</v>
      </c>
      <c r="K27" s="18"/>
      <c r="L27" s="16"/>
      <c r="M27" s="18" t="s">
        <v>13</v>
      </c>
      <c r="N27" s="16"/>
    </row>
    <row r="28" spans="1:22" s="17" customFormat="1" ht="18" customHeight="1" x14ac:dyDescent="0.2">
      <c r="A28" s="40">
        <v>46023</v>
      </c>
      <c r="B28" s="43">
        <f>B9/B19</f>
        <v>6166.1707692307691</v>
      </c>
      <c r="C28" s="43">
        <f>C9/C19</f>
        <v>6166.1707692307691</v>
      </c>
      <c r="D28" s="43">
        <f>B28-C28</f>
        <v>0</v>
      </c>
      <c r="E28" s="45">
        <f t="shared" si="23"/>
        <v>6710.2714285714283</v>
      </c>
      <c r="F28" s="45">
        <f t="shared" si="24"/>
        <v>-544.10065934065915</v>
      </c>
      <c r="G28" s="41">
        <v>8227.2222222222226</v>
      </c>
      <c r="H28" s="42"/>
      <c r="I28" s="74">
        <f>B28-G28</f>
        <v>-2061.0514529914535</v>
      </c>
      <c r="J28" s="72">
        <f t="shared" si="27"/>
        <v>-8.1084746739744709E-2</v>
      </c>
      <c r="K28" s="18"/>
      <c r="L28" s="16"/>
      <c r="M28" s="18"/>
      <c r="N28" s="16"/>
    </row>
  </sheetData>
  <mergeCells count="5">
    <mergeCell ref="A11:F11"/>
    <mergeCell ref="G11:K11"/>
    <mergeCell ref="A1:K1"/>
    <mergeCell ref="A20:K20"/>
    <mergeCell ref="R11:V11"/>
  </mergeCells>
  <conditionalFormatting sqref="D3:D10 F3:F10 H3:H10 K3:K10 D13:D19 F13:F19 D22:D28 F22:F28 I22:I28">
    <cfRule type="cellIs" dxfId="10" priority="10" operator="lessThan">
      <formula>0</formula>
    </cfRule>
    <cfRule type="cellIs" dxfId="9" priority="11" operator="greaterThan">
      <formula>0</formula>
    </cfRule>
  </conditionalFormatting>
  <conditionalFormatting sqref="D3:D10 F3:F10 H3:H10 K3:K10 D13:D19 F13:F19 I13:I19 K13:K19 D22:D28 F22:F28 I22:I28">
    <cfRule type="cellIs" dxfId="8" priority="9" operator="equal">
      <formula>0</formula>
    </cfRule>
  </conditionalFormatting>
  <conditionalFormatting sqref="I13:I19 K13:K19">
    <cfRule type="cellIs" dxfId="7" priority="7" operator="lessThan">
      <formula>-0.009</formula>
    </cfRule>
    <cfRule type="cellIs" dxfId="6" priority="8" operator="greaterThan">
      <formula>0.0009</formula>
    </cfRule>
  </conditionalFormatting>
  <conditionalFormatting sqref="S13:T19 V13:V19">
    <cfRule type="cellIs" dxfId="5" priority="4" operator="equal">
      <formula>0</formula>
    </cfRule>
    <cfRule type="cellIs" dxfId="4" priority="5" stopIfTrue="1" operator="lessThan">
      <formula>-0.0009</formula>
    </cfRule>
    <cfRule type="cellIs" dxfId="3" priority="6" operator="greaterThan">
      <formula>0.009</formula>
    </cfRule>
  </conditionalFormatting>
  <conditionalFormatting sqref="J22:J28">
    <cfRule type="cellIs" dxfId="2" priority="1" operator="equal">
      <formula>0</formula>
    </cfRule>
    <cfRule type="cellIs" dxfId="1" priority="2" stopIfTrue="1" operator="lessThan">
      <formula>-0.0009</formula>
    </cfRule>
    <cfRule type="cellIs" dxfId="0" priority="3" operator="greaterThan">
      <formula>0.009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J13:J14 G13:G14 G15:G16 J15:J16 G17 J17 H10 H14:I19" formula="1"/>
    <ignoredError sqref="D22:D28" evalError="1" formula="1"/>
    <ignoredError sqref="B28 B22:B27 E22:F26 E27:F27 I27 I22:I26 K27 E28:F28 G28:I28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OTB 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dcterms:created xsi:type="dcterms:W3CDTF">2025-04-03T10:02:25Z</dcterms:created>
  <dcterms:modified xsi:type="dcterms:W3CDTF">2025-08-14T08:39:38Z</dcterms:modified>
</cp:coreProperties>
</file>