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loudStorage/Dropbox-CHEETAHPLAINS/Carike Ligthelm/Roomsonline 2024:6/Mziki/Revenue Reports | Mz/2026/"/>
    </mc:Choice>
  </mc:AlternateContent>
  <xr:revisionPtr revIDLastSave="0" documentId="13_ncr:1_{BE3C7CE2-B88C-2941-86A1-9D241D505AAF}" xr6:coauthVersionLast="47" xr6:coauthVersionMax="47" xr10:uidLastSave="{00000000-0000-0000-0000-000000000000}"/>
  <bookViews>
    <workbookView xWindow="16840" yWindow="500" windowWidth="16740" windowHeight="20500" xr2:uid="{529B9ECD-34EE-5444-862A-AF4A04B83C61}"/>
  </bookViews>
  <sheets>
    <sheet name="OTB RR" sheetId="1" r:id="rId1"/>
    <sheet name="Fin Year" sheetId="5" r:id="rId2"/>
    <sheet name="Historic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D19" i="1"/>
  <c r="D9" i="1"/>
  <c r="C28" i="1"/>
  <c r="C27" i="1"/>
  <c r="C26" i="1"/>
  <c r="C25" i="1"/>
  <c r="C24" i="1"/>
  <c r="C23" i="1"/>
  <c r="C22" i="1"/>
  <c r="C10" i="1"/>
  <c r="E27" i="1"/>
  <c r="B27" i="1"/>
  <c r="T18" i="1"/>
  <c r="S18" i="1"/>
  <c r="J18" i="1"/>
  <c r="H18" i="1"/>
  <c r="G18" i="1"/>
  <c r="F18" i="1"/>
  <c r="D18" i="1"/>
  <c r="K8" i="1"/>
  <c r="G8" i="1"/>
  <c r="F8" i="1"/>
  <c r="D8" i="1"/>
  <c r="J19" i="1"/>
  <c r="G19" i="1"/>
  <c r="I19" i="1" s="1"/>
  <c r="E26" i="1"/>
  <c r="B26" i="1"/>
  <c r="S17" i="1"/>
  <c r="J17" i="1"/>
  <c r="H17" i="1"/>
  <c r="G17" i="1"/>
  <c r="F17" i="1"/>
  <c r="D17" i="1"/>
  <c r="K7" i="1"/>
  <c r="G7" i="1"/>
  <c r="F7" i="1"/>
  <c r="D7" i="1"/>
  <c r="E25" i="1"/>
  <c r="B25" i="1"/>
  <c r="K25" i="1" s="1"/>
  <c r="S16" i="1"/>
  <c r="J16" i="1"/>
  <c r="H16" i="1"/>
  <c r="G16" i="1"/>
  <c r="F16" i="1"/>
  <c r="D16" i="1"/>
  <c r="K6" i="1"/>
  <c r="G6" i="1"/>
  <c r="H6" i="1" s="1"/>
  <c r="F6" i="1"/>
  <c r="D6" i="1"/>
  <c r="J13" i="1"/>
  <c r="E24" i="1"/>
  <c r="B24" i="1"/>
  <c r="S15" i="1"/>
  <c r="J15" i="1"/>
  <c r="H15" i="1"/>
  <c r="G15" i="1"/>
  <c r="F15" i="1"/>
  <c r="D15" i="1"/>
  <c r="K5" i="1"/>
  <c r="G5" i="1"/>
  <c r="H5" i="1" s="1"/>
  <c r="F5" i="1"/>
  <c r="R15" i="1" s="1"/>
  <c r="D5" i="1"/>
  <c r="J14" i="1"/>
  <c r="E23" i="1"/>
  <c r="B23" i="1"/>
  <c r="K23" i="1" s="1"/>
  <c r="S14" i="1"/>
  <c r="H14" i="1"/>
  <c r="G14" i="1"/>
  <c r="F14" i="1"/>
  <c r="D14" i="1"/>
  <c r="K4" i="1"/>
  <c r="G4" i="1"/>
  <c r="H4" i="1" s="1"/>
  <c r="F4" i="1"/>
  <c r="R14" i="1" s="1"/>
  <c r="D4" i="1"/>
  <c r="E22" i="1"/>
  <c r="B22" i="1"/>
  <c r="K22" i="1" s="1"/>
  <c r="S13" i="1"/>
  <c r="H13" i="1"/>
  <c r="G13" i="1"/>
  <c r="F13" i="1"/>
  <c r="D13" i="1"/>
  <c r="K3" i="1"/>
  <c r="G3" i="1"/>
  <c r="H3" i="1" s="1"/>
  <c r="F3" i="1"/>
  <c r="R13" i="1" s="1"/>
  <c r="D3" i="1"/>
  <c r="F24" i="5"/>
  <c r="V18" i="1" l="1"/>
  <c r="I18" i="1"/>
  <c r="R18" i="1"/>
  <c r="J27" i="1"/>
  <c r="F27" i="1"/>
  <c r="U18" i="1" s="1"/>
  <c r="D27" i="1"/>
  <c r="G27" i="1"/>
  <c r="K27" i="1"/>
  <c r="K18" i="1"/>
  <c r="H8" i="1"/>
  <c r="V17" i="1"/>
  <c r="T17" i="1"/>
  <c r="R17" i="1"/>
  <c r="K26" i="1"/>
  <c r="F26" i="1"/>
  <c r="U17" i="1" s="1"/>
  <c r="J26" i="1"/>
  <c r="G26" i="1"/>
  <c r="D26" i="1"/>
  <c r="I17" i="1"/>
  <c r="K17" i="1"/>
  <c r="H7" i="1"/>
  <c r="T16" i="1"/>
  <c r="I16" i="1"/>
  <c r="R16" i="1"/>
  <c r="K16" i="1"/>
  <c r="F25" i="1"/>
  <c r="U16" i="1" s="1"/>
  <c r="D25" i="1"/>
  <c r="G25" i="1"/>
  <c r="J25" i="1"/>
  <c r="V16" i="1"/>
  <c r="G24" i="1"/>
  <c r="G23" i="1"/>
  <c r="K24" i="1"/>
  <c r="G22" i="1"/>
  <c r="T15" i="1"/>
  <c r="K15" i="1"/>
  <c r="I15" i="1"/>
  <c r="F24" i="1"/>
  <c r="J24" i="1"/>
  <c r="D24" i="1"/>
  <c r="V15" i="1"/>
  <c r="I14" i="1"/>
  <c r="K14" i="1"/>
  <c r="T14" i="1"/>
  <c r="V14" i="1"/>
  <c r="F23" i="1"/>
  <c r="J23" i="1"/>
  <c r="D23" i="1"/>
  <c r="I13" i="1"/>
  <c r="K13" i="1"/>
  <c r="V13" i="1"/>
  <c r="T13" i="1"/>
  <c r="F22" i="1"/>
  <c r="U13" i="1" s="1"/>
  <c r="D22" i="1"/>
  <c r="J22" i="1"/>
  <c r="D29" i="5"/>
  <c r="D28" i="5"/>
  <c r="D27" i="5"/>
  <c r="D26" i="5"/>
  <c r="D25" i="5"/>
  <c r="D24" i="5"/>
  <c r="D23" i="5"/>
  <c r="D22" i="5"/>
  <c r="D21" i="5"/>
  <c r="D20" i="5"/>
  <c r="D19" i="5"/>
  <c r="D18" i="5"/>
  <c r="F28" i="5"/>
  <c r="F26" i="5"/>
  <c r="G26" i="5" s="1"/>
  <c r="F23" i="5"/>
  <c r="E28" i="5"/>
  <c r="E26" i="5"/>
  <c r="E23" i="5"/>
  <c r="G23" i="5" s="1"/>
  <c r="E21" i="5"/>
  <c r="F22" i="5"/>
  <c r="G22" i="5" s="1"/>
  <c r="F21" i="5"/>
  <c r="F20" i="5"/>
  <c r="F18" i="5"/>
  <c r="F19" i="5"/>
  <c r="G19" i="5" s="1"/>
  <c r="E19" i="5"/>
  <c r="F29" i="5"/>
  <c r="F27" i="5"/>
  <c r="F25" i="5"/>
  <c r="E29" i="5"/>
  <c r="G29" i="5" s="1"/>
  <c r="E27" i="5"/>
  <c r="E25" i="5"/>
  <c r="E24" i="5"/>
  <c r="E22" i="5"/>
  <c r="E20" i="5"/>
  <c r="E18" i="5"/>
  <c r="G20" i="5"/>
  <c r="U14" i="1" l="1"/>
  <c r="U15" i="1"/>
  <c r="G28" i="5"/>
  <c r="G21" i="5"/>
  <c r="G18" i="5"/>
  <c r="G27" i="5"/>
  <c r="G25" i="5"/>
  <c r="G24" i="5"/>
  <c r="E28" i="1"/>
  <c r="B28" i="1"/>
  <c r="D28" i="1" s="1"/>
  <c r="K19" i="1"/>
  <c r="F19" i="1"/>
  <c r="J10" i="1"/>
  <c r="I10" i="1"/>
  <c r="K9" i="1"/>
  <c r="G28" i="1" l="1"/>
  <c r="K28" i="1"/>
  <c r="J28" i="1"/>
  <c r="F28" i="1"/>
  <c r="C33" i="5" l="1"/>
  <c r="C34" i="5"/>
  <c r="C35" i="5"/>
  <c r="C36" i="5"/>
  <c r="C38" i="5"/>
  <c r="D38" i="5" s="1"/>
  <c r="C39" i="5"/>
  <c r="D39" i="5" s="1"/>
  <c r="C40" i="5"/>
  <c r="D40" i="5" s="1"/>
  <c r="C41" i="5"/>
  <c r="C42" i="5"/>
  <c r="C43" i="5"/>
  <c r="C32" i="5"/>
  <c r="B33" i="5"/>
  <c r="B34" i="5"/>
  <c r="B35" i="5"/>
  <c r="B36" i="5"/>
  <c r="B37" i="5"/>
  <c r="D37" i="5" s="1"/>
  <c r="B38" i="5"/>
  <c r="B39" i="5"/>
  <c r="B40" i="5"/>
  <c r="B41" i="5"/>
  <c r="E41" i="5" s="1"/>
  <c r="B42" i="5"/>
  <c r="B43" i="5"/>
  <c r="B32" i="5"/>
  <c r="E32" i="5" s="1"/>
  <c r="E42" i="5"/>
  <c r="E34" i="5"/>
  <c r="E33" i="5"/>
  <c r="F4" i="5"/>
  <c r="F5" i="5"/>
  <c r="F6" i="5"/>
  <c r="F7" i="5"/>
  <c r="F8" i="5"/>
  <c r="F9" i="5"/>
  <c r="F10" i="5"/>
  <c r="F11" i="5"/>
  <c r="G11" i="5" s="1"/>
  <c r="F12" i="5"/>
  <c r="F13" i="5"/>
  <c r="F14" i="5"/>
  <c r="G14" i="5" s="1"/>
  <c r="F3" i="5"/>
  <c r="E4" i="5"/>
  <c r="E5" i="5"/>
  <c r="E6" i="5"/>
  <c r="E7" i="5"/>
  <c r="E8" i="5"/>
  <c r="E9" i="5"/>
  <c r="E10" i="5"/>
  <c r="E11" i="5"/>
  <c r="E12" i="5"/>
  <c r="E13" i="5"/>
  <c r="E14" i="5"/>
  <c r="E3" i="5"/>
  <c r="D14" i="5"/>
  <c r="D13" i="5"/>
  <c r="D12" i="5"/>
  <c r="D11" i="5"/>
  <c r="D10" i="5"/>
  <c r="D9" i="5"/>
  <c r="D8" i="5"/>
  <c r="D7" i="5"/>
  <c r="D6" i="5"/>
  <c r="D5" i="5"/>
  <c r="D4" i="5"/>
  <c r="D3" i="5"/>
  <c r="C15" i="5"/>
  <c r="B15" i="5"/>
  <c r="H13" i="5" l="1"/>
  <c r="G13" i="5"/>
  <c r="H12" i="5"/>
  <c r="G12" i="5"/>
  <c r="H4" i="5"/>
  <c r="G4" i="5"/>
  <c r="D36" i="5"/>
  <c r="H6" i="5"/>
  <c r="G6" i="5"/>
  <c r="H5" i="5"/>
  <c r="G5" i="5"/>
  <c r="E35" i="5"/>
  <c r="H10" i="5"/>
  <c r="G10" i="5"/>
  <c r="D32" i="5"/>
  <c r="G15" i="5"/>
  <c r="H9" i="5"/>
  <c r="G9" i="5"/>
  <c r="E43" i="5"/>
  <c r="H8" i="5"/>
  <c r="G8" i="5"/>
  <c r="D42" i="5"/>
  <c r="D34" i="5"/>
  <c r="H3" i="5"/>
  <c r="G3" i="5"/>
  <c r="H7" i="5"/>
  <c r="G7" i="5"/>
  <c r="D41" i="5"/>
  <c r="D33" i="5"/>
  <c r="E40" i="5"/>
  <c r="E39" i="5"/>
  <c r="E37" i="5"/>
  <c r="E38" i="5"/>
  <c r="D43" i="5"/>
  <c r="D35" i="5"/>
  <c r="E36" i="5"/>
  <c r="H14" i="5"/>
  <c r="H11" i="5"/>
  <c r="E15" i="5"/>
  <c r="D15" i="5"/>
  <c r="F15" i="5"/>
  <c r="H15" i="5" s="1"/>
  <c r="J13" i="2" l="1"/>
  <c r="J27" i="2"/>
  <c r="J26" i="2"/>
  <c r="J25" i="2"/>
  <c r="J24" i="2"/>
  <c r="J23" i="2"/>
  <c r="J22" i="2"/>
  <c r="J21" i="2"/>
  <c r="J20" i="2"/>
  <c r="J19" i="2"/>
  <c r="J18" i="2"/>
  <c r="J17" i="2"/>
  <c r="J16" i="2"/>
  <c r="J3" i="2"/>
  <c r="J4" i="2"/>
  <c r="J5" i="2"/>
  <c r="J6" i="2"/>
  <c r="J7" i="2"/>
  <c r="J8" i="2"/>
  <c r="J9" i="2"/>
  <c r="J10" i="2"/>
  <c r="J11" i="2"/>
  <c r="J12" i="2"/>
  <c r="J2" i="2"/>
  <c r="I17" i="2"/>
  <c r="I18" i="2"/>
  <c r="I19" i="2"/>
  <c r="I20" i="2"/>
  <c r="I21" i="2"/>
  <c r="I22" i="2"/>
  <c r="I23" i="2"/>
  <c r="I24" i="2"/>
  <c r="I25" i="2"/>
  <c r="I26" i="2"/>
  <c r="I27" i="2"/>
  <c r="I16" i="2"/>
  <c r="I3" i="2"/>
  <c r="I4" i="2"/>
  <c r="I5" i="2"/>
  <c r="I6" i="2"/>
  <c r="I7" i="2"/>
  <c r="I8" i="2"/>
  <c r="I9" i="2"/>
  <c r="I10" i="2"/>
  <c r="I11" i="2"/>
  <c r="I12" i="2"/>
  <c r="I13" i="2"/>
  <c r="I2" i="2"/>
  <c r="H55" i="2"/>
  <c r="H54" i="2"/>
  <c r="H53" i="2"/>
  <c r="H52" i="2"/>
  <c r="H51" i="2"/>
  <c r="H50" i="2"/>
  <c r="H49" i="2"/>
  <c r="H48" i="2"/>
  <c r="H47" i="2"/>
  <c r="H46" i="2"/>
  <c r="H45" i="2"/>
  <c r="H44" i="2"/>
  <c r="H28" i="2"/>
  <c r="H14" i="2"/>
  <c r="S19" i="1"/>
  <c r="I40" i="2" l="1"/>
  <c r="I32" i="2"/>
  <c r="J32" i="2"/>
  <c r="J40" i="2"/>
  <c r="J41" i="2"/>
  <c r="H42" i="2"/>
  <c r="H56" i="2"/>
  <c r="B14" i="2"/>
  <c r="C14" i="2"/>
  <c r="D14" i="2"/>
  <c r="E14" i="2"/>
  <c r="F14" i="2"/>
  <c r="G14" i="2"/>
  <c r="B28" i="2"/>
  <c r="C28" i="2"/>
  <c r="D28" i="2"/>
  <c r="E28" i="2"/>
  <c r="F28" i="2"/>
  <c r="G28" i="2"/>
  <c r="I28" i="2" s="1"/>
  <c r="I31" i="2"/>
  <c r="I33" i="2"/>
  <c r="I34" i="2"/>
  <c r="J35" i="2"/>
  <c r="I36" i="2"/>
  <c r="I37" i="2"/>
  <c r="J39" i="2"/>
  <c r="B42" i="2"/>
  <c r="I41" i="2"/>
  <c r="C44" i="2"/>
  <c r="D44" i="2"/>
  <c r="E44" i="2"/>
  <c r="F44" i="2"/>
  <c r="G44" i="2"/>
  <c r="J44" i="2" s="1"/>
  <c r="C45" i="2"/>
  <c r="D45" i="2"/>
  <c r="E45" i="2"/>
  <c r="F45" i="2"/>
  <c r="G45" i="2"/>
  <c r="I45" i="2" s="1"/>
  <c r="C46" i="2"/>
  <c r="D46" i="2"/>
  <c r="E46" i="2"/>
  <c r="F46" i="2"/>
  <c r="G46" i="2"/>
  <c r="J46" i="2" s="1"/>
  <c r="D47" i="2"/>
  <c r="E47" i="2"/>
  <c r="F47" i="2"/>
  <c r="G47" i="2"/>
  <c r="D48" i="2"/>
  <c r="E48" i="2"/>
  <c r="F48" i="2"/>
  <c r="G48" i="2"/>
  <c r="J48" i="2" s="1"/>
  <c r="D49" i="2"/>
  <c r="E49" i="2"/>
  <c r="F49" i="2"/>
  <c r="G49" i="2"/>
  <c r="J49" i="2" s="1"/>
  <c r="D50" i="2"/>
  <c r="E50" i="2"/>
  <c r="F50" i="2"/>
  <c r="G50" i="2"/>
  <c r="J50" i="2" s="1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I53" i="2" s="1"/>
  <c r="C54" i="2"/>
  <c r="D54" i="2"/>
  <c r="E54" i="2"/>
  <c r="F54" i="2"/>
  <c r="G54" i="2"/>
  <c r="J54" i="2" s="1"/>
  <c r="B55" i="2"/>
  <c r="B56" i="2" s="1"/>
  <c r="C55" i="2"/>
  <c r="D55" i="2"/>
  <c r="E55" i="2"/>
  <c r="F55" i="2"/>
  <c r="G55" i="2"/>
  <c r="G9" i="1"/>
  <c r="T19" i="1" s="1"/>
  <c r="J28" i="2" l="1"/>
  <c r="I39" i="2"/>
  <c r="J33" i="2"/>
  <c r="J45" i="2"/>
  <c r="J34" i="2"/>
  <c r="I35" i="2"/>
  <c r="J36" i="2"/>
  <c r="J42" i="2"/>
  <c r="J31" i="2"/>
  <c r="J37" i="2"/>
  <c r="J38" i="2"/>
  <c r="I38" i="2"/>
  <c r="I30" i="2"/>
  <c r="J30" i="2"/>
  <c r="I48" i="2"/>
  <c r="I46" i="2"/>
  <c r="J53" i="2"/>
  <c r="I47" i="2"/>
  <c r="J47" i="2"/>
  <c r="I51" i="2"/>
  <c r="J51" i="2"/>
  <c r="I14" i="2"/>
  <c r="J14" i="2"/>
  <c r="I50" i="2"/>
  <c r="F56" i="2"/>
  <c r="I54" i="2"/>
  <c r="I55" i="2"/>
  <c r="J55" i="2"/>
  <c r="J52" i="2"/>
  <c r="I52" i="2"/>
  <c r="I44" i="2"/>
  <c r="I49" i="2"/>
  <c r="C56" i="2"/>
  <c r="G42" i="2"/>
  <c r="C42" i="2"/>
  <c r="D42" i="2"/>
  <c r="D56" i="2"/>
  <c r="E42" i="2"/>
  <c r="E56" i="2"/>
  <c r="G56" i="2"/>
  <c r="J56" i="2" s="1"/>
  <c r="V19" i="1"/>
  <c r="F42" i="2"/>
  <c r="I42" i="2" l="1"/>
  <c r="I56" i="2"/>
  <c r="U19" i="1"/>
  <c r="G10" i="1" l="1"/>
  <c r="E10" i="1"/>
  <c r="B10" i="1"/>
  <c r="K10" i="1" s="1"/>
  <c r="H9" i="1"/>
  <c r="F9" i="1"/>
  <c r="R19" i="1" s="1"/>
  <c r="H10" i="1" l="1"/>
  <c r="D10" i="1"/>
  <c r="F10" i="1"/>
</calcChain>
</file>

<file path=xl/sharedStrings.xml><?xml version="1.0" encoding="utf-8"?>
<sst xmlns="http://schemas.openxmlformats.org/spreadsheetml/2006/main" count="188" uniqueCount="54">
  <si>
    <t>Variance</t>
  </si>
  <si>
    <t>Last Year Actual</t>
  </si>
  <si>
    <t>OTB vs Target</t>
  </si>
  <si>
    <t>Aug</t>
  </si>
  <si>
    <t>Sept</t>
  </si>
  <si>
    <t>Room Nights</t>
  </si>
  <si>
    <t>ADR</t>
  </si>
  <si>
    <t>Occupancy</t>
  </si>
  <si>
    <t>OTB vs LY</t>
  </si>
  <si>
    <t>TOTAL</t>
  </si>
  <si>
    <t>TOTAL Average</t>
  </si>
  <si>
    <t>Dec</t>
  </si>
  <si>
    <t>Nov</t>
  </si>
  <si>
    <t>Oct</t>
  </si>
  <si>
    <t>Jul</t>
  </si>
  <si>
    <t>Jun</t>
  </si>
  <si>
    <t>May</t>
  </si>
  <si>
    <t>Apr</t>
  </si>
  <si>
    <t>Mar</t>
  </si>
  <si>
    <t>Feb</t>
  </si>
  <si>
    <t>Jan</t>
  </si>
  <si>
    <t>Revenue</t>
  </si>
  <si>
    <t>Revenue OTB vs LY</t>
  </si>
  <si>
    <t>ADR      OTB vs LY</t>
  </si>
  <si>
    <t>Revenue Comparison Review</t>
  </si>
  <si>
    <t>Rev OTB   vs Target</t>
  </si>
  <si>
    <t>2025</t>
  </si>
  <si>
    <t>2024 vs 2025</t>
  </si>
  <si>
    <t>Target (+10%)</t>
  </si>
  <si>
    <t>2025 vs 2024</t>
  </si>
  <si>
    <t>2025 vs Target</t>
  </si>
  <si>
    <t>Including Blocks</t>
  </si>
  <si>
    <t>Sep</t>
  </si>
  <si>
    <t>8 Rooms</t>
  </si>
  <si>
    <t>28 = 224</t>
  </si>
  <si>
    <t>29 = 232</t>
  </si>
  <si>
    <t>30 = 240</t>
  </si>
  <si>
    <t>31 = 248</t>
  </si>
  <si>
    <t>Mziki Safari Lodge | Financial Year</t>
  </si>
  <si>
    <t>10 Rooms</t>
  </si>
  <si>
    <t>until July</t>
  </si>
  <si>
    <t>28 = 280</t>
  </si>
  <si>
    <t>29 = 290</t>
  </si>
  <si>
    <t>30 = 300</t>
  </si>
  <si>
    <t>31 = 310</t>
  </si>
  <si>
    <t>Rev 2025   vs 2026</t>
  </si>
  <si>
    <t>ADR 2025 vs 2026</t>
  </si>
  <si>
    <t>OTB '26 vs STLY '25</t>
  </si>
  <si>
    <t>OTB 2026 vs             STLY 2025</t>
  </si>
  <si>
    <t>OTB @ 31 Jul 2026</t>
  </si>
  <si>
    <t>OTB @ 30 July 2025</t>
  </si>
  <si>
    <t>Mziki Safari Lodge | 14 August 2026</t>
  </si>
  <si>
    <t>OTB @ 14 Aug 2026</t>
  </si>
  <si>
    <t>OTB @ 14 Aug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</si>
</sst>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b/>
      <sz val="10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i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CF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5C0B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1" fontId="9" fillId="0" borderId="12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2" fontId="7" fillId="0" borderId="18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0" fontId="7" fillId="4" borderId="10" xfId="0" applyFont="1" applyFill="1" applyBorder="1" applyAlignment="1">
      <alignment horizontal="center" vertical="center"/>
    </xf>
    <xf numFmtId="2" fontId="7" fillId="4" borderId="10" xfId="0" applyNumberFormat="1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vertical="center"/>
    </xf>
    <xf numFmtId="9" fontId="9" fillId="0" borderId="12" xfId="1" applyFont="1" applyFill="1" applyBorder="1" applyAlignment="1">
      <alignment horizontal="center" vertical="center"/>
    </xf>
    <xf numFmtId="9" fontId="9" fillId="0" borderId="13" xfId="1" applyFont="1" applyFill="1" applyBorder="1" applyAlignment="1">
      <alignment horizontal="center" vertical="center"/>
    </xf>
    <xf numFmtId="10" fontId="7" fillId="0" borderId="15" xfId="0" applyNumberFormat="1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18" xfId="0" applyNumberFormat="1" applyFont="1" applyBorder="1" applyAlignment="1">
      <alignment horizontal="center" vertical="center"/>
    </xf>
    <xf numFmtId="10" fontId="7" fillId="0" borderId="10" xfId="0" applyNumberFormat="1" applyFont="1" applyBorder="1" applyAlignment="1">
      <alignment horizontal="center" vertical="center"/>
    </xf>
    <xf numFmtId="10" fontId="7" fillId="4" borderId="10" xfId="0" applyNumberFormat="1" applyFont="1" applyFill="1" applyBorder="1" applyAlignment="1">
      <alignment horizontal="center" vertical="center"/>
    </xf>
    <xf numFmtId="1" fontId="9" fillId="0" borderId="12" xfId="1" applyNumberFormat="1" applyFont="1" applyFill="1" applyBorder="1" applyAlignment="1">
      <alignment horizontal="center" vertical="center"/>
    </xf>
    <xf numFmtId="1" fontId="9" fillId="0" borderId="13" xfId="1" applyNumberFormat="1" applyFont="1" applyFill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4" borderId="10" xfId="0" applyNumberFormat="1" applyFont="1" applyFill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4" borderId="10" xfId="0" applyNumberFormat="1" applyFont="1" applyFill="1" applyBorder="1" applyAlignment="1">
      <alignment horizontal="center" vertical="center"/>
    </xf>
    <xf numFmtId="49" fontId="9" fillId="5" borderId="18" xfId="0" applyNumberFormat="1" applyFont="1" applyFill="1" applyBorder="1" applyAlignment="1">
      <alignment horizontal="center" vertical="center"/>
    </xf>
    <xf numFmtId="49" fontId="9" fillId="5" borderId="10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vertical="center"/>
    </xf>
    <xf numFmtId="17" fontId="10" fillId="0" borderId="1" xfId="0" applyNumberFormat="1" applyFont="1" applyBorder="1" applyAlignment="1">
      <alignment horizontal="left" vertical="center"/>
    </xf>
    <xf numFmtId="17" fontId="10" fillId="0" borderId="2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/>
    </xf>
    <xf numFmtId="3" fontId="10" fillId="6" borderId="0" xfId="0" applyNumberFormat="1" applyFont="1" applyFill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3" fontId="11" fillId="6" borderId="5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0" fontId="10" fillId="0" borderId="0" xfId="0" applyFont="1"/>
    <xf numFmtId="0" fontId="13" fillId="0" borderId="0" xfId="0" applyFont="1"/>
    <xf numFmtId="9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3" fontId="10" fillId="2" borderId="1" xfId="0" applyNumberFormat="1" applyFont="1" applyFill="1" applyBorder="1" applyAlignment="1">
      <alignment horizontal="center" vertical="center"/>
    </xf>
    <xf numFmtId="9" fontId="10" fillId="3" borderId="1" xfId="1" applyFont="1" applyFill="1" applyBorder="1" applyAlignment="1">
      <alignment horizontal="center" vertical="center"/>
    </xf>
    <xf numFmtId="9" fontId="10" fillId="6" borderId="1" xfId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9" fontId="10" fillId="3" borderId="2" xfId="1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center" vertical="center"/>
    </xf>
    <xf numFmtId="9" fontId="10" fillId="6" borderId="2" xfId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3" fontId="11" fillId="6" borderId="4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9" fontId="10" fillId="2" borderId="1" xfId="0" applyNumberFormat="1" applyFont="1" applyFill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9" fontId="10" fillId="3" borderId="22" xfId="1" applyFont="1" applyFill="1" applyBorder="1" applyAlignment="1">
      <alignment horizontal="center" vertical="center"/>
    </xf>
    <xf numFmtId="9" fontId="10" fillId="3" borderId="20" xfId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9" fontId="10" fillId="0" borderId="2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3" fontId="14" fillId="6" borderId="17" xfId="0" applyNumberFormat="1" applyFont="1" applyFill="1" applyBorder="1" applyAlignment="1">
      <alignment horizontal="center" vertical="center"/>
    </xf>
    <xf numFmtId="3" fontId="9" fillId="6" borderId="11" xfId="0" applyNumberFormat="1" applyFont="1" applyFill="1" applyBorder="1" applyAlignment="1">
      <alignment horizontal="center" vertical="center"/>
    </xf>
    <xf numFmtId="1" fontId="14" fillId="6" borderId="17" xfId="0" applyNumberFormat="1" applyFont="1" applyFill="1" applyBorder="1" applyAlignment="1">
      <alignment horizontal="center" vertical="center"/>
    </xf>
    <xf numFmtId="1" fontId="9" fillId="6" borderId="11" xfId="0" applyNumberFormat="1" applyFont="1" applyFill="1" applyBorder="1" applyAlignment="1">
      <alignment horizontal="center" vertical="center"/>
    </xf>
    <xf numFmtId="10" fontId="14" fillId="6" borderId="17" xfId="0" applyNumberFormat="1" applyFont="1" applyFill="1" applyBorder="1" applyAlignment="1">
      <alignment horizontal="center" vertical="center"/>
    </xf>
    <xf numFmtId="10" fontId="9" fillId="6" borderId="11" xfId="0" applyNumberFormat="1" applyFont="1" applyFill="1" applyBorder="1" applyAlignment="1">
      <alignment horizontal="center" vertical="center"/>
    </xf>
    <xf numFmtId="2" fontId="14" fillId="0" borderId="17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9" fontId="14" fillId="6" borderId="17" xfId="1" applyFont="1" applyFill="1" applyBorder="1" applyAlignment="1">
      <alignment horizontal="center" vertical="center"/>
    </xf>
    <xf numFmtId="9" fontId="9" fillId="6" borderId="11" xfId="1" applyFont="1" applyFill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/>
    </xf>
    <xf numFmtId="9" fontId="10" fillId="2" borderId="25" xfId="1" applyFont="1" applyFill="1" applyBorder="1" applyAlignment="1">
      <alignment horizontal="center" vertical="center"/>
    </xf>
    <xf numFmtId="9" fontId="11" fillId="2" borderId="28" xfId="1" applyFont="1" applyFill="1" applyBorder="1" applyAlignment="1">
      <alignment horizontal="center" vertical="center"/>
    </xf>
    <xf numFmtId="9" fontId="10" fillId="2" borderId="4" xfId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/>
    </xf>
    <xf numFmtId="9" fontId="10" fillId="2" borderId="2" xfId="1" applyFont="1" applyFill="1" applyBorder="1" applyAlignment="1">
      <alignment horizontal="center" vertical="center"/>
    </xf>
    <xf numFmtId="3" fontId="10" fillId="6" borderId="4" xfId="0" applyNumberFormat="1" applyFont="1" applyFill="1" applyBorder="1" applyAlignment="1">
      <alignment horizontal="center" vertical="center"/>
    </xf>
    <xf numFmtId="9" fontId="11" fillId="6" borderId="4" xfId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9" fontId="10" fillId="2" borderId="0" xfId="1" applyFont="1" applyFill="1" applyAlignment="1">
      <alignment horizontal="center" vertical="center"/>
    </xf>
    <xf numFmtId="9" fontId="10" fillId="2" borderId="3" xfId="1" applyFont="1" applyFill="1" applyBorder="1" applyAlignment="1">
      <alignment horizontal="center" vertical="center"/>
    </xf>
    <xf numFmtId="17" fontId="10" fillId="0" borderId="4" xfId="0" applyNumberFormat="1" applyFont="1" applyBorder="1" applyAlignment="1">
      <alignment horizontal="left" vertical="center"/>
    </xf>
    <xf numFmtId="0" fontId="11" fillId="7" borderId="9" xfId="0" applyFont="1" applyFill="1" applyBorder="1" applyAlignment="1">
      <alignment horizontal="center" vertical="center" wrapText="1"/>
    </xf>
    <xf numFmtId="3" fontId="10" fillId="7" borderId="1" xfId="0" applyNumberFormat="1" applyFont="1" applyFill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center" vertical="center"/>
    </xf>
    <xf numFmtId="3" fontId="11" fillId="3" borderId="4" xfId="0" applyNumberFormat="1" applyFont="1" applyFill="1" applyBorder="1" applyAlignment="1">
      <alignment horizontal="center" vertical="center"/>
    </xf>
    <xf numFmtId="3" fontId="10" fillId="7" borderId="2" xfId="0" applyNumberFormat="1" applyFont="1" applyFill="1" applyBorder="1" applyAlignment="1">
      <alignment horizontal="center" vertical="center"/>
    </xf>
    <xf numFmtId="0" fontId="16" fillId="0" borderId="0" xfId="0" applyFont="1"/>
    <xf numFmtId="0" fontId="17" fillId="7" borderId="9" xfId="0" applyFont="1" applyFill="1" applyBorder="1" applyAlignment="1">
      <alignment horizontal="center" vertical="center" wrapText="1"/>
    </xf>
    <xf numFmtId="3" fontId="18" fillId="7" borderId="1" xfId="0" applyNumberFormat="1" applyFont="1" applyFill="1" applyBorder="1" applyAlignment="1">
      <alignment horizontal="center" vertical="center"/>
    </xf>
    <xf numFmtId="3" fontId="17" fillId="7" borderId="26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9" fontId="18" fillId="2" borderId="0" xfId="0" applyNumberFormat="1" applyFont="1" applyFill="1" applyAlignment="1">
      <alignment horizontal="center" vertical="center"/>
    </xf>
    <xf numFmtId="3" fontId="18" fillId="3" borderId="22" xfId="0" applyNumberFormat="1" applyFont="1" applyFill="1" applyBorder="1" applyAlignment="1">
      <alignment horizontal="center" vertical="center"/>
    </xf>
    <xf numFmtId="9" fontId="18" fillId="3" borderId="1" xfId="1" applyFont="1" applyFill="1" applyBorder="1" applyAlignment="1">
      <alignment horizontal="center" vertical="center"/>
    </xf>
    <xf numFmtId="3" fontId="18" fillId="3" borderId="20" xfId="0" applyNumberFormat="1" applyFont="1" applyFill="1" applyBorder="1" applyAlignment="1">
      <alignment horizontal="center" vertical="center"/>
    </xf>
    <xf numFmtId="9" fontId="18" fillId="3" borderId="2" xfId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9" fontId="18" fillId="2" borderId="1" xfId="1" applyFont="1" applyFill="1" applyBorder="1" applyAlignment="1">
      <alignment horizontal="center" vertical="center"/>
    </xf>
    <xf numFmtId="9" fontId="18" fillId="2" borderId="2" xfId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1" fillId="6" borderId="27" xfId="0" applyFont="1" applyFill="1" applyBorder="1" applyAlignment="1">
      <alignment horizontal="center" vertical="center" wrapText="1"/>
    </xf>
    <xf numFmtId="0" fontId="9" fillId="5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12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F77FDB"/>
      <color rgb="FFDDD9C4"/>
      <color rgb="FFFFBC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Mziki Safari Lodge | Revenue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RR'!$B$3:$B$9</c:f>
              <c:numCache>
                <c:formatCode>#,##0</c:formatCode>
                <c:ptCount val="7"/>
                <c:pt idx="0">
                  <c:v>471188.41</c:v>
                </c:pt>
                <c:pt idx="1">
                  <c:v>903990.64</c:v>
                </c:pt>
                <c:pt idx="2">
                  <c:v>388186.02999999997</c:v>
                </c:pt>
                <c:pt idx="3">
                  <c:v>700492.59</c:v>
                </c:pt>
                <c:pt idx="4">
                  <c:v>89551.9</c:v>
                </c:pt>
                <c:pt idx="5">
                  <c:v>217304.28</c:v>
                </c:pt>
                <c:pt idx="6">
                  <c:v>49767.09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2-E24E-90C2-D91A3EE328FB}"/>
            </c:ext>
          </c:extLst>
        </c:ser>
        <c:ser>
          <c:idx val="1"/>
          <c:order val="1"/>
          <c:tx>
            <c:strRef>
              <c:f>'OTB RR'!$C$2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RR'!$C$3:$C$9</c:f>
              <c:numCache>
                <c:formatCode>#,##0</c:formatCode>
                <c:ptCount val="7"/>
                <c:pt idx="0">
                  <c:v>471188.41</c:v>
                </c:pt>
                <c:pt idx="1">
                  <c:v>712520.64</c:v>
                </c:pt>
                <c:pt idx="2">
                  <c:v>320149.55</c:v>
                </c:pt>
                <c:pt idx="3">
                  <c:v>700492.59</c:v>
                </c:pt>
                <c:pt idx="4">
                  <c:v>76351.899999999994</c:v>
                </c:pt>
                <c:pt idx="5">
                  <c:v>217304.28</c:v>
                </c:pt>
                <c:pt idx="6">
                  <c:v>49767.09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52-E24E-90C2-D91A3EE328FB}"/>
            </c:ext>
          </c:extLst>
        </c:ser>
        <c:ser>
          <c:idx val="2"/>
          <c:order val="2"/>
          <c:tx>
            <c:strRef>
              <c:f>'OTB RR'!$D$2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RR'!$D$3:$D$9</c:f>
              <c:numCache>
                <c:formatCode>#,##0</c:formatCode>
                <c:ptCount val="7"/>
                <c:pt idx="0">
                  <c:v>0</c:v>
                </c:pt>
                <c:pt idx="1">
                  <c:v>191470</c:v>
                </c:pt>
                <c:pt idx="2">
                  <c:v>68036.479999999981</c:v>
                </c:pt>
                <c:pt idx="3">
                  <c:v>0</c:v>
                </c:pt>
                <c:pt idx="4">
                  <c:v>13200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52-E24E-90C2-D91A3EE328FB}"/>
            </c:ext>
          </c:extLst>
        </c:ser>
        <c:ser>
          <c:idx val="3"/>
          <c:order val="3"/>
          <c:tx>
            <c:strRef>
              <c:f>'OTB RR'!$F$2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RR'!$F$3:$F$9</c:f>
              <c:numCache>
                <c:formatCode>#,##0</c:formatCode>
                <c:ptCount val="7"/>
                <c:pt idx="0">
                  <c:v>-145143.67999999999</c:v>
                </c:pt>
                <c:pt idx="1">
                  <c:v>395281</c:v>
                </c:pt>
                <c:pt idx="2">
                  <c:v>-65146.380000000063</c:v>
                </c:pt>
                <c:pt idx="3">
                  <c:v>116907.84999999986</c:v>
                </c:pt>
                <c:pt idx="4">
                  <c:v>-421153.31999999995</c:v>
                </c:pt>
                <c:pt idx="5">
                  <c:v>-536561.0127272727</c:v>
                </c:pt>
                <c:pt idx="6">
                  <c:v>-669494.59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52-E24E-90C2-D91A3EE328FB}"/>
            </c:ext>
          </c:extLst>
        </c:ser>
        <c:ser>
          <c:idx val="4"/>
          <c:order val="4"/>
          <c:tx>
            <c:strRef>
              <c:f>'OTB RR'!$H$2</c:f>
              <c:strCache>
                <c:ptCount val="1"/>
                <c:pt idx="0">
                  <c:v>OTB vs Target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RR'!$H$3:$H$9</c:f>
              <c:numCache>
                <c:formatCode>#,##0</c:formatCode>
                <c:ptCount val="7"/>
                <c:pt idx="0">
                  <c:v>-206776.88900000002</c:v>
                </c:pt>
                <c:pt idx="1">
                  <c:v>344410.03599999996</c:v>
                </c:pt>
                <c:pt idx="2">
                  <c:v>-110479.6210000001</c:v>
                </c:pt>
                <c:pt idx="3">
                  <c:v>58549.375999999815</c:v>
                </c:pt>
                <c:pt idx="4">
                  <c:v>-472223.84199999995</c:v>
                </c:pt>
                <c:pt idx="5">
                  <c:v>-611947.54200000002</c:v>
                </c:pt>
                <c:pt idx="6">
                  <c:v>-741420.75800000003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52-E24E-90C2-D91A3EE32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063951"/>
        <c:axId val="859421887"/>
      </c:barChart>
      <c:catAx>
        <c:axId val="120906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1887"/>
        <c:crosses val="autoZero"/>
        <c:auto val="1"/>
        <c:lblAlgn val="ctr"/>
        <c:lblOffset val="100"/>
        <c:noMultiLvlLbl val="0"/>
      </c:catAx>
      <c:valAx>
        <c:axId val="85942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6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Mziki Safari Lodge| Occupancy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9227710172592067E-2"/>
          <c:y val="0.14718253968253969"/>
          <c:w val="0.8829945120496302"/>
          <c:h val="0.71875359330083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'OTB RR'!$G$12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RR'!$G$13:$G$19</c:f>
              <c:numCache>
                <c:formatCode>0%</c:formatCode>
                <c:ptCount val="7"/>
                <c:pt idx="0">
                  <c:v>0.25403225806451613</c:v>
                </c:pt>
                <c:pt idx="1">
                  <c:v>0.47983870967741937</c:v>
                </c:pt>
                <c:pt idx="2">
                  <c:v>0.21249999999999999</c:v>
                </c:pt>
                <c:pt idx="3">
                  <c:v>0.3588709677419355</c:v>
                </c:pt>
                <c:pt idx="4">
                  <c:v>4.1666666666666664E-2</c:v>
                </c:pt>
                <c:pt idx="5">
                  <c:v>8.4677419354838704E-2</c:v>
                </c:pt>
                <c:pt idx="6">
                  <c:v>2.4193548387096774E-2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D-2D4B-8A72-D39F46B0159B}"/>
            </c:ext>
          </c:extLst>
        </c:ser>
        <c:ser>
          <c:idx val="1"/>
          <c:order val="1"/>
          <c:tx>
            <c:strRef>
              <c:f>'OTB RR'!$H$12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RR'!$H$13:$H$19</c:f>
              <c:numCache>
                <c:formatCode>0%</c:formatCode>
                <c:ptCount val="7"/>
                <c:pt idx="0">
                  <c:v>0.25403225806451613</c:v>
                </c:pt>
                <c:pt idx="1">
                  <c:v>0.37096774193548387</c:v>
                </c:pt>
                <c:pt idx="2">
                  <c:v>0.17083333333333334</c:v>
                </c:pt>
                <c:pt idx="3">
                  <c:v>0.3588709677419355</c:v>
                </c:pt>
                <c:pt idx="4">
                  <c:v>3.3333333333333333E-2</c:v>
                </c:pt>
                <c:pt idx="5">
                  <c:v>8.4677419354838704E-2</c:v>
                </c:pt>
                <c:pt idx="6">
                  <c:v>2.4193548387096774E-2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D-2D4B-8A72-D39F46B0159B}"/>
            </c:ext>
          </c:extLst>
        </c:ser>
        <c:ser>
          <c:idx val="2"/>
          <c:order val="2"/>
          <c:tx>
            <c:strRef>
              <c:f>'OTB RR'!$I$12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RR'!$I$13:$I$19</c:f>
              <c:numCache>
                <c:formatCode>0%</c:formatCode>
                <c:ptCount val="7"/>
                <c:pt idx="0">
                  <c:v>0</c:v>
                </c:pt>
                <c:pt idx="1">
                  <c:v>0.1088709677419355</c:v>
                </c:pt>
                <c:pt idx="2">
                  <c:v>4.1666666666666657E-2</c:v>
                </c:pt>
                <c:pt idx="3">
                  <c:v>0</c:v>
                </c:pt>
                <c:pt idx="4">
                  <c:v>8.3333333333333315E-3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D-2D4B-8A72-D39F46B0159B}"/>
            </c:ext>
          </c:extLst>
        </c:ser>
        <c:ser>
          <c:idx val="3"/>
          <c:order val="3"/>
          <c:tx>
            <c:strRef>
              <c:f>'OTB RR'!$J$12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RR'!$J$13:$J$19</c:f>
              <c:numCache>
                <c:formatCode>0%</c:formatCode>
                <c:ptCount val="7"/>
                <c:pt idx="0">
                  <c:v>0.31854838709677419</c:v>
                </c:pt>
                <c:pt idx="1">
                  <c:v>0.29838709677419356</c:v>
                </c:pt>
                <c:pt idx="2">
                  <c:v>0.29166666666666669</c:v>
                </c:pt>
                <c:pt idx="3">
                  <c:v>0.32661290322580644</c:v>
                </c:pt>
                <c:pt idx="4">
                  <c:v>0.38750000000000001</c:v>
                </c:pt>
                <c:pt idx="5">
                  <c:v>0.45564516129032256</c:v>
                </c:pt>
                <c:pt idx="6">
                  <c:v>0.40725806451612906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D-2D4B-8A72-D39F46B0159B}"/>
            </c:ext>
          </c:extLst>
        </c:ser>
        <c:ser>
          <c:idx val="4"/>
          <c:order val="4"/>
          <c:tx>
            <c:strRef>
              <c:f>'OTB RR'!$K$12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RR'!$K$13:$K$19</c:f>
              <c:numCache>
                <c:formatCode>0%</c:formatCode>
                <c:ptCount val="7"/>
                <c:pt idx="0">
                  <c:v>-6.4516129032258063E-2</c:v>
                </c:pt>
                <c:pt idx="1">
                  <c:v>0.18145161290322581</c:v>
                </c:pt>
                <c:pt idx="2">
                  <c:v>-7.9166666666666691E-2</c:v>
                </c:pt>
                <c:pt idx="3">
                  <c:v>3.2258064516129059E-2</c:v>
                </c:pt>
                <c:pt idx="4">
                  <c:v>-0.34583333333333333</c:v>
                </c:pt>
                <c:pt idx="5">
                  <c:v>-0.37096774193548387</c:v>
                </c:pt>
                <c:pt idx="6">
                  <c:v>-0.38306451612903231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0D-2D4B-8A72-D39F46B0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057423"/>
        <c:axId val="842674623"/>
      </c:barChart>
      <c:catAx>
        <c:axId val="11500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74623"/>
        <c:crosses val="autoZero"/>
        <c:auto val="1"/>
        <c:lblAlgn val="ctr"/>
        <c:lblOffset val="100"/>
        <c:noMultiLvlLbl val="0"/>
      </c:catAx>
      <c:valAx>
        <c:axId val="8426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70707070707072E-3"/>
          <c:y val="0.9092257217847769"/>
          <c:w val="0.99292929292929288"/>
          <c:h val="6.696475440569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Mziki Safari Lodge | Average Daily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RR'!$B$21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RR'!$B$22:$B$28</c:f>
              <c:numCache>
                <c:formatCode>#,##0</c:formatCode>
                <c:ptCount val="7"/>
                <c:pt idx="0">
                  <c:v>7479.181111111111</c:v>
                </c:pt>
                <c:pt idx="1">
                  <c:v>7596.56</c:v>
                </c:pt>
                <c:pt idx="2">
                  <c:v>7611.4907843137253</c:v>
                </c:pt>
                <c:pt idx="3">
                  <c:v>7870.7032584269655</c:v>
                </c:pt>
                <c:pt idx="4">
                  <c:v>8955.1899999999987</c:v>
                </c:pt>
                <c:pt idx="5">
                  <c:v>10347.822857142857</c:v>
                </c:pt>
                <c:pt idx="6">
                  <c:v>8294.5149999999994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9-DB43-9039-0DD2C1E2C971}"/>
            </c:ext>
          </c:extLst>
        </c:ser>
        <c:ser>
          <c:idx val="1"/>
          <c:order val="1"/>
          <c:tx>
            <c:strRef>
              <c:f>'OTB RR'!$C$21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RR'!$C$22:$C$28</c:f>
              <c:numCache>
                <c:formatCode>#,##0</c:formatCode>
                <c:ptCount val="7"/>
                <c:pt idx="0">
                  <c:v>7479.181111111111</c:v>
                </c:pt>
                <c:pt idx="1">
                  <c:v>7744.7895652173911</c:v>
                </c:pt>
                <c:pt idx="2">
                  <c:v>7808.5256097560969</c:v>
                </c:pt>
                <c:pt idx="3">
                  <c:v>7870.7032584269655</c:v>
                </c:pt>
                <c:pt idx="4">
                  <c:v>9543.9874999999993</c:v>
                </c:pt>
                <c:pt idx="5">
                  <c:v>10347.822857142857</c:v>
                </c:pt>
                <c:pt idx="6">
                  <c:v>8294.5149999999994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9-DB43-9039-0DD2C1E2C971}"/>
            </c:ext>
          </c:extLst>
        </c:ser>
        <c:ser>
          <c:idx val="2"/>
          <c:order val="2"/>
          <c:tx>
            <c:strRef>
              <c:f>'OTB RR'!$D$21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RR'!$D$22:$D$28</c:f>
              <c:numCache>
                <c:formatCode>#,##0</c:formatCode>
                <c:ptCount val="7"/>
                <c:pt idx="0">
                  <c:v>0</c:v>
                </c:pt>
                <c:pt idx="1">
                  <c:v>-148.2295652173907</c:v>
                </c:pt>
                <c:pt idx="2">
                  <c:v>-197.03482544237158</c:v>
                </c:pt>
                <c:pt idx="3">
                  <c:v>0</c:v>
                </c:pt>
                <c:pt idx="4">
                  <c:v>-588.79750000000058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9-DB43-9039-0DD2C1E2C971}"/>
            </c:ext>
          </c:extLst>
        </c:ser>
        <c:ser>
          <c:idx val="3"/>
          <c:order val="3"/>
          <c:tx>
            <c:strRef>
              <c:f>'OTB RR'!$E$21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RR'!$E$22:$E$28</c:f>
              <c:numCache>
                <c:formatCode>#,##0</c:formatCode>
                <c:ptCount val="7"/>
                <c:pt idx="0">
                  <c:v>7801.6720253164549</c:v>
                </c:pt>
                <c:pt idx="1">
                  <c:v>6874.4545945945947</c:v>
                </c:pt>
                <c:pt idx="2">
                  <c:v>6476.177285714286</c:v>
                </c:pt>
                <c:pt idx="3">
                  <c:v>7204.749876543211</c:v>
                </c:pt>
                <c:pt idx="4">
                  <c:v>5491.4539784946237</c:v>
                </c:pt>
                <c:pt idx="5">
                  <c:v>6671.3742719227675</c:v>
                </c:pt>
                <c:pt idx="6">
                  <c:v>7121.4027722772271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9-DB43-9039-0DD2C1E2C971}"/>
            </c:ext>
          </c:extLst>
        </c:ser>
        <c:ser>
          <c:idx val="4"/>
          <c:order val="4"/>
          <c:tx>
            <c:strRef>
              <c:f>'OTB RR'!$F$21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RR'!$F$22:$F$28</c:f>
              <c:numCache>
                <c:formatCode>#,##0</c:formatCode>
                <c:ptCount val="7"/>
                <c:pt idx="0">
                  <c:v>-322.49091420534387</c:v>
                </c:pt>
                <c:pt idx="1">
                  <c:v>722.10540540540569</c:v>
                </c:pt>
                <c:pt idx="2">
                  <c:v>1135.3134985994393</c:v>
                </c:pt>
                <c:pt idx="3">
                  <c:v>665.95338188375445</c:v>
                </c:pt>
                <c:pt idx="4">
                  <c:v>3463.736021505375</c:v>
                </c:pt>
                <c:pt idx="5">
                  <c:v>3676.4485852200896</c:v>
                </c:pt>
                <c:pt idx="6">
                  <c:v>1173.1122277227723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9-DB43-9039-0DD2C1E2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05984"/>
        <c:axId val="39660432"/>
      </c:barChart>
      <c:catAx>
        <c:axId val="396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0432"/>
        <c:crosses val="autoZero"/>
        <c:auto val="1"/>
        <c:lblAlgn val="ctr"/>
        <c:lblOffset val="100"/>
        <c:noMultiLvlLbl val="0"/>
      </c:catAx>
      <c:valAx>
        <c:axId val="396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797979797979799E-2"/>
          <c:y val="0.90443288338957628"/>
          <c:w val="0.9555555555555556"/>
          <c:h val="7.1757592800899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77FD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77FDB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Historical!$B$1:$H$1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Historical!$B$14:$H$14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9-0047-B9E2-A6AA5F19E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51296"/>
        <c:axId val="209848896"/>
      </c:lineChart>
      <c:catAx>
        <c:axId val="2098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8896"/>
        <c:crosses val="autoZero"/>
        <c:auto val="1"/>
        <c:lblAlgn val="ctr"/>
        <c:lblOffset val="100"/>
        <c:noMultiLvlLbl val="0"/>
      </c:catAx>
      <c:valAx>
        <c:axId val="2098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Historical!$B$29:$H$29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Historical!$B$42:$H$42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3-954C-907E-3B60D8B72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66656"/>
        <c:axId val="209868576"/>
      </c:lineChart>
      <c:catAx>
        <c:axId val="2098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8576"/>
        <c:crosses val="autoZero"/>
        <c:auto val="1"/>
        <c:lblAlgn val="ctr"/>
        <c:lblOffset val="100"/>
        <c:noMultiLvlLbl val="0"/>
      </c:catAx>
      <c:valAx>
        <c:axId val="20986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Historical!$B$43:$H$43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Historical!$B$56:$H$56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2-E344-9F0C-8C0B51891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72896"/>
        <c:axId val="209855616"/>
      </c:lineChart>
      <c:catAx>
        <c:axId val="20987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5616"/>
        <c:crosses val="autoZero"/>
        <c:auto val="1"/>
        <c:lblAlgn val="ctr"/>
        <c:lblOffset val="100"/>
        <c:noMultiLvlLbl val="0"/>
      </c:catAx>
      <c:valAx>
        <c:axId val="2098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 Year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Historical!$D$2:$D$13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2BD-0F43-A628-5011CF79AF87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Historical!$E$2:$E$13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F2BD-0F43-A628-5011CF79AF87}"/>
            </c:ext>
          </c:extLst>
        </c:ser>
        <c:ser>
          <c:idx val="2"/>
          <c:order val="2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Historical!$F$2:$F$13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F2BD-0F43-A628-5011CF79AF87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Historical!$G$2:$G$13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F2BD-0F43-A628-5011CF79AF8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Historical!$H$2:$H$13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D276-F447-A44D-05B09660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77216"/>
        <c:axId val="209860896"/>
      </c:barChart>
      <c:catAx>
        <c:axId val="20987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0896"/>
        <c:crosses val="autoZero"/>
        <c:auto val="1"/>
        <c:lblAlgn val="ctr"/>
        <c:lblOffset val="100"/>
        <c:noMultiLvlLbl val="0"/>
      </c:catAx>
      <c:valAx>
        <c:axId val="20986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</a:t>
            </a:r>
            <a:r>
              <a:rPr lang="en-ZA" baseline="0"/>
              <a:t> Year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Historical!$D$30:$D$41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D-FC45-86C7-F89D725A2A41}"/>
            </c:ext>
          </c:extLst>
        </c:ser>
        <c:ser>
          <c:idx val="1"/>
          <c:order val="1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rgbClr val="F9A1E4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Historical!$E$30:$E$41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D-FC45-86C7-F89D725A2A41}"/>
            </c:ext>
          </c:extLst>
        </c:ser>
        <c:ser>
          <c:idx val="2"/>
          <c:order val="2"/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Historical!$F$30:$F$41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BD-FC45-86C7-F89D725A2A41}"/>
            </c:ext>
          </c:extLst>
        </c:ser>
        <c:ser>
          <c:idx val="3"/>
          <c:order val="3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rgbClr val="F559D0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Historical!$G$30:$G$41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BD-FC45-86C7-F89D725A2A4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Historical!$H$30:$H$41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C-454D-9A7D-FC960E1A6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31264"/>
        <c:axId val="210123104"/>
      </c:lineChart>
      <c:catAx>
        <c:axId val="2101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3104"/>
        <c:crosses val="autoZero"/>
        <c:auto val="1"/>
        <c:lblAlgn val="ctr"/>
        <c:lblOffset val="100"/>
        <c:noMultiLvlLbl val="0"/>
      </c:catAx>
      <c:valAx>
        <c:axId val="2101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4 Year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Historical!$D$44:$D$55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2-AA4D-BC39-69C598188384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Historical!$E$44:$E$55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2-AA4D-BC39-69C598188384}"/>
            </c:ext>
          </c:extLst>
        </c:ser>
        <c:ser>
          <c:idx val="2"/>
          <c:order val="2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Historical!$F$44:$F$55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2-AA4D-BC39-69C598188384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Historical!$G$44:$G$55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2-AA4D-BC39-69C59818838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Historical!$H$44:$H$55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A-3F4E-99ED-7547AFB7E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24544"/>
        <c:axId val="210129344"/>
      </c:barChart>
      <c:catAx>
        <c:axId val="21012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9344"/>
        <c:crosses val="autoZero"/>
        <c:auto val="1"/>
        <c:lblAlgn val="ctr"/>
        <c:lblOffset val="100"/>
        <c:noMultiLvlLbl val="0"/>
      </c:catAx>
      <c:valAx>
        <c:axId val="2101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29</xdr:row>
      <xdr:rowOff>101600</xdr:rowOff>
    </xdr:from>
    <xdr:to>
      <xdr:col>6</xdr:col>
      <xdr:colOff>482600</xdr:colOff>
      <xdr:row>45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591DE4-0579-0DDF-4E65-68922E74B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527050</xdr:colOff>
      <xdr:row>29</xdr:row>
      <xdr:rowOff>95250</xdr:rowOff>
    </xdr:from>
    <xdr:to>
      <xdr:col>12</xdr:col>
      <xdr:colOff>704850</xdr:colOff>
      <xdr:row>45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416DA9-9E97-6E63-3434-E10DDCA8E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819150</xdr:colOff>
      <xdr:row>29</xdr:row>
      <xdr:rowOff>107950</xdr:rowOff>
    </xdr:from>
    <xdr:to>
      <xdr:col>19</xdr:col>
      <xdr:colOff>19050</xdr:colOff>
      <xdr:row>45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CDDBE-6951-EA8E-C324-884643C32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327478</xdr:colOff>
      <xdr:row>1</xdr:row>
      <xdr:rowOff>26761</xdr:rowOff>
    </xdr:from>
    <xdr:to>
      <xdr:col>17</xdr:col>
      <xdr:colOff>632278</xdr:colOff>
      <xdr:row>13</xdr:row>
      <xdr:rowOff>146504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7CE4B-CBB0-AD45-98E4-2AD6D254A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65315</xdr:colOff>
      <xdr:row>29</xdr:row>
      <xdr:rowOff>59872</xdr:rowOff>
    </xdr:from>
    <xdr:to>
      <xdr:col>17</xdr:col>
      <xdr:colOff>370115</xdr:colOff>
      <xdr:row>41</xdr:row>
      <xdr:rowOff>179615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767DB2-8E84-6740-BE30-38CF4FE2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65314</xdr:colOff>
      <xdr:row>43</xdr:row>
      <xdr:rowOff>59871</xdr:rowOff>
    </xdr:from>
    <xdr:to>
      <xdr:col>17</xdr:col>
      <xdr:colOff>370114</xdr:colOff>
      <xdr:row>55</xdr:row>
      <xdr:rowOff>179614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58ADF2-AC07-3B44-936A-FB7C32575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65314</xdr:colOff>
      <xdr:row>1</xdr:row>
      <xdr:rowOff>38100</xdr:rowOff>
    </xdr:from>
    <xdr:to>
      <xdr:col>25</xdr:col>
      <xdr:colOff>370114</xdr:colOff>
      <xdr:row>13</xdr:row>
      <xdr:rowOff>157843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044139-CECD-7746-8EF2-3897AACEE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65314</xdr:colOff>
      <xdr:row>29</xdr:row>
      <xdr:rowOff>114300</xdr:rowOff>
    </xdr:from>
    <xdr:to>
      <xdr:col>25</xdr:col>
      <xdr:colOff>370114</xdr:colOff>
      <xdr:row>42</xdr:row>
      <xdr:rowOff>5443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5AFB6D-2D12-4F48-B832-58BEA226C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87085</xdr:colOff>
      <xdr:row>43</xdr:row>
      <xdr:rowOff>38099</xdr:rowOff>
    </xdr:from>
    <xdr:to>
      <xdr:col>25</xdr:col>
      <xdr:colOff>391885</xdr:colOff>
      <xdr:row>55</xdr:row>
      <xdr:rowOff>157842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045E96-31DD-EB4A-84C1-8562FEB14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C22-16E4-5542-87C2-0EE348A6D3D1}">
  <dimension ref="A1:V28"/>
  <sheetViews>
    <sheetView tabSelected="1" zoomScaleNormal="100" workbookViewId="0">
      <selection sqref="A1:K1"/>
    </sheetView>
  </sheetViews>
  <sheetFormatPr baseColWidth="10" defaultRowHeight="16" x14ac:dyDescent="0.2"/>
  <cols>
    <col min="1" max="1" width="9" style="7" customWidth="1"/>
    <col min="2" max="3" width="10.83203125" style="7"/>
    <col min="4" max="4" width="8.83203125" style="7" customWidth="1"/>
    <col min="5" max="8" width="10.83203125" style="7"/>
    <col min="9" max="9" width="10.83203125" style="129" customWidth="1"/>
    <col min="10" max="10" width="10.83203125" style="129"/>
    <col min="11" max="11" width="10.83203125" style="7"/>
    <col min="12" max="14" width="11.5" style="1" customWidth="1"/>
    <col min="15" max="16" width="11.5" customWidth="1"/>
    <col min="17" max="17" width="8.83203125" customWidth="1"/>
  </cols>
  <sheetData>
    <row r="1" spans="1:22" ht="28" customHeight="1" thickBot="1" x14ac:dyDescent="0.25">
      <c r="A1" s="132" t="s">
        <v>51</v>
      </c>
      <c r="B1" s="133"/>
      <c r="C1" s="133"/>
      <c r="D1" s="133"/>
      <c r="E1" s="133"/>
      <c r="F1" s="133"/>
      <c r="G1" s="133"/>
      <c r="H1" s="133"/>
      <c r="I1" s="133"/>
      <c r="J1" s="133"/>
      <c r="K1" s="134"/>
      <c r="N1" s="67"/>
      <c r="O1" s="67"/>
      <c r="P1" s="67"/>
      <c r="Q1" s="67"/>
      <c r="R1" s="67"/>
      <c r="S1" s="67"/>
    </row>
    <row r="2" spans="1:22" s="5" customFormat="1" ht="32" customHeight="1" x14ac:dyDescent="0.2">
      <c r="A2" s="54"/>
      <c r="B2" s="55" t="s">
        <v>52</v>
      </c>
      <c r="C2" s="55" t="s">
        <v>49</v>
      </c>
      <c r="D2" s="55" t="s">
        <v>0</v>
      </c>
      <c r="E2" s="56" t="s">
        <v>1</v>
      </c>
      <c r="F2" s="57" t="s">
        <v>8</v>
      </c>
      <c r="G2" s="58" t="s">
        <v>28</v>
      </c>
      <c r="H2" s="59" t="s">
        <v>2</v>
      </c>
      <c r="I2" s="119" t="s">
        <v>53</v>
      </c>
      <c r="J2" s="119" t="s">
        <v>50</v>
      </c>
      <c r="K2" s="109" t="s">
        <v>47</v>
      </c>
      <c r="L2" s="4"/>
      <c r="M2" s="4"/>
    </row>
    <row r="3" spans="1:22" s="3" customFormat="1" ht="18" customHeight="1" x14ac:dyDescent="0.2">
      <c r="A3" s="50" t="s">
        <v>14</v>
      </c>
      <c r="B3" s="53">
        <v>471188.41</v>
      </c>
      <c r="C3" s="53">
        <v>471188.41</v>
      </c>
      <c r="D3" s="53">
        <f t="shared" ref="D3:D4" si="0">B3-C3</f>
        <v>0</v>
      </c>
      <c r="E3" s="60">
        <v>616332.09</v>
      </c>
      <c r="F3" s="71">
        <f t="shared" ref="F3:F8" si="1">B3-E3</f>
        <v>-145143.67999999999</v>
      </c>
      <c r="G3" s="61">
        <f t="shared" ref="G3:G8" si="2">E3*1.1</f>
        <v>677965.299</v>
      </c>
      <c r="H3" s="78">
        <f t="shared" ref="H3:H8" si="3">B3-G3</f>
        <v>-206776.88900000002</v>
      </c>
      <c r="I3" s="120">
        <v>616332.09</v>
      </c>
      <c r="J3" s="120">
        <v>619832.09</v>
      </c>
      <c r="K3" s="115">
        <f t="shared" ref="K3:K8" si="4">B3-I3</f>
        <v>-145143.67999999999</v>
      </c>
      <c r="L3" s="2"/>
      <c r="M3" s="2"/>
      <c r="S3" s="67"/>
    </row>
    <row r="4" spans="1:22" s="3" customFormat="1" ht="18" customHeight="1" x14ac:dyDescent="0.2">
      <c r="A4" s="50" t="s">
        <v>3</v>
      </c>
      <c r="B4" s="53">
        <v>903990.64</v>
      </c>
      <c r="C4" s="53">
        <v>712520.64</v>
      </c>
      <c r="D4" s="53">
        <f t="shared" si="0"/>
        <v>191470</v>
      </c>
      <c r="E4" s="60">
        <v>508709.64</v>
      </c>
      <c r="F4" s="71">
        <f t="shared" si="1"/>
        <v>395281</v>
      </c>
      <c r="G4" s="61">
        <f t="shared" si="2"/>
        <v>559580.60400000005</v>
      </c>
      <c r="H4" s="78">
        <f t="shared" si="3"/>
        <v>344410.03599999996</v>
      </c>
      <c r="I4" s="120">
        <v>465509.64</v>
      </c>
      <c r="J4" s="120">
        <v>374209.64</v>
      </c>
      <c r="K4" s="115">
        <f t="shared" si="4"/>
        <v>438481</v>
      </c>
      <c r="L4" s="2"/>
      <c r="M4" s="2"/>
      <c r="S4" s="67"/>
    </row>
    <row r="5" spans="1:22" s="3" customFormat="1" ht="18" customHeight="1" x14ac:dyDescent="0.2">
      <c r="A5" s="50" t="s">
        <v>4</v>
      </c>
      <c r="B5" s="53">
        <v>388186.02999999997</v>
      </c>
      <c r="C5" s="53">
        <v>320149.55</v>
      </c>
      <c r="D5" s="53">
        <f t="shared" ref="D5" si="5">B5-C5</f>
        <v>68036.479999999981</v>
      </c>
      <c r="E5" s="60">
        <v>453332.41000000003</v>
      </c>
      <c r="F5" s="71">
        <f t="shared" si="1"/>
        <v>-65146.380000000063</v>
      </c>
      <c r="G5" s="61">
        <f t="shared" si="2"/>
        <v>498665.65100000007</v>
      </c>
      <c r="H5" s="78">
        <f t="shared" si="3"/>
        <v>-110479.6210000001</v>
      </c>
      <c r="I5" s="120">
        <v>275673.57</v>
      </c>
      <c r="J5" s="120">
        <v>275673.57</v>
      </c>
      <c r="K5" s="115">
        <f t="shared" si="4"/>
        <v>112512.45999999996</v>
      </c>
      <c r="L5" s="2"/>
      <c r="M5" s="2"/>
      <c r="S5" s="67"/>
    </row>
    <row r="6" spans="1:22" s="3" customFormat="1" ht="18" customHeight="1" x14ac:dyDescent="0.2">
      <c r="A6" s="50" t="s">
        <v>13</v>
      </c>
      <c r="B6" s="53">
        <v>700492.59</v>
      </c>
      <c r="C6" s="53">
        <v>700492.59</v>
      </c>
      <c r="D6" s="53">
        <f>B6-C6</f>
        <v>0</v>
      </c>
      <c r="E6" s="60">
        <v>583584.74000000011</v>
      </c>
      <c r="F6" s="71">
        <f t="shared" si="1"/>
        <v>116907.84999999986</v>
      </c>
      <c r="G6" s="61">
        <f t="shared" si="2"/>
        <v>641943.21400000015</v>
      </c>
      <c r="H6" s="78">
        <f t="shared" si="3"/>
        <v>58549.375999999815</v>
      </c>
      <c r="I6" s="120">
        <v>297959.2</v>
      </c>
      <c r="J6" s="120">
        <v>281859.20000000001</v>
      </c>
      <c r="K6" s="115">
        <f t="shared" si="4"/>
        <v>402533.38999999996</v>
      </c>
      <c r="L6" s="2"/>
      <c r="M6" s="2"/>
      <c r="S6" s="67"/>
    </row>
    <row r="7" spans="1:22" s="3" customFormat="1" ht="18" customHeight="1" x14ac:dyDescent="0.2">
      <c r="A7" s="50" t="s">
        <v>12</v>
      </c>
      <c r="B7" s="53">
        <v>89551.9</v>
      </c>
      <c r="C7" s="53">
        <v>76351.899999999994</v>
      </c>
      <c r="D7" s="53">
        <f>B7-C7</f>
        <v>13200</v>
      </c>
      <c r="E7" s="60">
        <v>510705.22</v>
      </c>
      <c r="F7" s="71">
        <f t="shared" si="1"/>
        <v>-421153.31999999995</v>
      </c>
      <c r="G7" s="61">
        <f t="shared" si="2"/>
        <v>561775.74199999997</v>
      </c>
      <c r="H7" s="78">
        <f t="shared" si="3"/>
        <v>-472223.84199999995</v>
      </c>
      <c r="I7" s="120">
        <v>200820</v>
      </c>
      <c r="J7" s="120">
        <v>76820</v>
      </c>
      <c r="K7" s="115">
        <f t="shared" si="4"/>
        <v>-111268.1</v>
      </c>
      <c r="L7" s="2"/>
      <c r="M7" s="2"/>
      <c r="S7" s="67"/>
    </row>
    <row r="8" spans="1:22" s="3" customFormat="1" ht="18" customHeight="1" x14ac:dyDescent="0.2">
      <c r="A8" s="50" t="s">
        <v>11</v>
      </c>
      <c r="B8" s="53">
        <v>217304.28</v>
      </c>
      <c r="C8" s="53">
        <v>217304.28</v>
      </c>
      <c r="D8" s="53">
        <f>B8-C8</f>
        <v>0</v>
      </c>
      <c r="E8" s="60">
        <v>753865.29272727272</v>
      </c>
      <c r="F8" s="71">
        <f t="shared" si="1"/>
        <v>-536561.0127272727</v>
      </c>
      <c r="G8" s="61">
        <f t="shared" si="2"/>
        <v>829251.82200000004</v>
      </c>
      <c r="H8" s="78">
        <f t="shared" si="3"/>
        <v>-611947.54200000002</v>
      </c>
      <c r="I8" s="120">
        <v>132680</v>
      </c>
      <c r="J8" s="120">
        <v>132680</v>
      </c>
      <c r="K8" s="115">
        <f t="shared" si="4"/>
        <v>84624.28</v>
      </c>
      <c r="L8" s="2"/>
      <c r="M8" s="2"/>
      <c r="S8" s="67"/>
    </row>
    <row r="9" spans="1:22" s="3" customFormat="1" ht="18" customHeight="1" x14ac:dyDescent="0.2">
      <c r="A9" s="50">
        <v>46388</v>
      </c>
      <c r="B9" s="53">
        <v>49767.09</v>
      </c>
      <c r="C9" s="53">
        <v>49767.09</v>
      </c>
      <c r="D9" s="53">
        <f>B9-C9</f>
        <v>0</v>
      </c>
      <c r="E9" s="60">
        <v>719261.67999999993</v>
      </c>
      <c r="F9" s="71">
        <f t="shared" ref="F9" si="6">B9-E9</f>
        <v>-669494.59</v>
      </c>
      <c r="G9" s="61">
        <f t="shared" ref="G9" si="7">E9*1.1</f>
        <v>791187.848</v>
      </c>
      <c r="H9" s="78">
        <f t="shared" ref="H9" si="8">B9-G9</f>
        <v>-741420.75800000003</v>
      </c>
      <c r="I9" s="120">
        <v>160320.44</v>
      </c>
      <c r="J9" s="120">
        <v>160320.44</v>
      </c>
      <c r="K9" s="115">
        <f t="shared" ref="K9:K10" si="9">B9-I9</f>
        <v>-110553.35</v>
      </c>
      <c r="L9" s="2"/>
      <c r="M9" s="2"/>
      <c r="S9" s="67"/>
    </row>
    <row r="10" spans="1:22" s="3" customFormat="1" ht="18" customHeight="1" thickBot="1" x14ac:dyDescent="0.25">
      <c r="A10" s="52" t="s">
        <v>9</v>
      </c>
      <c r="B10" s="62">
        <f>SUM(B3:B9)</f>
        <v>2820480.9399999995</v>
      </c>
      <c r="C10" s="62">
        <f>SUM(C3:C9)</f>
        <v>2547774.4599999995</v>
      </c>
      <c r="D10" s="62">
        <f>SUM(D3:D9)</f>
        <v>272706.48</v>
      </c>
      <c r="E10" s="63">
        <f>SUM(E3:E9)</f>
        <v>4145791.0727272732</v>
      </c>
      <c r="F10" s="79">
        <f>B10-E10</f>
        <v>-1325310.1327272737</v>
      </c>
      <c r="G10" s="64">
        <f>SUM(G3:G9)</f>
        <v>4560370.1800000006</v>
      </c>
      <c r="H10" s="80">
        <f>(B10-G10)</f>
        <v>-1739889.2400000012</v>
      </c>
      <c r="I10" s="121">
        <f>SUM(I3:I9)</f>
        <v>2149294.94</v>
      </c>
      <c r="J10" s="121">
        <f>SUM(J3:J9)</f>
        <v>1921394.94</v>
      </c>
      <c r="K10" s="116">
        <f t="shared" si="9"/>
        <v>671185.99999999953</v>
      </c>
      <c r="L10" s="2"/>
      <c r="M10" s="2"/>
      <c r="N10" s="67"/>
      <c r="O10" s="67"/>
      <c r="P10" s="67"/>
      <c r="Q10" s="67"/>
      <c r="R10" s="67"/>
      <c r="S10" s="67"/>
    </row>
    <row r="11" spans="1:22" ht="25" customHeight="1" thickBot="1" x14ac:dyDescent="0.25">
      <c r="A11" s="135" t="s">
        <v>5</v>
      </c>
      <c r="B11" s="136"/>
      <c r="C11" s="136"/>
      <c r="D11" s="136"/>
      <c r="E11" s="136"/>
      <c r="F11" s="137"/>
      <c r="G11" s="135" t="s">
        <v>7</v>
      </c>
      <c r="H11" s="136"/>
      <c r="I11" s="136"/>
      <c r="J11" s="136"/>
      <c r="K11" s="137"/>
      <c r="O11" s="1"/>
      <c r="P11" s="1"/>
      <c r="Q11" s="135" t="s">
        <v>24</v>
      </c>
      <c r="R11" s="136"/>
      <c r="S11" s="136"/>
      <c r="T11" s="136"/>
      <c r="U11" s="136"/>
      <c r="V11" s="137"/>
    </row>
    <row r="12" spans="1:22" s="68" customFormat="1" ht="32" customHeight="1" x14ac:dyDescent="0.2">
      <c r="A12" s="54"/>
      <c r="B12" s="55" t="s">
        <v>52</v>
      </c>
      <c r="C12" s="55" t="s">
        <v>49</v>
      </c>
      <c r="D12" s="55" t="s">
        <v>0</v>
      </c>
      <c r="E12" s="56" t="s">
        <v>1</v>
      </c>
      <c r="F12" s="57" t="s">
        <v>8</v>
      </c>
      <c r="G12" s="55" t="s">
        <v>52</v>
      </c>
      <c r="H12" s="55" t="s">
        <v>49</v>
      </c>
      <c r="I12" s="122" t="s">
        <v>0</v>
      </c>
      <c r="J12" s="123" t="s">
        <v>1</v>
      </c>
      <c r="K12" s="57" t="s">
        <v>8</v>
      </c>
      <c r="L12" s="67"/>
      <c r="M12" s="67"/>
      <c r="N12" s="67"/>
      <c r="O12" s="67"/>
      <c r="P12" s="67"/>
      <c r="Q12" s="54"/>
      <c r="R12" s="57" t="s">
        <v>22</v>
      </c>
      <c r="S12" s="86" t="s">
        <v>45</v>
      </c>
      <c r="T12" s="87" t="s">
        <v>25</v>
      </c>
      <c r="U12" s="88" t="s">
        <v>23</v>
      </c>
      <c r="V12" s="86" t="s">
        <v>46</v>
      </c>
    </row>
    <row r="13" spans="1:22" s="68" customFormat="1" ht="18" customHeight="1" x14ac:dyDescent="0.2">
      <c r="A13" s="50" t="s">
        <v>14</v>
      </c>
      <c r="B13" s="65">
        <v>63</v>
      </c>
      <c r="C13" s="65">
        <v>63</v>
      </c>
      <c r="D13" s="65">
        <f t="shared" ref="D13:D14" si="10">B13-C13</f>
        <v>0</v>
      </c>
      <c r="E13" s="66">
        <v>79</v>
      </c>
      <c r="F13" s="81">
        <f t="shared" ref="F13:F18" si="11">B13-E13</f>
        <v>-16</v>
      </c>
      <c r="G13" s="69">
        <f>B13/248</f>
        <v>0.25403225806451613</v>
      </c>
      <c r="H13" s="69">
        <f>C13/248</f>
        <v>0.25403225806451613</v>
      </c>
      <c r="I13" s="69">
        <f t="shared" ref="I13" si="12">G13-H13</f>
        <v>0</v>
      </c>
      <c r="J13" s="124">
        <f>E13/248</f>
        <v>0.31854838709677419</v>
      </c>
      <c r="K13" s="82">
        <f t="shared" ref="K13:K18" si="13">G13-J13</f>
        <v>-6.4516129032258063E-2</v>
      </c>
      <c r="L13" s="67"/>
      <c r="M13" s="67" t="s">
        <v>33</v>
      </c>
      <c r="N13" s="67"/>
      <c r="O13" s="67"/>
      <c r="P13" s="67"/>
      <c r="Q13" s="50" t="s">
        <v>14</v>
      </c>
      <c r="R13" s="71">
        <f t="shared" ref="R13:R19" si="14">F3</f>
        <v>-145143.67999999999</v>
      </c>
      <c r="S13" s="84">
        <f t="shared" ref="S13:S19" si="15">(B3-E3)/E3</f>
        <v>-0.23549589962125775</v>
      </c>
      <c r="T13" s="73">
        <f t="shared" ref="T13:T19" si="16">(B3-G3)/G3</f>
        <v>-0.30499627238296162</v>
      </c>
      <c r="U13" s="60">
        <f>F22</f>
        <v>-322.49091420534387</v>
      </c>
      <c r="V13" s="72">
        <f>(B22-E22)/E22</f>
        <v>-4.1336128096497733E-2</v>
      </c>
    </row>
    <row r="14" spans="1:22" s="68" customFormat="1" ht="18" customHeight="1" x14ac:dyDescent="0.2">
      <c r="A14" s="50" t="s">
        <v>3</v>
      </c>
      <c r="B14" s="65">
        <v>119</v>
      </c>
      <c r="C14" s="65">
        <v>92</v>
      </c>
      <c r="D14" s="65">
        <f t="shared" si="10"/>
        <v>27</v>
      </c>
      <c r="E14" s="66">
        <v>74</v>
      </c>
      <c r="F14" s="81">
        <f t="shared" si="11"/>
        <v>45</v>
      </c>
      <c r="G14" s="69">
        <f>B14/248</f>
        <v>0.47983870967741937</v>
      </c>
      <c r="H14" s="69">
        <f>C14/248</f>
        <v>0.37096774193548387</v>
      </c>
      <c r="I14" s="69">
        <f t="shared" ref="I14:I19" si="17">G14-H14</f>
        <v>0.1088709677419355</v>
      </c>
      <c r="J14" s="124">
        <f>E14/248</f>
        <v>0.29838709677419356</v>
      </c>
      <c r="K14" s="82">
        <f t="shared" si="13"/>
        <v>0.18145161290322581</v>
      </c>
      <c r="L14" s="67"/>
      <c r="M14" s="67" t="s">
        <v>34</v>
      </c>
      <c r="N14" s="67"/>
      <c r="O14" s="67"/>
      <c r="P14" s="67"/>
      <c r="Q14" s="50" t="s">
        <v>3</v>
      </c>
      <c r="R14" s="71">
        <f t="shared" si="14"/>
        <v>395281</v>
      </c>
      <c r="S14" s="84">
        <f t="shared" si="15"/>
        <v>0.777026753414777</v>
      </c>
      <c r="T14" s="73">
        <f t="shared" si="16"/>
        <v>0.61547886674070629</v>
      </c>
      <c r="U14" s="60">
        <f>F23</f>
        <v>722.10540540540569</v>
      </c>
      <c r="V14" s="72">
        <f>(B23-E23)/E23</f>
        <v>0.10504184666128996</v>
      </c>
    </row>
    <row r="15" spans="1:22" s="68" customFormat="1" ht="18" customHeight="1" x14ac:dyDescent="0.2">
      <c r="A15" s="50" t="s">
        <v>4</v>
      </c>
      <c r="B15" s="65">
        <v>51</v>
      </c>
      <c r="C15" s="65">
        <v>41</v>
      </c>
      <c r="D15" s="65">
        <f t="shared" ref="D15" si="18">B15-C15</f>
        <v>10</v>
      </c>
      <c r="E15" s="66">
        <v>70</v>
      </c>
      <c r="F15" s="81">
        <f t="shared" si="11"/>
        <v>-19</v>
      </c>
      <c r="G15" s="69">
        <f>B15/240</f>
        <v>0.21249999999999999</v>
      </c>
      <c r="H15" s="69">
        <f>C15/240</f>
        <v>0.17083333333333334</v>
      </c>
      <c r="I15" s="69">
        <f t="shared" si="17"/>
        <v>4.1666666666666657E-2</v>
      </c>
      <c r="J15" s="124">
        <f>E15/240</f>
        <v>0.29166666666666669</v>
      </c>
      <c r="K15" s="82">
        <f t="shared" si="13"/>
        <v>-7.9166666666666691E-2</v>
      </c>
      <c r="L15" s="67"/>
      <c r="M15" s="67" t="s">
        <v>35</v>
      </c>
      <c r="N15" s="67"/>
      <c r="O15" s="67"/>
      <c r="P15" s="67"/>
      <c r="Q15" s="50" t="s">
        <v>4</v>
      </c>
      <c r="R15" s="71">
        <f t="shared" si="14"/>
        <v>-65146.380000000063</v>
      </c>
      <c r="S15" s="84">
        <f t="shared" si="15"/>
        <v>-0.14370554269437752</v>
      </c>
      <c r="T15" s="73">
        <f t="shared" si="16"/>
        <v>-0.22155049335852509</v>
      </c>
      <c r="U15" s="60">
        <f t="shared" ref="U15" si="19">F23</f>
        <v>722.10540540540569</v>
      </c>
      <c r="V15" s="72">
        <f t="shared" ref="V15" si="20">(B23-E23)/E23</f>
        <v>0.10504184666128996</v>
      </c>
    </row>
    <row r="16" spans="1:22" s="68" customFormat="1" ht="18" customHeight="1" x14ac:dyDescent="0.2">
      <c r="A16" s="50" t="s">
        <v>13</v>
      </c>
      <c r="B16" s="65">
        <v>89</v>
      </c>
      <c r="C16" s="65">
        <v>89</v>
      </c>
      <c r="D16" s="65">
        <f>B16-C16</f>
        <v>0</v>
      </c>
      <c r="E16" s="66">
        <v>81</v>
      </c>
      <c r="F16" s="81">
        <f t="shared" si="11"/>
        <v>8</v>
      </c>
      <c r="G16" s="69">
        <f>B16/248</f>
        <v>0.3588709677419355</v>
      </c>
      <c r="H16" s="69">
        <f>C16/248</f>
        <v>0.3588709677419355</v>
      </c>
      <c r="I16" s="69">
        <f t="shared" si="17"/>
        <v>0</v>
      </c>
      <c r="J16" s="124">
        <f>E16/248</f>
        <v>0.32661290322580644</v>
      </c>
      <c r="K16" s="82">
        <f t="shared" si="13"/>
        <v>3.2258064516129059E-2</v>
      </c>
      <c r="L16" s="67"/>
      <c r="M16" s="67" t="s">
        <v>36</v>
      </c>
      <c r="N16" s="67"/>
      <c r="O16" s="67"/>
      <c r="P16" s="67"/>
      <c r="Q16" s="50" t="s">
        <v>13</v>
      </c>
      <c r="R16" s="71">
        <f t="shared" si="14"/>
        <v>116907.84999999986</v>
      </c>
      <c r="S16" s="84">
        <f t="shared" si="15"/>
        <v>0.20032711958849342</v>
      </c>
      <c r="T16" s="73">
        <f t="shared" si="16"/>
        <v>9.1206472353175777E-2</v>
      </c>
      <c r="U16" s="60">
        <f t="shared" ref="U16:U18" si="21">F25</f>
        <v>665.95338188375445</v>
      </c>
      <c r="V16" s="72">
        <f t="shared" ref="V16:V18" si="22">(B25-E25)/E25</f>
        <v>9.2432547041213078E-2</v>
      </c>
    </row>
    <row r="17" spans="1:22" s="68" customFormat="1" ht="18" customHeight="1" x14ac:dyDescent="0.2">
      <c r="A17" s="50" t="s">
        <v>12</v>
      </c>
      <c r="B17" s="65">
        <v>10</v>
      </c>
      <c r="C17" s="65">
        <v>8</v>
      </c>
      <c r="D17" s="65">
        <f>B17-C17</f>
        <v>2</v>
      </c>
      <c r="E17" s="66">
        <v>93</v>
      </c>
      <c r="F17" s="81">
        <f t="shared" si="11"/>
        <v>-83</v>
      </c>
      <c r="G17" s="69">
        <f>B17/240</f>
        <v>4.1666666666666664E-2</v>
      </c>
      <c r="H17" s="69">
        <f>C17/240</f>
        <v>3.3333333333333333E-2</v>
      </c>
      <c r="I17" s="69">
        <f t="shared" si="17"/>
        <v>8.3333333333333315E-3</v>
      </c>
      <c r="J17" s="124">
        <f>E17/240</f>
        <v>0.38750000000000001</v>
      </c>
      <c r="K17" s="82">
        <f t="shared" si="13"/>
        <v>-0.34583333333333333</v>
      </c>
      <c r="L17" s="67"/>
      <c r="M17" s="67" t="s">
        <v>37</v>
      </c>
      <c r="N17" s="67"/>
      <c r="O17" s="67"/>
      <c r="P17" s="67"/>
      <c r="Q17" s="50" t="s">
        <v>12</v>
      </c>
      <c r="R17" s="71">
        <f t="shared" si="14"/>
        <v>-421153.31999999995</v>
      </c>
      <c r="S17" s="84">
        <f t="shared" si="15"/>
        <v>-0.82465050974023713</v>
      </c>
      <c r="T17" s="73">
        <f t="shared" si="16"/>
        <v>-0.8405913724911247</v>
      </c>
      <c r="U17" s="60">
        <f t="shared" si="21"/>
        <v>3463.736021505375</v>
      </c>
      <c r="V17" s="72">
        <f t="shared" si="22"/>
        <v>0.63075025941579344</v>
      </c>
    </row>
    <row r="18" spans="1:22" s="68" customFormat="1" ht="18" customHeight="1" x14ac:dyDescent="0.2">
      <c r="A18" s="50" t="s">
        <v>11</v>
      </c>
      <c r="B18" s="65">
        <v>21</v>
      </c>
      <c r="C18" s="65">
        <v>21</v>
      </c>
      <c r="D18" s="65">
        <f>B18-C18</f>
        <v>0</v>
      </c>
      <c r="E18" s="66">
        <v>113</v>
      </c>
      <c r="F18" s="81">
        <f t="shared" si="11"/>
        <v>-92</v>
      </c>
      <c r="G18" s="69">
        <f>B18/248</f>
        <v>8.4677419354838704E-2</v>
      </c>
      <c r="H18" s="69">
        <f>C18/248</f>
        <v>8.4677419354838704E-2</v>
      </c>
      <c r="I18" s="69">
        <f t="shared" si="17"/>
        <v>0</v>
      </c>
      <c r="J18" s="124">
        <f>E18/248</f>
        <v>0.45564516129032256</v>
      </c>
      <c r="K18" s="82">
        <f t="shared" si="13"/>
        <v>-0.37096774193548387</v>
      </c>
      <c r="L18" s="67"/>
      <c r="M18" s="67"/>
      <c r="N18" s="67"/>
      <c r="O18" s="67"/>
      <c r="P18" s="67"/>
      <c r="Q18" s="50" t="s">
        <v>11</v>
      </c>
      <c r="R18" s="71">
        <f t="shared" si="14"/>
        <v>-536561.0127272727</v>
      </c>
      <c r="S18" s="84">
        <f t="shared" si="15"/>
        <v>-0.71174653867688453</v>
      </c>
      <c r="T18" s="73">
        <f t="shared" si="16"/>
        <v>-0.73795139879716776</v>
      </c>
      <c r="U18" s="60">
        <f t="shared" si="21"/>
        <v>3676.4485852200896</v>
      </c>
      <c r="V18" s="72">
        <f t="shared" si="22"/>
        <v>0.55107814902438301</v>
      </c>
    </row>
    <row r="19" spans="1:22" s="68" customFormat="1" ht="18" customHeight="1" thickBot="1" x14ac:dyDescent="0.25">
      <c r="A19" s="50">
        <v>46388</v>
      </c>
      <c r="B19" s="65">
        <v>6</v>
      </c>
      <c r="C19" s="65">
        <v>6</v>
      </c>
      <c r="D19" s="65">
        <f>B19-C19</f>
        <v>0</v>
      </c>
      <c r="E19" s="66">
        <v>101</v>
      </c>
      <c r="F19" s="81">
        <f t="shared" ref="F19" si="23">B19-E19</f>
        <v>-95</v>
      </c>
      <c r="G19" s="69">
        <f>B19/248</f>
        <v>2.4193548387096774E-2</v>
      </c>
      <c r="H19" s="69">
        <f>C19/248</f>
        <v>2.4193548387096774E-2</v>
      </c>
      <c r="I19" s="69">
        <f t="shared" si="17"/>
        <v>0</v>
      </c>
      <c r="J19" s="124">
        <f>E19/248</f>
        <v>0.40725806451612906</v>
      </c>
      <c r="K19" s="82">
        <f t="shared" ref="K19" si="24">G19-J19</f>
        <v>-0.38306451612903231</v>
      </c>
      <c r="L19" s="67"/>
      <c r="M19" s="67"/>
      <c r="N19" s="67"/>
      <c r="O19" s="67"/>
      <c r="P19" s="67"/>
      <c r="Q19" s="51">
        <v>46388</v>
      </c>
      <c r="R19" s="74">
        <f t="shared" si="14"/>
        <v>-669494.59</v>
      </c>
      <c r="S19" s="85">
        <f t="shared" si="15"/>
        <v>-0.93080808920614266</v>
      </c>
      <c r="T19" s="77">
        <f t="shared" si="16"/>
        <v>-0.93709826291467513</v>
      </c>
      <c r="U19" s="76">
        <f t="shared" ref="U19" si="25">F28</f>
        <v>1173.1122277227723</v>
      </c>
      <c r="V19" s="75">
        <f t="shared" ref="V19" si="26">(B28-E28)/E28</f>
        <v>0.16473049836326609</v>
      </c>
    </row>
    <row r="20" spans="1:22" ht="25" customHeight="1" thickBot="1" x14ac:dyDescent="0.25">
      <c r="A20" s="135" t="s">
        <v>6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7"/>
    </row>
    <row r="21" spans="1:22" s="68" customFormat="1" ht="32" customHeight="1" x14ac:dyDescent="0.2">
      <c r="A21" s="54"/>
      <c r="B21" s="55" t="s">
        <v>52</v>
      </c>
      <c r="C21" s="55" t="s">
        <v>49</v>
      </c>
      <c r="D21" s="55" t="s">
        <v>0</v>
      </c>
      <c r="E21" s="56" t="s">
        <v>1</v>
      </c>
      <c r="F21" s="138" t="s">
        <v>8</v>
      </c>
      <c r="G21" s="139"/>
      <c r="H21" s="113" t="s">
        <v>53</v>
      </c>
      <c r="I21" s="113" t="s">
        <v>50</v>
      </c>
      <c r="J21" s="140" t="s">
        <v>48</v>
      </c>
      <c r="K21" s="141"/>
      <c r="L21" s="70"/>
      <c r="M21" s="67"/>
      <c r="N21" s="67"/>
      <c r="O21" s="67"/>
    </row>
    <row r="22" spans="1:22" s="68" customFormat="1" ht="18" customHeight="1" x14ac:dyDescent="0.2">
      <c r="A22" s="50" t="s">
        <v>14</v>
      </c>
      <c r="B22" s="53">
        <f t="shared" ref="B22:B27" si="27">B3/B13</f>
        <v>7479.181111111111</v>
      </c>
      <c r="C22" s="53">
        <f t="shared" ref="C22" si="28">C3/C13</f>
        <v>7479.181111111111</v>
      </c>
      <c r="D22" s="53">
        <f t="shared" ref="D22:D23" si="29">B22-C22</f>
        <v>0</v>
      </c>
      <c r="E22" s="71">
        <f t="shared" ref="E22:E28" si="30">E3/E13</f>
        <v>7801.6720253164549</v>
      </c>
      <c r="F22" s="71">
        <f t="shared" ref="F22:F27" si="31">B22-E22</f>
        <v>-322.49091420534387</v>
      </c>
      <c r="G22" s="130">
        <f t="shared" ref="G22:G28" si="32">(B22-E22)/E22</f>
        <v>-4.1336128096497733E-2</v>
      </c>
      <c r="H22" s="114">
        <v>7801.6720253164549</v>
      </c>
      <c r="I22" s="114">
        <v>7747.9011249999994</v>
      </c>
      <c r="J22" s="125">
        <f t="shared" ref="J22:J28" si="33">B22-H22</f>
        <v>-322.49091420534387</v>
      </c>
      <c r="K22" s="126">
        <f t="shared" ref="K22:K28" si="34">(B22-H22)/H22</f>
        <v>-4.1336128096497733E-2</v>
      </c>
      <c r="L22" s="70"/>
      <c r="M22" s="67"/>
      <c r="N22" s="67"/>
      <c r="O22" s="67"/>
    </row>
    <row r="23" spans="1:22" s="68" customFormat="1" ht="18" customHeight="1" x14ac:dyDescent="0.2">
      <c r="A23" s="50" t="s">
        <v>3</v>
      </c>
      <c r="B23" s="53">
        <f t="shared" si="27"/>
        <v>7596.56</v>
      </c>
      <c r="C23" s="53">
        <f t="shared" ref="C23" si="35">C4/C14</f>
        <v>7744.7895652173911</v>
      </c>
      <c r="D23" s="53">
        <f t="shared" si="29"/>
        <v>-148.2295652173907</v>
      </c>
      <c r="E23" s="71">
        <f t="shared" si="30"/>
        <v>6874.4545945945947</v>
      </c>
      <c r="F23" s="71">
        <f t="shared" si="31"/>
        <v>722.10540540540569</v>
      </c>
      <c r="G23" s="130">
        <f t="shared" si="32"/>
        <v>0.10504184666128996</v>
      </c>
      <c r="H23" s="114">
        <v>6746.5165217391304</v>
      </c>
      <c r="I23" s="114">
        <v>7060.5592452830188</v>
      </c>
      <c r="J23" s="125">
        <f t="shared" si="33"/>
        <v>850.04347826086996</v>
      </c>
      <c r="K23" s="126">
        <f t="shared" si="34"/>
        <v>0.12599739073072691</v>
      </c>
      <c r="L23" s="70"/>
      <c r="M23" s="67"/>
      <c r="N23" s="67"/>
      <c r="O23" s="67"/>
    </row>
    <row r="24" spans="1:22" s="68" customFormat="1" ht="18" customHeight="1" x14ac:dyDescent="0.2">
      <c r="A24" s="50" t="s">
        <v>4</v>
      </c>
      <c r="B24" s="53">
        <f t="shared" si="27"/>
        <v>7611.4907843137253</v>
      </c>
      <c r="C24" s="53">
        <f t="shared" ref="C24" si="36">C5/C15</f>
        <v>7808.5256097560969</v>
      </c>
      <c r="D24" s="53">
        <f t="shared" ref="D24" si="37">B24-C24</f>
        <v>-197.03482544237158</v>
      </c>
      <c r="E24" s="71">
        <f t="shared" si="30"/>
        <v>6476.177285714286</v>
      </c>
      <c r="F24" s="71">
        <f t="shared" si="31"/>
        <v>1135.3134985994393</v>
      </c>
      <c r="G24" s="130">
        <f t="shared" si="32"/>
        <v>0.17530611787046232</v>
      </c>
      <c r="H24" s="114">
        <v>7450.6370270270272</v>
      </c>
      <c r="I24" s="114">
        <v>7450.6370270270272</v>
      </c>
      <c r="J24" s="125">
        <f t="shared" si="33"/>
        <v>160.85375728669806</v>
      </c>
      <c r="K24" s="126">
        <f t="shared" si="34"/>
        <v>2.1589262327933099E-2</v>
      </c>
      <c r="L24" s="70"/>
      <c r="M24" s="67"/>
      <c r="N24" s="67"/>
      <c r="O24" s="67"/>
    </row>
    <row r="25" spans="1:22" s="68" customFormat="1" ht="18" customHeight="1" x14ac:dyDescent="0.2">
      <c r="A25" s="50" t="s">
        <v>13</v>
      </c>
      <c r="B25" s="53">
        <f t="shared" si="27"/>
        <v>7870.7032584269655</v>
      </c>
      <c r="C25" s="53">
        <f t="shared" ref="C25" si="38">C6/C16</f>
        <v>7870.7032584269655</v>
      </c>
      <c r="D25" s="53">
        <f>B25-C25</f>
        <v>0</v>
      </c>
      <c r="E25" s="71">
        <f t="shared" si="30"/>
        <v>7204.749876543211</v>
      </c>
      <c r="F25" s="71">
        <f t="shared" si="31"/>
        <v>665.95338188375445</v>
      </c>
      <c r="G25" s="130">
        <f t="shared" ref="G25:G27" si="39">(B25-E25)/E25</f>
        <v>9.2432547041213078E-2</v>
      </c>
      <c r="H25" s="114">
        <v>8052.9513513513521</v>
      </c>
      <c r="I25" s="114">
        <v>8053.12</v>
      </c>
      <c r="J25" s="125">
        <f t="shared" ref="J25:J27" si="40">B25-H25</f>
        <v>-182.24809292438658</v>
      </c>
      <c r="K25" s="126">
        <f t="shared" ref="K25:K27" si="41">(B25-H25)/H25</f>
        <v>-2.2631217422393077E-2</v>
      </c>
      <c r="L25" s="70"/>
      <c r="M25" s="67"/>
      <c r="N25" s="67"/>
      <c r="O25" s="67"/>
    </row>
    <row r="26" spans="1:22" s="68" customFormat="1" ht="18" customHeight="1" x14ac:dyDescent="0.2">
      <c r="A26" s="50" t="s">
        <v>12</v>
      </c>
      <c r="B26" s="53">
        <f t="shared" si="27"/>
        <v>8955.1899999999987</v>
      </c>
      <c r="C26" s="53">
        <f t="shared" ref="C26" si="42">C7/C17</f>
        <v>9543.9874999999993</v>
      </c>
      <c r="D26" s="53">
        <f>B26-C26</f>
        <v>-588.79750000000058</v>
      </c>
      <c r="E26" s="71">
        <f t="shared" si="30"/>
        <v>5491.4539784946237</v>
      </c>
      <c r="F26" s="71">
        <f t="shared" si="31"/>
        <v>3463.736021505375</v>
      </c>
      <c r="G26" s="130">
        <f t="shared" si="39"/>
        <v>0.63075025941579344</v>
      </c>
      <c r="H26" s="114">
        <v>5578.333333333333</v>
      </c>
      <c r="I26" s="114">
        <v>6401.666666666667</v>
      </c>
      <c r="J26" s="125">
        <f t="shared" si="40"/>
        <v>3376.8566666666657</v>
      </c>
      <c r="K26" s="126">
        <f t="shared" si="41"/>
        <v>0.60535225575141904</v>
      </c>
      <c r="L26" s="70"/>
      <c r="M26" s="67"/>
      <c r="N26" s="67"/>
      <c r="O26" s="67"/>
    </row>
    <row r="27" spans="1:22" s="68" customFormat="1" ht="18" customHeight="1" x14ac:dyDescent="0.2">
      <c r="A27" s="50" t="s">
        <v>11</v>
      </c>
      <c r="B27" s="53">
        <f t="shared" si="27"/>
        <v>10347.822857142857</v>
      </c>
      <c r="C27" s="53">
        <f t="shared" ref="C27" si="43">C8/C18</f>
        <v>10347.822857142857</v>
      </c>
      <c r="D27" s="53">
        <f>B27-C27</f>
        <v>0</v>
      </c>
      <c r="E27" s="71">
        <f t="shared" si="30"/>
        <v>6671.3742719227675</v>
      </c>
      <c r="F27" s="71">
        <f t="shared" si="31"/>
        <v>3676.4485852200896</v>
      </c>
      <c r="G27" s="130">
        <f t="shared" si="39"/>
        <v>0.55107814902438301</v>
      </c>
      <c r="H27" s="114">
        <v>10206.153846153846</v>
      </c>
      <c r="I27" s="114">
        <v>10206.153846153846</v>
      </c>
      <c r="J27" s="125">
        <f t="shared" si="40"/>
        <v>141.66901098901144</v>
      </c>
      <c r="K27" s="126">
        <f t="shared" si="41"/>
        <v>1.3880744218097292E-2</v>
      </c>
      <c r="L27" s="70"/>
      <c r="M27" s="67"/>
      <c r="N27" s="67"/>
      <c r="O27" s="67"/>
    </row>
    <row r="28" spans="1:22" s="68" customFormat="1" ht="18" customHeight="1" x14ac:dyDescent="0.2">
      <c r="A28" s="51">
        <v>46388</v>
      </c>
      <c r="B28" s="83">
        <f>B9/B19</f>
        <v>8294.5149999999994</v>
      </c>
      <c r="C28" s="83">
        <f>C9/C19</f>
        <v>8294.5149999999994</v>
      </c>
      <c r="D28" s="83">
        <f>B28-C28</f>
        <v>0</v>
      </c>
      <c r="E28" s="74">
        <f t="shared" si="30"/>
        <v>7121.4027722772271</v>
      </c>
      <c r="F28" s="74">
        <f t="shared" ref="F28" si="44">B28-E28</f>
        <v>1173.1122277227723</v>
      </c>
      <c r="G28" s="131">
        <f t="shared" si="32"/>
        <v>0.16473049836326609</v>
      </c>
      <c r="H28" s="117">
        <v>6166.1707692307691</v>
      </c>
      <c r="I28" s="117">
        <v>6166.1707692307691</v>
      </c>
      <c r="J28" s="127">
        <f t="shared" si="33"/>
        <v>2128.3442307692303</v>
      </c>
      <c r="K28" s="128">
        <f t="shared" si="34"/>
        <v>0.34516465897922927</v>
      </c>
      <c r="L28" s="70"/>
      <c r="M28" s="67"/>
      <c r="N28" s="67"/>
      <c r="O28" s="67"/>
    </row>
  </sheetData>
  <mergeCells count="7">
    <mergeCell ref="A1:K1"/>
    <mergeCell ref="A20:K20"/>
    <mergeCell ref="F21:G21"/>
    <mergeCell ref="J21:K21"/>
    <mergeCell ref="Q11:V11"/>
    <mergeCell ref="A11:F11"/>
    <mergeCell ref="G11:K11"/>
  </mergeCells>
  <conditionalFormatting sqref="D1 F1 K1 S1:T1 V1 H3:H10 D3:D11 F3:F11 K3:K11 S3:T11 V3:V11 I13:I19 D13:D20 F13:F20 K13:K20 S13:T20 V13:V20 F22:G27 J22:K27 D22:D1048576 S22:T1048576 V22:V1048576 G28 J28 F28:F1048576 K28:K1048576">
    <cfRule type="cellIs" dxfId="11" priority="1" operator="greaterThan">
      <formula>0.0009</formula>
    </cfRule>
    <cfRule type="cellIs" dxfId="10" priority="2" operator="lessThan">
      <formula>-0.0009</formula>
    </cfRule>
  </conditionalFormatting>
  <pageMargins left="0.7" right="0.7" top="0.75" bottom="0.75" header="0.3" footer="0.3"/>
  <pageSetup paperSize="8" orientation="landscape" horizontalDpi="0" verticalDpi="0"/>
  <ignoredErrors>
    <ignoredError sqref="F10 H10 I13:J14 G15:J17 D23:D26 D27:D28 I18:I19" formula="1"/>
    <ignoredError sqref="U19:V19 B28 E28:F28 J28 B22 E22:F22 J22" evalError="1"/>
    <ignoredError sqref="D22" evalError="1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A0A5-2695-EA44-927D-7961F5D9B06B}">
  <dimension ref="A1:N43"/>
  <sheetViews>
    <sheetView workbookViewId="0">
      <selection activeCell="C9" sqref="C9"/>
    </sheetView>
  </sheetViews>
  <sheetFormatPr baseColWidth="10" defaultRowHeight="16" x14ac:dyDescent="0.2"/>
  <cols>
    <col min="1" max="1" width="8.83203125" customWidth="1"/>
  </cols>
  <sheetData>
    <row r="1" spans="1:14" ht="28" customHeight="1" thickBot="1" x14ac:dyDescent="0.25">
      <c r="A1" s="132" t="s">
        <v>38</v>
      </c>
      <c r="B1" s="133"/>
      <c r="C1" s="133"/>
      <c r="D1" s="133"/>
      <c r="E1" s="133"/>
      <c r="F1" s="133"/>
      <c r="G1" s="133"/>
      <c r="H1" s="134"/>
      <c r="I1" s="1"/>
      <c r="J1" s="67"/>
      <c r="K1" s="67"/>
      <c r="L1" s="67"/>
      <c r="M1" s="67"/>
    </row>
    <row r="2" spans="1:14" s="5" customFormat="1" ht="32" customHeight="1" x14ac:dyDescent="0.2">
      <c r="A2" s="55"/>
      <c r="B2" s="55">
        <v>2025</v>
      </c>
      <c r="C2" s="56">
        <v>2024</v>
      </c>
      <c r="D2" s="142" t="s">
        <v>29</v>
      </c>
      <c r="E2" s="143"/>
      <c r="F2" s="58" t="s">
        <v>28</v>
      </c>
      <c r="G2" s="144" t="s">
        <v>30</v>
      </c>
      <c r="H2" s="145"/>
      <c r="I2" s="4"/>
      <c r="J2" s="4"/>
      <c r="K2" s="4"/>
    </row>
    <row r="3" spans="1:14" s="3" customFormat="1" ht="18" customHeight="1" x14ac:dyDescent="0.2">
      <c r="A3" s="50" t="s">
        <v>20</v>
      </c>
      <c r="B3" s="53"/>
      <c r="C3" s="60">
        <v>476894.5</v>
      </c>
      <c r="D3" s="71">
        <f t="shared" ref="D3:D15" si="0">B3-C3</f>
        <v>-476894.5</v>
      </c>
      <c r="E3" s="102">
        <f>(B3-C3)/C3</f>
        <v>-1</v>
      </c>
      <c r="F3" s="61">
        <f>C3*1.1</f>
        <v>524583.95000000007</v>
      </c>
      <c r="G3" s="78">
        <f t="shared" ref="G3:G15" si="1">B3-F3</f>
        <v>-524583.95000000007</v>
      </c>
      <c r="H3" s="73">
        <f>(B3-F3)/F3</f>
        <v>-1</v>
      </c>
      <c r="I3" s="6"/>
      <c r="J3" s="2"/>
      <c r="K3" s="2"/>
    </row>
    <row r="4" spans="1:14" s="3" customFormat="1" ht="18" customHeight="1" x14ac:dyDescent="0.2">
      <c r="A4" s="50" t="s">
        <v>19</v>
      </c>
      <c r="B4" s="53"/>
      <c r="C4" s="60">
        <v>581022.18000000005</v>
      </c>
      <c r="D4" s="71">
        <f t="shared" si="0"/>
        <v>-581022.18000000005</v>
      </c>
      <c r="E4" s="102">
        <f t="shared" ref="E4:E14" si="2">(B4-C4)/C4</f>
        <v>-1</v>
      </c>
      <c r="F4" s="61">
        <f t="shared" ref="F4:F14" si="3">C4*1.1</f>
        <v>639124.39800000016</v>
      </c>
      <c r="G4" s="78">
        <f t="shared" si="1"/>
        <v>-639124.39800000016</v>
      </c>
      <c r="H4" s="73">
        <f t="shared" ref="H4:H14" si="4">(B4-F4)/F4</f>
        <v>-1</v>
      </c>
      <c r="I4" s="6"/>
      <c r="J4" s="2"/>
      <c r="K4" s="2"/>
    </row>
    <row r="5" spans="1:14" s="3" customFormat="1" ht="18" customHeight="1" x14ac:dyDescent="0.2">
      <c r="A5" s="50" t="s">
        <v>18</v>
      </c>
      <c r="B5" s="53"/>
      <c r="C5" s="60">
        <v>688441.77</v>
      </c>
      <c r="D5" s="71">
        <f t="shared" si="0"/>
        <v>-688441.77</v>
      </c>
      <c r="E5" s="102">
        <f t="shared" si="2"/>
        <v>-1</v>
      </c>
      <c r="F5" s="61">
        <f t="shared" si="3"/>
        <v>757285.94700000004</v>
      </c>
      <c r="G5" s="78">
        <f t="shared" si="1"/>
        <v>-757285.94700000004</v>
      </c>
      <c r="H5" s="73">
        <f t="shared" si="4"/>
        <v>-1</v>
      </c>
      <c r="I5" s="6"/>
      <c r="J5" s="2"/>
      <c r="K5" s="2"/>
    </row>
    <row r="6" spans="1:14" s="3" customFormat="1" ht="18" customHeight="1" x14ac:dyDescent="0.2">
      <c r="A6" s="50" t="s">
        <v>17</v>
      </c>
      <c r="B6" s="53"/>
      <c r="C6" s="60">
        <v>436739.33</v>
      </c>
      <c r="D6" s="71">
        <f t="shared" si="0"/>
        <v>-436739.33</v>
      </c>
      <c r="E6" s="102">
        <f t="shared" si="2"/>
        <v>-1</v>
      </c>
      <c r="F6" s="61">
        <f t="shared" si="3"/>
        <v>480413.26300000004</v>
      </c>
      <c r="G6" s="78">
        <f t="shared" si="1"/>
        <v>-480413.26300000004</v>
      </c>
      <c r="H6" s="73">
        <f t="shared" si="4"/>
        <v>-1</v>
      </c>
      <c r="I6" s="6"/>
      <c r="J6" s="2"/>
      <c r="K6" s="2"/>
    </row>
    <row r="7" spans="1:14" s="3" customFormat="1" ht="18" customHeight="1" x14ac:dyDescent="0.2">
      <c r="A7" s="50" t="s">
        <v>16</v>
      </c>
      <c r="B7" s="53"/>
      <c r="C7" s="60">
        <v>184027.5</v>
      </c>
      <c r="D7" s="71">
        <f t="shared" si="0"/>
        <v>-184027.5</v>
      </c>
      <c r="E7" s="102">
        <f t="shared" si="2"/>
        <v>-1</v>
      </c>
      <c r="F7" s="61">
        <f t="shared" si="3"/>
        <v>202430.25000000003</v>
      </c>
      <c r="G7" s="78">
        <f t="shared" si="1"/>
        <v>-202430.25000000003</v>
      </c>
      <c r="H7" s="73">
        <f t="shared" si="4"/>
        <v>-1</v>
      </c>
      <c r="I7" s="6"/>
      <c r="J7" s="2"/>
      <c r="K7" s="2"/>
    </row>
    <row r="8" spans="1:14" s="3" customFormat="1" ht="18" customHeight="1" x14ac:dyDescent="0.2">
      <c r="A8" s="50" t="s">
        <v>15</v>
      </c>
      <c r="B8" s="53"/>
      <c r="C8" s="60">
        <v>0</v>
      </c>
      <c r="D8" s="71">
        <f t="shared" si="0"/>
        <v>0</v>
      </c>
      <c r="E8" s="102" t="e">
        <f t="shared" si="2"/>
        <v>#DIV/0!</v>
      </c>
      <c r="F8" s="61">
        <f t="shared" si="3"/>
        <v>0</v>
      </c>
      <c r="G8" s="78">
        <f t="shared" si="1"/>
        <v>0</v>
      </c>
      <c r="H8" s="73" t="e">
        <f t="shared" si="4"/>
        <v>#DIV/0!</v>
      </c>
      <c r="I8" s="6"/>
      <c r="J8" s="2"/>
      <c r="K8" s="2"/>
    </row>
    <row r="9" spans="1:14" s="3" customFormat="1" ht="18" customHeight="1" x14ac:dyDescent="0.2">
      <c r="A9" s="50" t="s">
        <v>14</v>
      </c>
      <c r="B9" s="53"/>
      <c r="C9" s="60">
        <v>339234.62</v>
      </c>
      <c r="D9" s="71">
        <f t="shared" si="0"/>
        <v>-339234.62</v>
      </c>
      <c r="E9" s="102">
        <f t="shared" si="2"/>
        <v>-1</v>
      </c>
      <c r="F9" s="61">
        <f t="shared" si="3"/>
        <v>373158.08200000005</v>
      </c>
      <c r="G9" s="78">
        <f t="shared" si="1"/>
        <v>-373158.08200000005</v>
      </c>
      <c r="H9" s="73">
        <f t="shared" si="4"/>
        <v>-1</v>
      </c>
      <c r="I9" s="6"/>
      <c r="J9" s="2"/>
      <c r="K9" s="2"/>
    </row>
    <row r="10" spans="1:14" s="3" customFormat="1" ht="18" customHeight="1" x14ac:dyDescent="0.2">
      <c r="A10" s="50" t="s">
        <v>3</v>
      </c>
      <c r="B10" s="53"/>
      <c r="C10" s="60">
        <v>703835.12</v>
      </c>
      <c r="D10" s="71">
        <f t="shared" si="0"/>
        <v>-703835.12</v>
      </c>
      <c r="E10" s="102">
        <f t="shared" si="2"/>
        <v>-1</v>
      </c>
      <c r="F10" s="61">
        <f t="shared" si="3"/>
        <v>774218.6320000001</v>
      </c>
      <c r="G10" s="78">
        <f t="shared" si="1"/>
        <v>-774218.6320000001</v>
      </c>
      <c r="H10" s="73">
        <f t="shared" si="4"/>
        <v>-1</v>
      </c>
      <c r="I10" s="6"/>
      <c r="J10" s="2"/>
      <c r="K10" s="2"/>
    </row>
    <row r="11" spans="1:14" s="3" customFormat="1" ht="18" customHeight="1" x14ac:dyDescent="0.2">
      <c r="A11" s="50" t="s">
        <v>32</v>
      </c>
      <c r="B11" s="53"/>
      <c r="C11" s="60">
        <v>612734</v>
      </c>
      <c r="D11" s="71">
        <f t="shared" si="0"/>
        <v>-612734</v>
      </c>
      <c r="E11" s="102">
        <f t="shared" si="2"/>
        <v>-1</v>
      </c>
      <c r="F11" s="61">
        <f t="shared" si="3"/>
        <v>674007.4</v>
      </c>
      <c r="G11" s="78">
        <f t="shared" si="1"/>
        <v>-674007.4</v>
      </c>
      <c r="H11" s="73">
        <f t="shared" si="4"/>
        <v>-1</v>
      </c>
      <c r="I11" s="6"/>
      <c r="J11" s="2"/>
      <c r="K11" s="2"/>
    </row>
    <row r="12" spans="1:14" s="3" customFormat="1" ht="18" customHeight="1" x14ac:dyDescent="0.2">
      <c r="A12" s="50" t="s">
        <v>13</v>
      </c>
      <c r="B12" s="53"/>
      <c r="C12" s="60">
        <v>622415.84</v>
      </c>
      <c r="D12" s="71">
        <f t="shared" si="0"/>
        <v>-622415.84</v>
      </c>
      <c r="E12" s="102">
        <f t="shared" si="2"/>
        <v>-1</v>
      </c>
      <c r="F12" s="61">
        <f t="shared" si="3"/>
        <v>684657.424</v>
      </c>
      <c r="G12" s="78">
        <f t="shared" si="1"/>
        <v>-684657.424</v>
      </c>
      <c r="H12" s="73">
        <f t="shared" si="4"/>
        <v>-1</v>
      </c>
      <c r="I12" s="6"/>
      <c r="J12" s="2"/>
      <c r="K12" s="2"/>
    </row>
    <row r="13" spans="1:14" s="3" customFormat="1" ht="18" customHeight="1" x14ac:dyDescent="0.2">
      <c r="A13" s="50" t="s">
        <v>12</v>
      </c>
      <c r="B13" s="53"/>
      <c r="C13" s="60">
        <v>429910.76</v>
      </c>
      <c r="D13" s="71">
        <f t="shared" si="0"/>
        <v>-429910.76</v>
      </c>
      <c r="E13" s="102">
        <f t="shared" si="2"/>
        <v>-1</v>
      </c>
      <c r="F13" s="61">
        <f t="shared" si="3"/>
        <v>472901.83600000007</v>
      </c>
      <c r="G13" s="78">
        <f t="shared" si="1"/>
        <v>-472901.83600000007</v>
      </c>
      <c r="H13" s="73">
        <f t="shared" si="4"/>
        <v>-1</v>
      </c>
      <c r="I13" s="6"/>
      <c r="J13" s="2"/>
      <c r="K13" s="2"/>
    </row>
    <row r="14" spans="1:14" s="3" customFormat="1" ht="18" customHeight="1" x14ac:dyDescent="0.2">
      <c r="A14" s="50" t="s">
        <v>11</v>
      </c>
      <c r="B14" s="53"/>
      <c r="C14" s="60">
        <v>1002475.72</v>
      </c>
      <c r="D14" s="71">
        <f t="shared" si="0"/>
        <v>-1002475.72</v>
      </c>
      <c r="E14" s="102">
        <f t="shared" si="2"/>
        <v>-1</v>
      </c>
      <c r="F14" s="61">
        <f t="shared" si="3"/>
        <v>1102723.2920000001</v>
      </c>
      <c r="G14" s="78">
        <f t="shared" si="1"/>
        <v>-1102723.2920000001</v>
      </c>
      <c r="H14" s="73">
        <f t="shared" si="4"/>
        <v>-1</v>
      </c>
      <c r="I14" s="6"/>
      <c r="J14" s="2"/>
      <c r="K14" s="2"/>
    </row>
    <row r="15" spans="1:14" s="3" customFormat="1" ht="18" customHeight="1" thickBot="1" x14ac:dyDescent="0.25">
      <c r="A15" s="52" t="s">
        <v>9</v>
      </c>
      <c r="B15" s="62">
        <f>SUM(B3:B14)</f>
        <v>0</v>
      </c>
      <c r="C15" s="63">
        <f>SUM(C3:C14)</f>
        <v>6077731.3399999999</v>
      </c>
      <c r="D15" s="101">
        <f t="shared" si="0"/>
        <v>-6077731.3399999999</v>
      </c>
      <c r="E15" s="103">
        <f>(B15-C15)/C15</f>
        <v>-1</v>
      </c>
      <c r="F15" s="64">
        <f>SUM(F3:F14)</f>
        <v>6685504.4740000004</v>
      </c>
      <c r="G15" s="107">
        <f t="shared" si="1"/>
        <v>-6685504.4740000004</v>
      </c>
      <c r="H15" s="108">
        <f>(B15-F15)/F15</f>
        <v>-1</v>
      </c>
      <c r="I15" s="6"/>
      <c r="J15" s="2"/>
      <c r="K15" s="2"/>
      <c r="L15" s="67"/>
      <c r="M15" s="67"/>
      <c r="N15" s="67"/>
    </row>
    <row r="16" spans="1:14" ht="25" customHeight="1" thickBot="1" x14ac:dyDescent="0.25">
      <c r="A16" s="135" t="s">
        <v>5</v>
      </c>
      <c r="B16" s="136"/>
      <c r="C16" s="136"/>
      <c r="D16" s="137"/>
      <c r="E16" s="135" t="s">
        <v>7</v>
      </c>
      <c r="F16" s="136"/>
      <c r="G16" s="136"/>
      <c r="H16" s="137"/>
      <c r="I16" s="1"/>
      <c r="J16" s="1"/>
      <c r="K16" s="1"/>
      <c r="L16" s="1"/>
      <c r="M16" s="1"/>
    </row>
    <row r="17" spans="1:14" s="68" customFormat="1" ht="32" customHeight="1" x14ac:dyDescent="0.2">
      <c r="A17" s="54"/>
      <c r="B17" s="55">
        <v>2025</v>
      </c>
      <c r="C17" s="56">
        <v>2024</v>
      </c>
      <c r="D17" s="88" t="s">
        <v>29</v>
      </c>
      <c r="E17" s="55">
        <v>2025</v>
      </c>
      <c r="F17" s="56">
        <v>2024</v>
      </c>
      <c r="G17" s="57" t="s">
        <v>29</v>
      </c>
      <c r="H17" s="109" t="s">
        <v>31</v>
      </c>
      <c r="I17" s="67"/>
      <c r="J17" s="67"/>
      <c r="K17" s="67"/>
      <c r="L17" s="67"/>
      <c r="M17" s="67"/>
      <c r="N17" s="67"/>
    </row>
    <row r="18" spans="1:14" s="68" customFormat="1" ht="18" customHeight="1" x14ac:dyDescent="0.2">
      <c r="A18" s="50" t="s">
        <v>20</v>
      </c>
      <c r="B18" s="65"/>
      <c r="C18" s="66">
        <v>93</v>
      </c>
      <c r="D18" s="81">
        <f t="shared" ref="D18:D29" si="5">B18-C18</f>
        <v>-93</v>
      </c>
      <c r="E18" s="90">
        <f>B18/248</f>
        <v>0</v>
      </c>
      <c r="F18" s="110">
        <f>C18/310</f>
        <v>0.3</v>
      </c>
      <c r="G18" s="105">
        <f t="shared" ref="G18:G29" si="6">E18-F18</f>
        <v>-0.3</v>
      </c>
      <c r="H18" s="72"/>
      <c r="J18" s="10" t="s">
        <v>33</v>
      </c>
      <c r="K18"/>
      <c r="L18" s="10" t="s">
        <v>39</v>
      </c>
      <c r="M18" s="67"/>
      <c r="N18" s="67"/>
    </row>
    <row r="19" spans="1:14" s="68" customFormat="1" ht="18" customHeight="1" x14ac:dyDescent="0.2">
      <c r="A19" s="50" t="s">
        <v>19</v>
      </c>
      <c r="B19" s="65"/>
      <c r="C19" s="66">
        <v>115</v>
      </c>
      <c r="D19" s="81">
        <f t="shared" si="5"/>
        <v>-115</v>
      </c>
      <c r="E19" s="90">
        <f>B19/224</f>
        <v>0</v>
      </c>
      <c r="F19" s="110">
        <f>C19/290</f>
        <v>0.39655172413793105</v>
      </c>
      <c r="G19" s="105">
        <f t="shared" si="6"/>
        <v>-0.39655172413793105</v>
      </c>
      <c r="H19" s="72"/>
      <c r="J19"/>
      <c r="K19"/>
      <c r="L19" s="118" t="s">
        <v>40</v>
      </c>
      <c r="M19" s="67"/>
      <c r="N19" s="67"/>
    </row>
    <row r="20" spans="1:14" s="68" customFormat="1" ht="18" customHeight="1" x14ac:dyDescent="0.2">
      <c r="A20" s="50" t="s">
        <v>18</v>
      </c>
      <c r="B20" s="65"/>
      <c r="C20" s="66">
        <v>135</v>
      </c>
      <c r="D20" s="81">
        <f t="shared" si="5"/>
        <v>-135</v>
      </c>
      <c r="E20" s="90">
        <f>B20/248</f>
        <v>0</v>
      </c>
      <c r="F20" s="110">
        <f>C20/310</f>
        <v>0.43548387096774194</v>
      </c>
      <c r="G20" s="105">
        <f t="shared" si="6"/>
        <v>-0.43548387096774194</v>
      </c>
      <c r="H20" s="72"/>
      <c r="J20" s="10" t="s">
        <v>34</v>
      </c>
      <c r="K20"/>
      <c r="L20" s="10" t="s">
        <v>41</v>
      </c>
      <c r="M20" s="67"/>
      <c r="N20" s="67"/>
    </row>
    <row r="21" spans="1:14" s="68" customFormat="1" ht="18" customHeight="1" x14ac:dyDescent="0.2">
      <c r="A21" s="50" t="s">
        <v>17</v>
      </c>
      <c r="B21" s="65"/>
      <c r="C21" s="66">
        <v>74</v>
      </c>
      <c r="D21" s="81">
        <f t="shared" si="5"/>
        <v>-74</v>
      </c>
      <c r="E21" s="90">
        <f>B21/240</f>
        <v>0</v>
      </c>
      <c r="F21" s="110">
        <f>C21/300</f>
        <v>0.24666666666666667</v>
      </c>
      <c r="G21" s="105">
        <f t="shared" si="6"/>
        <v>-0.24666666666666667</v>
      </c>
      <c r="H21" s="72"/>
      <c r="J21" s="10" t="s">
        <v>35</v>
      </c>
      <c r="K21"/>
      <c r="L21" s="10" t="s">
        <v>42</v>
      </c>
      <c r="M21" s="67"/>
      <c r="N21" s="67"/>
    </row>
    <row r="22" spans="1:14" s="68" customFormat="1" ht="18" customHeight="1" x14ac:dyDescent="0.2">
      <c r="A22" s="50" t="s">
        <v>16</v>
      </c>
      <c r="B22" s="65"/>
      <c r="C22" s="66">
        <v>54</v>
      </c>
      <c r="D22" s="81">
        <f t="shared" si="5"/>
        <v>-54</v>
      </c>
      <c r="E22" s="90">
        <f>B22/248</f>
        <v>0</v>
      </c>
      <c r="F22" s="110">
        <f>C22/310</f>
        <v>0.17419354838709677</v>
      </c>
      <c r="G22" s="105">
        <f t="shared" si="6"/>
        <v>-0.17419354838709677</v>
      </c>
      <c r="H22" s="72"/>
      <c r="J22" s="10" t="s">
        <v>36</v>
      </c>
      <c r="K22"/>
      <c r="L22" s="10" t="s">
        <v>43</v>
      </c>
      <c r="M22" s="67"/>
      <c r="N22" s="67"/>
    </row>
    <row r="23" spans="1:14" s="68" customFormat="1" ht="18" customHeight="1" x14ac:dyDescent="0.2">
      <c r="A23" s="50" t="s">
        <v>15</v>
      </c>
      <c r="B23" s="65"/>
      <c r="C23" s="66">
        <v>0</v>
      </c>
      <c r="D23" s="81">
        <f t="shared" si="5"/>
        <v>0</v>
      </c>
      <c r="E23" s="90">
        <f>B23/240</f>
        <v>0</v>
      </c>
      <c r="F23" s="110">
        <f>C23/300</f>
        <v>0</v>
      </c>
      <c r="G23" s="105">
        <f t="shared" si="6"/>
        <v>0</v>
      </c>
      <c r="H23" s="72"/>
      <c r="I23" s="67"/>
      <c r="J23" s="10" t="s">
        <v>37</v>
      </c>
      <c r="K23"/>
      <c r="L23" s="10" t="s">
        <v>44</v>
      </c>
      <c r="M23" s="67"/>
      <c r="N23" s="67"/>
    </row>
    <row r="24" spans="1:14" s="68" customFormat="1" ht="18" customHeight="1" x14ac:dyDescent="0.2">
      <c r="A24" s="50" t="s">
        <v>14</v>
      </c>
      <c r="B24" s="65"/>
      <c r="C24" s="66">
        <v>75</v>
      </c>
      <c r="D24" s="81">
        <f t="shared" si="5"/>
        <v>-75</v>
      </c>
      <c r="E24" s="90">
        <f>B24/248</f>
        <v>0</v>
      </c>
      <c r="F24" s="110">
        <f>C24/310</f>
        <v>0.24193548387096775</v>
      </c>
      <c r="G24" s="105">
        <f t="shared" si="6"/>
        <v>-0.24193548387096775</v>
      </c>
      <c r="H24" s="72"/>
      <c r="I24" s="67"/>
      <c r="J24" s="7"/>
      <c r="K24" s="67"/>
      <c r="L24" s="67"/>
      <c r="M24" s="67"/>
      <c r="N24" s="67"/>
    </row>
    <row r="25" spans="1:14" s="68" customFormat="1" ht="18" customHeight="1" x14ac:dyDescent="0.2">
      <c r="A25" s="50" t="s">
        <v>3</v>
      </c>
      <c r="B25" s="65"/>
      <c r="C25" s="66">
        <v>123</v>
      </c>
      <c r="D25" s="81">
        <f t="shared" si="5"/>
        <v>-123</v>
      </c>
      <c r="E25" s="90">
        <f>B25/248</f>
        <v>0</v>
      </c>
      <c r="F25" s="110">
        <f>C25/248</f>
        <v>0.49596774193548387</v>
      </c>
      <c r="G25" s="105">
        <f t="shared" si="6"/>
        <v>-0.49596774193548387</v>
      </c>
      <c r="H25" s="72"/>
      <c r="I25" s="67"/>
      <c r="J25" s="7"/>
      <c r="K25" s="67"/>
      <c r="L25" s="67"/>
      <c r="M25" s="67"/>
      <c r="N25" s="67"/>
    </row>
    <row r="26" spans="1:14" s="68" customFormat="1" ht="18" customHeight="1" x14ac:dyDescent="0.2">
      <c r="A26" s="50" t="s">
        <v>32</v>
      </c>
      <c r="B26" s="65"/>
      <c r="C26" s="66">
        <v>119</v>
      </c>
      <c r="D26" s="81">
        <f t="shared" si="5"/>
        <v>-119</v>
      </c>
      <c r="E26" s="90">
        <f>B26/240</f>
        <v>0</v>
      </c>
      <c r="F26" s="110">
        <f>C26/240</f>
        <v>0.49583333333333335</v>
      </c>
      <c r="G26" s="105">
        <f t="shared" si="6"/>
        <v>-0.49583333333333335</v>
      </c>
      <c r="H26" s="72"/>
      <c r="I26" s="67"/>
      <c r="J26" s="7"/>
      <c r="K26" s="67"/>
      <c r="L26" s="67"/>
      <c r="M26" s="67"/>
      <c r="N26" s="67"/>
    </row>
    <row r="27" spans="1:14" s="68" customFormat="1" ht="18" customHeight="1" x14ac:dyDescent="0.2">
      <c r="A27" s="50" t="s">
        <v>13</v>
      </c>
      <c r="B27" s="65"/>
      <c r="C27" s="66">
        <v>108</v>
      </c>
      <c r="D27" s="81">
        <f t="shared" si="5"/>
        <v>-108</v>
      </c>
      <c r="E27" s="90">
        <f>B27/248</f>
        <v>0</v>
      </c>
      <c r="F27" s="110">
        <f>C27/248</f>
        <v>0.43548387096774194</v>
      </c>
      <c r="G27" s="105">
        <f t="shared" si="6"/>
        <v>-0.43548387096774194</v>
      </c>
      <c r="H27" s="72"/>
      <c r="I27" s="67"/>
      <c r="J27" s="7"/>
      <c r="K27" s="67"/>
      <c r="L27" s="67"/>
      <c r="M27" s="67"/>
      <c r="N27" s="67"/>
    </row>
    <row r="28" spans="1:14" s="68" customFormat="1" ht="18" customHeight="1" x14ac:dyDescent="0.2">
      <c r="A28" s="50" t="s">
        <v>12</v>
      </c>
      <c r="B28" s="65"/>
      <c r="C28" s="66">
        <v>83</v>
      </c>
      <c r="D28" s="81">
        <f t="shared" si="5"/>
        <v>-83</v>
      </c>
      <c r="E28" s="90">
        <f>B28/240</f>
        <v>0</v>
      </c>
      <c r="F28" s="110">
        <f>C28/240</f>
        <v>0.34583333333333333</v>
      </c>
      <c r="G28" s="105">
        <f t="shared" si="6"/>
        <v>-0.34583333333333333</v>
      </c>
      <c r="H28" s="72"/>
      <c r="I28" s="67"/>
      <c r="J28" s="7"/>
      <c r="K28" s="67"/>
      <c r="L28" s="67"/>
      <c r="M28" s="67"/>
      <c r="N28" s="67"/>
    </row>
    <row r="29" spans="1:14" s="68" customFormat="1" ht="18" customHeight="1" thickBot="1" x14ac:dyDescent="0.25">
      <c r="A29" s="50" t="s">
        <v>11</v>
      </c>
      <c r="B29" s="65"/>
      <c r="C29" s="66">
        <v>142</v>
      </c>
      <c r="D29" s="81">
        <f t="shared" si="5"/>
        <v>-142</v>
      </c>
      <c r="E29" s="89">
        <f>B29/248</f>
        <v>0</v>
      </c>
      <c r="F29" s="111">
        <f>C29/248</f>
        <v>0.57258064516129037</v>
      </c>
      <c r="G29" s="106">
        <f t="shared" si="6"/>
        <v>-0.57258064516129037</v>
      </c>
      <c r="H29" s="75"/>
      <c r="I29" s="67"/>
      <c r="J29" s="7"/>
      <c r="K29" s="67"/>
      <c r="L29" s="67"/>
      <c r="M29" s="67"/>
      <c r="N29" s="67"/>
    </row>
    <row r="30" spans="1:14" ht="25" customHeight="1" thickBot="1" x14ac:dyDescent="0.25">
      <c r="A30" s="135" t="s">
        <v>6</v>
      </c>
      <c r="B30" s="136"/>
      <c r="C30" s="136"/>
      <c r="D30" s="136"/>
      <c r="E30" s="137"/>
      <c r="F30" s="7"/>
      <c r="G30" s="7"/>
      <c r="H30" s="1"/>
      <c r="I30" s="1"/>
      <c r="J30" s="1"/>
    </row>
    <row r="31" spans="1:14" s="68" customFormat="1" ht="32" customHeight="1" x14ac:dyDescent="0.2">
      <c r="A31" s="55"/>
      <c r="B31" s="55">
        <v>2025</v>
      </c>
      <c r="C31" s="56">
        <v>2024</v>
      </c>
      <c r="D31" s="142" t="s">
        <v>29</v>
      </c>
      <c r="E31" s="143"/>
      <c r="F31" s="70"/>
      <c r="G31" s="70"/>
      <c r="H31" s="67"/>
      <c r="I31" s="67"/>
      <c r="J31" s="67"/>
    </row>
    <row r="32" spans="1:14" s="68" customFormat="1" ht="17" customHeight="1" x14ac:dyDescent="0.2">
      <c r="A32" s="112" t="s">
        <v>20</v>
      </c>
      <c r="B32" s="53" t="e">
        <f>B3/B18</f>
        <v>#DIV/0!</v>
      </c>
      <c r="C32" s="71">
        <f>C3/C18</f>
        <v>5127.8978494623652</v>
      </c>
      <c r="D32" s="71" t="e">
        <f>B32-C32</f>
        <v>#DIV/0!</v>
      </c>
      <c r="E32" s="104" t="e">
        <f>(B32-C32)/C32</f>
        <v>#DIV/0!</v>
      </c>
      <c r="G32" s="70"/>
      <c r="H32" s="67"/>
      <c r="I32" s="67"/>
      <c r="J32" s="67"/>
    </row>
    <row r="33" spans="1:10" s="68" customFormat="1" ht="17" customHeight="1" x14ac:dyDescent="0.2">
      <c r="A33" s="50" t="s">
        <v>19</v>
      </c>
      <c r="B33" s="53" t="e">
        <f t="shared" ref="B33:C43" si="7">B4/B19</f>
        <v>#DIV/0!</v>
      </c>
      <c r="C33" s="71">
        <f t="shared" si="7"/>
        <v>5052.3667826086958</v>
      </c>
      <c r="D33" s="71" t="e">
        <f t="shared" ref="D33:D43" si="8">B33-C33</f>
        <v>#DIV/0!</v>
      </c>
      <c r="E33" s="105" t="e">
        <f t="shared" ref="E33:E43" si="9">(B33-C33)/C33</f>
        <v>#DIV/0!</v>
      </c>
      <c r="G33" s="70"/>
      <c r="H33" s="67"/>
      <c r="I33" s="67"/>
      <c r="J33" s="67"/>
    </row>
    <row r="34" spans="1:10" s="68" customFormat="1" ht="17" customHeight="1" x14ac:dyDescent="0.2">
      <c r="A34" s="50" t="s">
        <v>18</v>
      </c>
      <c r="B34" s="53" t="e">
        <f t="shared" si="7"/>
        <v>#DIV/0!</v>
      </c>
      <c r="C34" s="71">
        <f t="shared" si="7"/>
        <v>5099.568666666667</v>
      </c>
      <c r="D34" s="71" t="e">
        <f t="shared" si="8"/>
        <v>#DIV/0!</v>
      </c>
      <c r="E34" s="105" t="e">
        <f t="shared" si="9"/>
        <v>#DIV/0!</v>
      </c>
      <c r="G34" s="70"/>
      <c r="H34" s="67"/>
      <c r="I34" s="67"/>
      <c r="J34" s="67"/>
    </row>
    <row r="35" spans="1:10" s="68" customFormat="1" ht="17" customHeight="1" x14ac:dyDescent="0.2">
      <c r="A35" s="50" t="s">
        <v>17</v>
      </c>
      <c r="B35" s="53" t="e">
        <f t="shared" si="7"/>
        <v>#DIV/0!</v>
      </c>
      <c r="C35" s="71">
        <f t="shared" si="7"/>
        <v>5901.8828378378385</v>
      </c>
      <c r="D35" s="71" t="e">
        <f t="shared" si="8"/>
        <v>#DIV/0!</v>
      </c>
      <c r="E35" s="105" t="e">
        <f t="shared" si="9"/>
        <v>#DIV/0!</v>
      </c>
      <c r="G35" s="70"/>
      <c r="H35" s="67"/>
      <c r="I35" s="67"/>
      <c r="J35" s="67"/>
    </row>
    <row r="36" spans="1:10" s="68" customFormat="1" ht="17" customHeight="1" x14ac:dyDescent="0.2">
      <c r="A36" s="50" t="s">
        <v>16</v>
      </c>
      <c r="B36" s="53" t="e">
        <f t="shared" si="7"/>
        <v>#DIV/0!</v>
      </c>
      <c r="C36" s="71">
        <f t="shared" si="7"/>
        <v>3407.9166666666665</v>
      </c>
      <c r="D36" s="71" t="e">
        <f t="shared" si="8"/>
        <v>#DIV/0!</v>
      </c>
      <c r="E36" s="105" t="e">
        <f t="shared" si="9"/>
        <v>#DIV/0!</v>
      </c>
      <c r="G36" s="70"/>
      <c r="H36" s="67"/>
      <c r="I36" s="67"/>
      <c r="J36" s="67"/>
    </row>
    <row r="37" spans="1:10" s="68" customFormat="1" ht="17" customHeight="1" x14ac:dyDescent="0.2">
      <c r="A37" s="50" t="s">
        <v>15</v>
      </c>
      <c r="B37" s="53" t="e">
        <f t="shared" si="7"/>
        <v>#DIV/0!</v>
      </c>
      <c r="C37" s="71">
        <v>0</v>
      </c>
      <c r="D37" s="71" t="e">
        <f t="shared" si="8"/>
        <v>#DIV/0!</v>
      </c>
      <c r="E37" s="105" t="e">
        <f t="shared" si="9"/>
        <v>#DIV/0!</v>
      </c>
      <c r="G37" s="70"/>
      <c r="H37" s="67"/>
      <c r="I37" s="67"/>
      <c r="J37" s="67"/>
    </row>
    <row r="38" spans="1:10" s="68" customFormat="1" ht="17" customHeight="1" x14ac:dyDescent="0.2">
      <c r="A38" s="50" t="s">
        <v>14</v>
      </c>
      <c r="B38" s="53" t="e">
        <f t="shared" si="7"/>
        <v>#DIV/0!</v>
      </c>
      <c r="C38" s="71">
        <f t="shared" si="7"/>
        <v>4523.1282666666666</v>
      </c>
      <c r="D38" s="71" t="e">
        <f t="shared" si="8"/>
        <v>#DIV/0!</v>
      </c>
      <c r="E38" s="105" t="e">
        <f t="shared" si="9"/>
        <v>#DIV/0!</v>
      </c>
      <c r="F38" s="7"/>
      <c r="G38" s="70"/>
      <c r="H38" s="67"/>
      <c r="I38" s="67"/>
      <c r="J38" s="67"/>
    </row>
    <row r="39" spans="1:10" s="68" customFormat="1" ht="17" customHeight="1" x14ac:dyDescent="0.2">
      <c r="A39" s="50" t="s">
        <v>3</v>
      </c>
      <c r="B39" s="53" t="e">
        <f t="shared" si="7"/>
        <v>#DIV/0!</v>
      </c>
      <c r="C39" s="71">
        <f t="shared" si="7"/>
        <v>5722.2367479674795</v>
      </c>
      <c r="D39" s="71" t="e">
        <f t="shared" si="8"/>
        <v>#DIV/0!</v>
      </c>
      <c r="E39" s="105" t="e">
        <f t="shared" si="9"/>
        <v>#DIV/0!</v>
      </c>
      <c r="F39" s="7"/>
      <c r="G39" s="70"/>
      <c r="H39" s="67"/>
      <c r="I39" s="67"/>
      <c r="J39" s="67"/>
    </row>
    <row r="40" spans="1:10" s="68" customFormat="1" ht="17" customHeight="1" x14ac:dyDescent="0.2">
      <c r="A40" s="50" t="s">
        <v>32</v>
      </c>
      <c r="B40" s="53" t="e">
        <f t="shared" si="7"/>
        <v>#DIV/0!</v>
      </c>
      <c r="C40" s="71">
        <f t="shared" si="7"/>
        <v>5149.0252100840335</v>
      </c>
      <c r="D40" s="71" t="e">
        <f t="shared" si="8"/>
        <v>#DIV/0!</v>
      </c>
      <c r="E40" s="105" t="e">
        <f t="shared" si="9"/>
        <v>#DIV/0!</v>
      </c>
      <c r="F40" s="7"/>
      <c r="G40" s="70"/>
      <c r="H40" s="67"/>
      <c r="I40" s="67"/>
      <c r="J40" s="67"/>
    </row>
    <row r="41" spans="1:10" s="68" customFormat="1" ht="17" customHeight="1" x14ac:dyDescent="0.2">
      <c r="A41" s="50" t="s">
        <v>13</v>
      </c>
      <c r="B41" s="53" t="e">
        <f t="shared" si="7"/>
        <v>#DIV/0!</v>
      </c>
      <c r="C41" s="71">
        <f t="shared" si="7"/>
        <v>5763.1096296296291</v>
      </c>
      <c r="D41" s="71" t="e">
        <f t="shared" si="8"/>
        <v>#DIV/0!</v>
      </c>
      <c r="E41" s="105" t="e">
        <f t="shared" si="9"/>
        <v>#DIV/0!</v>
      </c>
      <c r="F41" s="7"/>
      <c r="G41" s="70"/>
      <c r="H41" s="67"/>
      <c r="I41" s="67"/>
      <c r="J41" s="67"/>
    </row>
    <row r="42" spans="1:10" s="68" customFormat="1" ht="17" customHeight="1" x14ac:dyDescent="0.2">
      <c r="A42" s="50" t="s">
        <v>12</v>
      </c>
      <c r="B42" s="53" t="e">
        <f t="shared" si="7"/>
        <v>#DIV/0!</v>
      </c>
      <c r="C42" s="71">
        <f t="shared" si="7"/>
        <v>5179.6477108433737</v>
      </c>
      <c r="D42" s="71" t="e">
        <f t="shared" si="8"/>
        <v>#DIV/0!</v>
      </c>
      <c r="E42" s="105" t="e">
        <f t="shared" si="9"/>
        <v>#DIV/0!</v>
      </c>
      <c r="F42" s="7"/>
      <c r="G42" s="70"/>
      <c r="H42" s="67"/>
      <c r="I42" s="67"/>
      <c r="J42" s="67"/>
    </row>
    <row r="43" spans="1:10" s="68" customFormat="1" ht="17" customHeight="1" x14ac:dyDescent="0.2">
      <c r="A43" s="51" t="s">
        <v>11</v>
      </c>
      <c r="B43" s="83" t="e">
        <f t="shared" si="7"/>
        <v>#DIV/0!</v>
      </c>
      <c r="C43" s="74">
        <f t="shared" si="7"/>
        <v>7059.6881690140845</v>
      </c>
      <c r="D43" s="74" t="e">
        <f t="shared" si="8"/>
        <v>#DIV/0!</v>
      </c>
      <c r="E43" s="106" t="e">
        <f t="shared" si="9"/>
        <v>#DIV/0!</v>
      </c>
      <c r="G43" s="70"/>
      <c r="H43" s="67"/>
      <c r="I43" s="67"/>
      <c r="J43" s="67"/>
    </row>
  </sheetData>
  <mergeCells count="7">
    <mergeCell ref="D31:E31"/>
    <mergeCell ref="G2:H2"/>
    <mergeCell ref="A1:H1"/>
    <mergeCell ref="A16:D16"/>
    <mergeCell ref="E16:H16"/>
    <mergeCell ref="D2:E2"/>
    <mergeCell ref="A30:E30"/>
  </mergeCells>
  <phoneticPr fontId="15" type="noConversion"/>
  <conditionalFormatting sqref="D3:E15 D18:E29 D32:E43">
    <cfRule type="cellIs" dxfId="9" priority="15" operator="equal">
      <formula>0</formula>
    </cfRule>
    <cfRule type="cellIs" dxfId="8" priority="16" operator="lessThan">
      <formula>0</formula>
    </cfRule>
    <cfRule type="cellIs" dxfId="7" priority="17" operator="greaterThan">
      <formula>0</formula>
    </cfRule>
  </conditionalFormatting>
  <conditionalFormatting sqref="G3:H15">
    <cfRule type="cellIs" dxfId="6" priority="3" operator="equal">
      <formula>0</formula>
    </cfRule>
    <cfRule type="cellIs" dxfId="5" priority="4" operator="lessThan">
      <formula>0</formula>
    </cfRule>
    <cfRule type="cellIs" dxfId="4" priority="5" operator="greaterThan">
      <formula>0</formula>
    </cfRule>
  </conditionalFormatting>
  <conditionalFormatting sqref="G18:H29">
    <cfRule type="cellIs" dxfId="3" priority="1" stopIfTrue="1" operator="lessThan">
      <formula>-0.009</formula>
    </cfRule>
    <cfRule type="cellIs" dxfId="2" priority="2" operator="greaterThan">
      <formula>0.009</formula>
    </cfRule>
  </conditionalFormatting>
  <pageMargins left="0.7" right="0.7" top="0.75" bottom="0.75" header="0.3" footer="0.3"/>
  <pageSetup paperSize="9" orientation="portrait" horizontalDpi="0" verticalDpi="0"/>
  <ignoredErrors>
    <ignoredError sqref="B15:D15" formulaRange="1"/>
    <ignoredError sqref="B32:E36 E15:F15 B38:E43 B37 D37:E37 E3:F3 H3 E4:F4 H4 E5:F5 H5 E6:F6 H6 E7:F7 H7 E8:F8 H8 E9:F9 H9 E10:F10 H10 E11:F11 H11 E12:F12 H12 E13:F13 H13 E14:F14 H14 H15" evalError="1"/>
    <ignoredError sqref="E19:F23 E25:F28 E2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ABDB-C407-E64C-848B-2132CD3F94FC}">
  <dimension ref="A1:J64"/>
  <sheetViews>
    <sheetView zoomScale="59" zoomScaleNormal="70" workbookViewId="0">
      <selection activeCell="I33" sqref="I33"/>
    </sheetView>
  </sheetViews>
  <sheetFormatPr baseColWidth="10" defaultRowHeight="18" x14ac:dyDescent="0.2"/>
  <cols>
    <col min="1" max="1" width="19.83203125" style="9" customWidth="1"/>
    <col min="2" max="8" width="12.6640625" style="9" customWidth="1"/>
    <col min="9" max="9" width="14.6640625" style="8" customWidth="1"/>
    <col min="10" max="10" width="8.6640625" style="8" customWidth="1"/>
  </cols>
  <sheetData>
    <row r="1" spans="1:10" x14ac:dyDescent="0.2">
      <c r="A1" s="49" t="s">
        <v>21</v>
      </c>
      <c r="B1" s="48">
        <v>2019</v>
      </c>
      <c r="C1" s="48">
        <v>2020</v>
      </c>
      <c r="D1" s="47">
        <v>2021</v>
      </c>
      <c r="E1" s="47">
        <v>2022</v>
      </c>
      <c r="F1" s="47">
        <v>2023</v>
      </c>
      <c r="G1" s="46">
        <v>2024</v>
      </c>
      <c r="H1" s="46" t="s">
        <v>26</v>
      </c>
      <c r="I1" s="146" t="s">
        <v>27</v>
      </c>
      <c r="J1" s="147"/>
    </row>
    <row r="2" spans="1:10" x14ac:dyDescent="0.2">
      <c r="A2" s="19" t="s">
        <v>20</v>
      </c>
      <c r="B2" s="44"/>
      <c r="C2" s="44"/>
      <c r="D2" s="44"/>
      <c r="E2" s="44"/>
      <c r="F2" s="44"/>
      <c r="G2" s="43"/>
      <c r="H2" s="43"/>
      <c r="I2" s="91">
        <f>H2-G2</f>
        <v>0</v>
      </c>
      <c r="J2" s="99" t="e">
        <f>(H2-G2)/G2</f>
        <v>#DIV/0!</v>
      </c>
    </row>
    <row r="3" spans="1:10" x14ac:dyDescent="0.2">
      <c r="A3" s="19" t="s">
        <v>19</v>
      </c>
      <c r="B3" s="44"/>
      <c r="C3" s="44"/>
      <c r="D3" s="44"/>
      <c r="E3" s="44"/>
      <c r="F3" s="44"/>
      <c r="G3" s="43"/>
      <c r="H3" s="43"/>
      <c r="I3" s="91">
        <f t="shared" ref="I3:I13" si="0">H3-G3</f>
        <v>0</v>
      </c>
      <c r="J3" s="99" t="e">
        <f t="shared" ref="J3:J13" si="1">(H3-G3)/G3</f>
        <v>#DIV/0!</v>
      </c>
    </row>
    <row r="4" spans="1:10" x14ac:dyDescent="0.2">
      <c r="A4" s="19" t="s">
        <v>18</v>
      </c>
      <c r="B4" s="44"/>
      <c r="C4" s="45"/>
      <c r="D4" s="44"/>
      <c r="E4" s="44"/>
      <c r="F4" s="44"/>
      <c r="G4" s="43"/>
      <c r="H4" s="43"/>
      <c r="I4" s="91">
        <f t="shared" si="0"/>
        <v>0</v>
      </c>
      <c r="J4" s="99" t="e">
        <f t="shared" si="1"/>
        <v>#DIV/0!</v>
      </c>
    </row>
    <row r="5" spans="1:10" x14ac:dyDescent="0.2">
      <c r="A5" s="19" t="s">
        <v>17</v>
      </c>
      <c r="B5" s="44"/>
      <c r="C5" s="45"/>
      <c r="D5" s="44"/>
      <c r="E5" s="44"/>
      <c r="F5" s="44"/>
      <c r="G5" s="43"/>
      <c r="H5" s="43"/>
      <c r="I5" s="91">
        <f t="shared" si="0"/>
        <v>0</v>
      </c>
      <c r="J5" s="99" t="e">
        <f t="shared" si="1"/>
        <v>#DIV/0!</v>
      </c>
    </row>
    <row r="6" spans="1:10" x14ac:dyDescent="0.2">
      <c r="A6" s="19" t="s">
        <v>16</v>
      </c>
      <c r="B6" s="44"/>
      <c r="C6" s="45"/>
      <c r="D6" s="44"/>
      <c r="E6" s="44"/>
      <c r="F6" s="44"/>
      <c r="G6" s="43"/>
      <c r="H6" s="43"/>
      <c r="I6" s="91">
        <f t="shared" si="0"/>
        <v>0</v>
      </c>
      <c r="J6" s="99" t="e">
        <f t="shared" si="1"/>
        <v>#DIV/0!</v>
      </c>
    </row>
    <row r="7" spans="1:10" x14ac:dyDescent="0.2">
      <c r="A7" s="19" t="s">
        <v>15</v>
      </c>
      <c r="B7" s="44"/>
      <c r="C7" s="44"/>
      <c r="D7" s="44"/>
      <c r="E7" s="44"/>
      <c r="F7" s="44"/>
      <c r="G7" s="43"/>
      <c r="H7" s="43"/>
      <c r="I7" s="91">
        <f t="shared" si="0"/>
        <v>0</v>
      </c>
      <c r="J7" s="99" t="e">
        <f t="shared" si="1"/>
        <v>#DIV/0!</v>
      </c>
    </row>
    <row r="8" spans="1:10" x14ac:dyDescent="0.2">
      <c r="A8" s="19" t="s">
        <v>14</v>
      </c>
      <c r="B8" s="44"/>
      <c r="C8" s="44"/>
      <c r="D8" s="44"/>
      <c r="E8" s="44"/>
      <c r="F8" s="44"/>
      <c r="G8" s="43"/>
      <c r="H8" s="43"/>
      <c r="I8" s="91">
        <f t="shared" si="0"/>
        <v>0</v>
      </c>
      <c r="J8" s="99" t="e">
        <f t="shared" si="1"/>
        <v>#DIV/0!</v>
      </c>
    </row>
    <row r="9" spans="1:10" x14ac:dyDescent="0.2">
      <c r="A9" s="19" t="s">
        <v>3</v>
      </c>
      <c r="B9" s="44"/>
      <c r="C9" s="44"/>
      <c r="D9" s="44"/>
      <c r="E9" s="44"/>
      <c r="F9" s="44"/>
      <c r="G9" s="43"/>
      <c r="H9" s="43"/>
      <c r="I9" s="91">
        <f t="shared" si="0"/>
        <v>0</v>
      </c>
      <c r="J9" s="99" t="e">
        <f t="shared" si="1"/>
        <v>#DIV/0!</v>
      </c>
    </row>
    <row r="10" spans="1:10" x14ac:dyDescent="0.2">
      <c r="A10" s="19" t="s">
        <v>4</v>
      </c>
      <c r="B10" s="44"/>
      <c r="C10" s="44"/>
      <c r="D10" s="44"/>
      <c r="E10" s="44"/>
      <c r="F10" s="44"/>
      <c r="G10" s="43"/>
      <c r="H10" s="43"/>
      <c r="I10" s="91">
        <f t="shared" si="0"/>
        <v>0</v>
      </c>
      <c r="J10" s="99" t="e">
        <f t="shared" si="1"/>
        <v>#DIV/0!</v>
      </c>
    </row>
    <row r="11" spans="1:10" x14ac:dyDescent="0.2">
      <c r="A11" s="19" t="s">
        <v>13</v>
      </c>
      <c r="B11" s="44"/>
      <c r="C11" s="44"/>
      <c r="D11" s="44"/>
      <c r="E11" s="44"/>
      <c r="F11" s="44"/>
      <c r="G11" s="43"/>
      <c r="H11" s="43"/>
      <c r="I11" s="91">
        <f t="shared" si="0"/>
        <v>0</v>
      </c>
      <c r="J11" s="99" t="e">
        <f t="shared" si="1"/>
        <v>#DIV/0!</v>
      </c>
    </row>
    <row r="12" spans="1:10" x14ac:dyDescent="0.2">
      <c r="A12" s="19" t="s">
        <v>12</v>
      </c>
      <c r="B12" s="44"/>
      <c r="C12" s="44"/>
      <c r="D12" s="44"/>
      <c r="E12" s="44"/>
      <c r="F12" s="44"/>
      <c r="G12" s="43"/>
      <c r="H12" s="43"/>
      <c r="I12" s="91">
        <f t="shared" si="0"/>
        <v>0</v>
      </c>
      <c r="J12" s="99" t="e">
        <f t="shared" si="1"/>
        <v>#DIV/0!</v>
      </c>
    </row>
    <row r="13" spans="1:10" ht="19" thickBot="1" x14ac:dyDescent="0.25">
      <c r="A13" s="16" t="s">
        <v>11</v>
      </c>
      <c r="B13" s="42"/>
      <c r="C13" s="42"/>
      <c r="D13" s="42"/>
      <c r="E13" s="42"/>
      <c r="F13" s="42"/>
      <c r="G13" s="41"/>
      <c r="H13" s="41"/>
      <c r="I13" s="91">
        <f t="shared" si="0"/>
        <v>0</v>
      </c>
      <c r="J13" s="99" t="e">
        <f t="shared" si="1"/>
        <v>#DIV/0!</v>
      </c>
    </row>
    <row r="14" spans="1:10" ht="19" thickBot="1" x14ac:dyDescent="0.25">
      <c r="A14" s="13" t="s">
        <v>9</v>
      </c>
      <c r="B14" s="40">
        <f t="shared" ref="B14:G14" si="2">SUM(B2:B13)</f>
        <v>0</v>
      </c>
      <c r="C14" s="40">
        <f t="shared" si="2"/>
        <v>0</v>
      </c>
      <c r="D14" s="40">
        <f t="shared" si="2"/>
        <v>0</v>
      </c>
      <c r="E14" s="40">
        <f t="shared" si="2"/>
        <v>0</v>
      </c>
      <c r="F14" s="40">
        <f t="shared" si="2"/>
        <v>0</v>
      </c>
      <c r="G14" s="39">
        <f t="shared" si="2"/>
        <v>0</v>
      </c>
      <c r="H14" s="39">
        <f t="shared" ref="H14" si="3">SUM(H2:H13)</f>
        <v>0</v>
      </c>
      <c r="I14" s="92">
        <f t="shared" ref="I14" si="4">G14-F14</f>
        <v>0</v>
      </c>
      <c r="J14" s="100" t="e">
        <f>(H14-G14)/G14</f>
        <v>#DIV/0!</v>
      </c>
    </row>
    <row r="15" spans="1:10" x14ac:dyDescent="0.2">
      <c r="A15" s="24" t="s">
        <v>5</v>
      </c>
      <c r="B15" s="23">
        <v>2019</v>
      </c>
      <c r="C15" s="23">
        <v>2020</v>
      </c>
      <c r="D15" s="23">
        <v>2021</v>
      </c>
      <c r="E15" s="23">
        <v>2022</v>
      </c>
      <c r="F15" s="23">
        <v>2023</v>
      </c>
      <c r="G15" s="22">
        <v>2024</v>
      </c>
      <c r="H15" s="22">
        <v>2025</v>
      </c>
      <c r="I15" s="146" t="s">
        <v>27</v>
      </c>
      <c r="J15" s="147"/>
    </row>
    <row r="16" spans="1:10" x14ac:dyDescent="0.2">
      <c r="A16" s="19" t="s">
        <v>20</v>
      </c>
      <c r="B16" s="37"/>
      <c r="C16" s="37"/>
      <c r="D16" s="37"/>
      <c r="E16" s="37"/>
      <c r="F16" s="37"/>
      <c r="G16" s="36"/>
      <c r="H16" s="36"/>
      <c r="I16" s="93">
        <f>H16-G16</f>
        <v>0</v>
      </c>
      <c r="J16" s="99" t="e">
        <f>(H16-G16)/G16</f>
        <v>#DIV/0!</v>
      </c>
    </row>
    <row r="17" spans="1:10" x14ac:dyDescent="0.2">
      <c r="A17" s="19" t="s">
        <v>19</v>
      </c>
      <c r="B17" s="37"/>
      <c r="C17" s="37"/>
      <c r="D17" s="37"/>
      <c r="E17" s="37"/>
      <c r="F17" s="37"/>
      <c r="G17" s="36"/>
      <c r="H17" s="36"/>
      <c r="I17" s="93">
        <f t="shared" ref="I17:I27" si="5">H17-G17</f>
        <v>0</v>
      </c>
      <c r="J17" s="99" t="e">
        <f t="shared" ref="J17:J27" si="6">(H17-G17)/G17</f>
        <v>#DIV/0!</v>
      </c>
    </row>
    <row r="18" spans="1:10" x14ac:dyDescent="0.2">
      <c r="A18" s="19" t="s">
        <v>18</v>
      </c>
      <c r="B18" s="37"/>
      <c r="C18" s="38"/>
      <c r="D18" s="37"/>
      <c r="E18" s="37"/>
      <c r="F18" s="37"/>
      <c r="G18" s="36"/>
      <c r="H18" s="36"/>
      <c r="I18" s="93">
        <f t="shared" si="5"/>
        <v>0</v>
      </c>
      <c r="J18" s="99" t="e">
        <f t="shared" si="6"/>
        <v>#DIV/0!</v>
      </c>
    </row>
    <row r="19" spans="1:10" x14ac:dyDescent="0.2">
      <c r="A19" s="19" t="s">
        <v>17</v>
      </c>
      <c r="B19" s="37"/>
      <c r="C19" s="38"/>
      <c r="D19" s="37"/>
      <c r="E19" s="37"/>
      <c r="F19" s="37"/>
      <c r="G19" s="36"/>
      <c r="H19" s="36"/>
      <c r="I19" s="93">
        <f t="shared" si="5"/>
        <v>0</v>
      </c>
      <c r="J19" s="99" t="e">
        <f t="shared" si="6"/>
        <v>#DIV/0!</v>
      </c>
    </row>
    <row r="20" spans="1:10" x14ac:dyDescent="0.2">
      <c r="A20" s="19" t="s">
        <v>16</v>
      </c>
      <c r="B20" s="37"/>
      <c r="C20" s="38"/>
      <c r="D20" s="37"/>
      <c r="E20" s="37"/>
      <c r="F20" s="37"/>
      <c r="G20" s="36"/>
      <c r="H20" s="36"/>
      <c r="I20" s="93">
        <f t="shared" si="5"/>
        <v>0</v>
      </c>
      <c r="J20" s="99" t="e">
        <f t="shared" si="6"/>
        <v>#DIV/0!</v>
      </c>
    </row>
    <row r="21" spans="1:10" x14ac:dyDescent="0.2">
      <c r="A21" s="19" t="s">
        <v>15</v>
      </c>
      <c r="B21" s="37"/>
      <c r="C21" s="37"/>
      <c r="D21" s="37"/>
      <c r="E21" s="37"/>
      <c r="F21" s="37"/>
      <c r="G21" s="36"/>
      <c r="H21" s="36"/>
      <c r="I21" s="93">
        <f t="shared" si="5"/>
        <v>0</v>
      </c>
      <c r="J21" s="99" t="e">
        <f t="shared" si="6"/>
        <v>#DIV/0!</v>
      </c>
    </row>
    <row r="22" spans="1:10" x14ac:dyDescent="0.2">
      <c r="A22" s="19" t="s">
        <v>14</v>
      </c>
      <c r="B22" s="37"/>
      <c r="C22" s="37"/>
      <c r="D22" s="37"/>
      <c r="E22" s="37"/>
      <c r="F22" s="37"/>
      <c r="G22" s="36"/>
      <c r="H22" s="36"/>
      <c r="I22" s="93">
        <f t="shared" si="5"/>
        <v>0</v>
      </c>
      <c r="J22" s="99" t="e">
        <f t="shared" si="6"/>
        <v>#DIV/0!</v>
      </c>
    </row>
    <row r="23" spans="1:10" x14ac:dyDescent="0.2">
      <c r="A23" s="19" t="s">
        <v>3</v>
      </c>
      <c r="B23" s="37"/>
      <c r="C23" s="37"/>
      <c r="D23" s="37"/>
      <c r="E23" s="37"/>
      <c r="F23" s="37"/>
      <c r="G23" s="36"/>
      <c r="H23" s="36"/>
      <c r="I23" s="93">
        <f t="shared" si="5"/>
        <v>0</v>
      </c>
      <c r="J23" s="99" t="e">
        <f t="shared" si="6"/>
        <v>#DIV/0!</v>
      </c>
    </row>
    <row r="24" spans="1:10" x14ac:dyDescent="0.2">
      <c r="A24" s="19" t="s">
        <v>4</v>
      </c>
      <c r="B24" s="37"/>
      <c r="C24" s="37"/>
      <c r="D24" s="37"/>
      <c r="E24" s="37"/>
      <c r="F24" s="37"/>
      <c r="G24" s="36"/>
      <c r="H24" s="36"/>
      <c r="I24" s="93">
        <f t="shared" si="5"/>
        <v>0</v>
      </c>
      <c r="J24" s="99" t="e">
        <f t="shared" si="6"/>
        <v>#DIV/0!</v>
      </c>
    </row>
    <row r="25" spans="1:10" x14ac:dyDescent="0.2">
      <c r="A25" s="19" t="s">
        <v>13</v>
      </c>
      <c r="B25" s="37"/>
      <c r="C25" s="37"/>
      <c r="D25" s="37"/>
      <c r="E25" s="37"/>
      <c r="F25" s="37"/>
      <c r="G25" s="36"/>
      <c r="H25" s="36"/>
      <c r="I25" s="93">
        <f t="shared" si="5"/>
        <v>0</v>
      </c>
      <c r="J25" s="99" t="e">
        <f t="shared" si="6"/>
        <v>#DIV/0!</v>
      </c>
    </row>
    <row r="26" spans="1:10" x14ac:dyDescent="0.2">
      <c r="A26" s="19" t="s">
        <v>12</v>
      </c>
      <c r="B26" s="37"/>
      <c r="C26" s="37"/>
      <c r="D26" s="37"/>
      <c r="E26" s="37"/>
      <c r="F26" s="37"/>
      <c r="G26" s="36"/>
      <c r="H26" s="36"/>
      <c r="I26" s="93">
        <f t="shared" si="5"/>
        <v>0</v>
      </c>
      <c r="J26" s="99" t="e">
        <f t="shared" si="6"/>
        <v>#DIV/0!</v>
      </c>
    </row>
    <row r="27" spans="1:10" ht="19" thickBot="1" x14ac:dyDescent="0.25">
      <c r="A27" s="16" t="s">
        <v>11</v>
      </c>
      <c r="B27" s="35"/>
      <c r="C27" s="35"/>
      <c r="D27" s="35"/>
      <c r="E27" s="35"/>
      <c r="F27" s="35"/>
      <c r="G27" s="34"/>
      <c r="H27" s="34"/>
      <c r="I27" s="93">
        <f t="shared" si="5"/>
        <v>0</v>
      </c>
      <c r="J27" s="99" t="e">
        <f t="shared" si="6"/>
        <v>#DIV/0!</v>
      </c>
    </row>
    <row r="28" spans="1:10" ht="19" thickBot="1" x14ac:dyDescent="0.25">
      <c r="A28" s="13" t="s">
        <v>9</v>
      </c>
      <c r="B28" s="33">
        <f t="shared" ref="B28:G28" si="7">SUM(B16:B27)</f>
        <v>0</v>
      </c>
      <c r="C28" s="33">
        <f t="shared" si="7"/>
        <v>0</v>
      </c>
      <c r="D28" s="33">
        <f t="shared" si="7"/>
        <v>0</v>
      </c>
      <c r="E28" s="33">
        <f t="shared" si="7"/>
        <v>0</v>
      </c>
      <c r="F28" s="33">
        <f t="shared" si="7"/>
        <v>0</v>
      </c>
      <c r="G28" s="32">
        <f t="shared" si="7"/>
        <v>0</v>
      </c>
      <c r="H28" s="32">
        <f t="shared" ref="H28" si="8">SUM(H16:H27)</f>
        <v>0</v>
      </c>
      <c r="I28" s="94">
        <f t="shared" ref="I28" si="9">G28-F28</f>
        <v>0</v>
      </c>
      <c r="J28" s="100" t="e">
        <f>(H28-G28)/G28</f>
        <v>#DIV/0!</v>
      </c>
    </row>
    <row r="29" spans="1:10" x14ac:dyDescent="0.2">
      <c r="A29" s="24" t="s">
        <v>7</v>
      </c>
      <c r="B29" s="23">
        <v>2019</v>
      </c>
      <c r="C29" s="23">
        <v>2020</v>
      </c>
      <c r="D29" s="23">
        <v>2021</v>
      </c>
      <c r="E29" s="23">
        <v>2022</v>
      </c>
      <c r="F29" s="23">
        <v>2023</v>
      </c>
      <c r="G29" s="22">
        <v>2024</v>
      </c>
      <c r="H29" s="22">
        <v>2025</v>
      </c>
      <c r="I29" s="146" t="s">
        <v>27</v>
      </c>
      <c r="J29" s="147"/>
    </row>
    <row r="30" spans="1:10" x14ac:dyDescent="0.2">
      <c r="A30" s="19" t="s">
        <v>20</v>
      </c>
      <c r="B30" s="30"/>
      <c r="C30" s="30"/>
      <c r="D30" s="30"/>
      <c r="E30" s="30"/>
      <c r="F30" s="30"/>
      <c r="G30" s="29"/>
      <c r="H30" s="29"/>
      <c r="I30" s="95">
        <f>H30-G30</f>
        <v>0</v>
      </c>
      <c r="J30" s="99" t="e">
        <f>(H30-G30)/G30</f>
        <v>#DIV/0!</v>
      </c>
    </row>
    <row r="31" spans="1:10" x14ac:dyDescent="0.2">
      <c r="A31" s="19" t="s">
        <v>19</v>
      </c>
      <c r="B31" s="30"/>
      <c r="C31" s="30"/>
      <c r="D31" s="30"/>
      <c r="E31" s="30"/>
      <c r="F31" s="30"/>
      <c r="G31" s="29"/>
      <c r="H31" s="29"/>
      <c r="I31" s="95">
        <f t="shared" ref="I31:I41" si="10">H31-G31</f>
        <v>0</v>
      </c>
      <c r="J31" s="99" t="e">
        <f t="shared" ref="J31:J41" si="11">(H31-G31)/G31</f>
        <v>#DIV/0!</v>
      </c>
    </row>
    <row r="32" spans="1:10" x14ac:dyDescent="0.2">
      <c r="A32" s="19" t="s">
        <v>18</v>
      </c>
      <c r="B32" s="30"/>
      <c r="C32" s="31"/>
      <c r="D32" s="30"/>
      <c r="E32" s="30"/>
      <c r="F32" s="30"/>
      <c r="G32" s="29"/>
      <c r="H32" s="29"/>
      <c r="I32" s="95">
        <f t="shared" si="10"/>
        <v>0</v>
      </c>
      <c r="J32" s="99" t="e">
        <f t="shared" si="11"/>
        <v>#DIV/0!</v>
      </c>
    </row>
    <row r="33" spans="1:10" x14ac:dyDescent="0.2">
      <c r="A33" s="19" t="s">
        <v>17</v>
      </c>
      <c r="B33" s="30"/>
      <c r="C33" s="31"/>
      <c r="D33" s="30"/>
      <c r="E33" s="30"/>
      <c r="F33" s="30"/>
      <c r="G33" s="29"/>
      <c r="H33" s="29"/>
      <c r="I33" s="95">
        <f t="shared" si="10"/>
        <v>0</v>
      </c>
      <c r="J33" s="99" t="e">
        <f t="shared" si="11"/>
        <v>#DIV/0!</v>
      </c>
    </row>
    <row r="34" spans="1:10" x14ac:dyDescent="0.2">
      <c r="A34" s="19" t="s">
        <v>16</v>
      </c>
      <c r="B34" s="30"/>
      <c r="C34" s="31"/>
      <c r="D34" s="30"/>
      <c r="E34" s="30"/>
      <c r="F34" s="30"/>
      <c r="G34" s="29"/>
      <c r="H34" s="29"/>
      <c r="I34" s="95">
        <f t="shared" si="10"/>
        <v>0</v>
      </c>
      <c r="J34" s="99" t="e">
        <f t="shared" si="11"/>
        <v>#DIV/0!</v>
      </c>
    </row>
    <row r="35" spans="1:10" x14ac:dyDescent="0.2">
      <c r="A35" s="19" t="s">
        <v>15</v>
      </c>
      <c r="B35" s="30"/>
      <c r="C35" s="30"/>
      <c r="D35" s="30"/>
      <c r="E35" s="30"/>
      <c r="F35" s="30"/>
      <c r="G35" s="29"/>
      <c r="H35" s="29"/>
      <c r="I35" s="95">
        <f t="shared" si="10"/>
        <v>0</v>
      </c>
      <c r="J35" s="99" t="e">
        <f t="shared" si="11"/>
        <v>#DIV/0!</v>
      </c>
    </row>
    <row r="36" spans="1:10" x14ac:dyDescent="0.2">
      <c r="A36" s="19" t="s">
        <v>14</v>
      </c>
      <c r="B36" s="30"/>
      <c r="C36" s="30"/>
      <c r="D36" s="30"/>
      <c r="E36" s="30"/>
      <c r="F36" s="30"/>
      <c r="G36" s="29"/>
      <c r="H36" s="29"/>
      <c r="I36" s="95">
        <f t="shared" si="10"/>
        <v>0</v>
      </c>
      <c r="J36" s="99" t="e">
        <f t="shared" si="11"/>
        <v>#DIV/0!</v>
      </c>
    </row>
    <row r="37" spans="1:10" x14ac:dyDescent="0.2">
      <c r="A37" s="19" t="s">
        <v>3</v>
      </c>
      <c r="B37" s="30"/>
      <c r="C37" s="30"/>
      <c r="D37" s="30"/>
      <c r="E37" s="30"/>
      <c r="F37" s="30"/>
      <c r="G37" s="29"/>
      <c r="H37" s="29"/>
      <c r="I37" s="95">
        <f t="shared" si="10"/>
        <v>0</v>
      </c>
      <c r="J37" s="99" t="e">
        <f t="shared" si="11"/>
        <v>#DIV/0!</v>
      </c>
    </row>
    <row r="38" spans="1:10" x14ac:dyDescent="0.2">
      <c r="A38" s="19" t="s">
        <v>4</v>
      </c>
      <c r="B38" s="30"/>
      <c r="C38" s="30"/>
      <c r="D38" s="30"/>
      <c r="E38" s="30"/>
      <c r="F38" s="30"/>
      <c r="G38" s="29"/>
      <c r="H38" s="29"/>
      <c r="I38" s="95">
        <f t="shared" si="10"/>
        <v>0</v>
      </c>
      <c r="J38" s="99" t="e">
        <f t="shared" si="11"/>
        <v>#DIV/0!</v>
      </c>
    </row>
    <row r="39" spans="1:10" x14ac:dyDescent="0.2">
      <c r="A39" s="19" t="s">
        <v>13</v>
      </c>
      <c r="B39" s="30"/>
      <c r="C39" s="30"/>
      <c r="D39" s="30"/>
      <c r="E39" s="30"/>
      <c r="F39" s="30"/>
      <c r="G39" s="29"/>
      <c r="H39" s="29"/>
      <c r="I39" s="95">
        <f t="shared" si="10"/>
        <v>0</v>
      </c>
      <c r="J39" s="99" t="e">
        <f t="shared" si="11"/>
        <v>#DIV/0!</v>
      </c>
    </row>
    <row r="40" spans="1:10" x14ac:dyDescent="0.2">
      <c r="A40" s="19" t="s">
        <v>12</v>
      </c>
      <c r="B40" s="30"/>
      <c r="C40" s="30"/>
      <c r="D40" s="30"/>
      <c r="E40" s="30"/>
      <c r="F40" s="30"/>
      <c r="G40" s="29"/>
      <c r="H40" s="29"/>
      <c r="I40" s="95">
        <f t="shared" si="10"/>
        <v>0</v>
      </c>
      <c r="J40" s="99" t="e">
        <f t="shared" si="11"/>
        <v>#DIV/0!</v>
      </c>
    </row>
    <row r="41" spans="1:10" ht="19" thickBot="1" x14ac:dyDescent="0.25">
      <c r="A41" s="16" t="s">
        <v>11</v>
      </c>
      <c r="B41" s="28"/>
      <c r="C41" s="28"/>
      <c r="D41" s="28"/>
      <c r="E41" s="28"/>
      <c r="F41" s="28"/>
      <c r="G41" s="27"/>
      <c r="H41" s="27"/>
      <c r="I41" s="95">
        <f t="shared" si="10"/>
        <v>0</v>
      </c>
      <c r="J41" s="99" t="e">
        <f t="shared" si="11"/>
        <v>#DIV/0!</v>
      </c>
    </row>
    <row r="42" spans="1:10" ht="19" thickBot="1" x14ac:dyDescent="0.25">
      <c r="A42" s="13" t="s">
        <v>10</v>
      </c>
      <c r="B42" s="26">
        <f t="shared" ref="B42:G42" si="12">SUM(B30:B41)/12</f>
        <v>0</v>
      </c>
      <c r="C42" s="26">
        <f t="shared" si="12"/>
        <v>0</v>
      </c>
      <c r="D42" s="26">
        <f t="shared" si="12"/>
        <v>0</v>
      </c>
      <c r="E42" s="26">
        <f t="shared" si="12"/>
        <v>0</v>
      </c>
      <c r="F42" s="26">
        <f t="shared" si="12"/>
        <v>0</v>
      </c>
      <c r="G42" s="25">
        <f t="shared" si="12"/>
        <v>0</v>
      </c>
      <c r="H42" s="25">
        <f t="shared" ref="H42" si="13">SUM(H30:H41)/12</f>
        <v>0</v>
      </c>
      <c r="I42" s="96">
        <f t="shared" ref="I42" si="14">G42-F42</f>
        <v>0</v>
      </c>
      <c r="J42" s="100" t="e">
        <f>(H42-G42)/G42</f>
        <v>#DIV/0!</v>
      </c>
    </row>
    <row r="43" spans="1:10" x14ac:dyDescent="0.2">
      <c r="A43" s="24" t="s">
        <v>6</v>
      </c>
      <c r="B43" s="23">
        <v>2019</v>
      </c>
      <c r="C43" s="23">
        <v>2020</v>
      </c>
      <c r="D43" s="23">
        <v>2021</v>
      </c>
      <c r="E43" s="23">
        <v>2022</v>
      </c>
      <c r="F43" s="23">
        <v>2023</v>
      </c>
      <c r="G43" s="22">
        <v>2024</v>
      </c>
      <c r="H43" s="22">
        <v>2025</v>
      </c>
      <c r="I43" s="146" t="s">
        <v>27</v>
      </c>
      <c r="J43" s="147"/>
    </row>
    <row r="44" spans="1:10" x14ac:dyDescent="0.2">
      <c r="A44" s="19" t="s">
        <v>20</v>
      </c>
      <c r="B44" s="18"/>
      <c r="C44" s="18" t="e">
        <f t="shared" ref="C44:G46" si="15">C2/C16</f>
        <v>#DIV/0!</v>
      </c>
      <c r="D44" s="18" t="e">
        <f t="shared" si="15"/>
        <v>#DIV/0!</v>
      </c>
      <c r="E44" s="18" t="e">
        <f t="shared" si="15"/>
        <v>#DIV/0!</v>
      </c>
      <c r="F44" s="18" t="e">
        <f t="shared" si="15"/>
        <v>#DIV/0!</v>
      </c>
      <c r="G44" s="17" t="e">
        <f t="shared" si="15"/>
        <v>#DIV/0!</v>
      </c>
      <c r="H44" s="17" t="e">
        <f t="shared" ref="H44" si="16">H2/H16</f>
        <v>#DIV/0!</v>
      </c>
      <c r="I44" s="97" t="e">
        <f>H44-G44</f>
        <v>#DIV/0!</v>
      </c>
      <c r="J44" s="99" t="e">
        <f>(H44-G44)/G44</f>
        <v>#DIV/0!</v>
      </c>
    </row>
    <row r="45" spans="1:10" x14ac:dyDescent="0.2">
      <c r="A45" s="19" t="s">
        <v>19</v>
      </c>
      <c r="B45" s="18"/>
      <c r="C45" s="18" t="e">
        <f t="shared" si="15"/>
        <v>#DIV/0!</v>
      </c>
      <c r="D45" s="18" t="e">
        <f t="shared" si="15"/>
        <v>#DIV/0!</v>
      </c>
      <c r="E45" s="18" t="e">
        <f t="shared" si="15"/>
        <v>#DIV/0!</v>
      </c>
      <c r="F45" s="18" t="e">
        <f t="shared" si="15"/>
        <v>#DIV/0!</v>
      </c>
      <c r="G45" s="17" t="e">
        <f t="shared" si="15"/>
        <v>#DIV/0!</v>
      </c>
      <c r="H45" s="17" t="e">
        <f>H3/H17</f>
        <v>#DIV/0!</v>
      </c>
      <c r="I45" s="97" t="e">
        <f t="shared" ref="I45:I55" si="17">H45-G45</f>
        <v>#DIV/0!</v>
      </c>
      <c r="J45" s="99" t="e">
        <f t="shared" ref="J45:J55" si="18">(H45-G45)/G45</f>
        <v>#DIV/0!</v>
      </c>
    </row>
    <row r="46" spans="1:10" x14ac:dyDescent="0.2">
      <c r="A46" s="19" t="s">
        <v>18</v>
      </c>
      <c r="B46" s="18"/>
      <c r="C46" s="21" t="e">
        <f t="shared" si="15"/>
        <v>#DIV/0!</v>
      </c>
      <c r="D46" s="18" t="e">
        <f t="shared" si="15"/>
        <v>#DIV/0!</v>
      </c>
      <c r="E46" s="18" t="e">
        <f t="shared" si="15"/>
        <v>#DIV/0!</v>
      </c>
      <c r="F46" s="18" t="e">
        <f t="shared" si="15"/>
        <v>#DIV/0!</v>
      </c>
      <c r="G46" s="17" t="e">
        <f t="shared" si="15"/>
        <v>#DIV/0!</v>
      </c>
      <c r="H46" s="17" t="e">
        <f>H4/H18</f>
        <v>#DIV/0!</v>
      </c>
      <c r="I46" s="97" t="e">
        <f t="shared" si="17"/>
        <v>#DIV/0!</v>
      </c>
      <c r="J46" s="99" t="e">
        <f t="shared" si="18"/>
        <v>#DIV/0!</v>
      </c>
    </row>
    <row r="47" spans="1:10" x14ac:dyDescent="0.2">
      <c r="A47" s="19" t="s">
        <v>17</v>
      </c>
      <c r="B47" s="18"/>
      <c r="C47" s="20">
        <v>0</v>
      </c>
      <c r="D47" s="18" t="e">
        <f t="shared" ref="D47:G55" si="19">D5/D19</f>
        <v>#DIV/0!</v>
      </c>
      <c r="E47" s="18" t="e">
        <f t="shared" si="19"/>
        <v>#DIV/0!</v>
      </c>
      <c r="F47" s="18" t="e">
        <f t="shared" si="19"/>
        <v>#DIV/0!</v>
      </c>
      <c r="G47" s="17" t="e">
        <f t="shared" si="19"/>
        <v>#DIV/0!</v>
      </c>
      <c r="H47" s="17" t="e">
        <f t="shared" ref="H47" si="20">H5/H19</f>
        <v>#DIV/0!</v>
      </c>
      <c r="I47" s="97" t="e">
        <f t="shared" si="17"/>
        <v>#DIV/0!</v>
      </c>
      <c r="J47" s="99" t="e">
        <f t="shared" si="18"/>
        <v>#DIV/0!</v>
      </c>
    </row>
    <row r="48" spans="1:10" x14ac:dyDescent="0.2">
      <c r="A48" s="19" t="s">
        <v>16</v>
      </c>
      <c r="B48" s="18"/>
      <c r="C48" s="20">
        <v>0</v>
      </c>
      <c r="D48" s="18" t="e">
        <f t="shared" si="19"/>
        <v>#DIV/0!</v>
      </c>
      <c r="E48" s="18" t="e">
        <f t="shared" si="19"/>
        <v>#DIV/0!</v>
      </c>
      <c r="F48" s="18" t="e">
        <f t="shared" si="19"/>
        <v>#DIV/0!</v>
      </c>
      <c r="G48" s="17" t="e">
        <f t="shared" si="19"/>
        <v>#DIV/0!</v>
      </c>
      <c r="H48" s="17" t="e">
        <f t="shared" ref="H48" si="21">H6/H20</f>
        <v>#DIV/0!</v>
      </c>
      <c r="I48" s="97" t="e">
        <f t="shared" si="17"/>
        <v>#DIV/0!</v>
      </c>
      <c r="J48" s="99" t="e">
        <f t="shared" si="18"/>
        <v>#DIV/0!</v>
      </c>
    </row>
    <row r="49" spans="1:10" x14ac:dyDescent="0.2">
      <c r="A49" s="19" t="s">
        <v>15</v>
      </c>
      <c r="B49" s="18"/>
      <c r="C49" s="18">
        <v>0</v>
      </c>
      <c r="D49" s="18" t="e">
        <f t="shared" si="19"/>
        <v>#DIV/0!</v>
      </c>
      <c r="E49" s="18" t="e">
        <f t="shared" si="19"/>
        <v>#DIV/0!</v>
      </c>
      <c r="F49" s="18" t="e">
        <f t="shared" si="19"/>
        <v>#DIV/0!</v>
      </c>
      <c r="G49" s="17" t="e">
        <f t="shared" si="19"/>
        <v>#DIV/0!</v>
      </c>
      <c r="H49" s="17" t="e">
        <f t="shared" ref="H49" si="22">H7/H21</f>
        <v>#DIV/0!</v>
      </c>
      <c r="I49" s="97" t="e">
        <f t="shared" si="17"/>
        <v>#DIV/0!</v>
      </c>
      <c r="J49" s="99" t="e">
        <f t="shared" si="18"/>
        <v>#DIV/0!</v>
      </c>
    </row>
    <row r="50" spans="1:10" x14ac:dyDescent="0.2">
      <c r="A50" s="19" t="s">
        <v>14</v>
      </c>
      <c r="B50" s="18"/>
      <c r="C50" s="18">
        <v>0</v>
      </c>
      <c r="D50" s="18" t="e">
        <f t="shared" si="19"/>
        <v>#DIV/0!</v>
      </c>
      <c r="E50" s="18" t="e">
        <f t="shared" si="19"/>
        <v>#DIV/0!</v>
      </c>
      <c r="F50" s="18" t="e">
        <f t="shared" si="19"/>
        <v>#DIV/0!</v>
      </c>
      <c r="G50" s="17" t="e">
        <f t="shared" si="19"/>
        <v>#DIV/0!</v>
      </c>
      <c r="H50" s="17" t="e">
        <f t="shared" ref="H50" si="23">H8/H22</f>
        <v>#DIV/0!</v>
      </c>
      <c r="I50" s="97" t="e">
        <f t="shared" si="17"/>
        <v>#DIV/0!</v>
      </c>
      <c r="J50" s="99" t="e">
        <f t="shared" si="18"/>
        <v>#DIV/0!</v>
      </c>
    </row>
    <row r="51" spans="1:10" x14ac:dyDescent="0.2">
      <c r="A51" s="19" t="s">
        <v>3</v>
      </c>
      <c r="B51" s="18"/>
      <c r="C51" s="18" t="e">
        <f>C9/C23</f>
        <v>#DIV/0!</v>
      </c>
      <c r="D51" s="18" t="e">
        <f t="shared" si="19"/>
        <v>#DIV/0!</v>
      </c>
      <c r="E51" s="18" t="e">
        <f t="shared" si="19"/>
        <v>#DIV/0!</v>
      </c>
      <c r="F51" s="18" t="e">
        <f t="shared" si="19"/>
        <v>#DIV/0!</v>
      </c>
      <c r="G51" s="17" t="e">
        <f t="shared" si="19"/>
        <v>#DIV/0!</v>
      </c>
      <c r="H51" s="17" t="e">
        <f t="shared" ref="H51" si="24">H9/H23</f>
        <v>#DIV/0!</v>
      </c>
      <c r="I51" s="97" t="e">
        <f t="shared" si="17"/>
        <v>#DIV/0!</v>
      </c>
      <c r="J51" s="99" t="e">
        <f t="shared" si="18"/>
        <v>#DIV/0!</v>
      </c>
    </row>
    <row r="52" spans="1:10" x14ac:dyDescent="0.2">
      <c r="A52" s="19" t="s">
        <v>4</v>
      </c>
      <c r="B52" s="18"/>
      <c r="C52" s="18" t="e">
        <f>C10/C24</f>
        <v>#DIV/0!</v>
      </c>
      <c r="D52" s="18" t="e">
        <f t="shared" si="19"/>
        <v>#DIV/0!</v>
      </c>
      <c r="E52" s="18" t="e">
        <f t="shared" si="19"/>
        <v>#DIV/0!</v>
      </c>
      <c r="F52" s="18" t="e">
        <f t="shared" si="19"/>
        <v>#DIV/0!</v>
      </c>
      <c r="G52" s="17" t="e">
        <f t="shared" si="19"/>
        <v>#DIV/0!</v>
      </c>
      <c r="H52" s="17" t="e">
        <f t="shared" ref="H52" si="25">H10/H24</f>
        <v>#DIV/0!</v>
      </c>
      <c r="I52" s="97" t="e">
        <f t="shared" si="17"/>
        <v>#DIV/0!</v>
      </c>
      <c r="J52" s="99" t="e">
        <f t="shared" si="18"/>
        <v>#DIV/0!</v>
      </c>
    </row>
    <row r="53" spans="1:10" x14ac:dyDescent="0.2">
      <c r="A53" s="19" t="s">
        <v>13</v>
      </c>
      <c r="B53" s="18"/>
      <c r="C53" s="18" t="e">
        <f>C11/C25</f>
        <v>#DIV/0!</v>
      </c>
      <c r="D53" s="18" t="e">
        <f t="shared" si="19"/>
        <v>#DIV/0!</v>
      </c>
      <c r="E53" s="18" t="e">
        <f t="shared" si="19"/>
        <v>#DIV/0!</v>
      </c>
      <c r="F53" s="18" t="e">
        <f t="shared" si="19"/>
        <v>#DIV/0!</v>
      </c>
      <c r="G53" s="17" t="e">
        <f t="shared" si="19"/>
        <v>#DIV/0!</v>
      </c>
      <c r="H53" s="17" t="e">
        <f t="shared" ref="H53" si="26">H11/H25</f>
        <v>#DIV/0!</v>
      </c>
      <c r="I53" s="97" t="e">
        <f t="shared" si="17"/>
        <v>#DIV/0!</v>
      </c>
      <c r="J53" s="99" t="e">
        <f t="shared" si="18"/>
        <v>#DIV/0!</v>
      </c>
    </row>
    <row r="54" spans="1:10" x14ac:dyDescent="0.2">
      <c r="A54" s="19" t="s">
        <v>12</v>
      </c>
      <c r="B54" s="18"/>
      <c r="C54" s="18" t="e">
        <f>C12/C26</f>
        <v>#DIV/0!</v>
      </c>
      <c r="D54" s="18" t="e">
        <f t="shared" si="19"/>
        <v>#DIV/0!</v>
      </c>
      <c r="E54" s="18" t="e">
        <f t="shared" si="19"/>
        <v>#DIV/0!</v>
      </c>
      <c r="F54" s="18" t="e">
        <f t="shared" si="19"/>
        <v>#DIV/0!</v>
      </c>
      <c r="G54" s="17" t="e">
        <f t="shared" si="19"/>
        <v>#DIV/0!</v>
      </c>
      <c r="H54" s="17" t="e">
        <f t="shared" ref="H54" si="27">H12/H26</f>
        <v>#DIV/0!</v>
      </c>
      <c r="I54" s="97" t="e">
        <f t="shared" si="17"/>
        <v>#DIV/0!</v>
      </c>
      <c r="J54" s="99" t="e">
        <f t="shared" si="18"/>
        <v>#DIV/0!</v>
      </c>
    </row>
    <row r="55" spans="1:10" ht="19" thickBot="1" x14ac:dyDescent="0.25">
      <c r="A55" s="16" t="s">
        <v>11</v>
      </c>
      <c r="B55" s="15" t="e">
        <f>B13/B27</f>
        <v>#DIV/0!</v>
      </c>
      <c r="C55" s="15" t="e">
        <f>C13/C27</f>
        <v>#DIV/0!</v>
      </c>
      <c r="D55" s="15" t="e">
        <f t="shared" si="19"/>
        <v>#DIV/0!</v>
      </c>
      <c r="E55" s="15" t="e">
        <f t="shared" si="19"/>
        <v>#DIV/0!</v>
      </c>
      <c r="F55" s="15" t="e">
        <f t="shared" si="19"/>
        <v>#DIV/0!</v>
      </c>
      <c r="G55" s="14" t="e">
        <f t="shared" si="19"/>
        <v>#DIV/0!</v>
      </c>
      <c r="H55" s="14" t="e">
        <f t="shared" ref="H55" si="28">H13/H27</f>
        <v>#DIV/0!</v>
      </c>
      <c r="I55" s="97" t="e">
        <f t="shared" si="17"/>
        <v>#DIV/0!</v>
      </c>
      <c r="J55" s="99" t="e">
        <f t="shared" si="18"/>
        <v>#DIV/0!</v>
      </c>
    </row>
    <row r="56" spans="1:10" ht="19" thickBot="1" x14ac:dyDescent="0.25">
      <c r="A56" s="13" t="s">
        <v>10</v>
      </c>
      <c r="B56" s="12" t="e">
        <f t="shared" ref="B56:G56" si="29">SUM(B44:B55)/12</f>
        <v>#DIV/0!</v>
      </c>
      <c r="C56" s="12" t="e">
        <f t="shared" si="29"/>
        <v>#DIV/0!</v>
      </c>
      <c r="D56" s="12" t="e">
        <f t="shared" si="29"/>
        <v>#DIV/0!</v>
      </c>
      <c r="E56" s="12" t="e">
        <f t="shared" si="29"/>
        <v>#DIV/0!</v>
      </c>
      <c r="F56" s="12" t="e">
        <f t="shared" si="29"/>
        <v>#DIV/0!</v>
      </c>
      <c r="G56" s="11" t="e">
        <f t="shared" si="29"/>
        <v>#DIV/0!</v>
      </c>
      <c r="H56" s="11" t="e">
        <f t="shared" ref="H56" si="30">SUM(H44:H55)/12</f>
        <v>#DIV/0!</v>
      </c>
      <c r="I56" s="98" t="e">
        <f t="shared" ref="I56" si="31">G56-F56</f>
        <v>#DIV/0!</v>
      </c>
      <c r="J56" s="100" t="e">
        <f>(H56-G56)/G56</f>
        <v>#DIV/0!</v>
      </c>
    </row>
    <row r="59" spans="1:10" x14ac:dyDescent="0.2">
      <c r="D59" s="10"/>
      <c r="E59"/>
      <c r="F59" s="10"/>
      <c r="G59"/>
      <c r="H59"/>
      <c r="I59" s="10"/>
      <c r="J59" s="10"/>
    </row>
    <row r="60" spans="1:10" x14ac:dyDescent="0.2">
      <c r="D60"/>
      <c r="E60"/>
      <c r="F60"/>
      <c r="G60"/>
      <c r="H60"/>
      <c r="I60"/>
      <c r="J60"/>
    </row>
    <row r="61" spans="1:10" x14ac:dyDescent="0.2">
      <c r="D61" s="10"/>
      <c r="E61"/>
      <c r="F61" s="10"/>
      <c r="G61"/>
      <c r="H61"/>
      <c r="I61" s="10"/>
      <c r="J61" s="10"/>
    </row>
    <row r="62" spans="1:10" x14ac:dyDescent="0.2">
      <c r="D62" s="10"/>
      <c r="E62"/>
      <c r="F62" s="10"/>
      <c r="G62"/>
      <c r="H62"/>
      <c r="I62" s="10"/>
      <c r="J62" s="10"/>
    </row>
    <row r="63" spans="1:10" x14ac:dyDescent="0.2">
      <c r="D63" s="10"/>
      <c r="E63"/>
      <c r="F63" s="10"/>
      <c r="G63"/>
      <c r="H63"/>
      <c r="I63" s="10"/>
      <c r="J63" s="10"/>
    </row>
    <row r="64" spans="1:10" x14ac:dyDescent="0.2">
      <c r="D64" s="10"/>
      <c r="E64"/>
      <c r="F64" s="10"/>
      <c r="G64"/>
      <c r="H64"/>
      <c r="I64" s="10"/>
      <c r="J64" s="10"/>
    </row>
  </sheetData>
  <mergeCells count="4">
    <mergeCell ref="I1:J1"/>
    <mergeCell ref="I15:J15"/>
    <mergeCell ref="I29:J29"/>
    <mergeCell ref="I43:J43"/>
  </mergeCells>
  <conditionalFormatting sqref="I2:J14 I16:J28 I30:J42 I44:J56">
    <cfRule type="cellIs" dxfId="1" priority="1" operator="greaterThan">
      <formula>0.009</formula>
    </cfRule>
    <cfRule type="cellIs" dxfId="0" priority="2" operator="lessThan">
      <formula>-0.009</formula>
    </cfRule>
  </conditionalFormatting>
  <pageMargins left="0.7" right="0.7" top="0.75" bottom="0.75" header="0.3" footer="0.3"/>
  <pageSetup paperSize="9" orientation="portrait" horizontalDpi="0" verticalDpi="0"/>
  <ignoredErrors>
    <ignoredError sqref="I31:I40" formula="1"/>
    <ignoredError sqref="H53:I55" evalErro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OTB RR</vt:lpstr>
      <vt:lpstr>Fin Year</vt:lpstr>
      <vt:lpstr>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Carike Ligthelm</dc:creator>
  <cp:lastModifiedBy>Carike Ligthelm</cp:lastModifiedBy>
  <cp:lastPrinted>2026-04-15T15:53:45Z</cp:lastPrinted>
  <dcterms:created xsi:type="dcterms:W3CDTF">2025-04-03T10:02:25Z</dcterms:created>
  <dcterms:modified xsi:type="dcterms:W3CDTF">2026-08-14T07:44:33Z</dcterms:modified>
</cp:coreProperties>
</file>