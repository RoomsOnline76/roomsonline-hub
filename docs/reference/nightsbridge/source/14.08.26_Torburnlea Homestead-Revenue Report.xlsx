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loudStorage/Dropbox-CHEETAHPLAINS/Carike Ligthelm/Roomsonline 2024:6/Torburnlea/Revenue Reports | TBL/2026/"/>
    </mc:Choice>
  </mc:AlternateContent>
  <xr:revisionPtr revIDLastSave="0" documentId="8_{431FA366-D6E0-5145-8535-8E06A9A5AC3E}" xr6:coauthVersionLast="47" xr6:coauthVersionMax="47" xr10:uidLastSave="{00000000-0000-0000-0000-000000000000}"/>
  <bookViews>
    <workbookView xWindow="17220" yWindow="500" windowWidth="16380" windowHeight="20500" xr2:uid="{529B9ECD-34EE-5444-862A-AF4A04B83C61}"/>
  </bookViews>
  <sheets>
    <sheet name="OTB RR" sheetId="1" r:id="rId1"/>
    <sheet name="Fin Year" sheetId="5" r:id="rId2"/>
    <sheet name="Historica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9" i="1"/>
  <c r="H19" i="1"/>
  <c r="H18" i="1"/>
  <c r="H17" i="1"/>
  <c r="H16" i="1"/>
  <c r="H15" i="1"/>
  <c r="H14" i="1"/>
  <c r="H13" i="1"/>
  <c r="C28" i="1"/>
  <c r="C27" i="1"/>
  <c r="C26" i="1"/>
  <c r="C25" i="1"/>
  <c r="C24" i="1"/>
  <c r="C23" i="1"/>
  <c r="C22" i="1"/>
  <c r="C10" i="1"/>
  <c r="J19" i="1"/>
  <c r="E27" i="1"/>
  <c r="B27" i="1"/>
  <c r="S18" i="1"/>
  <c r="J18" i="1"/>
  <c r="G18" i="1"/>
  <c r="F18" i="1"/>
  <c r="D18" i="1"/>
  <c r="J8" i="1"/>
  <c r="F8" i="1"/>
  <c r="R18" i="1" s="1"/>
  <c r="D8" i="1"/>
  <c r="E26" i="1"/>
  <c r="B26" i="1"/>
  <c r="G19" i="1"/>
  <c r="I19" i="1" s="1"/>
  <c r="S17" i="1"/>
  <c r="J17" i="1"/>
  <c r="G17" i="1"/>
  <c r="F17" i="1"/>
  <c r="D17" i="1"/>
  <c r="J7" i="1"/>
  <c r="F7" i="1"/>
  <c r="D7" i="1"/>
  <c r="E25" i="1"/>
  <c r="B25" i="1"/>
  <c r="F25" i="1" s="1"/>
  <c r="T16" i="1" s="1"/>
  <c r="S16" i="1"/>
  <c r="J16" i="1"/>
  <c r="G16" i="1"/>
  <c r="F16" i="1"/>
  <c r="D16" i="1"/>
  <c r="J6" i="1"/>
  <c r="K6" i="1" s="1"/>
  <c r="F6" i="1"/>
  <c r="D6" i="1"/>
  <c r="E24" i="1"/>
  <c r="B24" i="1"/>
  <c r="F24" i="1" s="1"/>
  <c r="S15" i="1"/>
  <c r="J15" i="1"/>
  <c r="G15" i="1"/>
  <c r="F15" i="1"/>
  <c r="D15" i="1"/>
  <c r="J5" i="1"/>
  <c r="K5" i="1" s="1"/>
  <c r="F5" i="1"/>
  <c r="R15" i="1" s="1"/>
  <c r="D5" i="1"/>
  <c r="F27" i="1" l="1"/>
  <c r="T18" i="1" s="1"/>
  <c r="D27" i="1"/>
  <c r="U18" i="1"/>
  <c r="K18" i="1"/>
  <c r="I18" i="1"/>
  <c r="K8" i="1"/>
  <c r="I17" i="1"/>
  <c r="R17" i="1"/>
  <c r="F26" i="1"/>
  <c r="T17" i="1" s="1"/>
  <c r="D26" i="1"/>
  <c r="U17" i="1"/>
  <c r="K17" i="1"/>
  <c r="K7" i="1"/>
  <c r="R16" i="1"/>
  <c r="I16" i="1"/>
  <c r="K16" i="1"/>
  <c r="D25" i="1"/>
  <c r="U16" i="1"/>
  <c r="D24" i="1"/>
  <c r="I15" i="1"/>
  <c r="K15" i="1"/>
  <c r="E23" i="1"/>
  <c r="B23" i="1"/>
  <c r="S14" i="1"/>
  <c r="J14" i="1"/>
  <c r="G14" i="1"/>
  <c r="F14" i="1"/>
  <c r="D14" i="1"/>
  <c r="J4" i="1"/>
  <c r="K4" i="1" s="1"/>
  <c r="F4" i="1"/>
  <c r="R14" i="1" s="1"/>
  <c r="D4" i="1"/>
  <c r="E22" i="1"/>
  <c r="B22" i="1"/>
  <c r="S13" i="1"/>
  <c r="J13" i="1"/>
  <c r="G13" i="1"/>
  <c r="F13" i="1"/>
  <c r="D13" i="1"/>
  <c r="J3" i="1"/>
  <c r="K3" i="1" s="1"/>
  <c r="F3" i="1"/>
  <c r="R13" i="1" s="1"/>
  <c r="D3" i="1"/>
  <c r="I10" i="1"/>
  <c r="U15" i="1" l="1"/>
  <c r="F22" i="1"/>
  <c r="T13" i="1" s="1"/>
  <c r="F23" i="1"/>
  <c r="D23" i="1"/>
  <c r="K14" i="1"/>
  <c r="I14" i="1"/>
  <c r="U14" i="1"/>
  <c r="I13" i="1"/>
  <c r="K13" i="1"/>
  <c r="U13" i="1"/>
  <c r="D22" i="1"/>
  <c r="T14" i="1" l="1"/>
  <c r="T15" i="1"/>
  <c r="M58" i="2"/>
  <c r="L58" i="2"/>
  <c r="K58" i="2"/>
  <c r="J58" i="2"/>
  <c r="I58" i="2"/>
  <c r="H58" i="2"/>
  <c r="G58" i="2"/>
  <c r="F58" i="2"/>
  <c r="E58" i="2"/>
  <c r="D58" i="2"/>
  <c r="C58" i="2"/>
  <c r="M57" i="2"/>
  <c r="N57" i="2" s="1"/>
  <c r="L57" i="2"/>
  <c r="K57" i="2"/>
  <c r="J57" i="2"/>
  <c r="I57" i="2"/>
  <c r="H57" i="2"/>
  <c r="G57" i="2"/>
  <c r="F57" i="2"/>
  <c r="E57" i="2"/>
  <c r="D57" i="2"/>
  <c r="C57" i="2"/>
  <c r="M56" i="2"/>
  <c r="L56" i="2"/>
  <c r="K56" i="2"/>
  <c r="J56" i="2"/>
  <c r="I56" i="2"/>
  <c r="H56" i="2"/>
  <c r="G56" i="2"/>
  <c r="F56" i="2"/>
  <c r="E56" i="2"/>
  <c r="D56" i="2"/>
  <c r="C56" i="2"/>
  <c r="M55" i="2"/>
  <c r="N55" i="2" s="1"/>
  <c r="L55" i="2"/>
  <c r="K55" i="2"/>
  <c r="J55" i="2"/>
  <c r="I55" i="2"/>
  <c r="H55" i="2"/>
  <c r="G55" i="2"/>
  <c r="F55" i="2"/>
  <c r="E55" i="2"/>
  <c r="D55" i="2"/>
  <c r="C55" i="2"/>
  <c r="M54" i="2"/>
  <c r="L54" i="2"/>
  <c r="K54" i="2"/>
  <c r="J54" i="2"/>
  <c r="I54" i="2"/>
  <c r="H54" i="2"/>
  <c r="G54" i="2"/>
  <c r="F54" i="2"/>
  <c r="E54" i="2"/>
  <c r="D54" i="2"/>
  <c r="M53" i="2"/>
  <c r="N53" i="2" s="1"/>
  <c r="L53" i="2"/>
  <c r="K53" i="2"/>
  <c r="J53" i="2"/>
  <c r="I53" i="2"/>
  <c r="H53" i="2"/>
  <c r="G53" i="2"/>
  <c r="F53" i="2"/>
  <c r="E53" i="2"/>
  <c r="D53" i="2"/>
  <c r="M52" i="2"/>
  <c r="L52" i="2"/>
  <c r="K52" i="2"/>
  <c r="J52" i="2"/>
  <c r="I52" i="2"/>
  <c r="H52" i="2"/>
  <c r="G52" i="2"/>
  <c r="F52" i="2"/>
  <c r="E52" i="2"/>
  <c r="D52" i="2"/>
  <c r="M51" i="2"/>
  <c r="L51" i="2"/>
  <c r="K51" i="2"/>
  <c r="J51" i="2"/>
  <c r="I51" i="2"/>
  <c r="G51" i="2"/>
  <c r="F51" i="2"/>
  <c r="E51" i="2"/>
  <c r="D51" i="2"/>
  <c r="M50" i="2"/>
  <c r="N50" i="2" s="1"/>
  <c r="L50" i="2"/>
  <c r="K50" i="2"/>
  <c r="J50" i="2"/>
  <c r="I50" i="2"/>
  <c r="G50" i="2"/>
  <c r="F50" i="2"/>
  <c r="E50" i="2"/>
  <c r="D50" i="2"/>
  <c r="M49" i="2"/>
  <c r="L49" i="2"/>
  <c r="K49" i="2"/>
  <c r="J49" i="2"/>
  <c r="I49" i="2"/>
  <c r="H49" i="2"/>
  <c r="G49" i="2"/>
  <c r="F49" i="2"/>
  <c r="E49" i="2"/>
  <c r="D49" i="2"/>
  <c r="M48" i="2"/>
  <c r="L48" i="2"/>
  <c r="K48" i="2"/>
  <c r="J48" i="2"/>
  <c r="I48" i="2"/>
  <c r="H48" i="2"/>
  <c r="G48" i="2"/>
  <c r="F48" i="2"/>
  <c r="E48" i="2"/>
  <c r="D48" i="2"/>
  <c r="N47" i="2"/>
  <c r="M47" i="2"/>
  <c r="L47" i="2"/>
  <c r="K47" i="2"/>
  <c r="J47" i="2"/>
  <c r="I47" i="2"/>
  <c r="H47" i="2"/>
  <c r="G47" i="2"/>
  <c r="F47" i="2"/>
  <c r="F59" i="2" s="1"/>
  <c r="E47" i="2"/>
  <c r="D47" i="2"/>
  <c r="M43" i="2"/>
  <c r="L43" i="2"/>
  <c r="K43" i="2"/>
  <c r="J43" i="2"/>
  <c r="I43" i="2"/>
  <c r="H43" i="2"/>
  <c r="G43" i="2"/>
  <c r="F43" i="2"/>
  <c r="E43" i="2"/>
  <c r="D43" i="2"/>
  <c r="C43" i="2"/>
  <c r="M42" i="2"/>
  <c r="L42" i="2"/>
  <c r="K42" i="2"/>
  <c r="J42" i="2"/>
  <c r="I42" i="2"/>
  <c r="H42" i="2"/>
  <c r="G42" i="2"/>
  <c r="F42" i="2"/>
  <c r="E42" i="2"/>
  <c r="D42" i="2"/>
  <c r="C42" i="2"/>
  <c r="M41" i="2"/>
  <c r="L41" i="2"/>
  <c r="K41" i="2"/>
  <c r="J41" i="2"/>
  <c r="I41" i="2"/>
  <c r="H41" i="2"/>
  <c r="G41" i="2"/>
  <c r="F41" i="2"/>
  <c r="E41" i="2"/>
  <c r="D41" i="2"/>
  <c r="C41" i="2"/>
  <c r="M40" i="2"/>
  <c r="L40" i="2"/>
  <c r="K40" i="2"/>
  <c r="J40" i="2"/>
  <c r="I40" i="2"/>
  <c r="H40" i="2"/>
  <c r="G40" i="2"/>
  <c r="F40" i="2"/>
  <c r="E40" i="2"/>
  <c r="D40" i="2"/>
  <c r="C40" i="2"/>
  <c r="M39" i="2"/>
  <c r="L39" i="2"/>
  <c r="K39" i="2"/>
  <c r="J39" i="2"/>
  <c r="I39" i="2"/>
  <c r="H39" i="2"/>
  <c r="G39" i="2"/>
  <c r="F39" i="2"/>
  <c r="E39" i="2"/>
  <c r="D39" i="2"/>
  <c r="M38" i="2"/>
  <c r="L38" i="2"/>
  <c r="K38" i="2"/>
  <c r="J38" i="2"/>
  <c r="I38" i="2"/>
  <c r="H38" i="2"/>
  <c r="G38" i="2"/>
  <c r="F38" i="2"/>
  <c r="E38" i="2"/>
  <c r="D38" i="2"/>
  <c r="M37" i="2"/>
  <c r="L37" i="2"/>
  <c r="K37" i="2"/>
  <c r="J37" i="2"/>
  <c r="I37" i="2"/>
  <c r="H37" i="2"/>
  <c r="G37" i="2"/>
  <c r="F37" i="2"/>
  <c r="E37" i="2"/>
  <c r="D37" i="2"/>
  <c r="M36" i="2"/>
  <c r="N36" i="2" s="1"/>
  <c r="L36" i="2"/>
  <c r="K36" i="2"/>
  <c r="J36" i="2"/>
  <c r="I36" i="2"/>
  <c r="H36" i="2"/>
  <c r="G36" i="2"/>
  <c r="F36" i="2"/>
  <c r="E36" i="2"/>
  <c r="D36" i="2"/>
  <c r="M35" i="2"/>
  <c r="N35" i="2" s="1"/>
  <c r="L35" i="2"/>
  <c r="K35" i="2"/>
  <c r="J35" i="2"/>
  <c r="I35" i="2"/>
  <c r="H35" i="2"/>
  <c r="G35" i="2"/>
  <c r="F35" i="2"/>
  <c r="E35" i="2"/>
  <c r="D35" i="2"/>
  <c r="M34" i="2"/>
  <c r="L34" i="2"/>
  <c r="K34" i="2"/>
  <c r="J34" i="2"/>
  <c r="I34" i="2"/>
  <c r="H34" i="2"/>
  <c r="G34" i="2"/>
  <c r="F34" i="2"/>
  <c r="E34" i="2"/>
  <c r="D34" i="2"/>
  <c r="M33" i="2"/>
  <c r="N33" i="2" s="1"/>
  <c r="L33" i="2"/>
  <c r="K33" i="2"/>
  <c r="J33" i="2"/>
  <c r="I33" i="2"/>
  <c r="H33" i="2"/>
  <c r="G33" i="2"/>
  <c r="F33" i="2"/>
  <c r="E33" i="2"/>
  <c r="D33" i="2"/>
  <c r="M32" i="2"/>
  <c r="L32" i="2"/>
  <c r="L44" i="2" s="1"/>
  <c r="K32" i="2"/>
  <c r="J32" i="2"/>
  <c r="I32" i="2"/>
  <c r="H32" i="2"/>
  <c r="G32" i="2"/>
  <c r="F32" i="2"/>
  <c r="E32" i="2"/>
  <c r="D32" i="2"/>
  <c r="D44" i="2" s="1"/>
  <c r="M29" i="2"/>
  <c r="L29" i="2"/>
  <c r="K29" i="2"/>
  <c r="J29" i="2"/>
  <c r="I29" i="2"/>
  <c r="H29" i="2"/>
  <c r="G29" i="2"/>
  <c r="F29" i="2"/>
  <c r="E29" i="2"/>
  <c r="D29" i="2"/>
  <c r="C29" i="2"/>
  <c r="N28" i="2"/>
  <c r="N27" i="2"/>
  <c r="N26" i="2"/>
  <c r="N25" i="2"/>
  <c r="N24" i="2"/>
  <c r="N23" i="2"/>
  <c r="N22" i="2"/>
  <c r="N21" i="2"/>
  <c r="N20" i="2"/>
  <c r="N19" i="2"/>
  <c r="N18" i="2"/>
  <c r="N17" i="2"/>
  <c r="M14" i="2"/>
  <c r="N14" i="2" s="1"/>
  <c r="L14" i="2"/>
  <c r="K14" i="2"/>
  <c r="J14" i="2"/>
  <c r="I14" i="2"/>
  <c r="H14" i="2"/>
  <c r="G14" i="2"/>
  <c r="F14" i="2"/>
  <c r="E14" i="2"/>
  <c r="D14" i="2"/>
  <c r="C14" i="2"/>
  <c r="N13" i="2"/>
  <c r="N12" i="2"/>
  <c r="P11" i="2"/>
  <c r="N11" i="2"/>
  <c r="N10" i="2"/>
  <c r="N9" i="2"/>
  <c r="N8" i="2"/>
  <c r="Q7" i="2"/>
  <c r="P7" i="2"/>
  <c r="O7" i="2"/>
  <c r="N7" i="2"/>
  <c r="N6" i="2"/>
  <c r="N5" i="2"/>
  <c r="N4" i="2"/>
  <c r="N3" i="2"/>
  <c r="N2" i="2"/>
  <c r="E44" i="2" l="1"/>
  <c r="M44" i="2"/>
  <c r="N40" i="2"/>
  <c r="N49" i="2"/>
  <c r="N58" i="2"/>
  <c r="J59" i="2"/>
  <c r="H59" i="2"/>
  <c r="G44" i="2"/>
  <c r="H44" i="2"/>
  <c r="G59" i="2"/>
  <c r="F44" i="2"/>
  <c r="N48" i="2"/>
  <c r="I44" i="2"/>
  <c r="K59" i="2"/>
  <c r="N56" i="2"/>
  <c r="L59" i="2"/>
  <c r="N59" i="2" s="1"/>
  <c r="N54" i="2"/>
  <c r="N39" i="2"/>
  <c r="N52" i="2"/>
  <c r="C44" i="2"/>
  <c r="N42" i="2"/>
  <c r="I59" i="2"/>
  <c r="P8" i="2"/>
  <c r="N37" i="2"/>
  <c r="N43" i="2"/>
  <c r="Q8" i="2"/>
  <c r="J44" i="2"/>
  <c r="N34" i="2"/>
  <c r="D59" i="2"/>
  <c r="P12" i="2"/>
  <c r="N29" i="2"/>
  <c r="K44" i="2"/>
  <c r="N38" i="2"/>
  <c r="N41" i="2"/>
  <c r="E59" i="2"/>
  <c r="M59" i="2"/>
  <c r="N51" i="2"/>
  <c r="C59" i="2"/>
  <c r="N44" i="2"/>
  <c r="N32" i="2"/>
  <c r="J9" i="1" l="1"/>
  <c r="K9" i="1" s="1"/>
  <c r="H10" i="1"/>
  <c r="B10" i="1"/>
  <c r="K10" i="1" l="1"/>
  <c r="J10" i="1"/>
  <c r="C33" i="5" l="1"/>
  <c r="C34" i="5"/>
  <c r="C35" i="5"/>
  <c r="C36" i="5"/>
  <c r="C37" i="5"/>
  <c r="C38" i="5"/>
  <c r="C39" i="5"/>
  <c r="C40" i="5"/>
  <c r="D40" i="5"/>
  <c r="C41" i="5"/>
  <c r="C42" i="5"/>
  <c r="D42" i="5"/>
  <c r="C43" i="5"/>
  <c r="C32" i="5"/>
  <c r="B33" i="5"/>
  <c r="E33" i="5" s="1"/>
  <c r="B34" i="5"/>
  <c r="E34" i="5" s="1"/>
  <c r="B35" i="5"/>
  <c r="B36" i="5"/>
  <c r="B37" i="5"/>
  <c r="E37" i="5" s="1"/>
  <c r="B38" i="5"/>
  <c r="B39" i="5"/>
  <c r="E39" i="5" s="1"/>
  <c r="B40" i="5"/>
  <c r="E40" i="5" s="1"/>
  <c r="B41" i="5"/>
  <c r="E41" i="5" s="1"/>
  <c r="B42" i="5"/>
  <c r="B43" i="5"/>
  <c r="B32" i="5"/>
  <c r="D32" i="5" s="1"/>
  <c r="E42" i="5"/>
  <c r="E4" i="5"/>
  <c r="E5" i="5"/>
  <c r="E6" i="5"/>
  <c r="E7" i="5"/>
  <c r="E8" i="5"/>
  <c r="E9" i="5"/>
  <c r="E10" i="5"/>
  <c r="E11" i="5"/>
  <c r="E12" i="5"/>
  <c r="E13" i="5"/>
  <c r="E14" i="5"/>
  <c r="E3" i="5"/>
  <c r="D14" i="5"/>
  <c r="D13" i="5"/>
  <c r="D12" i="5"/>
  <c r="D11" i="5"/>
  <c r="D10" i="5"/>
  <c r="D9" i="5"/>
  <c r="D8" i="5"/>
  <c r="D7" i="5"/>
  <c r="D6" i="5"/>
  <c r="D5" i="5"/>
  <c r="D4" i="5"/>
  <c r="D3" i="5"/>
  <c r="C15" i="5"/>
  <c r="B15" i="5"/>
  <c r="D41" i="5" l="1"/>
  <c r="D36" i="5"/>
  <c r="E32" i="5"/>
  <c r="E35" i="5"/>
  <c r="D34" i="5"/>
  <c r="D39" i="5"/>
  <c r="D37" i="5"/>
  <c r="E38" i="5"/>
  <c r="E43" i="5"/>
  <c r="D38" i="5"/>
  <c r="D33" i="5"/>
  <c r="D43" i="5"/>
  <c r="D35" i="5"/>
  <c r="E36" i="5"/>
  <c r="E15" i="5"/>
  <c r="D15" i="5"/>
  <c r="S19" i="1" l="1"/>
  <c r="B28" i="1" l="1"/>
  <c r="D28" i="1" s="1"/>
  <c r="E28" i="1"/>
  <c r="K19" i="1" l="1"/>
  <c r="U19" i="1"/>
  <c r="F28" i="1" l="1"/>
  <c r="T19" i="1" s="1"/>
  <c r="F19" i="1"/>
  <c r="G10" i="1" l="1"/>
  <c r="E10" i="1"/>
  <c r="F9" i="1"/>
  <c r="R19" i="1" s="1"/>
  <c r="D10" i="1" l="1"/>
  <c r="F10" i="1"/>
</calcChain>
</file>

<file path=xl/sharedStrings.xml><?xml version="1.0" encoding="utf-8"?>
<sst xmlns="http://schemas.openxmlformats.org/spreadsheetml/2006/main" count="173" uniqueCount="47">
  <si>
    <t>Variance</t>
  </si>
  <si>
    <t>Last Year Actual</t>
  </si>
  <si>
    <t>Aug</t>
  </si>
  <si>
    <t>Sept</t>
  </si>
  <si>
    <t>Room Nights</t>
  </si>
  <si>
    <t>ADR</t>
  </si>
  <si>
    <t>Occupancy</t>
  </si>
  <si>
    <t>OTB vs LY</t>
  </si>
  <si>
    <t>TOTAL</t>
  </si>
  <si>
    <t>LY - Last Year</t>
  </si>
  <si>
    <t>Please note that all provisional bookings</t>
  </si>
  <si>
    <t>are included in the Revenue Reports</t>
  </si>
  <si>
    <t>Dec</t>
  </si>
  <si>
    <t>Nov</t>
  </si>
  <si>
    <t>Oct</t>
  </si>
  <si>
    <t>Jul</t>
  </si>
  <si>
    <t>Jun</t>
  </si>
  <si>
    <t>May</t>
  </si>
  <si>
    <t>Apr</t>
  </si>
  <si>
    <t>Mar</t>
  </si>
  <si>
    <t>Feb</t>
  </si>
  <si>
    <t>Jan</t>
  </si>
  <si>
    <t>Revenue</t>
  </si>
  <si>
    <t>Revenue Comparison Review</t>
  </si>
  <si>
    <t>2024 vs 2025</t>
  </si>
  <si>
    <t>2025 vs 2024</t>
  </si>
  <si>
    <t>Including Blocks</t>
  </si>
  <si>
    <t>Sep</t>
  </si>
  <si>
    <t>Room 0</t>
  </si>
  <si>
    <t>Additional Revenue</t>
  </si>
  <si>
    <t>Total Combined</t>
  </si>
  <si>
    <t>28 = 196</t>
  </si>
  <si>
    <t>29 = 203</t>
  </si>
  <si>
    <t>30 = 210</t>
  </si>
  <si>
    <t>31 = 217</t>
  </si>
  <si>
    <t>TOTAL Monthly Avg</t>
  </si>
  <si>
    <t>Torburnlea Homestead | Financial Year</t>
  </si>
  <si>
    <t>Revenue | OTB vs LY</t>
  </si>
  <si>
    <t>ADR | OTB vs LY</t>
  </si>
  <si>
    <t>7 Rooms</t>
  </si>
  <si>
    <t>OTB - On The Books</t>
  </si>
  <si>
    <t>Dinner</t>
  </si>
  <si>
    <t>(Comp RNs exclude Room 0 nights)</t>
  </si>
  <si>
    <t>Comp RNs</t>
  </si>
  <si>
    <t>OTB @ 31 Jul 2026</t>
  </si>
  <si>
    <t>Torburnlea Homestead | 14 August 2025</t>
  </si>
  <si>
    <t>OTB @ 14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</si>
</sst>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rial"/>
      <family val="2"/>
    </font>
    <font>
      <b/>
      <sz val="11"/>
      <color rgb="FF00B050"/>
      <name val="Arial"/>
      <family val="2"/>
    </font>
    <font>
      <b/>
      <sz val="12"/>
      <color theme="1"/>
      <name val="Arial"/>
      <family val="2"/>
    </font>
    <font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DD9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/>
    <xf numFmtId="17" fontId="10" fillId="0" borderId="1" xfId="0" applyNumberFormat="1" applyFont="1" applyBorder="1" applyAlignment="1">
      <alignment horizontal="left" vertical="center"/>
    </xf>
    <xf numFmtId="17" fontId="10" fillId="0" borderId="2" xfId="0" applyNumberFormat="1" applyFont="1" applyBorder="1" applyAlignment="1">
      <alignment horizontal="left" vertical="center"/>
    </xf>
    <xf numFmtId="0" fontId="11" fillId="0" borderId="4" xfId="0" applyFont="1" applyBorder="1" applyAlignment="1">
      <alignment vertical="center"/>
    </xf>
    <xf numFmtId="3" fontId="10" fillId="0" borderId="1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/>
    </xf>
    <xf numFmtId="3" fontId="10" fillId="4" borderId="0" xfId="0" applyNumberFormat="1" applyFont="1" applyFill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3" fontId="11" fillId="2" borderId="5" xfId="0" applyNumberFormat="1" applyFont="1" applyFill="1" applyBorder="1" applyAlignment="1">
      <alignment horizontal="center" vertical="center"/>
    </xf>
    <xf numFmtId="3" fontId="11" fillId="4" borderId="5" xfId="0" applyNumberFormat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2" borderId="0" xfId="0" applyNumberFormat="1" applyFont="1" applyFill="1" applyAlignment="1">
      <alignment horizontal="center" vertical="center"/>
    </xf>
    <xf numFmtId="0" fontId="10" fillId="0" borderId="0" xfId="0" applyFont="1"/>
    <xf numFmtId="0" fontId="13" fillId="0" borderId="0" xfId="0" applyFont="1"/>
    <xf numFmtId="9" fontId="10" fillId="0" borderId="1" xfId="0" applyNumberFormat="1" applyFont="1" applyBorder="1" applyAlignment="1">
      <alignment horizontal="center" vertical="center"/>
    </xf>
    <xf numFmtId="9" fontId="10" fillId="2" borderId="0" xfId="0" applyNumberFormat="1" applyFont="1" applyFill="1" applyAlignment="1">
      <alignment horizontal="center" vertical="center"/>
    </xf>
    <xf numFmtId="9" fontId="10" fillId="0" borderId="2" xfId="0" applyNumberFormat="1" applyFont="1" applyBorder="1" applyAlignment="1">
      <alignment horizontal="center" vertical="center"/>
    </xf>
    <xf numFmtId="9" fontId="10" fillId="2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3" fontId="10" fillId="2" borderId="1" xfId="0" applyNumberFormat="1" applyFont="1" applyFill="1" applyBorder="1" applyAlignment="1">
      <alignment horizontal="center" vertical="center"/>
    </xf>
    <xf numFmtId="9" fontId="10" fillId="3" borderId="1" xfId="1" applyFont="1" applyFill="1" applyBorder="1" applyAlignment="1">
      <alignment horizontal="center" vertical="center"/>
    </xf>
    <xf numFmtId="3" fontId="10" fillId="2" borderId="2" xfId="0" applyNumberFormat="1" applyFont="1" applyFill="1" applyBorder="1" applyAlignment="1">
      <alignment horizontal="center" vertical="center"/>
    </xf>
    <xf numFmtId="9" fontId="10" fillId="3" borderId="2" xfId="1" applyFont="1" applyFill="1" applyBorder="1" applyAlignment="1">
      <alignment horizontal="center" vertical="center"/>
    </xf>
    <xf numFmtId="3" fontId="10" fillId="4" borderId="1" xfId="0" applyNumberFormat="1" applyFont="1" applyFill="1" applyBorder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3" fontId="11" fillId="4" borderId="4" xfId="0" applyNumberFormat="1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9" fontId="10" fillId="2" borderId="1" xfId="0" applyNumberFormat="1" applyFont="1" applyFill="1" applyBorder="1" applyAlignment="1">
      <alignment horizontal="center" vertical="center"/>
    </xf>
    <xf numFmtId="9" fontId="10" fillId="2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9" fontId="10" fillId="0" borderId="2" xfId="1" applyFont="1" applyBorder="1" applyAlignment="1">
      <alignment horizontal="center" vertical="center"/>
    </xf>
    <xf numFmtId="9" fontId="10" fillId="0" borderId="1" xfId="1" applyFont="1" applyBorder="1" applyAlignment="1">
      <alignment horizontal="center" vertical="center"/>
    </xf>
    <xf numFmtId="3" fontId="11" fillId="2" borderId="16" xfId="0" applyNumberFormat="1" applyFont="1" applyFill="1" applyBorder="1" applyAlignment="1">
      <alignment horizontal="center" vertical="center"/>
    </xf>
    <xf numFmtId="9" fontId="10" fillId="2" borderId="15" xfId="1" applyFont="1" applyFill="1" applyBorder="1" applyAlignment="1">
      <alignment horizontal="center" vertical="center"/>
    </xf>
    <xf numFmtId="9" fontId="11" fillId="2" borderId="18" xfId="1" applyFont="1" applyFill="1" applyBorder="1" applyAlignment="1">
      <alignment horizontal="center" vertical="center"/>
    </xf>
    <xf numFmtId="9" fontId="10" fillId="2" borderId="4" xfId="1" applyFont="1" applyFill="1" applyBorder="1" applyAlignment="1">
      <alignment horizontal="center" vertical="center"/>
    </xf>
    <xf numFmtId="9" fontId="10" fillId="2" borderId="1" xfId="1" applyFont="1" applyFill="1" applyBorder="1" applyAlignment="1">
      <alignment horizontal="center" vertical="center"/>
    </xf>
    <xf numFmtId="9" fontId="10" fillId="2" borderId="2" xfId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9" fontId="10" fillId="2" borderId="0" xfId="1" applyFont="1" applyFill="1" applyAlignment="1">
      <alignment horizontal="center" vertical="center"/>
    </xf>
    <xf numFmtId="9" fontId="10" fillId="2" borderId="3" xfId="1" applyFont="1" applyFill="1" applyBorder="1" applyAlignment="1">
      <alignment horizontal="center" vertical="center"/>
    </xf>
    <xf numFmtId="17" fontId="10" fillId="0" borderId="4" xfId="0" applyNumberFormat="1" applyFont="1" applyBorder="1" applyAlignment="1">
      <alignment horizontal="left" vertical="center"/>
    </xf>
    <xf numFmtId="3" fontId="11" fillId="4" borderId="16" xfId="0" applyNumberFormat="1" applyFont="1" applyFill="1" applyBorder="1" applyAlignment="1">
      <alignment horizontal="center" vertical="center"/>
    </xf>
    <xf numFmtId="0" fontId="17" fillId="5" borderId="10" xfId="0" applyFont="1" applyFill="1" applyBorder="1"/>
    <xf numFmtId="0" fontId="17" fillId="5" borderId="10" xfId="0" applyFont="1" applyFill="1" applyBorder="1" applyAlignment="1">
      <alignment horizontal="center"/>
    </xf>
    <xf numFmtId="0" fontId="17" fillId="0" borderId="10" xfId="0" applyFont="1" applyBorder="1" applyAlignment="1">
      <alignment horizontal="center" vertical="center"/>
    </xf>
    <xf numFmtId="0" fontId="18" fillId="5" borderId="10" xfId="0" applyFont="1" applyFill="1" applyBorder="1"/>
    <xf numFmtId="3" fontId="18" fillId="5" borderId="10" xfId="0" applyNumberFormat="1" applyFont="1" applyFill="1" applyBorder="1" applyAlignment="1">
      <alignment horizontal="center"/>
    </xf>
    <xf numFmtId="3" fontId="15" fillId="0" borderId="10" xfId="0" applyNumberFormat="1" applyFont="1" applyBorder="1" applyAlignment="1">
      <alignment horizontal="center" vertical="center"/>
    </xf>
    <xf numFmtId="38" fontId="0" fillId="0" borderId="0" xfId="0" applyNumberFormat="1"/>
    <xf numFmtId="3" fontId="16" fillId="0" borderId="10" xfId="0" applyNumberFormat="1" applyFont="1" applyBorder="1" applyAlignment="1">
      <alignment horizontal="center" vertical="center"/>
    </xf>
    <xf numFmtId="3" fontId="18" fillId="6" borderId="10" xfId="0" applyNumberFormat="1" applyFont="1" applyFill="1" applyBorder="1" applyAlignment="1">
      <alignment horizontal="center"/>
    </xf>
    <xf numFmtId="3" fontId="11" fillId="0" borderId="10" xfId="0" applyNumberFormat="1" applyFont="1" applyBorder="1" applyAlignment="1">
      <alignment horizontal="center" vertical="center"/>
    </xf>
    <xf numFmtId="9" fontId="0" fillId="0" borderId="0" xfId="1" applyFont="1"/>
    <xf numFmtId="0" fontId="18" fillId="5" borderId="4" xfId="0" applyFont="1" applyFill="1" applyBorder="1"/>
    <xf numFmtId="3" fontId="18" fillId="5" borderId="4" xfId="0" applyNumberFormat="1" applyFont="1" applyFill="1" applyBorder="1" applyAlignment="1">
      <alignment horizontal="center"/>
    </xf>
    <xf numFmtId="0" fontId="17" fillId="5" borderId="19" xfId="0" applyFont="1" applyFill="1" applyBorder="1"/>
    <xf numFmtId="3" fontId="17" fillId="5" borderId="19" xfId="0" applyNumberFormat="1" applyFont="1" applyFill="1" applyBorder="1" applyAlignment="1">
      <alignment horizontal="center"/>
    </xf>
    <xf numFmtId="3" fontId="17" fillId="0" borderId="19" xfId="0" applyNumberFormat="1" applyFont="1" applyBorder="1" applyAlignment="1">
      <alignment horizontal="center" vertical="center"/>
    </xf>
    <xf numFmtId="0" fontId="17" fillId="0" borderId="11" xfId="0" applyFont="1" applyBorder="1"/>
    <xf numFmtId="3" fontId="17" fillId="0" borderId="20" xfId="0" applyNumberFormat="1" applyFont="1" applyBorder="1" applyAlignment="1">
      <alignment horizontal="center"/>
    </xf>
    <xf numFmtId="3" fontId="17" fillId="0" borderId="14" xfId="0" applyNumberFormat="1" applyFont="1" applyBorder="1" applyAlignment="1">
      <alignment horizontal="center" vertical="center"/>
    </xf>
    <xf numFmtId="0" fontId="17" fillId="7" borderId="2" xfId="0" applyFont="1" applyFill="1" applyBorder="1"/>
    <xf numFmtId="0" fontId="17" fillId="7" borderId="2" xfId="0" applyFont="1" applyFill="1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18" fillId="7" borderId="10" xfId="0" applyFont="1" applyFill="1" applyBorder="1"/>
    <xf numFmtId="1" fontId="18" fillId="7" borderId="10" xfId="0" applyNumberFormat="1" applyFont="1" applyFill="1" applyBorder="1" applyAlignment="1">
      <alignment horizontal="center"/>
    </xf>
    <xf numFmtId="1" fontId="15" fillId="0" borderId="10" xfId="0" applyNumberFormat="1" applyFont="1" applyBorder="1" applyAlignment="1">
      <alignment horizontal="center" vertical="center"/>
    </xf>
    <xf numFmtId="1" fontId="16" fillId="0" borderId="10" xfId="0" applyNumberFormat="1" applyFont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/>
    </xf>
    <xf numFmtId="1" fontId="11" fillId="0" borderId="10" xfId="0" applyNumberFormat="1" applyFont="1" applyBorder="1" applyAlignment="1">
      <alignment horizontal="center" vertical="center"/>
    </xf>
    <xf numFmtId="0" fontId="18" fillId="7" borderId="4" xfId="0" applyFont="1" applyFill="1" applyBorder="1"/>
    <xf numFmtId="1" fontId="18" fillId="7" borderId="4" xfId="0" applyNumberFormat="1" applyFont="1" applyFill="1" applyBorder="1" applyAlignment="1">
      <alignment horizontal="center"/>
    </xf>
    <xf numFmtId="1" fontId="11" fillId="0" borderId="4" xfId="0" applyNumberFormat="1" applyFont="1" applyBorder="1" applyAlignment="1">
      <alignment horizontal="center" vertical="center"/>
    </xf>
    <xf numFmtId="0" fontId="17" fillId="7" borderId="9" xfId="0" applyFont="1" applyFill="1" applyBorder="1"/>
    <xf numFmtId="1" fontId="17" fillId="7" borderId="9" xfId="1" applyNumberFormat="1" applyFont="1" applyFill="1" applyBorder="1" applyAlignment="1">
      <alignment horizontal="center"/>
    </xf>
    <xf numFmtId="1" fontId="17" fillId="0" borderId="9" xfId="0" applyNumberFormat="1" applyFont="1" applyBorder="1" applyAlignment="1">
      <alignment horizontal="center" vertical="center"/>
    </xf>
    <xf numFmtId="0" fontId="17" fillId="8" borderId="10" xfId="0" applyFont="1" applyFill="1" applyBorder="1"/>
    <xf numFmtId="0" fontId="17" fillId="8" borderId="10" xfId="0" applyFont="1" applyFill="1" applyBorder="1" applyAlignment="1">
      <alignment horizontal="center"/>
    </xf>
    <xf numFmtId="0" fontId="18" fillId="8" borderId="10" xfId="0" applyFont="1" applyFill="1" applyBorder="1"/>
    <xf numFmtId="10" fontId="18" fillId="8" borderId="10" xfId="0" applyNumberFormat="1" applyFont="1" applyFill="1" applyBorder="1" applyAlignment="1">
      <alignment horizontal="center"/>
    </xf>
    <xf numFmtId="10" fontId="15" fillId="0" borderId="10" xfId="0" applyNumberFormat="1" applyFont="1" applyBorder="1" applyAlignment="1">
      <alignment horizontal="center" vertical="center"/>
    </xf>
    <xf numFmtId="10" fontId="16" fillId="0" borderId="10" xfId="0" applyNumberFormat="1" applyFont="1" applyBorder="1" applyAlignment="1">
      <alignment horizontal="center" vertical="center"/>
    </xf>
    <xf numFmtId="10" fontId="18" fillId="6" borderId="10" xfId="0" applyNumberFormat="1" applyFont="1" applyFill="1" applyBorder="1" applyAlignment="1">
      <alignment horizontal="center"/>
    </xf>
    <xf numFmtId="10" fontId="11" fillId="0" borderId="10" xfId="0" applyNumberFormat="1" applyFont="1" applyBorder="1" applyAlignment="1">
      <alignment horizontal="center" vertical="center"/>
    </xf>
    <xf numFmtId="0" fontId="18" fillId="8" borderId="16" xfId="0" applyFont="1" applyFill="1" applyBorder="1"/>
    <xf numFmtId="10" fontId="18" fillId="8" borderId="16" xfId="0" applyNumberFormat="1" applyFont="1" applyFill="1" applyBorder="1" applyAlignment="1">
      <alignment horizontal="center"/>
    </xf>
    <xf numFmtId="10" fontId="11" fillId="0" borderId="16" xfId="0" applyNumberFormat="1" applyFont="1" applyBorder="1" applyAlignment="1">
      <alignment horizontal="center" vertical="center"/>
    </xf>
    <xf numFmtId="0" fontId="17" fillId="8" borderId="13" xfId="0" applyFont="1" applyFill="1" applyBorder="1"/>
    <xf numFmtId="9" fontId="17" fillId="8" borderId="17" xfId="1" applyFont="1" applyFill="1" applyBorder="1" applyAlignment="1">
      <alignment horizontal="center"/>
    </xf>
    <xf numFmtId="9" fontId="17" fillId="8" borderId="2" xfId="1" applyFont="1" applyFill="1" applyBorder="1" applyAlignment="1">
      <alignment horizontal="center"/>
    </xf>
    <xf numFmtId="10" fontId="17" fillId="0" borderId="2" xfId="0" applyNumberFormat="1" applyFont="1" applyBorder="1" applyAlignment="1">
      <alignment horizontal="center" vertical="center"/>
    </xf>
    <xf numFmtId="0" fontId="17" fillId="9" borderId="10" xfId="0" applyFont="1" applyFill="1" applyBorder="1"/>
    <xf numFmtId="0" fontId="17" fillId="9" borderId="10" xfId="0" applyFont="1" applyFill="1" applyBorder="1" applyAlignment="1">
      <alignment horizontal="center"/>
    </xf>
    <xf numFmtId="0" fontId="18" fillId="9" borderId="10" xfId="0" applyFont="1" applyFill="1" applyBorder="1"/>
    <xf numFmtId="0" fontId="18" fillId="9" borderId="10" xfId="0" applyFont="1" applyFill="1" applyBorder="1" applyAlignment="1">
      <alignment horizontal="center"/>
    </xf>
    <xf numFmtId="2" fontId="18" fillId="9" borderId="10" xfId="0" applyNumberFormat="1" applyFont="1" applyFill="1" applyBorder="1" applyAlignment="1">
      <alignment horizontal="center"/>
    </xf>
    <xf numFmtId="2" fontId="15" fillId="0" borderId="10" xfId="0" applyNumberFormat="1" applyFont="1" applyBorder="1" applyAlignment="1">
      <alignment horizontal="center" vertical="center"/>
    </xf>
    <xf numFmtId="2" fontId="16" fillId="0" borderId="10" xfId="0" applyNumberFormat="1" applyFont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/>
    </xf>
    <xf numFmtId="0" fontId="18" fillId="6" borderId="10" xfId="0" applyFont="1" applyFill="1" applyBorder="1" applyAlignment="1">
      <alignment horizontal="center"/>
    </xf>
    <xf numFmtId="2" fontId="11" fillId="0" borderId="10" xfId="0" applyNumberFormat="1" applyFont="1" applyBorder="1" applyAlignment="1">
      <alignment horizontal="center" vertical="center"/>
    </xf>
    <xf numFmtId="0" fontId="18" fillId="9" borderId="16" xfId="0" applyFont="1" applyFill="1" applyBorder="1"/>
    <xf numFmtId="2" fontId="18" fillId="9" borderId="16" xfId="0" applyNumberFormat="1" applyFont="1" applyFill="1" applyBorder="1" applyAlignment="1">
      <alignment horizontal="center"/>
    </xf>
    <xf numFmtId="2" fontId="11" fillId="0" borderId="16" xfId="0" applyNumberFormat="1" applyFont="1" applyBorder="1" applyAlignment="1">
      <alignment horizontal="center" vertical="center"/>
    </xf>
    <xf numFmtId="0" fontId="17" fillId="9" borderId="2" xfId="0" applyFont="1" applyFill="1" applyBorder="1"/>
    <xf numFmtId="1" fontId="17" fillId="9" borderId="2" xfId="0" applyNumberFormat="1" applyFont="1" applyFill="1" applyBorder="1" applyAlignment="1">
      <alignment horizontal="center"/>
    </xf>
    <xf numFmtId="2" fontId="17" fillId="0" borderId="2" xfId="0" applyNumberFormat="1" applyFont="1" applyBorder="1" applyAlignment="1">
      <alignment horizontal="center" vertical="center"/>
    </xf>
    <xf numFmtId="3" fontId="10" fillId="3" borderId="0" xfId="0" applyNumberFormat="1" applyFont="1" applyFill="1" applyAlignment="1">
      <alignment horizontal="center" vertical="center"/>
    </xf>
    <xf numFmtId="3" fontId="10" fillId="3" borderId="3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 wrapText="1"/>
    </xf>
    <xf numFmtId="3" fontId="10" fillId="10" borderId="1" xfId="0" applyNumberFormat="1" applyFont="1" applyFill="1" applyBorder="1" applyAlignment="1">
      <alignment horizontal="center" vertical="center"/>
    </xf>
    <xf numFmtId="3" fontId="11" fillId="10" borderId="4" xfId="0" applyNumberFormat="1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164" fontId="1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9"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F77FDB"/>
      <color rgb="FFFFBCFA"/>
      <color rgb="FFDDD9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Torburnlea Homestead | Occupancy %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8.9227710172592067E-2"/>
          <c:y val="0.14718253968253969"/>
          <c:w val="0.8829945120496302"/>
          <c:h val="0.718753593300837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'OTB RR'!$G$12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RR'!$G$13:$G$19</c:f>
              <c:numCache>
                <c:formatCode>0%</c:formatCode>
                <c:ptCount val="7"/>
                <c:pt idx="0">
                  <c:v>0.58525345622119818</c:v>
                </c:pt>
                <c:pt idx="1">
                  <c:v>0.47465437788018433</c:v>
                </c:pt>
                <c:pt idx="2">
                  <c:v>0.10476190476190476</c:v>
                </c:pt>
                <c:pt idx="3">
                  <c:v>0.15668202764976957</c:v>
                </c:pt>
                <c:pt idx="4">
                  <c:v>0.15238095238095239</c:v>
                </c:pt>
                <c:pt idx="5">
                  <c:v>3.6866359447004608E-2</c:v>
                </c:pt>
                <c:pt idx="6">
                  <c:v>3.6866359447004608E-2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D-2D4B-8A72-D39F46B0159B}"/>
            </c:ext>
          </c:extLst>
        </c:ser>
        <c:ser>
          <c:idx val="1"/>
          <c:order val="1"/>
          <c:tx>
            <c:strRef>
              <c:f>'OTB RR'!$H$12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RR'!$H$13:$H$19</c:f>
              <c:numCache>
                <c:formatCode>0%</c:formatCode>
                <c:ptCount val="7"/>
                <c:pt idx="0">
                  <c:v>0.58064516129032262</c:v>
                </c:pt>
                <c:pt idx="1">
                  <c:v>0.25345622119815669</c:v>
                </c:pt>
                <c:pt idx="2">
                  <c:v>0.1</c:v>
                </c:pt>
                <c:pt idx="3">
                  <c:v>0.15207373271889402</c:v>
                </c:pt>
                <c:pt idx="4">
                  <c:v>0.17142857142857143</c:v>
                </c:pt>
                <c:pt idx="5">
                  <c:v>9.2165898617511521E-3</c:v>
                </c:pt>
                <c:pt idx="6">
                  <c:v>2.7649769585253458E-2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D-2D4B-8A72-D39F46B0159B}"/>
            </c:ext>
          </c:extLst>
        </c:ser>
        <c:ser>
          <c:idx val="2"/>
          <c:order val="2"/>
          <c:tx>
            <c:strRef>
              <c:f>'OTB RR'!$I$12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RR'!$I$13:$I$19</c:f>
              <c:numCache>
                <c:formatCode>0%</c:formatCode>
                <c:ptCount val="7"/>
                <c:pt idx="0" formatCode="0.0%">
                  <c:v>4.6082949308755561E-3</c:v>
                </c:pt>
                <c:pt idx="1">
                  <c:v>0.22119815668202764</c:v>
                </c:pt>
                <c:pt idx="2" formatCode="0.0%">
                  <c:v>4.7619047619047589E-3</c:v>
                </c:pt>
                <c:pt idx="3" formatCode="0.0%">
                  <c:v>4.6082949308755561E-3</c:v>
                </c:pt>
                <c:pt idx="4">
                  <c:v>-1.9047619047619035E-2</c:v>
                </c:pt>
                <c:pt idx="5">
                  <c:v>2.7649769585253454E-2</c:v>
                </c:pt>
                <c:pt idx="6">
                  <c:v>9.2165898617511503E-3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0D-2D4B-8A72-D39F46B0159B}"/>
            </c:ext>
          </c:extLst>
        </c:ser>
        <c:ser>
          <c:idx val="3"/>
          <c:order val="3"/>
          <c:tx>
            <c:strRef>
              <c:f>'OTB RR'!$J$12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RR'!$J$13:$J$19</c:f>
              <c:numCache>
                <c:formatCode>0%</c:formatCode>
                <c:ptCount val="7"/>
                <c:pt idx="0">
                  <c:v>0.66820276497695852</c:v>
                </c:pt>
                <c:pt idx="1">
                  <c:v>0.60829493087557607</c:v>
                </c:pt>
                <c:pt idx="2">
                  <c:v>0.47619047619047616</c:v>
                </c:pt>
                <c:pt idx="3">
                  <c:v>0.6820276497695853</c:v>
                </c:pt>
                <c:pt idx="4">
                  <c:v>0.72380952380952379</c:v>
                </c:pt>
                <c:pt idx="5">
                  <c:v>0.31336405529953915</c:v>
                </c:pt>
                <c:pt idx="6">
                  <c:v>0.39631336405529954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D-2D4B-8A72-D39F46B0159B}"/>
            </c:ext>
          </c:extLst>
        </c:ser>
        <c:ser>
          <c:idx val="4"/>
          <c:order val="4"/>
          <c:tx>
            <c:strRef>
              <c:f>'OTB RR'!$K$12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RR'!$A$13:$A$19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RR'!$K$13:$K$19</c:f>
              <c:numCache>
                <c:formatCode>0%</c:formatCode>
                <c:ptCount val="7"/>
                <c:pt idx="0">
                  <c:v>-8.2949308755760343E-2</c:v>
                </c:pt>
                <c:pt idx="1">
                  <c:v>-0.13364055299539174</c:v>
                </c:pt>
                <c:pt idx="2">
                  <c:v>-0.37142857142857139</c:v>
                </c:pt>
                <c:pt idx="3">
                  <c:v>-0.52534562211981572</c:v>
                </c:pt>
                <c:pt idx="4">
                  <c:v>-0.5714285714285714</c:v>
                </c:pt>
                <c:pt idx="5">
                  <c:v>-0.27649769585253453</c:v>
                </c:pt>
                <c:pt idx="6">
                  <c:v>-0.35944700460829493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0D-2D4B-8A72-D39F46B01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0057423"/>
        <c:axId val="842674623"/>
      </c:barChart>
      <c:catAx>
        <c:axId val="115005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74623"/>
        <c:crosses val="autoZero"/>
        <c:auto val="1"/>
        <c:lblAlgn val="ctr"/>
        <c:lblOffset val="100"/>
        <c:noMultiLvlLbl val="0"/>
      </c:catAx>
      <c:valAx>
        <c:axId val="84267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5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70707070707072E-3"/>
          <c:y val="0.9092257217847769"/>
          <c:w val="0.99292929292929288"/>
          <c:h val="6.6964754405699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Torburnlea</a:t>
            </a:r>
            <a:r>
              <a:rPr lang="en-GB" baseline="0"/>
              <a:t> Homestead </a:t>
            </a:r>
            <a:r>
              <a:rPr lang="en-GB"/>
              <a:t>| Average Daily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'OTB RR'!$B$21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RR'!$B$22:$B$28</c:f>
              <c:numCache>
                <c:formatCode>#,##0</c:formatCode>
                <c:ptCount val="7"/>
                <c:pt idx="0">
                  <c:v>2857.7750196850402</c:v>
                </c:pt>
                <c:pt idx="1">
                  <c:v>2892.8529126213593</c:v>
                </c:pt>
                <c:pt idx="2">
                  <c:v>3195.9949999999999</c:v>
                </c:pt>
                <c:pt idx="3">
                  <c:v>3135.931176470589</c:v>
                </c:pt>
                <c:pt idx="4">
                  <c:v>3247.4271874999999</c:v>
                </c:pt>
                <c:pt idx="5">
                  <c:v>4133.15625</c:v>
                </c:pt>
                <c:pt idx="6">
                  <c:v>3212.7149999999997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9-DB43-9039-0DD2C1E2C971}"/>
            </c:ext>
          </c:extLst>
        </c:ser>
        <c:ser>
          <c:idx val="1"/>
          <c:order val="1"/>
          <c:tx>
            <c:strRef>
              <c:f>'OTB RR'!$C$21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RR'!$C$22:$C$28</c:f>
              <c:numCache>
                <c:formatCode>#,##0</c:formatCode>
                <c:ptCount val="7"/>
                <c:pt idx="0">
                  <c:v>2863.0321031746039</c:v>
                </c:pt>
                <c:pt idx="1">
                  <c:v>3061.4336363636367</c:v>
                </c:pt>
                <c:pt idx="2">
                  <c:v>3437.390476190476</c:v>
                </c:pt>
                <c:pt idx="3">
                  <c:v>3127.0200000000004</c:v>
                </c:pt>
                <c:pt idx="4">
                  <c:v>3250.0019444444442</c:v>
                </c:pt>
                <c:pt idx="5">
                  <c:v>3073.125</c:v>
                </c:pt>
                <c:pt idx="6">
                  <c:v>3181.9533333333329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9-DB43-9039-0DD2C1E2C971}"/>
            </c:ext>
          </c:extLst>
        </c:ser>
        <c:ser>
          <c:idx val="2"/>
          <c:order val="2"/>
          <c:tx>
            <c:strRef>
              <c:f>'OTB RR'!$D$21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RR'!$D$22:$D$28</c:f>
              <c:numCache>
                <c:formatCode>#,##0</c:formatCode>
                <c:ptCount val="7"/>
                <c:pt idx="0">
                  <c:v>-5.2570834895636835</c:v>
                </c:pt>
                <c:pt idx="1">
                  <c:v>-168.58072374227731</c:v>
                </c:pt>
                <c:pt idx="2">
                  <c:v>-241.39547619047607</c:v>
                </c:pt>
                <c:pt idx="3">
                  <c:v>8.9111764705885435</c:v>
                </c:pt>
                <c:pt idx="4">
                  <c:v>-2.5747569444442888</c:v>
                </c:pt>
                <c:pt idx="5">
                  <c:v>1060.03125</c:v>
                </c:pt>
                <c:pt idx="6">
                  <c:v>30.76166666666677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09-DB43-9039-0DD2C1E2C971}"/>
            </c:ext>
          </c:extLst>
        </c:ser>
        <c:ser>
          <c:idx val="3"/>
          <c:order val="3"/>
          <c:tx>
            <c:strRef>
              <c:f>'OTB RR'!$E$21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RR'!$E$22:$E$28</c:f>
              <c:numCache>
                <c:formatCode>#,##0</c:formatCode>
                <c:ptCount val="7"/>
                <c:pt idx="0">
                  <c:v>2588.8835862068963</c:v>
                </c:pt>
                <c:pt idx="1">
                  <c:v>2265.6518181818183</c:v>
                </c:pt>
                <c:pt idx="2">
                  <c:v>2683.3188000000005</c:v>
                </c:pt>
                <c:pt idx="3">
                  <c:v>2045.6833783783784</c:v>
                </c:pt>
                <c:pt idx="4">
                  <c:v>2276.4282894736839</c:v>
                </c:pt>
                <c:pt idx="5">
                  <c:v>3513.9264705882351</c:v>
                </c:pt>
                <c:pt idx="6">
                  <c:v>2840.886860465117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09-DB43-9039-0DD2C1E2C971}"/>
            </c:ext>
          </c:extLst>
        </c:ser>
        <c:ser>
          <c:idx val="4"/>
          <c:order val="4"/>
          <c:tx>
            <c:strRef>
              <c:f>'OTB RR'!$F$21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RR'!$A$22:$A$28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RR'!$F$22:$F$28</c:f>
              <c:numCache>
                <c:formatCode>#,##0</c:formatCode>
                <c:ptCount val="7"/>
                <c:pt idx="0">
                  <c:v>268.89143347814388</c:v>
                </c:pt>
                <c:pt idx="1">
                  <c:v>627.20109443954107</c:v>
                </c:pt>
                <c:pt idx="2">
                  <c:v>512.67619999999943</c:v>
                </c:pt>
                <c:pt idx="3">
                  <c:v>1090.2477980922106</c:v>
                </c:pt>
                <c:pt idx="4">
                  <c:v>970.99889802631606</c:v>
                </c:pt>
                <c:pt idx="5">
                  <c:v>619.22977941176487</c:v>
                </c:pt>
                <c:pt idx="6">
                  <c:v>371.82813953488267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09-DB43-9039-0DD2C1E2C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05984"/>
        <c:axId val="39660432"/>
      </c:barChart>
      <c:catAx>
        <c:axId val="3960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60432"/>
        <c:crosses val="autoZero"/>
        <c:auto val="1"/>
        <c:lblAlgn val="ctr"/>
        <c:lblOffset val="100"/>
        <c:noMultiLvlLbl val="0"/>
      </c:catAx>
      <c:valAx>
        <c:axId val="3966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0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797979797979799E-2"/>
          <c:y val="0.90443288338957628"/>
          <c:w val="0.9555555555555556"/>
          <c:h val="7.17575928008998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Torburnlea</a:t>
            </a:r>
            <a:r>
              <a:rPr lang="en-GB" baseline="0"/>
              <a:t> Homestead | Revenue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'OTB RR'!$B$2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RR'!$B$3:$B$9</c:f>
              <c:numCache>
                <c:formatCode>#,##0</c:formatCode>
                <c:ptCount val="7"/>
                <c:pt idx="0">
                  <c:v>362937.42750000011</c:v>
                </c:pt>
                <c:pt idx="1">
                  <c:v>297963.85000000003</c:v>
                </c:pt>
                <c:pt idx="2">
                  <c:v>70311.89</c:v>
                </c:pt>
                <c:pt idx="3">
                  <c:v>106621.66000000002</c:v>
                </c:pt>
                <c:pt idx="4">
                  <c:v>103917.67</c:v>
                </c:pt>
                <c:pt idx="5">
                  <c:v>33065.25</c:v>
                </c:pt>
                <c:pt idx="6">
                  <c:v>25701.719999999998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4-E347-B282-A71503B6720B}"/>
            </c:ext>
          </c:extLst>
        </c:ser>
        <c:ser>
          <c:idx val="1"/>
          <c:order val="1"/>
          <c:tx>
            <c:strRef>
              <c:f>'OTB RR'!$C$2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RR'!$C$3:$C$9</c:f>
              <c:numCache>
                <c:formatCode>#,##0</c:formatCode>
                <c:ptCount val="7"/>
                <c:pt idx="0">
                  <c:v>360742.0450000001</c:v>
                </c:pt>
                <c:pt idx="1">
                  <c:v>168378.85</c:v>
                </c:pt>
                <c:pt idx="2">
                  <c:v>72185.2</c:v>
                </c:pt>
                <c:pt idx="3">
                  <c:v>103191.66000000002</c:v>
                </c:pt>
                <c:pt idx="4">
                  <c:v>117000.06999999999</c:v>
                </c:pt>
                <c:pt idx="5">
                  <c:v>6146.25</c:v>
                </c:pt>
                <c:pt idx="6">
                  <c:v>19091.719999999998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34-E347-B282-A71503B6720B}"/>
            </c:ext>
          </c:extLst>
        </c:ser>
        <c:ser>
          <c:idx val="2"/>
          <c:order val="2"/>
          <c:tx>
            <c:strRef>
              <c:f>'OTB RR'!$D$2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RR'!$D$3:$D$9</c:f>
              <c:numCache>
                <c:formatCode>#,##0</c:formatCode>
                <c:ptCount val="7"/>
                <c:pt idx="0">
                  <c:v>2195.382500000007</c:v>
                </c:pt>
                <c:pt idx="1">
                  <c:v>129585.00000000003</c:v>
                </c:pt>
                <c:pt idx="2">
                  <c:v>-1873.3099999999977</c:v>
                </c:pt>
                <c:pt idx="3">
                  <c:v>3430</c:v>
                </c:pt>
                <c:pt idx="4">
                  <c:v>-13082.399999999994</c:v>
                </c:pt>
                <c:pt idx="5">
                  <c:v>26919</c:v>
                </c:pt>
                <c:pt idx="6">
                  <c:v>6610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34-E347-B282-A71503B6720B}"/>
            </c:ext>
          </c:extLst>
        </c:ser>
        <c:ser>
          <c:idx val="3"/>
          <c:order val="3"/>
          <c:tx>
            <c:strRef>
              <c:f>'OTB RR'!$E$2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RR'!$E$3:$E$9</c:f>
              <c:numCache>
                <c:formatCode>#,##0</c:formatCode>
                <c:ptCount val="7"/>
                <c:pt idx="0">
                  <c:v>375388.12</c:v>
                </c:pt>
                <c:pt idx="1">
                  <c:v>299066.04000000004</c:v>
                </c:pt>
                <c:pt idx="2">
                  <c:v>268331.88000000006</c:v>
                </c:pt>
                <c:pt idx="3">
                  <c:v>302761.14</c:v>
                </c:pt>
                <c:pt idx="4">
                  <c:v>346017.1</c:v>
                </c:pt>
                <c:pt idx="5">
                  <c:v>238947</c:v>
                </c:pt>
                <c:pt idx="6">
                  <c:v>244316.27000000005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34-E347-B282-A71503B6720B}"/>
            </c:ext>
          </c:extLst>
        </c:ser>
        <c:ser>
          <c:idx val="4"/>
          <c:order val="4"/>
          <c:tx>
            <c:strRef>
              <c:f>'OTB RR'!$F$2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'OTB RR'!$A$3:$A$9</c:f>
              <c:strCache>
                <c:ptCount val="7"/>
                <c:pt idx="0">
                  <c:v>Jul</c:v>
                </c:pt>
                <c:pt idx="1">
                  <c:v>Aug</c:v>
                </c:pt>
                <c:pt idx="2">
                  <c:v>Sept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Jan-27</c:v>
                </c:pt>
              </c:strCache>
            </c:strRef>
          </c:cat>
          <c:val>
            <c:numRef>
              <c:f>'OTB RR'!$F$3:$F$9</c:f>
              <c:numCache>
                <c:formatCode>#,##0</c:formatCode>
                <c:ptCount val="7"/>
                <c:pt idx="0">
                  <c:v>-12450.692499999888</c:v>
                </c:pt>
                <c:pt idx="1">
                  <c:v>-1102.1900000000023</c:v>
                </c:pt>
                <c:pt idx="2">
                  <c:v>-198019.99000000005</c:v>
                </c:pt>
                <c:pt idx="3">
                  <c:v>-196139.47999999998</c:v>
                </c:pt>
                <c:pt idx="4">
                  <c:v>-242099.43</c:v>
                </c:pt>
                <c:pt idx="5">
                  <c:v>-205881.75</c:v>
                </c:pt>
                <c:pt idx="6">
                  <c:v>-218614.55000000005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34-E347-B282-A71503B67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0979983"/>
        <c:axId val="407878319"/>
      </c:barChart>
      <c:catAx>
        <c:axId val="67097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878319"/>
        <c:crosses val="autoZero"/>
        <c:auto val="1"/>
        <c:lblAlgn val="ctr"/>
        <c:lblOffset val="100"/>
        <c:noMultiLvlLbl val="0"/>
      </c:catAx>
      <c:valAx>
        <c:axId val="40787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97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527050</xdr:colOff>
      <xdr:row>29</xdr:row>
      <xdr:rowOff>95250</xdr:rowOff>
    </xdr:from>
    <xdr:to>
      <xdr:col>12</xdr:col>
      <xdr:colOff>704850</xdr:colOff>
      <xdr:row>45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416DA9-9E97-6E63-3434-E10DDCA8E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819150</xdr:colOff>
      <xdr:row>29</xdr:row>
      <xdr:rowOff>107950</xdr:rowOff>
    </xdr:from>
    <xdr:to>
      <xdr:col>19</xdr:col>
      <xdr:colOff>0</xdr:colOff>
      <xdr:row>45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CDDBE-6951-EA8E-C324-884643C32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29</xdr:row>
      <xdr:rowOff>69850</xdr:rowOff>
    </xdr:from>
    <xdr:to>
      <xdr:col>6</xdr:col>
      <xdr:colOff>463550</xdr:colOff>
      <xdr:row>45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27C1BF-29FF-41D3-4C75-D0647A4E4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FC22-16E4-5542-87C2-0EE348A6D3D1}">
  <dimension ref="A1:U48"/>
  <sheetViews>
    <sheetView tabSelected="1" zoomScale="101" zoomScaleNormal="100" workbookViewId="0">
      <selection activeCell="A30" sqref="A30:XFD48"/>
    </sheetView>
  </sheetViews>
  <sheetFormatPr baseColWidth="10" defaultRowHeight="16" x14ac:dyDescent="0.2"/>
  <cols>
    <col min="1" max="1" width="9" style="7" customWidth="1"/>
    <col min="2" max="3" width="10.83203125" style="7"/>
    <col min="4" max="4" width="8.83203125" style="7" customWidth="1"/>
    <col min="5" max="8" width="10.83203125" style="7"/>
    <col min="9" max="9" width="8.83203125" style="7" customWidth="1"/>
    <col min="10" max="11" width="10.83203125" style="7"/>
    <col min="12" max="14" width="11.5" style="1" customWidth="1"/>
    <col min="15" max="16" width="11.5" customWidth="1"/>
    <col min="17" max="17" width="8.83203125" customWidth="1"/>
  </cols>
  <sheetData>
    <row r="1" spans="1:21" ht="28" customHeight="1" thickBot="1" x14ac:dyDescent="0.25">
      <c r="A1" s="134" t="s">
        <v>45</v>
      </c>
      <c r="B1" s="135"/>
      <c r="C1" s="135"/>
      <c r="D1" s="135"/>
      <c r="E1" s="135"/>
      <c r="F1" s="135"/>
      <c r="G1" s="135"/>
      <c r="H1" s="135"/>
      <c r="I1" s="135"/>
      <c r="J1" s="135"/>
      <c r="K1" s="136"/>
      <c r="N1" s="28"/>
      <c r="O1" s="28"/>
      <c r="P1" s="28"/>
      <c r="Q1" s="28"/>
      <c r="R1" s="28"/>
      <c r="S1" s="28"/>
    </row>
    <row r="2" spans="1:21" s="5" customFormat="1" ht="32" customHeight="1" x14ac:dyDescent="0.2">
      <c r="A2" s="15"/>
      <c r="B2" s="16" t="s">
        <v>46</v>
      </c>
      <c r="C2" s="16" t="s">
        <v>44</v>
      </c>
      <c r="D2" s="16" t="s">
        <v>0</v>
      </c>
      <c r="E2" s="17" t="s">
        <v>1</v>
      </c>
      <c r="F2" s="18" t="s">
        <v>7</v>
      </c>
      <c r="G2" s="19" t="s">
        <v>41</v>
      </c>
      <c r="H2" s="20" t="s">
        <v>28</v>
      </c>
      <c r="I2" s="128" t="s">
        <v>43</v>
      </c>
      <c r="J2" s="46" t="s">
        <v>29</v>
      </c>
      <c r="K2" s="20" t="s">
        <v>30</v>
      </c>
      <c r="L2" s="4"/>
      <c r="M2" s="4"/>
    </row>
    <row r="3" spans="1:21" s="3" customFormat="1" ht="18" customHeight="1" x14ac:dyDescent="0.2">
      <c r="A3" s="11" t="s">
        <v>15</v>
      </c>
      <c r="B3" s="14">
        <v>362937.42750000011</v>
      </c>
      <c r="C3" s="14">
        <v>360742.0450000001</v>
      </c>
      <c r="D3" s="14">
        <f t="shared" ref="D3:D4" si="0">B3-C3</f>
        <v>2195.382500000007</v>
      </c>
      <c r="E3" s="21">
        <v>375388.12</v>
      </c>
      <c r="F3" s="35">
        <f t="shared" ref="F3:F8" si="1">B3-E3</f>
        <v>-12450.692499999888</v>
      </c>
      <c r="G3" s="22">
        <v>66655</v>
      </c>
      <c r="H3" s="39">
        <v>3458</v>
      </c>
      <c r="I3" s="129">
        <v>7</v>
      </c>
      <c r="J3" s="39">
        <f t="shared" ref="J3:J8" si="2">G3+H3</f>
        <v>70113</v>
      </c>
      <c r="K3" s="39">
        <f t="shared" ref="K3:K8" si="3">B3+J3</f>
        <v>433050.42750000011</v>
      </c>
      <c r="L3" s="2"/>
      <c r="M3" s="2"/>
      <c r="S3" s="28"/>
    </row>
    <row r="4" spans="1:21" s="3" customFormat="1" ht="18" customHeight="1" x14ac:dyDescent="0.2">
      <c r="A4" s="11" t="s">
        <v>2</v>
      </c>
      <c r="B4" s="14">
        <v>297963.85000000003</v>
      </c>
      <c r="C4" s="14">
        <v>168378.85</v>
      </c>
      <c r="D4" s="14">
        <f t="shared" si="0"/>
        <v>129585.00000000003</v>
      </c>
      <c r="E4" s="21">
        <v>299066.04000000004</v>
      </c>
      <c r="F4" s="35">
        <f t="shared" si="1"/>
        <v>-1102.1900000000023</v>
      </c>
      <c r="G4" s="22">
        <v>34360</v>
      </c>
      <c r="H4" s="39">
        <v>5187</v>
      </c>
      <c r="I4" s="129">
        <v>1</v>
      </c>
      <c r="J4" s="39">
        <f t="shared" si="2"/>
        <v>39547</v>
      </c>
      <c r="K4" s="39">
        <f t="shared" si="3"/>
        <v>337510.85000000003</v>
      </c>
      <c r="L4" s="2"/>
      <c r="M4" s="2"/>
      <c r="S4" s="28"/>
    </row>
    <row r="5" spans="1:21" s="3" customFormat="1" ht="18" customHeight="1" x14ac:dyDescent="0.2">
      <c r="A5" s="11" t="s">
        <v>3</v>
      </c>
      <c r="B5" s="14">
        <v>70311.89</v>
      </c>
      <c r="C5" s="14">
        <v>72185.2</v>
      </c>
      <c r="D5" s="14">
        <f t="shared" ref="D5" si="4">B5-C5</f>
        <v>-1873.3099999999977</v>
      </c>
      <c r="E5" s="21">
        <v>268331.88000000006</v>
      </c>
      <c r="F5" s="35">
        <f t="shared" si="1"/>
        <v>-198019.99000000005</v>
      </c>
      <c r="G5" s="22">
        <v>1980</v>
      </c>
      <c r="H5" s="39"/>
      <c r="I5" s="129"/>
      <c r="J5" s="39">
        <f t="shared" si="2"/>
        <v>1980</v>
      </c>
      <c r="K5" s="39">
        <f t="shared" si="3"/>
        <v>72291.89</v>
      </c>
      <c r="L5" s="2"/>
      <c r="M5" s="2"/>
      <c r="S5" s="28"/>
    </row>
    <row r="6" spans="1:21" s="3" customFormat="1" ht="18" customHeight="1" x14ac:dyDescent="0.2">
      <c r="A6" s="11" t="s">
        <v>14</v>
      </c>
      <c r="B6" s="14">
        <v>106621.66000000002</v>
      </c>
      <c r="C6" s="14">
        <v>103191.66000000002</v>
      </c>
      <c r="D6" s="14">
        <f>B6-C6</f>
        <v>3430</v>
      </c>
      <c r="E6" s="21">
        <v>302761.14</v>
      </c>
      <c r="F6" s="35">
        <f t="shared" si="1"/>
        <v>-196139.47999999998</v>
      </c>
      <c r="G6" s="22">
        <v>3630</v>
      </c>
      <c r="H6" s="39"/>
      <c r="I6" s="129"/>
      <c r="J6" s="39">
        <f t="shared" si="2"/>
        <v>3630</v>
      </c>
      <c r="K6" s="39">
        <f t="shared" si="3"/>
        <v>110251.66000000002</v>
      </c>
      <c r="L6" s="2"/>
      <c r="M6" s="2"/>
      <c r="S6" s="28"/>
    </row>
    <row r="7" spans="1:21" s="3" customFormat="1" ht="18" customHeight="1" x14ac:dyDescent="0.2">
      <c r="A7" s="11" t="s">
        <v>13</v>
      </c>
      <c r="B7" s="14">
        <v>103917.67</v>
      </c>
      <c r="C7" s="14">
        <v>117000.06999999999</v>
      </c>
      <c r="D7" s="14">
        <f>B7-C7</f>
        <v>-13082.399999999994</v>
      </c>
      <c r="E7" s="21">
        <v>346017.1</v>
      </c>
      <c r="F7" s="35">
        <f t="shared" si="1"/>
        <v>-242099.43</v>
      </c>
      <c r="G7" s="22">
        <v>2475</v>
      </c>
      <c r="H7" s="39">
        <v>4520</v>
      </c>
      <c r="I7" s="129"/>
      <c r="J7" s="39">
        <f t="shared" si="2"/>
        <v>6995</v>
      </c>
      <c r="K7" s="39">
        <f t="shared" si="3"/>
        <v>110912.67</v>
      </c>
      <c r="L7" s="2"/>
      <c r="M7" s="2"/>
      <c r="S7" s="28"/>
    </row>
    <row r="8" spans="1:21" s="3" customFormat="1" ht="18" customHeight="1" x14ac:dyDescent="0.2">
      <c r="A8" s="11" t="s">
        <v>12</v>
      </c>
      <c r="B8" s="14">
        <v>33065.25</v>
      </c>
      <c r="C8" s="14">
        <v>6146.25</v>
      </c>
      <c r="D8" s="14">
        <f>B8-C8</f>
        <v>26919</v>
      </c>
      <c r="E8" s="21">
        <v>238947</v>
      </c>
      <c r="F8" s="35">
        <f t="shared" si="1"/>
        <v>-205881.75</v>
      </c>
      <c r="G8" s="22">
        <v>1980</v>
      </c>
      <c r="H8" s="39"/>
      <c r="I8" s="129"/>
      <c r="J8" s="39">
        <f t="shared" si="2"/>
        <v>1980</v>
      </c>
      <c r="K8" s="39">
        <f t="shared" si="3"/>
        <v>35045.25</v>
      </c>
      <c r="L8" s="2"/>
      <c r="M8" s="2"/>
      <c r="S8" s="28"/>
    </row>
    <row r="9" spans="1:21" s="3" customFormat="1" ht="18" customHeight="1" x14ac:dyDescent="0.2">
      <c r="A9" s="12">
        <v>46388</v>
      </c>
      <c r="B9" s="14">
        <v>25701.719999999998</v>
      </c>
      <c r="C9" s="14">
        <v>19091.719999999998</v>
      </c>
      <c r="D9" s="14">
        <f>B9-C9</f>
        <v>6610</v>
      </c>
      <c r="E9" s="21">
        <v>244316.27000000005</v>
      </c>
      <c r="F9" s="35">
        <f t="shared" ref="F9" si="5">B9-E9</f>
        <v>-218614.55000000005</v>
      </c>
      <c r="G9" s="22"/>
      <c r="H9" s="39"/>
      <c r="I9" s="129"/>
      <c r="J9" s="39">
        <f t="shared" ref="J9" si="6">G9+H9</f>
        <v>0</v>
      </c>
      <c r="K9" s="39">
        <f t="shared" ref="K9" si="7">B9+J9</f>
        <v>25701.719999999998</v>
      </c>
      <c r="L9" s="2"/>
      <c r="M9" s="2"/>
      <c r="S9" s="28"/>
    </row>
    <row r="10" spans="1:21" s="3" customFormat="1" ht="18" customHeight="1" thickBot="1" x14ac:dyDescent="0.25">
      <c r="A10" s="13" t="s">
        <v>8</v>
      </c>
      <c r="B10" s="23">
        <f>SUM(B3:B9)</f>
        <v>1000519.4675000001</v>
      </c>
      <c r="C10" s="23">
        <f>SUM(C3:C9)</f>
        <v>846735.79500000004</v>
      </c>
      <c r="D10" s="23">
        <f>SUM(D3:D9)</f>
        <v>153783.67250000004</v>
      </c>
      <c r="E10" s="24">
        <f>SUM(E3:E9)</f>
        <v>2074827.5500000003</v>
      </c>
      <c r="F10" s="40">
        <f>B10-E10</f>
        <v>-1074308.0825</v>
      </c>
      <c r="G10" s="25">
        <f>SUM(G3:G9)</f>
        <v>111080</v>
      </c>
      <c r="H10" s="41">
        <f>SUM(H3:H9)</f>
        <v>13165</v>
      </c>
      <c r="I10" s="130">
        <f>SUM(I3:I9)</f>
        <v>8</v>
      </c>
      <c r="J10" s="60">
        <f>SUM(J3:J9)</f>
        <v>124245</v>
      </c>
      <c r="K10" s="41">
        <f>SUM(K3:K9)</f>
        <v>1124764.4675</v>
      </c>
      <c r="L10" s="2"/>
      <c r="M10" s="2"/>
      <c r="N10" s="28"/>
      <c r="O10" s="28"/>
      <c r="P10" s="28"/>
      <c r="Q10" s="28"/>
      <c r="R10" s="28"/>
      <c r="S10" s="28"/>
    </row>
    <row r="11" spans="1:21" ht="25" customHeight="1" thickBot="1" x14ac:dyDescent="0.25">
      <c r="A11" s="131" t="s">
        <v>4</v>
      </c>
      <c r="B11" s="132"/>
      <c r="C11" s="132"/>
      <c r="D11" s="132"/>
      <c r="E11" s="132"/>
      <c r="F11" s="133"/>
      <c r="G11" s="131" t="s">
        <v>6</v>
      </c>
      <c r="H11" s="132"/>
      <c r="I11" s="132"/>
      <c r="J11" s="132"/>
      <c r="K11" s="133"/>
      <c r="O11" s="1"/>
      <c r="P11" s="1"/>
      <c r="Q11" s="131" t="s">
        <v>23</v>
      </c>
      <c r="R11" s="132"/>
      <c r="S11" s="132"/>
      <c r="T11" s="132"/>
      <c r="U11" s="133"/>
    </row>
    <row r="12" spans="1:21" s="29" customFormat="1" ht="32" customHeight="1" x14ac:dyDescent="0.2">
      <c r="A12" s="15"/>
      <c r="B12" s="16" t="s">
        <v>46</v>
      </c>
      <c r="C12" s="16" t="s">
        <v>44</v>
      </c>
      <c r="D12" s="16" t="s">
        <v>0</v>
      </c>
      <c r="E12" s="17" t="s">
        <v>1</v>
      </c>
      <c r="F12" s="18" t="s">
        <v>7</v>
      </c>
      <c r="G12" s="16" t="s">
        <v>46</v>
      </c>
      <c r="H12" s="16" t="s">
        <v>44</v>
      </c>
      <c r="I12" s="16" t="s">
        <v>0</v>
      </c>
      <c r="J12" s="17" t="s">
        <v>1</v>
      </c>
      <c r="K12" s="18" t="s">
        <v>7</v>
      </c>
      <c r="L12" s="28"/>
      <c r="M12" s="28"/>
      <c r="N12" s="28"/>
      <c r="O12" s="28"/>
      <c r="P12" s="28"/>
      <c r="Q12" s="15"/>
      <c r="R12" s="137" t="s">
        <v>37</v>
      </c>
      <c r="S12" s="138"/>
      <c r="T12" s="139" t="s">
        <v>38</v>
      </c>
      <c r="U12" s="140"/>
    </row>
    <row r="13" spans="1:21" s="29" customFormat="1" ht="18" customHeight="1" x14ac:dyDescent="0.2">
      <c r="A13" s="11" t="s">
        <v>15</v>
      </c>
      <c r="B13" s="26">
        <v>127</v>
      </c>
      <c r="C13" s="26">
        <v>126</v>
      </c>
      <c r="D13" s="14">
        <f t="shared" ref="D13:D14" si="8">B13-C13</f>
        <v>1</v>
      </c>
      <c r="E13" s="27">
        <v>145</v>
      </c>
      <c r="F13" s="42">
        <f t="shared" ref="F13:F18" si="9">B13-E13</f>
        <v>-18</v>
      </c>
      <c r="G13" s="30">
        <f>B13/217</f>
        <v>0.58525345622119818</v>
      </c>
      <c r="H13" s="30">
        <f>C13/217</f>
        <v>0.58064516129032262</v>
      </c>
      <c r="I13" s="143">
        <f t="shared" ref="I13" si="10">G13-H13</f>
        <v>4.6082949308755561E-3</v>
      </c>
      <c r="J13" s="31">
        <f>E13/217</f>
        <v>0.66820276497695852</v>
      </c>
      <c r="K13" s="43">
        <f t="shared" ref="K13:K18" si="11">G13-J13</f>
        <v>-8.2949308755760343E-2</v>
      </c>
      <c r="L13" s="28"/>
      <c r="M13" s="28" t="s">
        <v>39</v>
      </c>
      <c r="N13" s="28"/>
      <c r="O13" s="28"/>
      <c r="P13" s="28"/>
      <c r="Q13" s="11" t="s">
        <v>15</v>
      </c>
      <c r="R13" s="35">
        <f t="shared" ref="R13:R19" si="12">F3</f>
        <v>-12450.692499999888</v>
      </c>
      <c r="S13" s="54">
        <f t="shared" ref="S13:S19" si="13">(B3-E3)/E3</f>
        <v>-3.3167518727017488E-2</v>
      </c>
      <c r="T13" s="126">
        <f>F22</f>
        <v>268.89143347814388</v>
      </c>
      <c r="U13" s="36">
        <f>(B22-E22)/E22</f>
        <v>0.10386385657151555</v>
      </c>
    </row>
    <row r="14" spans="1:21" s="29" customFormat="1" ht="18" customHeight="1" x14ac:dyDescent="0.2">
      <c r="A14" s="11" t="s">
        <v>2</v>
      </c>
      <c r="B14" s="26">
        <v>103</v>
      </c>
      <c r="C14" s="26">
        <v>55</v>
      </c>
      <c r="D14" s="14">
        <f t="shared" si="8"/>
        <v>48</v>
      </c>
      <c r="E14" s="27">
        <v>132</v>
      </c>
      <c r="F14" s="42">
        <f t="shared" si="9"/>
        <v>-29</v>
      </c>
      <c r="G14" s="30">
        <f>B14/217</f>
        <v>0.47465437788018433</v>
      </c>
      <c r="H14" s="30">
        <f>C14/217</f>
        <v>0.25345622119815669</v>
      </c>
      <c r="I14" s="49">
        <f>G14-H14</f>
        <v>0.22119815668202764</v>
      </c>
      <c r="J14" s="31">
        <f>E14/217</f>
        <v>0.60829493087557607</v>
      </c>
      <c r="K14" s="43">
        <f t="shared" si="11"/>
        <v>-0.13364055299539174</v>
      </c>
      <c r="L14" s="28"/>
      <c r="M14" s="28" t="s">
        <v>31</v>
      </c>
      <c r="N14" s="28"/>
      <c r="O14" s="28"/>
      <c r="P14" s="28"/>
      <c r="Q14" s="11" t="s">
        <v>2</v>
      </c>
      <c r="R14" s="35">
        <f t="shared" si="12"/>
        <v>-1102.1900000000023</v>
      </c>
      <c r="S14" s="54">
        <f t="shared" si="13"/>
        <v>-3.6854401790320365E-3</v>
      </c>
      <c r="T14" s="126">
        <f t="shared" ref="T14" si="14">F23</f>
        <v>627.20109443954107</v>
      </c>
      <c r="U14" s="36">
        <f t="shared" ref="U14" si="15">(B23-E23)/E23</f>
        <v>0.2768303096734735</v>
      </c>
    </row>
    <row r="15" spans="1:21" s="29" customFormat="1" ht="18" customHeight="1" x14ac:dyDescent="0.2">
      <c r="A15" s="11" t="s">
        <v>3</v>
      </c>
      <c r="B15" s="26">
        <v>22</v>
      </c>
      <c r="C15" s="26">
        <v>21</v>
      </c>
      <c r="D15" s="14">
        <f t="shared" ref="D15" si="16">B15-C15</f>
        <v>1</v>
      </c>
      <c r="E15" s="27">
        <v>100</v>
      </c>
      <c r="F15" s="42">
        <f t="shared" si="9"/>
        <v>-78</v>
      </c>
      <c r="G15" s="30">
        <f>B15/210</f>
        <v>0.10476190476190476</v>
      </c>
      <c r="H15" s="30">
        <f>C15/210</f>
        <v>0.1</v>
      </c>
      <c r="I15" s="143">
        <f>G15-H15</f>
        <v>4.7619047619047589E-3</v>
      </c>
      <c r="J15" s="31">
        <f>E15/210</f>
        <v>0.47619047619047616</v>
      </c>
      <c r="K15" s="43">
        <f t="shared" si="11"/>
        <v>-0.37142857142857139</v>
      </c>
      <c r="L15" s="28"/>
      <c r="M15" s="28" t="s">
        <v>32</v>
      </c>
      <c r="N15" s="28"/>
      <c r="O15" s="28"/>
      <c r="P15" s="28"/>
      <c r="Q15" s="11" t="s">
        <v>3</v>
      </c>
      <c r="R15" s="35">
        <f t="shared" si="12"/>
        <v>-198019.99000000005</v>
      </c>
      <c r="S15" s="54">
        <f t="shared" si="13"/>
        <v>-0.73796669258978842</v>
      </c>
      <c r="T15" s="126">
        <f t="shared" ref="T15" si="17">F23</f>
        <v>627.20109443954107</v>
      </c>
      <c r="U15" s="36">
        <f t="shared" ref="U15" si="18">(B23-E23)/E23</f>
        <v>0.2768303096734735</v>
      </c>
    </row>
    <row r="16" spans="1:21" s="29" customFormat="1" ht="18" customHeight="1" x14ac:dyDescent="0.2">
      <c r="A16" s="11" t="s">
        <v>14</v>
      </c>
      <c r="B16" s="26">
        <v>34</v>
      </c>
      <c r="C16" s="26">
        <v>33</v>
      </c>
      <c r="D16" s="14">
        <f>B16-C16</f>
        <v>1</v>
      </c>
      <c r="E16" s="27">
        <v>148</v>
      </c>
      <c r="F16" s="42">
        <f t="shared" si="9"/>
        <v>-114</v>
      </c>
      <c r="G16" s="30">
        <f>B16/217</f>
        <v>0.15668202764976957</v>
      </c>
      <c r="H16" s="30">
        <f>C16/217</f>
        <v>0.15207373271889402</v>
      </c>
      <c r="I16" s="143">
        <f>G16-H16</f>
        <v>4.6082949308755561E-3</v>
      </c>
      <c r="J16" s="31">
        <f>E16/217</f>
        <v>0.6820276497695853</v>
      </c>
      <c r="K16" s="43">
        <f t="shared" si="11"/>
        <v>-0.52534562211981572</v>
      </c>
      <c r="L16" s="28"/>
      <c r="M16" s="28" t="s">
        <v>33</v>
      </c>
      <c r="N16" s="28"/>
      <c r="O16" s="28"/>
      <c r="P16" s="28"/>
      <c r="Q16" s="11" t="s">
        <v>14</v>
      </c>
      <c r="R16" s="35">
        <f t="shared" si="12"/>
        <v>-196139.47999999998</v>
      </c>
      <c r="S16" s="54">
        <f t="shared" si="13"/>
        <v>-0.64783571630097569</v>
      </c>
      <c r="T16" s="126">
        <f t="shared" ref="T16:T18" si="19">F25</f>
        <v>1090.2477980922106</v>
      </c>
      <c r="U16" s="36">
        <f t="shared" ref="U16:U18" si="20">(B25-E25)/E25</f>
        <v>0.53295041139575294</v>
      </c>
    </row>
    <row r="17" spans="1:21" s="29" customFormat="1" ht="18" customHeight="1" x14ac:dyDescent="0.2">
      <c r="A17" s="11" t="s">
        <v>13</v>
      </c>
      <c r="B17" s="26">
        <v>32</v>
      </c>
      <c r="C17" s="26">
        <v>36</v>
      </c>
      <c r="D17" s="14">
        <f>B17-C17</f>
        <v>-4</v>
      </c>
      <c r="E17" s="27">
        <v>152</v>
      </c>
      <c r="F17" s="42">
        <f t="shared" si="9"/>
        <v>-120</v>
      </c>
      <c r="G17" s="30">
        <f>B17/210</f>
        <v>0.15238095238095239</v>
      </c>
      <c r="H17" s="30">
        <f>C17/210</f>
        <v>0.17142857142857143</v>
      </c>
      <c r="I17" s="49">
        <f t="shared" ref="I17" si="21">G17-H17</f>
        <v>-1.9047619047619035E-2</v>
      </c>
      <c r="J17" s="31">
        <f>E17/210</f>
        <v>0.72380952380952379</v>
      </c>
      <c r="K17" s="43">
        <f t="shared" si="11"/>
        <v>-0.5714285714285714</v>
      </c>
      <c r="L17" s="28"/>
      <c r="M17" s="28" t="s">
        <v>34</v>
      </c>
      <c r="N17" s="28"/>
      <c r="O17" s="28"/>
      <c r="P17" s="28"/>
      <c r="Q17" s="11" t="s">
        <v>13</v>
      </c>
      <c r="R17" s="35">
        <f t="shared" si="12"/>
        <v>-242099.43</v>
      </c>
      <c r="S17" s="54">
        <f t="shared" si="13"/>
        <v>-0.69967475595859285</v>
      </c>
      <c r="T17" s="126">
        <f t="shared" si="19"/>
        <v>970.99889802631606</v>
      </c>
      <c r="U17" s="36">
        <f t="shared" si="20"/>
        <v>0.42654490919668436</v>
      </c>
    </row>
    <row r="18" spans="1:21" s="29" customFormat="1" ht="18" customHeight="1" x14ac:dyDescent="0.2">
      <c r="A18" s="11" t="s">
        <v>12</v>
      </c>
      <c r="B18" s="26">
        <v>8</v>
      </c>
      <c r="C18" s="26">
        <v>2</v>
      </c>
      <c r="D18" s="14">
        <f>B18-C18</f>
        <v>6</v>
      </c>
      <c r="E18" s="27">
        <v>68</v>
      </c>
      <c r="F18" s="42">
        <f t="shared" si="9"/>
        <v>-60</v>
      </c>
      <c r="G18" s="30">
        <f>B18/217</f>
        <v>3.6866359447004608E-2</v>
      </c>
      <c r="H18" s="30">
        <f>C18/217</f>
        <v>9.2165898617511521E-3</v>
      </c>
      <c r="I18" s="49">
        <f t="shared" ref="I18" si="22">G18-H18</f>
        <v>2.7649769585253454E-2</v>
      </c>
      <c r="J18" s="31">
        <f>E18/217</f>
        <v>0.31336405529953915</v>
      </c>
      <c r="K18" s="43">
        <f t="shared" si="11"/>
        <v>-0.27649769585253453</v>
      </c>
      <c r="L18" s="28"/>
      <c r="M18" s="28"/>
      <c r="N18" s="28"/>
      <c r="O18" s="28"/>
      <c r="P18" s="28"/>
      <c r="Q18" s="11" t="s">
        <v>12</v>
      </c>
      <c r="R18" s="35">
        <f t="shared" si="12"/>
        <v>-205881.75</v>
      </c>
      <c r="S18" s="54">
        <f t="shared" si="13"/>
        <v>-0.86162098708081714</v>
      </c>
      <c r="T18" s="126">
        <f t="shared" si="19"/>
        <v>619.22977941176487</v>
      </c>
      <c r="U18" s="36">
        <f t="shared" si="20"/>
        <v>0.17622160981305482</v>
      </c>
    </row>
    <row r="19" spans="1:21" s="29" customFormat="1" ht="18" customHeight="1" thickBot="1" x14ac:dyDescent="0.25">
      <c r="A19" s="12">
        <v>46388</v>
      </c>
      <c r="B19" s="26">
        <v>8</v>
      </c>
      <c r="C19" s="26">
        <v>6</v>
      </c>
      <c r="D19" s="14">
        <f>B19-C19</f>
        <v>2</v>
      </c>
      <c r="E19" s="27">
        <v>86</v>
      </c>
      <c r="F19" s="42">
        <f t="shared" ref="F19" si="23">B19-E19</f>
        <v>-78</v>
      </c>
      <c r="G19" s="32">
        <f>B19/217</f>
        <v>3.6866359447004608E-2</v>
      </c>
      <c r="H19" s="32">
        <f>C19/217</f>
        <v>2.7649769585253458E-2</v>
      </c>
      <c r="I19" s="48">
        <f>G19-H19</f>
        <v>9.2165898617511503E-3</v>
      </c>
      <c r="J19" s="33">
        <f>E19/217</f>
        <v>0.39631336405529954</v>
      </c>
      <c r="K19" s="44">
        <f t="shared" ref="K19" si="24">G19-J19</f>
        <v>-0.35944700460829493</v>
      </c>
      <c r="L19" s="28"/>
      <c r="M19" s="28"/>
      <c r="N19" s="28"/>
      <c r="O19" s="28"/>
      <c r="P19" s="28"/>
      <c r="Q19" s="12">
        <v>46388</v>
      </c>
      <c r="R19" s="37">
        <f t="shared" si="12"/>
        <v>-218614.55000000005</v>
      </c>
      <c r="S19" s="55">
        <f t="shared" si="13"/>
        <v>-0.8948014391346103</v>
      </c>
      <c r="T19" s="127">
        <f t="shared" ref="T19" si="25">F28</f>
        <v>371.82813953488267</v>
      </c>
      <c r="U19" s="38">
        <f t="shared" ref="U19" si="26">(B28-E28)/E28</f>
        <v>0.13088452930293959</v>
      </c>
    </row>
    <row r="20" spans="1:21" ht="25" customHeight="1" thickBot="1" x14ac:dyDescent="0.25">
      <c r="A20" s="131" t="s">
        <v>5</v>
      </c>
      <c r="B20" s="132"/>
      <c r="C20" s="132"/>
      <c r="D20" s="132"/>
      <c r="E20" s="132"/>
      <c r="F20" s="133"/>
    </row>
    <row r="21" spans="1:21" s="29" customFormat="1" ht="32" customHeight="1" x14ac:dyDescent="0.2">
      <c r="A21" s="15"/>
      <c r="B21" s="16" t="s">
        <v>46</v>
      </c>
      <c r="C21" s="16" t="s">
        <v>44</v>
      </c>
      <c r="D21" s="16" t="s">
        <v>0</v>
      </c>
      <c r="E21" s="17" t="s">
        <v>1</v>
      </c>
      <c r="F21" s="18" t="s">
        <v>7</v>
      </c>
      <c r="G21" s="34"/>
      <c r="H21" s="34"/>
      <c r="I21" s="34"/>
      <c r="J21" s="34"/>
      <c r="K21" s="34"/>
      <c r="L21" s="28"/>
      <c r="M21" s="28"/>
      <c r="N21" s="28"/>
    </row>
    <row r="22" spans="1:21" s="29" customFormat="1" ht="18" customHeight="1" x14ac:dyDescent="0.2">
      <c r="A22" s="11" t="s">
        <v>15</v>
      </c>
      <c r="B22" s="14">
        <f t="shared" ref="B22:C27" si="27">B3/B13</f>
        <v>2857.7750196850402</v>
      </c>
      <c r="C22" s="14">
        <f t="shared" ref="C22" si="28">C3/C13</f>
        <v>2863.0321031746039</v>
      </c>
      <c r="D22" s="14">
        <f t="shared" ref="D22:D23" si="29">B22-C22</f>
        <v>-5.2570834895636835</v>
      </c>
      <c r="E22" s="35">
        <f t="shared" ref="E22:E28" si="30">E3/E13</f>
        <v>2588.8835862068963</v>
      </c>
      <c r="F22" s="35">
        <f t="shared" ref="F22:F27" si="31">B22-E22</f>
        <v>268.89143347814388</v>
      </c>
      <c r="G22" s="34"/>
      <c r="H22" s="7" t="s">
        <v>40</v>
      </c>
      <c r="I22" s="34"/>
      <c r="J22" s="34"/>
      <c r="K22" s="34"/>
      <c r="L22" s="28"/>
      <c r="M22" s="28"/>
      <c r="N22" s="28"/>
    </row>
    <row r="23" spans="1:21" s="29" customFormat="1" ht="18" customHeight="1" x14ac:dyDescent="0.2">
      <c r="A23" s="11" t="s">
        <v>2</v>
      </c>
      <c r="B23" s="14">
        <f t="shared" si="27"/>
        <v>2892.8529126213593</v>
      </c>
      <c r="C23" s="14">
        <f t="shared" ref="C23" si="32">C4/C14</f>
        <v>3061.4336363636367</v>
      </c>
      <c r="D23" s="14">
        <f t="shared" si="29"/>
        <v>-168.58072374227731</v>
      </c>
      <c r="E23" s="35">
        <f t="shared" si="30"/>
        <v>2265.6518181818183</v>
      </c>
      <c r="F23" s="35">
        <f t="shared" si="31"/>
        <v>627.20109443954107</v>
      </c>
      <c r="G23" s="34"/>
      <c r="H23" s="7" t="s">
        <v>9</v>
      </c>
      <c r="I23" s="34"/>
      <c r="J23" s="34"/>
      <c r="K23" s="34"/>
      <c r="L23" s="28"/>
      <c r="M23" s="28"/>
      <c r="N23" s="28"/>
    </row>
    <row r="24" spans="1:21" s="29" customFormat="1" ht="18" customHeight="1" x14ac:dyDescent="0.2">
      <c r="A24" s="11" t="s">
        <v>3</v>
      </c>
      <c r="B24" s="14">
        <f t="shared" si="27"/>
        <v>3195.9949999999999</v>
      </c>
      <c r="C24" s="14">
        <f t="shared" ref="C24" si="33">C5/C15</f>
        <v>3437.390476190476</v>
      </c>
      <c r="D24" s="14">
        <f t="shared" ref="D24" si="34">B24-C24</f>
        <v>-241.39547619047607</v>
      </c>
      <c r="E24" s="35">
        <f t="shared" si="30"/>
        <v>2683.3188000000005</v>
      </c>
      <c r="F24" s="35">
        <f t="shared" si="31"/>
        <v>512.67619999999943</v>
      </c>
      <c r="G24" s="34"/>
      <c r="I24" s="34"/>
      <c r="J24" s="34"/>
      <c r="K24" s="34"/>
      <c r="L24" s="28"/>
      <c r="M24" s="28"/>
      <c r="N24" s="28"/>
    </row>
    <row r="25" spans="1:21" s="29" customFormat="1" ht="18" customHeight="1" x14ac:dyDescent="0.2">
      <c r="A25" s="11" t="s">
        <v>14</v>
      </c>
      <c r="B25" s="14">
        <f t="shared" si="27"/>
        <v>3135.931176470589</v>
      </c>
      <c r="C25" s="14">
        <f t="shared" ref="C25" si="35">C6/C16</f>
        <v>3127.0200000000004</v>
      </c>
      <c r="D25" s="14">
        <f>B25-C25</f>
        <v>8.9111764705885435</v>
      </c>
      <c r="E25" s="35">
        <f t="shared" si="30"/>
        <v>2045.6833783783784</v>
      </c>
      <c r="F25" s="35">
        <f t="shared" si="31"/>
        <v>1090.2477980922106</v>
      </c>
      <c r="G25" s="34"/>
      <c r="H25" s="7" t="s">
        <v>10</v>
      </c>
      <c r="I25" s="34"/>
      <c r="J25" s="34"/>
      <c r="K25" s="34"/>
      <c r="L25" s="28"/>
      <c r="M25" s="28"/>
      <c r="N25" s="28"/>
    </row>
    <row r="26" spans="1:21" s="29" customFormat="1" ht="18" customHeight="1" x14ac:dyDescent="0.2">
      <c r="A26" s="11" t="s">
        <v>13</v>
      </c>
      <c r="B26" s="14">
        <f t="shared" si="27"/>
        <v>3247.4271874999999</v>
      </c>
      <c r="C26" s="14">
        <f t="shared" ref="C26" si="36">C7/C17</f>
        <v>3250.0019444444442</v>
      </c>
      <c r="D26" s="14">
        <f>B26-C26</f>
        <v>-2.5747569444442888</v>
      </c>
      <c r="E26" s="35">
        <f t="shared" si="30"/>
        <v>2276.4282894736839</v>
      </c>
      <c r="F26" s="35">
        <f t="shared" si="31"/>
        <v>970.99889802631606</v>
      </c>
      <c r="G26" s="34"/>
      <c r="H26" s="7" t="s">
        <v>11</v>
      </c>
      <c r="I26" s="34"/>
      <c r="J26" s="34"/>
      <c r="K26" s="34"/>
      <c r="L26" s="28"/>
      <c r="M26" s="28"/>
      <c r="N26" s="28"/>
    </row>
    <row r="27" spans="1:21" s="29" customFormat="1" ht="18" customHeight="1" x14ac:dyDescent="0.2">
      <c r="A27" s="11" t="s">
        <v>12</v>
      </c>
      <c r="B27" s="14">
        <f t="shared" si="27"/>
        <v>4133.15625</v>
      </c>
      <c r="C27" s="14">
        <f t="shared" ref="C27" si="37">C8/C18</f>
        <v>3073.125</v>
      </c>
      <c r="D27" s="14">
        <f>B27-C27</f>
        <v>1060.03125</v>
      </c>
      <c r="E27" s="35">
        <f t="shared" si="30"/>
        <v>3513.9264705882351</v>
      </c>
      <c r="F27" s="35">
        <f t="shared" si="31"/>
        <v>619.22977941176487</v>
      </c>
      <c r="G27" s="34"/>
      <c r="H27" s="28" t="s">
        <v>42</v>
      </c>
      <c r="I27" s="34"/>
      <c r="J27" s="34"/>
      <c r="K27" s="34"/>
      <c r="L27" s="28"/>
      <c r="M27" s="28"/>
      <c r="N27" s="28"/>
    </row>
    <row r="28" spans="1:21" s="29" customFormat="1" ht="18" customHeight="1" x14ac:dyDescent="0.2">
      <c r="A28" s="12">
        <v>46388</v>
      </c>
      <c r="B28" s="45">
        <f>B9/B19</f>
        <v>3212.7149999999997</v>
      </c>
      <c r="C28" s="45">
        <f>C9/C19</f>
        <v>3181.9533333333329</v>
      </c>
      <c r="D28" s="45">
        <f>B28-C28</f>
        <v>30.76166666666677</v>
      </c>
      <c r="E28" s="37">
        <f t="shared" si="30"/>
        <v>2840.886860465117</v>
      </c>
      <c r="F28" s="37">
        <f t="shared" ref="F28" si="38">B28-E28</f>
        <v>371.82813953488267</v>
      </c>
      <c r="G28" s="34"/>
      <c r="H28" s="28"/>
      <c r="I28" s="34"/>
      <c r="J28" s="34"/>
      <c r="K28" s="34"/>
      <c r="L28" s="28"/>
      <c r="M28" s="28"/>
      <c r="N28" s="28"/>
    </row>
    <row r="30" spans="1:21" hidden="1" x14ac:dyDescent="0.2"/>
    <row r="31" spans="1:21" hidden="1" x14ac:dyDescent="0.2"/>
    <row r="32" spans="1:21" hidden="1" x14ac:dyDescent="0.2"/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  <row r="42" hidden="1" x14ac:dyDescent="0.2"/>
    <row r="43" hidden="1" x14ac:dyDescent="0.2"/>
    <row r="44" hidden="1" x14ac:dyDescent="0.2"/>
    <row r="45" hidden="1" x14ac:dyDescent="0.2"/>
    <row r="46" hidden="1" x14ac:dyDescent="0.2"/>
    <row r="47" hidden="1" x14ac:dyDescent="0.2"/>
    <row r="48" hidden="1" x14ac:dyDescent="0.2"/>
  </sheetData>
  <mergeCells count="7">
    <mergeCell ref="Q11:U11"/>
    <mergeCell ref="A11:F11"/>
    <mergeCell ref="G11:K11"/>
    <mergeCell ref="A20:F20"/>
    <mergeCell ref="A1:K1"/>
    <mergeCell ref="R12:S12"/>
    <mergeCell ref="T12:U12"/>
  </mergeCells>
  <conditionalFormatting sqref="D1 F1 S1 U1 D3:D11 F3:F11 S3:S11 U3:U11 I13:I19 K13:K19 D13:D20 F13:F20 S13:S20 U13:U20 D22:D1048576 F22:F1048576 S22:S1048576 U22:U1048576">
    <cfRule type="cellIs" dxfId="8" priority="1" operator="lessThan">
      <formula>-0.0009</formula>
    </cfRule>
    <cfRule type="cellIs" dxfId="7" priority="2" operator="greaterThan">
      <formula>0.0009</formula>
    </cfRule>
  </conditionalFormatting>
  <pageMargins left="0.7" right="0.7" top="0.75" bottom="0.75" header="0.3" footer="0.3"/>
  <pageSetup paperSize="8" orientation="landscape" horizontalDpi="0" verticalDpi="0"/>
  <ignoredErrors>
    <ignoredError sqref="F10 H20:I20 I13 G19 D22:D26 G14:G17 J19 I14:J14 D27:D28 J15:J17 I15:I17 H18:I19 H15:H17" formula="1"/>
    <ignoredError sqref="T19:U19 B28 E28:F28" evalError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6A0A5-2695-EA44-927D-7961F5D9B06B}">
  <dimension ref="A1:N43"/>
  <sheetViews>
    <sheetView workbookViewId="0">
      <selection sqref="A1:H1"/>
    </sheetView>
  </sheetViews>
  <sheetFormatPr baseColWidth="10" defaultRowHeight="16" x14ac:dyDescent="0.2"/>
  <cols>
    <col min="1" max="1" width="8.83203125" customWidth="1"/>
  </cols>
  <sheetData>
    <row r="1" spans="1:14" ht="28" customHeight="1" thickBot="1" x14ac:dyDescent="0.25">
      <c r="A1" s="134" t="s">
        <v>36</v>
      </c>
      <c r="B1" s="135"/>
      <c r="C1" s="135"/>
      <c r="D1" s="135"/>
      <c r="E1" s="135"/>
      <c r="F1" s="135"/>
      <c r="G1" s="135"/>
      <c r="H1" s="136"/>
      <c r="I1" s="1"/>
      <c r="J1" s="28"/>
      <c r="K1" s="28"/>
      <c r="L1" s="28"/>
      <c r="M1" s="28"/>
    </row>
    <row r="2" spans="1:14" s="5" customFormat="1" ht="32" customHeight="1" x14ac:dyDescent="0.2">
      <c r="A2" s="16"/>
      <c r="B2" s="16">
        <v>2025</v>
      </c>
      <c r="C2" s="17">
        <v>2024</v>
      </c>
      <c r="D2" s="141" t="s">
        <v>25</v>
      </c>
      <c r="E2" s="142"/>
      <c r="F2" s="4"/>
      <c r="G2" s="4"/>
      <c r="H2" s="4"/>
      <c r="I2" s="4"/>
      <c r="J2" s="4"/>
      <c r="K2" s="4"/>
    </row>
    <row r="3" spans="1:14" s="3" customFormat="1" ht="18" customHeight="1" x14ac:dyDescent="0.2">
      <c r="A3" s="11" t="s">
        <v>21</v>
      </c>
      <c r="B3" s="14"/>
      <c r="C3" s="21"/>
      <c r="D3" s="35">
        <f t="shared" ref="D3:D15" si="0">B3-C3</f>
        <v>0</v>
      </c>
      <c r="E3" s="51" t="e">
        <f>(B3-C3)/C3</f>
        <v>#DIV/0!</v>
      </c>
      <c r="F3" s="6"/>
      <c r="G3" s="6"/>
      <c r="H3" s="6"/>
      <c r="I3" s="6"/>
      <c r="J3" s="2"/>
      <c r="K3" s="2"/>
    </row>
    <row r="4" spans="1:14" s="3" customFormat="1" ht="18" customHeight="1" x14ac:dyDescent="0.2">
      <c r="A4" s="11" t="s">
        <v>20</v>
      </c>
      <c r="B4" s="14"/>
      <c r="C4" s="21"/>
      <c r="D4" s="35">
        <f t="shared" si="0"/>
        <v>0</v>
      </c>
      <c r="E4" s="51" t="e">
        <f t="shared" ref="E4:E14" si="1">(B4-C4)/C4</f>
        <v>#DIV/0!</v>
      </c>
      <c r="F4" s="6"/>
      <c r="G4" s="6"/>
      <c r="H4" s="6"/>
      <c r="I4" s="6"/>
      <c r="J4" s="2"/>
      <c r="K4" s="2"/>
    </row>
    <row r="5" spans="1:14" s="3" customFormat="1" ht="18" customHeight="1" x14ac:dyDescent="0.2">
      <c r="A5" s="11" t="s">
        <v>19</v>
      </c>
      <c r="B5" s="14"/>
      <c r="C5" s="21"/>
      <c r="D5" s="35">
        <f t="shared" si="0"/>
        <v>0</v>
      </c>
      <c r="E5" s="51" t="e">
        <f t="shared" si="1"/>
        <v>#DIV/0!</v>
      </c>
      <c r="F5" s="6"/>
      <c r="G5" s="6"/>
      <c r="H5" s="6"/>
      <c r="I5" s="6"/>
      <c r="J5" s="2"/>
      <c r="K5" s="2"/>
    </row>
    <row r="6" spans="1:14" s="3" customFormat="1" ht="18" customHeight="1" x14ac:dyDescent="0.2">
      <c r="A6" s="11" t="s">
        <v>18</v>
      </c>
      <c r="B6" s="14"/>
      <c r="C6" s="21"/>
      <c r="D6" s="35">
        <f t="shared" si="0"/>
        <v>0</v>
      </c>
      <c r="E6" s="51" t="e">
        <f t="shared" si="1"/>
        <v>#DIV/0!</v>
      </c>
      <c r="F6" s="6"/>
      <c r="G6" s="6"/>
      <c r="H6" s="6"/>
      <c r="I6" s="6"/>
      <c r="J6" s="2"/>
      <c r="K6" s="2"/>
    </row>
    <row r="7" spans="1:14" s="3" customFormat="1" ht="18" customHeight="1" x14ac:dyDescent="0.2">
      <c r="A7" s="11" t="s">
        <v>17</v>
      </c>
      <c r="B7" s="14"/>
      <c r="C7" s="21"/>
      <c r="D7" s="35">
        <f t="shared" si="0"/>
        <v>0</v>
      </c>
      <c r="E7" s="51" t="e">
        <f t="shared" si="1"/>
        <v>#DIV/0!</v>
      </c>
      <c r="F7" s="6"/>
      <c r="G7" s="6"/>
      <c r="H7" s="6"/>
      <c r="I7" s="6"/>
      <c r="J7" s="2"/>
      <c r="K7" s="2"/>
    </row>
    <row r="8" spans="1:14" s="3" customFormat="1" ht="18" customHeight="1" x14ac:dyDescent="0.2">
      <c r="A8" s="11" t="s">
        <v>16</v>
      </c>
      <c r="B8" s="14"/>
      <c r="C8" s="21"/>
      <c r="D8" s="35">
        <f t="shared" si="0"/>
        <v>0</v>
      </c>
      <c r="E8" s="51" t="e">
        <f t="shared" si="1"/>
        <v>#DIV/0!</v>
      </c>
      <c r="F8" s="6"/>
      <c r="G8" s="6"/>
      <c r="H8" s="6"/>
      <c r="I8" s="6"/>
      <c r="J8" s="2"/>
      <c r="K8" s="2"/>
    </row>
    <row r="9" spans="1:14" s="3" customFormat="1" ht="18" customHeight="1" x14ac:dyDescent="0.2">
      <c r="A9" s="11" t="s">
        <v>15</v>
      </c>
      <c r="B9" s="14"/>
      <c r="C9" s="21"/>
      <c r="D9" s="35">
        <f t="shared" si="0"/>
        <v>0</v>
      </c>
      <c r="E9" s="51" t="e">
        <f t="shared" si="1"/>
        <v>#DIV/0!</v>
      </c>
      <c r="F9" s="6"/>
      <c r="G9" s="6"/>
      <c r="H9" s="6"/>
      <c r="I9" s="6"/>
      <c r="J9" s="2"/>
      <c r="K9" s="2"/>
    </row>
    <row r="10" spans="1:14" s="3" customFormat="1" ht="18" customHeight="1" x14ac:dyDescent="0.2">
      <c r="A10" s="11" t="s">
        <v>2</v>
      </c>
      <c r="B10" s="14"/>
      <c r="C10" s="21"/>
      <c r="D10" s="35">
        <f t="shared" si="0"/>
        <v>0</v>
      </c>
      <c r="E10" s="51" t="e">
        <f t="shared" si="1"/>
        <v>#DIV/0!</v>
      </c>
      <c r="F10" s="6"/>
      <c r="G10" s="6"/>
      <c r="H10" s="6"/>
      <c r="I10" s="6"/>
      <c r="J10" s="2"/>
      <c r="K10" s="2"/>
    </row>
    <row r="11" spans="1:14" s="3" customFormat="1" ht="18" customHeight="1" x14ac:dyDescent="0.2">
      <c r="A11" s="11" t="s">
        <v>27</v>
      </c>
      <c r="B11" s="14"/>
      <c r="C11" s="21"/>
      <c r="D11" s="35">
        <f t="shared" si="0"/>
        <v>0</v>
      </c>
      <c r="E11" s="51" t="e">
        <f t="shared" si="1"/>
        <v>#DIV/0!</v>
      </c>
      <c r="F11" s="6"/>
      <c r="G11" s="6"/>
      <c r="H11" s="6"/>
      <c r="I11" s="6"/>
      <c r="J11" s="2"/>
      <c r="K11" s="2"/>
    </row>
    <row r="12" spans="1:14" s="3" customFormat="1" ht="18" customHeight="1" x14ac:dyDescent="0.2">
      <c r="A12" s="11" t="s">
        <v>14</v>
      </c>
      <c r="B12" s="14"/>
      <c r="C12" s="21"/>
      <c r="D12" s="35">
        <f t="shared" si="0"/>
        <v>0</v>
      </c>
      <c r="E12" s="51" t="e">
        <f t="shared" si="1"/>
        <v>#DIV/0!</v>
      </c>
      <c r="F12" s="6"/>
      <c r="G12" s="6"/>
      <c r="H12" s="6"/>
      <c r="I12" s="6"/>
      <c r="J12" s="2"/>
      <c r="K12" s="2"/>
    </row>
    <row r="13" spans="1:14" s="3" customFormat="1" ht="18" customHeight="1" x14ac:dyDescent="0.2">
      <c r="A13" s="11" t="s">
        <v>13</v>
      </c>
      <c r="B13" s="14"/>
      <c r="C13" s="21"/>
      <c r="D13" s="35">
        <f t="shared" si="0"/>
        <v>0</v>
      </c>
      <c r="E13" s="51" t="e">
        <f t="shared" si="1"/>
        <v>#DIV/0!</v>
      </c>
      <c r="F13" s="6"/>
      <c r="G13" s="6"/>
      <c r="H13" s="6"/>
      <c r="I13" s="6"/>
      <c r="J13" s="2"/>
      <c r="K13" s="2"/>
    </row>
    <row r="14" spans="1:14" s="3" customFormat="1" ht="18" customHeight="1" x14ac:dyDescent="0.2">
      <c r="A14" s="11" t="s">
        <v>12</v>
      </c>
      <c r="B14" s="14"/>
      <c r="C14" s="21"/>
      <c r="D14" s="35">
        <f t="shared" si="0"/>
        <v>0</v>
      </c>
      <c r="E14" s="51" t="e">
        <f t="shared" si="1"/>
        <v>#DIV/0!</v>
      </c>
      <c r="F14" s="6"/>
      <c r="G14" s="6"/>
      <c r="H14" s="6"/>
      <c r="I14" s="6"/>
      <c r="J14" s="2"/>
      <c r="K14" s="2"/>
    </row>
    <row r="15" spans="1:14" s="3" customFormat="1" ht="18" customHeight="1" thickBot="1" x14ac:dyDescent="0.25">
      <c r="A15" s="13" t="s">
        <v>8</v>
      </c>
      <c r="B15" s="23">
        <f>SUM(B3:B14)</f>
        <v>0</v>
      </c>
      <c r="C15" s="24">
        <f>SUM(C3:C14)</f>
        <v>0</v>
      </c>
      <c r="D15" s="50">
        <f t="shared" si="0"/>
        <v>0</v>
      </c>
      <c r="E15" s="52" t="e">
        <f>(B15-C15)/C15</f>
        <v>#DIV/0!</v>
      </c>
      <c r="F15" s="6"/>
      <c r="G15" s="6"/>
      <c r="H15" s="6"/>
      <c r="I15" s="6"/>
      <c r="J15" s="2"/>
      <c r="K15" s="2"/>
      <c r="L15" s="28"/>
      <c r="M15" s="28"/>
      <c r="N15" s="28"/>
    </row>
    <row r="16" spans="1:14" ht="25" customHeight="1" thickBot="1" x14ac:dyDescent="0.25">
      <c r="A16" s="131" t="s">
        <v>4</v>
      </c>
      <c r="B16" s="132"/>
      <c r="C16" s="132"/>
      <c r="D16" s="133"/>
      <c r="E16" s="131" t="s">
        <v>6</v>
      </c>
      <c r="F16" s="132"/>
      <c r="G16" s="132"/>
      <c r="H16" s="133"/>
      <c r="I16" s="1"/>
      <c r="J16" s="1"/>
      <c r="K16" s="1"/>
      <c r="L16" s="1"/>
      <c r="M16" s="1"/>
    </row>
    <row r="17" spans="1:14" s="29" customFormat="1" ht="32" customHeight="1" x14ac:dyDescent="0.2">
      <c r="A17" s="15"/>
      <c r="B17" s="16">
        <v>2025</v>
      </c>
      <c r="C17" s="17">
        <v>2024</v>
      </c>
      <c r="D17" s="47" t="s">
        <v>25</v>
      </c>
      <c r="E17" s="16">
        <v>2025</v>
      </c>
      <c r="F17" s="17">
        <v>2024</v>
      </c>
      <c r="G17" s="18" t="s">
        <v>25</v>
      </c>
      <c r="H17" s="56" t="s">
        <v>26</v>
      </c>
      <c r="I17" s="28"/>
      <c r="J17" s="28"/>
      <c r="K17" s="28"/>
      <c r="L17" s="28"/>
      <c r="M17" s="28"/>
      <c r="N17" s="28"/>
    </row>
    <row r="18" spans="1:14" s="29" customFormat="1" ht="18" customHeight="1" x14ac:dyDescent="0.2">
      <c r="A18" s="11" t="s">
        <v>21</v>
      </c>
      <c r="B18" s="26"/>
      <c r="C18" s="27"/>
      <c r="D18" s="42"/>
      <c r="E18" s="49"/>
      <c r="F18" s="57"/>
      <c r="G18" s="54"/>
      <c r="H18" s="36"/>
      <c r="J18" s="28"/>
      <c r="K18" s="28"/>
      <c r="L18" s="28"/>
      <c r="M18" s="28"/>
      <c r="N18" s="28"/>
    </row>
    <row r="19" spans="1:14" s="29" customFormat="1" ht="18" customHeight="1" x14ac:dyDescent="0.2">
      <c r="A19" s="11" t="s">
        <v>20</v>
      </c>
      <c r="B19" s="26"/>
      <c r="C19" s="27"/>
      <c r="D19" s="42"/>
      <c r="E19" s="49"/>
      <c r="F19" s="57"/>
      <c r="G19" s="54"/>
      <c r="H19" s="36"/>
      <c r="J19" s="28"/>
      <c r="K19" s="28"/>
      <c r="L19" s="28"/>
      <c r="M19" s="28"/>
      <c r="N19" s="28"/>
    </row>
    <row r="20" spans="1:14" s="29" customFormat="1" ht="18" customHeight="1" x14ac:dyDescent="0.2">
      <c r="A20" s="11" t="s">
        <v>19</v>
      </c>
      <c r="B20" s="26"/>
      <c r="C20" s="27"/>
      <c r="D20" s="42"/>
      <c r="E20" s="49"/>
      <c r="F20" s="57"/>
      <c r="G20" s="54"/>
      <c r="H20" s="36"/>
      <c r="J20" s="28"/>
      <c r="K20" s="28"/>
      <c r="L20" s="28"/>
      <c r="M20" s="28"/>
      <c r="N20" s="28"/>
    </row>
    <row r="21" spans="1:14" s="29" customFormat="1" ht="18" customHeight="1" x14ac:dyDescent="0.2">
      <c r="A21" s="11" t="s">
        <v>18</v>
      </c>
      <c r="B21" s="26"/>
      <c r="C21" s="27"/>
      <c r="D21" s="42"/>
      <c r="E21" s="49"/>
      <c r="F21" s="57"/>
      <c r="G21" s="54"/>
      <c r="H21" s="36"/>
      <c r="J21" s="28"/>
      <c r="K21" s="28"/>
      <c r="L21" s="28"/>
      <c r="M21" s="28"/>
      <c r="N21" s="28"/>
    </row>
    <row r="22" spans="1:14" s="29" customFormat="1" ht="18" customHeight="1" x14ac:dyDescent="0.2">
      <c r="A22" s="11" t="s">
        <v>17</v>
      </c>
      <c r="B22" s="26"/>
      <c r="C22" s="27"/>
      <c r="D22" s="42"/>
      <c r="E22" s="49"/>
      <c r="F22" s="57"/>
      <c r="G22" s="54"/>
      <c r="H22" s="36"/>
      <c r="J22" s="28"/>
      <c r="K22" s="28"/>
      <c r="L22" s="28"/>
      <c r="M22" s="28"/>
      <c r="N22" s="28"/>
    </row>
    <row r="23" spans="1:14" s="29" customFormat="1" ht="18" customHeight="1" x14ac:dyDescent="0.2">
      <c r="A23" s="11" t="s">
        <v>16</v>
      </c>
      <c r="B23" s="26"/>
      <c r="C23" s="27"/>
      <c r="D23" s="42"/>
      <c r="E23" s="49"/>
      <c r="F23" s="57"/>
      <c r="G23" s="54"/>
      <c r="H23" s="36"/>
      <c r="I23" s="28"/>
      <c r="J23" s="28"/>
      <c r="K23" s="28"/>
      <c r="L23" s="28"/>
      <c r="M23" s="28"/>
      <c r="N23" s="28"/>
    </row>
    <row r="24" spans="1:14" s="29" customFormat="1" ht="18" customHeight="1" x14ac:dyDescent="0.2">
      <c r="A24" s="11" t="s">
        <v>15</v>
      </c>
      <c r="B24" s="26"/>
      <c r="C24" s="27"/>
      <c r="D24" s="42"/>
      <c r="E24" s="49"/>
      <c r="F24" s="57"/>
      <c r="G24" s="54"/>
      <c r="H24" s="36"/>
      <c r="I24" s="28"/>
      <c r="J24" s="7"/>
      <c r="K24" s="28"/>
      <c r="L24" s="28"/>
      <c r="M24" s="28"/>
      <c r="N24" s="28"/>
    </row>
    <row r="25" spans="1:14" s="29" customFormat="1" ht="18" customHeight="1" x14ac:dyDescent="0.2">
      <c r="A25" s="11" t="s">
        <v>2</v>
      </c>
      <c r="B25" s="26"/>
      <c r="C25" s="27"/>
      <c r="D25" s="42"/>
      <c r="E25" s="49"/>
      <c r="F25" s="57"/>
      <c r="G25" s="54"/>
      <c r="H25" s="36"/>
      <c r="I25" s="28"/>
      <c r="J25" s="7"/>
      <c r="K25" s="28"/>
      <c r="L25" s="28"/>
      <c r="M25" s="28"/>
      <c r="N25" s="28"/>
    </row>
    <row r="26" spans="1:14" s="29" customFormat="1" ht="18" customHeight="1" x14ac:dyDescent="0.2">
      <c r="A26" s="11" t="s">
        <v>27</v>
      </c>
      <c r="B26" s="26"/>
      <c r="C26" s="27"/>
      <c r="D26" s="42"/>
      <c r="E26" s="49"/>
      <c r="F26" s="57"/>
      <c r="G26" s="54"/>
      <c r="H26" s="36"/>
      <c r="I26" s="28"/>
      <c r="J26" s="7"/>
      <c r="K26" s="28"/>
      <c r="L26" s="28"/>
      <c r="M26" s="28"/>
      <c r="N26" s="28"/>
    </row>
    <row r="27" spans="1:14" s="29" customFormat="1" ht="18" customHeight="1" x14ac:dyDescent="0.2">
      <c r="A27" s="11" t="s">
        <v>14</v>
      </c>
      <c r="B27" s="26"/>
      <c r="C27" s="27"/>
      <c r="D27" s="42"/>
      <c r="E27" s="49"/>
      <c r="F27" s="57"/>
      <c r="G27" s="54"/>
      <c r="H27" s="36"/>
      <c r="I27" s="28"/>
      <c r="J27" s="7"/>
      <c r="K27" s="28"/>
      <c r="L27" s="28"/>
      <c r="M27" s="28"/>
      <c r="N27" s="28"/>
    </row>
    <row r="28" spans="1:14" s="29" customFormat="1" ht="18" customHeight="1" x14ac:dyDescent="0.2">
      <c r="A28" s="11" t="s">
        <v>13</v>
      </c>
      <c r="B28" s="26"/>
      <c r="C28" s="27"/>
      <c r="D28" s="42"/>
      <c r="E28" s="49"/>
      <c r="F28" s="57"/>
      <c r="G28" s="54"/>
      <c r="H28" s="36"/>
      <c r="I28" s="28"/>
      <c r="J28" s="7"/>
      <c r="K28" s="28"/>
      <c r="L28" s="28"/>
      <c r="M28" s="28"/>
      <c r="N28" s="28"/>
    </row>
    <row r="29" spans="1:14" s="29" customFormat="1" ht="18" customHeight="1" thickBot="1" x14ac:dyDescent="0.25">
      <c r="A29" s="11" t="s">
        <v>12</v>
      </c>
      <c r="B29" s="26"/>
      <c r="C29" s="27"/>
      <c r="D29" s="42"/>
      <c r="E29" s="48"/>
      <c r="F29" s="58"/>
      <c r="G29" s="55"/>
      <c r="H29" s="38"/>
      <c r="I29" s="28"/>
      <c r="J29" s="7"/>
      <c r="K29" s="28"/>
      <c r="L29" s="28"/>
      <c r="M29" s="28"/>
      <c r="N29" s="28"/>
    </row>
    <row r="30" spans="1:14" ht="25" customHeight="1" thickBot="1" x14ac:dyDescent="0.25">
      <c r="A30" s="131" t="s">
        <v>5</v>
      </c>
      <c r="B30" s="132"/>
      <c r="C30" s="132"/>
      <c r="D30" s="132"/>
      <c r="E30" s="133"/>
      <c r="F30" s="7"/>
      <c r="G30" s="7"/>
      <c r="H30" s="1"/>
      <c r="I30" s="1"/>
      <c r="J30" s="1"/>
    </row>
    <row r="31" spans="1:14" s="29" customFormat="1" ht="32" customHeight="1" x14ac:dyDescent="0.2">
      <c r="A31" s="16"/>
      <c r="B31" s="16">
        <v>2025</v>
      </c>
      <c r="C31" s="17">
        <v>2024</v>
      </c>
      <c r="D31" s="141" t="s">
        <v>25</v>
      </c>
      <c r="E31" s="142"/>
      <c r="F31" s="34"/>
      <c r="G31" s="34"/>
      <c r="H31" s="28"/>
      <c r="I31" s="28"/>
      <c r="J31" s="28"/>
    </row>
    <row r="32" spans="1:14" s="29" customFormat="1" ht="17" customHeight="1" x14ac:dyDescent="0.2">
      <c r="A32" s="59" t="s">
        <v>21</v>
      </c>
      <c r="B32" s="14" t="e">
        <f>B3/B18</f>
        <v>#DIV/0!</v>
      </c>
      <c r="C32" s="35" t="e">
        <f>C3/C18</f>
        <v>#DIV/0!</v>
      </c>
      <c r="D32" s="35" t="e">
        <f>B32-C32</f>
        <v>#DIV/0!</v>
      </c>
      <c r="E32" s="53" t="e">
        <f>(B32-C32)/C32</f>
        <v>#DIV/0!</v>
      </c>
      <c r="G32" s="34"/>
      <c r="H32" s="28"/>
      <c r="I32" s="28"/>
      <c r="J32" s="28"/>
    </row>
    <row r="33" spans="1:10" s="29" customFormat="1" ht="17" customHeight="1" x14ac:dyDescent="0.2">
      <c r="A33" s="11" t="s">
        <v>20</v>
      </c>
      <c r="B33" s="14" t="e">
        <f t="shared" ref="B33:C43" si="2">B4/B19</f>
        <v>#DIV/0!</v>
      </c>
      <c r="C33" s="35" t="e">
        <f t="shared" si="2"/>
        <v>#DIV/0!</v>
      </c>
      <c r="D33" s="35" t="e">
        <f t="shared" ref="D33:D43" si="3">B33-C33</f>
        <v>#DIV/0!</v>
      </c>
      <c r="E33" s="54" t="e">
        <f t="shared" ref="E33:E43" si="4">(B33-C33)/C33</f>
        <v>#DIV/0!</v>
      </c>
      <c r="G33" s="34"/>
      <c r="H33" s="28"/>
      <c r="I33" s="28"/>
      <c r="J33" s="28"/>
    </row>
    <row r="34" spans="1:10" s="29" customFormat="1" ht="17" customHeight="1" x14ac:dyDescent="0.2">
      <c r="A34" s="11" t="s">
        <v>19</v>
      </c>
      <c r="B34" s="14" t="e">
        <f t="shared" si="2"/>
        <v>#DIV/0!</v>
      </c>
      <c r="C34" s="35" t="e">
        <f t="shared" si="2"/>
        <v>#DIV/0!</v>
      </c>
      <c r="D34" s="35" t="e">
        <f t="shared" si="3"/>
        <v>#DIV/0!</v>
      </c>
      <c r="E34" s="54" t="e">
        <f t="shared" si="4"/>
        <v>#DIV/0!</v>
      </c>
      <c r="G34" s="34"/>
      <c r="H34" s="28"/>
      <c r="I34" s="28"/>
      <c r="J34" s="28"/>
    </row>
    <row r="35" spans="1:10" s="29" customFormat="1" ht="17" customHeight="1" x14ac:dyDescent="0.2">
      <c r="A35" s="11" t="s">
        <v>18</v>
      </c>
      <c r="B35" s="14" t="e">
        <f t="shared" si="2"/>
        <v>#DIV/0!</v>
      </c>
      <c r="C35" s="35" t="e">
        <f t="shared" si="2"/>
        <v>#DIV/0!</v>
      </c>
      <c r="D35" s="35" t="e">
        <f t="shared" si="3"/>
        <v>#DIV/0!</v>
      </c>
      <c r="E35" s="54" t="e">
        <f t="shared" si="4"/>
        <v>#DIV/0!</v>
      </c>
      <c r="G35" s="34"/>
      <c r="H35" s="28"/>
      <c r="I35" s="28"/>
      <c r="J35" s="28"/>
    </row>
    <row r="36" spans="1:10" s="29" customFormat="1" ht="17" customHeight="1" x14ac:dyDescent="0.2">
      <c r="A36" s="11" t="s">
        <v>17</v>
      </c>
      <c r="B36" s="14" t="e">
        <f t="shared" si="2"/>
        <v>#DIV/0!</v>
      </c>
      <c r="C36" s="35" t="e">
        <f t="shared" si="2"/>
        <v>#DIV/0!</v>
      </c>
      <c r="D36" s="35" t="e">
        <f t="shared" si="3"/>
        <v>#DIV/0!</v>
      </c>
      <c r="E36" s="54" t="e">
        <f t="shared" si="4"/>
        <v>#DIV/0!</v>
      </c>
      <c r="G36" s="34"/>
      <c r="H36" s="28"/>
      <c r="I36" s="28"/>
      <c r="J36" s="28"/>
    </row>
    <row r="37" spans="1:10" s="29" customFormat="1" ht="17" customHeight="1" x14ac:dyDescent="0.2">
      <c r="A37" s="11" t="s">
        <v>16</v>
      </c>
      <c r="B37" s="14" t="e">
        <f t="shared" si="2"/>
        <v>#DIV/0!</v>
      </c>
      <c r="C37" s="35" t="e">
        <f t="shared" si="2"/>
        <v>#DIV/0!</v>
      </c>
      <c r="D37" s="35" t="e">
        <f t="shared" si="3"/>
        <v>#DIV/0!</v>
      </c>
      <c r="E37" s="54" t="e">
        <f t="shared" si="4"/>
        <v>#DIV/0!</v>
      </c>
      <c r="G37" s="34"/>
      <c r="H37" s="28"/>
      <c r="I37" s="28"/>
      <c r="J37" s="28"/>
    </row>
    <row r="38" spans="1:10" s="29" customFormat="1" ht="17" customHeight="1" x14ac:dyDescent="0.2">
      <c r="A38" s="11" t="s">
        <v>15</v>
      </c>
      <c r="B38" s="14" t="e">
        <f t="shared" si="2"/>
        <v>#DIV/0!</v>
      </c>
      <c r="C38" s="35" t="e">
        <f t="shared" si="2"/>
        <v>#DIV/0!</v>
      </c>
      <c r="D38" s="35" t="e">
        <f t="shared" si="3"/>
        <v>#DIV/0!</v>
      </c>
      <c r="E38" s="54" t="e">
        <f t="shared" si="4"/>
        <v>#DIV/0!</v>
      </c>
      <c r="F38" s="7"/>
      <c r="G38" s="34"/>
      <c r="H38" s="28"/>
      <c r="I38" s="28"/>
      <c r="J38" s="28"/>
    </row>
    <row r="39" spans="1:10" s="29" customFormat="1" ht="17" customHeight="1" x14ac:dyDescent="0.2">
      <c r="A39" s="11" t="s">
        <v>2</v>
      </c>
      <c r="B39" s="14" t="e">
        <f t="shared" si="2"/>
        <v>#DIV/0!</v>
      </c>
      <c r="C39" s="35" t="e">
        <f t="shared" si="2"/>
        <v>#DIV/0!</v>
      </c>
      <c r="D39" s="35" t="e">
        <f t="shared" si="3"/>
        <v>#DIV/0!</v>
      </c>
      <c r="E39" s="54" t="e">
        <f t="shared" si="4"/>
        <v>#DIV/0!</v>
      </c>
      <c r="F39" s="7"/>
      <c r="G39" s="34"/>
      <c r="H39" s="28"/>
      <c r="I39" s="28"/>
      <c r="J39" s="28"/>
    </row>
    <row r="40" spans="1:10" s="29" customFormat="1" ht="17" customHeight="1" x14ac:dyDescent="0.2">
      <c r="A40" s="11" t="s">
        <v>27</v>
      </c>
      <c r="B40" s="14" t="e">
        <f t="shared" si="2"/>
        <v>#DIV/0!</v>
      </c>
      <c r="C40" s="35" t="e">
        <f t="shared" si="2"/>
        <v>#DIV/0!</v>
      </c>
      <c r="D40" s="35" t="e">
        <f t="shared" si="3"/>
        <v>#DIV/0!</v>
      </c>
      <c r="E40" s="54" t="e">
        <f t="shared" si="4"/>
        <v>#DIV/0!</v>
      </c>
      <c r="F40" s="7"/>
      <c r="G40" s="34"/>
      <c r="H40" s="28"/>
      <c r="I40" s="28"/>
      <c r="J40" s="28"/>
    </row>
    <row r="41" spans="1:10" s="29" customFormat="1" ht="17" customHeight="1" x14ac:dyDescent="0.2">
      <c r="A41" s="11" t="s">
        <v>14</v>
      </c>
      <c r="B41" s="14" t="e">
        <f t="shared" si="2"/>
        <v>#DIV/0!</v>
      </c>
      <c r="C41" s="35" t="e">
        <f t="shared" si="2"/>
        <v>#DIV/0!</v>
      </c>
      <c r="D41" s="35" t="e">
        <f t="shared" si="3"/>
        <v>#DIV/0!</v>
      </c>
      <c r="E41" s="54" t="e">
        <f t="shared" si="4"/>
        <v>#DIV/0!</v>
      </c>
      <c r="F41" s="7"/>
      <c r="G41" s="34"/>
      <c r="H41" s="28"/>
      <c r="I41" s="28"/>
      <c r="J41" s="28"/>
    </row>
    <row r="42" spans="1:10" s="29" customFormat="1" ht="17" customHeight="1" x14ac:dyDescent="0.2">
      <c r="A42" s="11" t="s">
        <v>13</v>
      </c>
      <c r="B42" s="14" t="e">
        <f t="shared" si="2"/>
        <v>#DIV/0!</v>
      </c>
      <c r="C42" s="35" t="e">
        <f t="shared" si="2"/>
        <v>#DIV/0!</v>
      </c>
      <c r="D42" s="35" t="e">
        <f t="shared" si="3"/>
        <v>#DIV/0!</v>
      </c>
      <c r="E42" s="54" t="e">
        <f t="shared" si="4"/>
        <v>#DIV/0!</v>
      </c>
      <c r="F42" s="7"/>
      <c r="G42" s="34"/>
      <c r="H42" s="28"/>
      <c r="I42" s="28"/>
      <c r="J42" s="28"/>
    </row>
    <row r="43" spans="1:10" s="29" customFormat="1" ht="17" customHeight="1" x14ac:dyDescent="0.2">
      <c r="A43" s="12" t="s">
        <v>12</v>
      </c>
      <c r="B43" s="45" t="e">
        <f t="shared" si="2"/>
        <v>#DIV/0!</v>
      </c>
      <c r="C43" s="37" t="e">
        <f t="shared" si="2"/>
        <v>#DIV/0!</v>
      </c>
      <c r="D43" s="37" t="e">
        <f t="shared" si="3"/>
        <v>#DIV/0!</v>
      </c>
      <c r="E43" s="55" t="e">
        <f t="shared" si="4"/>
        <v>#DIV/0!</v>
      </c>
      <c r="G43" s="34"/>
      <c r="H43" s="28"/>
      <c r="I43" s="28"/>
      <c r="J43" s="28"/>
    </row>
  </sheetData>
  <mergeCells count="6">
    <mergeCell ref="D31:E31"/>
    <mergeCell ref="A1:H1"/>
    <mergeCell ref="A16:D16"/>
    <mergeCell ref="E16:H16"/>
    <mergeCell ref="D2:E2"/>
    <mergeCell ref="A30:E30"/>
  </mergeCells>
  <phoneticPr fontId="14" type="noConversion"/>
  <conditionalFormatting sqref="D3:E15 D18:E29 D32:E43">
    <cfRule type="cellIs" dxfId="6" priority="15" operator="equal">
      <formula>0</formula>
    </cfRule>
    <cfRule type="cellIs" dxfId="5" priority="16" operator="lessThan">
      <formula>0</formula>
    </cfRule>
    <cfRule type="cellIs" dxfId="4" priority="17" operator="greaterThan">
      <formula>0</formula>
    </cfRule>
  </conditionalFormatting>
  <conditionalFormatting sqref="G18:H29">
    <cfRule type="cellIs" dxfId="3" priority="1" stopIfTrue="1" operator="lessThan">
      <formula>-0.009</formula>
    </cfRule>
    <cfRule type="cellIs" dxfId="2" priority="2" operator="greaterThan">
      <formula>0.009</formula>
    </cfRule>
  </conditionalFormatting>
  <pageMargins left="0.7" right="0.7" top="0.75" bottom="0.75" header="0.3" footer="0.3"/>
  <pageSetup paperSize="9" orientation="portrait" horizontalDpi="0" verticalDpi="0"/>
  <ignoredErrors>
    <ignoredError sqref="B15:D15" formulaRange="1"/>
    <ignoredError sqref="B32:E43 E3:E15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ABDB-C407-E64C-848B-2132CD3F94FC}">
  <dimension ref="A1:Q64"/>
  <sheetViews>
    <sheetView topLeftCell="C1" zoomScaleNormal="100" workbookViewId="0">
      <selection activeCell="I67" sqref="I67"/>
    </sheetView>
  </sheetViews>
  <sheetFormatPr baseColWidth="10" defaultRowHeight="18" x14ac:dyDescent="0.2"/>
  <cols>
    <col min="1" max="1" width="4.83203125" style="9" customWidth="1"/>
    <col min="2" max="8" width="12.6640625" style="9" customWidth="1"/>
    <col min="9" max="9" width="14.6640625" style="8" customWidth="1"/>
    <col min="10" max="10" width="8.6640625" style="8" customWidth="1"/>
  </cols>
  <sheetData>
    <row r="1" spans="1:17" ht="16" x14ac:dyDescent="0.2">
      <c r="A1"/>
      <c r="B1" s="61" t="s">
        <v>22</v>
      </c>
      <c r="C1" s="62">
        <v>2015</v>
      </c>
      <c r="D1" s="62">
        <v>2016</v>
      </c>
      <c r="E1" s="62">
        <v>2017</v>
      </c>
      <c r="F1" s="62">
        <v>2018</v>
      </c>
      <c r="G1" s="62">
        <v>2019</v>
      </c>
      <c r="H1" s="62">
        <v>2020</v>
      </c>
      <c r="I1" s="62">
        <v>2021</v>
      </c>
      <c r="J1" s="62">
        <v>2022</v>
      </c>
      <c r="K1" s="62">
        <v>2023</v>
      </c>
      <c r="L1" s="62">
        <v>2024</v>
      </c>
      <c r="M1" s="62">
        <v>2025</v>
      </c>
      <c r="N1" s="63" t="s">
        <v>24</v>
      </c>
    </row>
    <row r="2" spans="1:17" ht="16" x14ac:dyDescent="0.2">
      <c r="A2"/>
      <c r="B2" s="64" t="s">
        <v>21</v>
      </c>
      <c r="C2" s="65"/>
      <c r="D2" s="65">
        <v>83195</v>
      </c>
      <c r="E2" s="65">
        <v>37140</v>
      </c>
      <c r="F2" s="65">
        <v>103125</v>
      </c>
      <c r="G2" s="65">
        <v>136691.75</v>
      </c>
      <c r="H2" s="65">
        <v>80797.8</v>
      </c>
      <c r="I2" s="65">
        <v>83987.75</v>
      </c>
      <c r="J2" s="65">
        <v>92735.94</v>
      </c>
      <c r="K2" s="65">
        <v>183466.94</v>
      </c>
      <c r="L2" s="65">
        <v>298805.5</v>
      </c>
      <c r="M2" s="65">
        <v>142787.06</v>
      </c>
      <c r="N2" s="66">
        <f>M2-L2</f>
        <v>-156018.44</v>
      </c>
      <c r="O2" s="67"/>
    </row>
    <row r="3" spans="1:17" ht="16" x14ac:dyDescent="0.2">
      <c r="A3"/>
      <c r="B3" s="64" t="s">
        <v>20</v>
      </c>
      <c r="C3" s="65"/>
      <c r="D3" s="65">
        <v>62215</v>
      </c>
      <c r="E3" s="65">
        <v>67395</v>
      </c>
      <c r="F3" s="65">
        <v>89440</v>
      </c>
      <c r="G3" s="65">
        <v>150979.01999999999</v>
      </c>
      <c r="H3" s="65">
        <v>145547.99</v>
      </c>
      <c r="I3" s="65">
        <v>20729.8</v>
      </c>
      <c r="J3" s="65">
        <v>137073.16</v>
      </c>
      <c r="K3" s="65">
        <v>149467.98000000001</v>
      </c>
      <c r="L3" s="65">
        <v>170175.65</v>
      </c>
      <c r="M3" s="65">
        <v>299066.03999999998</v>
      </c>
      <c r="N3" s="68">
        <f t="shared" ref="N3:N13" si="0">M3-L3</f>
        <v>128890.38999999998</v>
      </c>
      <c r="O3" s="67"/>
    </row>
    <row r="4" spans="1:17" ht="16" x14ac:dyDescent="0.2">
      <c r="A4"/>
      <c r="B4" s="64" t="s">
        <v>19</v>
      </c>
      <c r="C4" s="65"/>
      <c r="D4" s="65">
        <v>105045</v>
      </c>
      <c r="E4" s="65">
        <v>68951</v>
      </c>
      <c r="F4" s="65">
        <v>141536</v>
      </c>
      <c r="G4" s="65">
        <v>100505.22</v>
      </c>
      <c r="H4" s="69">
        <v>100520.5</v>
      </c>
      <c r="I4" s="65">
        <v>93611.5</v>
      </c>
      <c r="J4" s="65">
        <v>135506.54999999999</v>
      </c>
      <c r="K4" s="65">
        <v>190023.3</v>
      </c>
      <c r="L4" s="65">
        <v>276642.7</v>
      </c>
      <c r="M4" s="65">
        <v>330917.78000000003</v>
      </c>
      <c r="N4" s="68">
        <f t="shared" si="0"/>
        <v>54275.080000000016</v>
      </c>
      <c r="O4" s="67"/>
    </row>
    <row r="5" spans="1:17" ht="16" x14ac:dyDescent="0.2">
      <c r="A5"/>
      <c r="B5" s="64" t="s">
        <v>18</v>
      </c>
      <c r="C5" s="65"/>
      <c r="D5" s="65">
        <v>106960</v>
      </c>
      <c r="E5" s="65">
        <v>106545</v>
      </c>
      <c r="F5" s="65">
        <v>101558.2</v>
      </c>
      <c r="G5" s="65">
        <v>96112.6</v>
      </c>
      <c r="H5" s="69">
        <v>0</v>
      </c>
      <c r="I5" s="65">
        <v>128467.85</v>
      </c>
      <c r="J5" s="65">
        <v>189481.81</v>
      </c>
      <c r="K5" s="65">
        <v>223319.65</v>
      </c>
      <c r="L5" s="65">
        <v>292966.40000000002</v>
      </c>
      <c r="M5" s="65">
        <v>250624.9</v>
      </c>
      <c r="N5" s="66">
        <f t="shared" si="0"/>
        <v>-42341.500000000029</v>
      </c>
      <c r="O5" s="67"/>
    </row>
    <row r="6" spans="1:17" ht="16" x14ac:dyDescent="0.2">
      <c r="A6"/>
      <c r="B6" s="64" t="s">
        <v>17</v>
      </c>
      <c r="C6" s="65"/>
      <c r="D6" s="65">
        <v>110150</v>
      </c>
      <c r="E6" s="65">
        <v>91275</v>
      </c>
      <c r="F6" s="65">
        <v>133100</v>
      </c>
      <c r="G6" s="65">
        <v>112674.83</v>
      </c>
      <c r="H6" s="69">
        <v>0</v>
      </c>
      <c r="I6" s="65">
        <v>81711.92</v>
      </c>
      <c r="J6" s="65">
        <v>189770.48</v>
      </c>
      <c r="K6" s="65">
        <v>210436.2</v>
      </c>
      <c r="L6" s="65">
        <v>193112.55</v>
      </c>
      <c r="M6" s="65">
        <v>407593.68</v>
      </c>
      <c r="N6" s="68">
        <f t="shared" si="0"/>
        <v>214481.13</v>
      </c>
      <c r="O6" s="67"/>
    </row>
    <row r="7" spans="1:17" ht="16" x14ac:dyDescent="0.2">
      <c r="A7"/>
      <c r="B7" s="64" t="s">
        <v>16</v>
      </c>
      <c r="C7" s="65"/>
      <c r="D7" s="65">
        <v>81260</v>
      </c>
      <c r="E7" s="65">
        <v>44850</v>
      </c>
      <c r="F7" s="65">
        <v>146632.54999999999</v>
      </c>
      <c r="G7" s="65">
        <v>133879.35</v>
      </c>
      <c r="H7" s="65">
        <v>8280</v>
      </c>
      <c r="I7" s="65">
        <v>98403.19</v>
      </c>
      <c r="J7" s="65">
        <v>150011.45000000001</v>
      </c>
      <c r="K7" s="65">
        <v>209830.17</v>
      </c>
      <c r="L7" s="65">
        <v>271998.62</v>
      </c>
      <c r="M7" s="65"/>
      <c r="N7" s="70">
        <f t="shared" si="0"/>
        <v>-271998.62</v>
      </c>
      <c r="O7" s="67">
        <f>SUM(J2:J6)</f>
        <v>744567.94</v>
      </c>
      <c r="P7" s="67">
        <f>SUM(K2:K6)</f>
        <v>956714.07000000007</v>
      </c>
      <c r="Q7" s="67">
        <f>SUM(L2:L6)</f>
        <v>1231702.8</v>
      </c>
    </row>
    <row r="8" spans="1:17" ht="16" x14ac:dyDescent="0.2">
      <c r="A8"/>
      <c r="B8" s="64" t="s">
        <v>15</v>
      </c>
      <c r="C8" s="65"/>
      <c r="D8" s="65">
        <v>88050</v>
      </c>
      <c r="E8" s="65">
        <v>74925</v>
      </c>
      <c r="F8" s="65">
        <v>121467.64</v>
      </c>
      <c r="G8" s="65">
        <v>180683.9</v>
      </c>
      <c r="H8" s="65">
        <v>10551</v>
      </c>
      <c r="I8" s="65">
        <v>77047.399999999994</v>
      </c>
      <c r="J8" s="65">
        <v>159291.82999999999</v>
      </c>
      <c r="K8" s="65">
        <v>282869.53000000003</v>
      </c>
      <c r="L8" s="65">
        <v>343388.91</v>
      </c>
      <c r="M8" s="65"/>
      <c r="N8" s="70">
        <f t="shared" si="0"/>
        <v>-343388.91</v>
      </c>
      <c r="P8" s="71">
        <f>(P7-O7)/O7</f>
        <v>0.28492514732772423</v>
      </c>
      <c r="Q8" s="71">
        <f>(Q7-P7)/P7</f>
        <v>0.28743042317753303</v>
      </c>
    </row>
    <row r="9" spans="1:17" ht="16" x14ac:dyDescent="0.2">
      <c r="A9"/>
      <c r="B9" s="64" t="s">
        <v>2</v>
      </c>
      <c r="C9" s="65"/>
      <c r="D9" s="65">
        <v>62650</v>
      </c>
      <c r="E9" s="65">
        <v>125811.05</v>
      </c>
      <c r="F9" s="65">
        <v>170104.95</v>
      </c>
      <c r="G9" s="65">
        <v>177788.9</v>
      </c>
      <c r="H9" s="65">
        <v>82780.800000000003</v>
      </c>
      <c r="I9" s="65">
        <v>121869.16</v>
      </c>
      <c r="J9" s="65">
        <v>217522.95</v>
      </c>
      <c r="K9" s="65">
        <v>273379.52</v>
      </c>
      <c r="L9" s="65">
        <v>357920.06</v>
      </c>
      <c r="M9" s="65"/>
      <c r="N9" s="70">
        <f t="shared" si="0"/>
        <v>-357920.06</v>
      </c>
    </row>
    <row r="10" spans="1:17" ht="16" x14ac:dyDescent="0.2">
      <c r="A10"/>
      <c r="B10" s="64" t="s">
        <v>3</v>
      </c>
      <c r="C10" s="65">
        <v>12220</v>
      </c>
      <c r="D10" s="65">
        <v>34730</v>
      </c>
      <c r="E10" s="65">
        <v>119225</v>
      </c>
      <c r="F10" s="65">
        <v>128733.25</v>
      </c>
      <c r="G10" s="65">
        <v>135535.4</v>
      </c>
      <c r="H10" s="65">
        <v>60316.05</v>
      </c>
      <c r="I10" s="65">
        <v>126615.38</v>
      </c>
      <c r="J10" s="65">
        <v>192815.78</v>
      </c>
      <c r="K10" s="65">
        <v>228517.48</v>
      </c>
      <c r="L10" s="65">
        <v>317191.84999999998</v>
      </c>
      <c r="M10" s="65"/>
      <c r="N10" s="70">
        <f t="shared" si="0"/>
        <v>-317191.84999999998</v>
      </c>
    </row>
    <row r="11" spans="1:17" ht="16" x14ac:dyDescent="0.2">
      <c r="A11"/>
      <c r="B11" s="64" t="s">
        <v>14</v>
      </c>
      <c r="C11" s="65">
        <v>17010</v>
      </c>
      <c r="D11" s="65">
        <v>59770</v>
      </c>
      <c r="E11" s="65">
        <v>119625</v>
      </c>
      <c r="F11" s="65">
        <v>106077.6</v>
      </c>
      <c r="G11" s="65">
        <v>137767.56</v>
      </c>
      <c r="H11" s="65">
        <v>101075.27</v>
      </c>
      <c r="I11" s="65">
        <v>155027.4</v>
      </c>
      <c r="J11" s="65">
        <v>144735.92000000001</v>
      </c>
      <c r="K11" s="65">
        <v>182907.21</v>
      </c>
      <c r="L11" s="65">
        <v>291129.40000000002</v>
      </c>
      <c r="M11" s="65"/>
      <c r="N11" s="70">
        <f t="shared" si="0"/>
        <v>-291129.40000000002</v>
      </c>
      <c r="P11" s="71">
        <f>(K14-J14)/K14</f>
        <v>0.24410045040077608</v>
      </c>
    </row>
    <row r="12" spans="1:17" ht="16" x14ac:dyDescent="0.2">
      <c r="A12"/>
      <c r="B12" s="64" t="s">
        <v>13</v>
      </c>
      <c r="C12" s="65">
        <v>12240</v>
      </c>
      <c r="D12" s="65">
        <v>84660</v>
      </c>
      <c r="E12" s="65">
        <v>85670.02</v>
      </c>
      <c r="F12" s="65">
        <v>157680.4</v>
      </c>
      <c r="G12" s="65">
        <v>208302.8</v>
      </c>
      <c r="H12" s="65">
        <v>105116</v>
      </c>
      <c r="I12" s="65">
        <v>159712.98000000001</v>
      </c>
      <c r="J12" s="65">
        <v>172664.83</v>
      </c>
      <c r="K12" s="65">
        <v>255653.22</v>
      </c>
      <c r="L12" s="65">
        <v>303660.92</v>
      </c>
      <c r="M12" s="65"/>
      <c r="N12" s="70">
        <f t="shared" si="0"/>
        <v>-303660.92</v>
      </c>
      <c r="P12" s="71">
        <f>(L14-K14)/K14</f>
        <v>0.29260919287520648</v>
      </c>
    </row>
    <row r="13" spans="1:17" ht="17" thickBot="1" x14ac:dyDescent="0.25">
      <c r="A13"/>
      <c r="B13" s="72" t="s">
        <v>12</v>
      </c>
      <c r="C13" s="73">
        <v>79700</v>
      </c>
      <c r="D13" s="73">
        <v>133070</v>
      </c>
      <c r="E13" s="73">
        <v>64750</v>
      </c>
      <c r="F13" s="73">
        <v>160848.16</v>
      </c>
      <c r="G13" s="73">
        <v>99338.9</v>
      </c>
      <c r="H13" s="73">
        <v>110534.25</v>
      </c>
      <c r="I13" s="73">
        <v>163903.98000000001</v>
      </c>
      <c r="J13" s="73">
        <v>169190.82</v>
      </c>
      <c r="K13" s="73">
        <v>190897</v>
      </c>
      <c r="L13" s="73">
        <v>218932.14</v>
      </c>
      <c r="M13" s="73"/>
      <c r="N13" s="23">
        <f t="shared" si="0"/>
        <v>-218932.14</v>
      </c>
    </row>
    <row r="14" spans="1:17" ht="16" x14ac:dyDescent="0.2">
      <c r="A14"/>
      <c r="B14" s="74" t="s">
        <v>8</v>
      </c>
      <c r="C14" s="75">
        <f>SUM(C10:C13)</f>
        <v>121170</v>
      </c>
      <c r="D14" s="75">
        <f t="shared" ref="D14:L14" si="1">SUM(D2:D13)</f>
        <v>1011755</v>
      </c>
      <c r="E14" s="75">
        <f t="shared" si="1"/>
        <v>1006162.0700000001</v>
      </c>
      <c r="F14" s="75">
        <f t="shared" si="1"/>
        <v>1560303.75</v>
      </c>
      <c r="G14" s="75">
        <f t="shared" si="1"/>
        <v>1670260.2299999997</v>
      </c>
      <c r="H14" s="75">
        <f t="shared" si="1"/>
        <v>805519.65999999992</v>
      </c>
      <c r="I14" s="75">
        <f t="shared" si="1"/>
        <v>1311088.31</v>
      </c>
      <c r="J14" s="75">
        <f t="shared" si="1"/>
        <v>1950801.52</v>
      </c>
      <c r="K14" s="75">
        <f t="shared" si="1"/>
        <v>2580768.2000000002</v>
      </c>
      <c r="L14" s="75">
        <f t="shared" si="1"/>
        <v>3335924.6999999997</v>
      </c>
      <c r="M14" s="75">
        <f>SUM(M2:M13)</f>
        <v>1430989.46</v>
      </c>
      <c r="N14" s="76">
        <f>M14-L14</f>
        <v>-1904935.2399999998</v>
      </c>
    </row>
    <row r="15" spans="1:17" ht="5" customHeight="1" x14ac:dyDescent="0.2">
      <c r="A15"/>
      <c r="B15" s="77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9"/>
    </row>
    <row r="16" spans="1:17" ht="16" x14ac:dyDescent="0.2">
      <c r="A16"/>
      <c r="B16" s="80" t="s">
        <v>4</v>
      </c>
      <c r="C16" s="81">
        <v>2015</v>
      </c>
      <c r="D16" s="81">
        <v>2016</v>
      </c>
      <c r="E16" s="81">
        <v>2017</v>
      </c>
      <c r="F16" s="81">
        <v>2018</v>
      </c>
      <c r="G16" s="81">
        <v>2019</v>
      </c>
      <c r="H16" s="81">
        <v>2020</v>
      </c>
      <c r="I16" s="81">
        <v>2021</v>
      </c>
      <c r="J16" s="81">
        <v>2022</v>
      </c>
      <c r="K16" s="81">
        <v>2023</v>
      </c>
      <c r="L16" s="81">
        <v>2024</v>
      </c>
      <c r="M16" s="81">
        <v>2025</v>
      </c>
      <c r="N16" s="82" t="s">
        <v>24</v>
      </c>
    </row>
    <row r="17" spans="1:14" ht="16" x14ac:dyDescent="0.2">
      <c r="A17"/>
      <c r="B17" s="83" t="s">
        <v>21</v>
      </c>
      <c r="C17" s="84"/>
      <c r="D17" s="84">
        <v>63</v>
      </c>
      <c r="E17" s="84">
        <v>25</v>
      </c>
      <c r="F17" s="84">
        <v>94</v>
      </c>
      <c r="G17" s="84">
        <v>128</v>
      </c>
      <c r="H17" s="84">
        <v>67</v>
      </c>
      <c r="I17" s="84">
        <v>44</v>
      </c>
      <c r="J17" s="84">
        <v>99</v>
      </c>
      <c r="K17" s="84">
        <v>91</v>
      </c>
      <c r="L17" s="84">
        <v>125</v>
      </c>
      <c r="M17" s="84">
        <v>64</v>
      </c>
      <c r="N17" s="85">
        <f>M17-L17</f>
        <v>-61</v>
      </c>
    </row>
    <row r="18" spans="1:14" ht="16" x14ac:dyDescent="0.2">
      <c r="A18"/>
      <c r="B18" s="83" t="s">
        <v>20</v>
      </c>
      <c r="C18" s="84"/>
      <c r="D18" s="84">
        <v>55</v>
      </c>
      <c r="E18" s="84">
        <v>51</v>
      </c>
      <c r="F18" s="84">
        <v>85</v>
      </c>
      <c r="G18" s="84">
        <v>73</v>
      </c>
      <c r="H18" s="84">
        <v>98</v>
      </c>
      <c r="I18" s="84">
        <v>38</v>
      </c>
      <c r="J18" s="84">
        <v>83</v>
      </c>
      <c r="K18" s="84">
        <v>93</v>
      </c>
      <c r="L18" s="84">
        <v>82</v>
      </c>
      <c r="M18" s="84">
        <v>126</v>
      </c>
      <c r="N18" s="86">
        <f t="shared" ref="N18:N28" si="2">M18-L18</f>
        <v>44</v>
      </c>
    </row>
    <row r="19" spans="1:14" ht="16" x14ac:dyDescent="0.2">
      <c r="A19"/>
      <c r="B19" s="83" t="s">
        <v>19</v>
      </c>
      <c r="C19" s="84"/>
      <c r="D19" s="84">
        <v>78</v>
      </c>
      <c r="E19" s="84">
        <v>43</v>
      </c>
      <c r="F19" s="84">
        <v>95</v>
      </c>
      <c r="G19" s="84">
        <v>68</v>
      </c>
      <c r="H19" s="87">
        <v>69</v>
      </c>
      <c r="I19" s="84">
        <v>78</v>
      </c>
      <c r="J19" s="84">
        <v>106</v>
      </c>
      <c r="K19" s="84">
        <v>112</v>
      </c>
      <c r="L19" s="84">
        <v>142</v>
      </c>
      <c r="M19" s="84">
        <v>141</v>
      </c>
      <c r="N19" s="85">
        <f t="shared" si="2"/>
        <v>-1</v>
      </c>
    </row>
    <row r="20" spans="1:14" ht="16" x14ac:dyDescent="0.2">
      <c r="A20"/>
      <c r="B20" s="83" t="s">
        <v>18</v>
      </c>
      <c r="C20" s="84"/>
      <c r="D20" s="84">
        <v>68</v>
      </c>
      <c r="E20" s="84">
        <v>83</v>
      </c>
      <c r="F20" s="84">
        <v>66</v>
      </c>
      <c r="G20" s="84">
        <v>62</v>
      </c>
      <c r="H20" s="87">
        <v>0</v>
      </c>
      <c r="I20" s="84">
        <v>105</v>
      </c>
      <c r="J20" s="84">
        <v>93</v>
      </c>
      <c r="K20" s="84">
        <v>146</v>
      </c>
      <c r="L20" s="84">
        <v>133</v>
      </c>
      <c r="M20" s="84">
        <v>110</v>
      </c>
      <c r="N20" s="85">
        <f t="shared" si="2"/>
        <v>-23</v>
      </c>
    </row>
    <row r="21" spans="1:14" ht="16" x14ac:dyDescent="0.2">
      <c r="A21"/>
      <c r="B21" s="83" t="s">
        <v>17</v>
      </c>
      <c r="C21" s="84"/>
      <c r="D21" s="84">
        <v>67</v>
      </c>
      <c r="E21" s="84">
        <v>84</v>
      </c>
      <c r="F21" s="84">
        <v>82</v>
      </c>
      <c r="G21" s="84">
        <v>72</v>
      </c>
      <c r="H21" s="87">
        <v>0</v>
      </c>
      <c r="I21" s="84">
        <v>98</v>
      </c>
      <c r="J21" s="84">
        <v>103</v>
      </c>
      <c r="K21" s="84">
        <v>110</v>
      </c>
      <c r="L21" s="84">
        <v>95</v>
      </c>
      <c r="M21" s="84">
        <v>167</v>
      </c>
      <c r="N21" s="86">
        <f t="shared" si="2"/>
        <v>72</v>
      </c>
    </row>
    <row r="22" spans="1:14" ht="16" x14ac:dyDescent="0.2">
      <c r="A22"/>
      <c r="B22" s="83" t="s">
        <v>16</v>
      </c>
      <c r="C22" s="84"/>
      <c r="D22" s="84">
        <v>49</v>
      </c>
      <c r="E22" s="84">
        <v>34</v>
      </c>
      <c r="F22" s="84">
        <v>93</v>
      </c>
      <c r="G22" s="84">
        <v>90</v>
      </c>
      <c r="H22" s="84">
        <v>6</v>
      </c>
      <c r="I22" s="84">
        <v>54</v>
      </c>
      <c r="J22" s="84">
        <v>79</v>
      </c>
      <c r="K22" s="84">
        <v>141</v>
      </c>
      <c r="L22" s="84">
        <v>138</v>
      </c>
      <c r="M22" s="84"/>
      <c r="N22" s="88">
        <f t="shared" si="2"/>
        <v>-138</v>
      </c>
    </row>
    <row r="23" spans="1:14" ht="16" x14ac:dyDescent="0.2">
      <c r="A23"/>
      <c r="B23" s="83" t="s">
        <v>15</v>
      </c>
      <c r="C23" s="84"/>
      <c r="D23" s="84">
        <v>49</v>
      </c>
      <c r="E23" s="84">
        <v>51</v>
      </c>
      <c r="F23" s="84">
        <v>83</v>
      </c>
      <c r="G23" s="84">
        <v>103</v>
      </c>
      <c r="H23" s="84">
        <v>19</v>
      </c>
      <c r="I23" s="84">
        <v>66</v>
      </c>
      <c r="J23" s="84">
        <v>110</v>
      </c>
      <c r="K23" s="84">
        <v>150</v>
      </c>
      <c r="L23" s="84">
        <v>150</v>
      </c>
      <c r="M23" s="84"/>
      <c r="N23" s="88">
        <f t="shared" si="2"/>
        <v>-150</v>
      </c>
    </row>
    <row r="24" spans="1:14" ht="16" x14ac:dyDescent="0.2">
      <c r="A24"/>
      <c r="B24" s="83" t="s">
        <v>2</v>
      </c>
      <c r="C24" s="84"/>
      <c r="D24" s="84">
        <v>36</v>
      </c>
      <c r="E24" s="84">
        <v>65</v>
      </c>
      <c r="F24" s="84">
        <v>110</v>
      </c>
      <c r="G24" s="84">
        <v>118</v>
      </c>
      <c r="H24" s="84">
        <v>52</v>
      </c>
      <c r="I24" s="84">
        <v>84</v>
      </c>
      <c r="J24" s="84">
        <v>101</v>
      </c>
      <c r="K24" s="84">
        <v>142</v>
      </c>
      <c r="L24" s="84">
        <v>149</v>
      </c>
      <c r="M24" s="84"/>
      <c r="N24" s="88">
        <f t="shared" si="2"/>
        <v>-149</v>
      </c>
    </row>
    <row r="25" spans="1:14" ht="16" x14ac:dyDescent="0.2">
      <c r="A25"/>
      <c r="B25" s="83" t="s">
        <v>3</v>
      </c>
      <c r="C25" s="84">
        <v>9</v>
      </c>
      <c r="D25" s="84">
        <v>24</v>
      </c>
      <c r="E25" s="84">
        <v>84</v>
      </c>
      <c r="F25" s="84">
        <v>70</v>
      </c>
      <c r="G25" s="84">
        <v>89</v>
      </c>
      <c r="H25" s="84">
        <v>67</v>
      </c>
      <c r="I25" s="84">
        <v>66</v>
      </c>
      <c r="J25" s="84">
        <v>97</v>
      </c>
      <c r="K25" s="84">
        <v>118</v>
      </c>
      <c r="L25" s="84">
        <v>131</v>
      </c>
      <c r="M25" s="84"/>
      <c r="N25" s="88">
        <f t="shared" si="2"/>
        <v>-131</v>
      </c>
    </row>
    <row r="26" spans="1:14" ht="16" x14ac:dyDescent="0.2">
      <c r="A26"/>
      <c r="B26" s="83" t="s">
        <v>14</v>
      </c>
      <c r="C26" s="84">
        <v>15</v>
      </c>
      <c r="D26" s="84">
        <v>37</v>
      </c>
      <c r="E26" s="84">
        <v>70</v>
      </c>
      <c r="F26" s="84">
        <v>81</v>
      </c>
      <c r="G26" s="84">
        <v>94</v>
      </c>
      <c r="H26" s="84">
        <v>87</v>
      </c>
      <c r="I26" s="84">
        <v>86</v>
      </c>
      <c r="J26" s="84">
        <v>113</v>
      </c>
      <c r="K26" s="84">
        <v>101</v>
      </c>
      <c r="L26" s="84">
        <v>130</v>
      </c>
      <c r="M26" s="84"/>
      <c r="N26" s="88">
        <f t="shared" si="2"/>
        <v>-130</v>
      </c>
    </row>
    <row r="27" spans="1:14" ht="16" x14ac:dyDescent="0.2">
      <c r="A27"/>
      <c r="B27" s="83" t="s">
        <v>13</v>
      </c>
      <c r="C27" s="84">
        <v>10</v>
      </c>
      <c r="D27" s="84">
        <v>50</v>
      </c>
      <c r="E27" s="84">
        <v>70</v>
      </c>
      <c r="F27" s="84">
        <v>101</v>
      </c>
      <c r="G27" s="84">
        <v>119</v>
      </c>
      <c r="H27" s="84">
        <v>101</v>
      </c>
      <c r="I27" s="84">
        <v>101</v>
      </c>
      <c r="J27" s="84">
        <v>132</v>
      </c>
      <c r="K27" s="84">
        <v>126</v>
      </c>
      <c r="L27" s="84">
        <v>124</v>
      </c>
      <c r="M27" s="84"/>
      <c r="N27" s="88">
        <f t="shared" si="2"/>
        <v>-124</v>
      </c>
    </row>
    <row r="28" spans="1:14" ht="17" thickBot="1" x14ac:dyDescent="0.25">
      <c r="A28"/>
      <c r="B28" s="89" t="s">
        <v>12</v>
      </c>
      <c r="C28" s="90">
        <v>46</v>
      </c>
      <c r="D28" s="90">
        <v>61</v>
      </c>
      <c r="E28" s="90">
        <v>44</v>
      </c>
      <c r="F28" s="90">
        <v>133</v>
      </c>
      <c r="G28" s="90">
        <v>116</v>
      </c>
      <c r="H28" s="90">
        <v>91</v>
      </c>
      <c r="I28" s="90">
        <v>105</v>
      </c>
      <c r="J28" s="90">
        <v>102</v>
      </c>
      <c r="K28" s="90">
        <v>128</v>
      </c>
      <c r="L28" s="90">
        <v>84</v>
      </c>
      <c r="M28" s="90"/>
      <c r="N28" s="91">
        <f t="shared" si="2"/>
        <v>-84</v>
      </c>
    </row>
    <row r="29" spans="1:14" ht="16" x14ac:dyDescent="0.2">
      <c r="A29"/>
      <c r="B29" s="92" t="s">
        <v>8</v>
      </c>
      <c r="C29" s="93">
        <f t="shared" ref="C29:L29" si="3">SUM(C17:C28)</f>
        <v>80</v>
      </c>
      <c r="D29" s="93">
        <f t="shared" si="3"/>
        <v>637</v>
      </c>
      <c r="E29" s="93">
        <f t="shared" si="3"/>
        <v>704</v>
      </c>
      <c r="F29" s="93">
        <f t="shared" si="3"/>
        <v>1093</v>
      </c>
      <c r="G29" s="93">
        <f t="shared" si="3"/>
        <v>1132</v>
      </c>
      <c r="H29" s="93">
        <f t="shared" si="3"/>
        <v>657</v>
      </c>
      <c r="I29" s="93">
        <f t="shared" si="3"/>
        <v>925</v>
      </c>
      <c r="J29" s="93">
        <f t="shared" si="3"/>
        <v>1218</v>
      </c>
      <c r="K29" s="93">
        <f t="shared" si="3"/>
        <v>1458</v>
      </c>
      <c r="L29" s="93">
        <f t="shared" si="3"/>
        <v>1483</v>
      </c>
      <c r="M29" s="93">
        <f>SUM(M17:M28)</f>
        <v>608</v>
      </c>
      <c r="N29" s="94">
        <f>M29-L29</f>
        <v>-875</v>
      </c>
    </row>
    <row r="30" spans="1:14" ht="5" customHeight="1" x14ac:dyDescent="0.2">
      <c r="A30"/>
      <c r="B30" s="77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9"/>
    </row>
    <row r="31" spans="1:14" ht="16" x14ac:dyDescent="0.2">
      <c r="A31"/>
      <c r="B31" s="95" t="s">
        <v>6</v>
      </c>
      <c r="C31" s="96">
        <v>2015</v>
      </c>
      <c r="D31" s="96">
        <v>2016</v>
      </c>
      <c r="E31" s="96">
        <v>2017</v>
      </c>
      <c r="F31" s="96">
        <v>2018</v>
      </c>
      <c r="G31" s="96">
        <v>2019</v>
      </c>
      <c r="H31" s="96">
        <v>2020</v>
      </c>
      <c r="I31" s="96">
        <v>2021</v>
      </c>
      <c r="J31" s="96">
        <v>2022</v>
      </c>
      <c r="K31" s="96">
        <v>2023</v>
      </c>
      <c r="L31" s="96">
        <v>2024</v>
      </c>
      <c r="M31" s="96">
        <v>2025</v>
      </c>
      <c r="N31" s="63" t="s">
        <v>24</v>
      </c>
    </row>
    <row r="32" spans="1:14" ht="16" x14ac:dyDescent="0.2">
      <c r="A32"/>
      <c r="B32" s="97" t="s">
        <v>21</v>
      </c>
      <c r="C32" s="98"/>
      <c r="D32" s="98">
        <f t="shared" ref="D32:M32" si="4">(D17/217)</f>
        <v>0.29032258064516131</v>
      </c>
      <c r="E32" s="98">
        <f t="shared" si="4"/>
        <v>0.1152073732718894</v>
      </c>
      <c r="F32" s="98">
        <f t="shared" si="4"/>
        <v>0.43317972350230416</v>
      </c>
      <c r="G32" s="98">
        <f t="shared" si="4"/>
        <v>0.58986175115207373</v>
      </c>
      <c r="H32" s="98">
        <f t="shared" si="4"/>
        <v>0.30875576036866359</v>
      </c>
      <c r="I32" s="98">
        <f t="shared" si="4"/>
        <v>0.20276497695852536</v>
      </c>
      <c r="J32" s="98">
        <f t="shared" si="4"/>
        <v>0.45622119815668205</v>
      </c>
      <c r="K32" s="98">
        <f t="shared" si="4"/>
        <v>0.41935483870967744</v>
      </c>
      <c r="L32" s="98">
        <f t="shared" si="4"/>
        <v>0.57603686635944695</v>
      </c>
      <c r="M32" s="98">
        <f t="shared" si="4"/>
        <v>0.29493087557603687</v>
      </c>
      <c r="N32" s="99">
        <f>M32-L32</f>
        <v>-0.28110599078341009</v>
      </c>
    </row>
    <row r="33" spans="1:14" ht="16" x14ac:dyDescent="0.2">
      <c r="A33"/>
      <c r="B33" s="97" t="s">
        <v>20</v>
      </c>
      <c r="C33" s="98"/>
      <c r="D33" s="98">
        <f>(D18/203)</f>
        <v>0.27093596059113301</v>
      </c>
      <c r="E33" s="98">
        <f>(E18/196)</f>
        <v>0.26020408163265307</v>
      </c>
      <c r="F33" s="98">
        <f>(F18/196)</f>
        <v>0.43367346938775508</v>
      </c>
      <c r="G33" s="98">
        <f>(G18/196)</f>
        <v>0.37244897959183676</v>
      </c>
      <c r="H33" s="98">
        <f>(H18/203)</f>
        <v>0.48275862068965519</v>
      </c>
      <c r="I33" s="98">
        <f>(I18/196)</f>
        <v>0.19387755102040816</v>
      </c>
      <c r="J33" s="98">
        <f>(J18/196)</f>
        <v>0.42346938775510207</v>
      </c>
      <c r="K33" s="98">
        <f>(K18/196)</f>
        <v>0.47448979591836737</v>
      </c>
      <c r="L33" s="98">
        <f>(L18/203)</f>
        <v>0.4039408866995074</v>
      </c>
      <c r="M33" s="98">
        <f>(M18/196)</f>
        <v>0.6428571428571429</v>
      </c>
      <c r="N33" s="100">
        <f t="shared" ref="N33:N43" si="5">M33-L33</f>
        <v>0.23891625615763551</v>
      </c>
    </row>
    <row r="34" spans="1:14" ht="16" x14ac:dyDescent="0.2">
      <c r="A34"/>
      <c r="B34" s="97" t="s">
        <v>19</v>
      </c>
      <c r="C34" s="98"/>
      <c r="D34" s="98">
        <f t="shared" ref="D34:M34" si="6">(D19/217)</f>
        <v>0.35944700460829493</v>
      </c>
      <c r="E34" s="98">
        <f t="shared" si="6"/>
        <v>0.19815668202764977</v>
      </c>
      <c r="F34" s="98">
        <f t="shared" si="6"/>
        <v>0.43778801843317972</v>
      </c>
      <c r="G34" s="98">
        <f t="shared" si="6"/>
        <v>0.31336405529953915</v>
      </c>
      <c r="H34" s="101">
        <f t="shared" si="6"/>
        <v>0.31797235023041476</v>
      </c>
      <c r="I34" s="98">
        <f t="shared" si="6"/>
        <v>0.35944700460829493</v>
      </c>
      <c r="J34" s="98">
        <f t="shared" si="6"/>
        <v>0.48847926267281105</v>
      </c>
      <c r="K34" s="98">
        <f t="shared" si="6"/>
        <v>0.5161290322580645</v>
      </c>
      <c r="L34" s="98">
        <f t="shared" si="6"/>
        <v>0.65437788018433185</v>
      </c>
      <c r="M34" s="98">
        <f t="shared" si="6"/>
        <v>0.64976958525345618</v>
      </c>
      <c r="N34" s="99">
        <f t="shared" si="5"/>
        <v>-4.6082949308756671E-3</v>
      </c>
    </row>
    <row r="35" spans="1:14" ht="16" x14ac:dyDescent="0.2">
      <c r="A35"/>
      <c r="B35" s="97" t="s">
        <v>18</v>
      </c>
      <c r="C35" s="98"/>
      <c r="D35" s="98">
        <f t="shared" ref="D35:M35" si="7">(D20/210)</f>
        <v>0.32380952380952382</v>
      </c>
      <c r="E35" s="98">
        <f t="shared" si="7"/>
        <v>0.39523809523809522</v>
      </c>
      <c r="F35" s="98">
        <f t="shared" si="7"/>
        <v>0.31428571428571428</v>
      </c>
      <c r="G35" s="98">
        <f t="shared" si="7"/>
        <v>0.29523809523809524</v>
      </c>
      <c r="H35" s="101">
        <f t="shared" si="7"/>
        <v>0</v>
      </c>
      <c r="I35" s="98">
        <f t="shared" si="7"/>
        <v>0.5</v>
      </c>
      <c r="J35" s="98">
        <f t="shared" si="7"/>
        <v>0.44285714285714284</v>
      </c>
      <c r="K35" s="98">
        <f t="shared" si="7"/>
        <v>0.69523809523809521</v>
      </c>
      <c r="L35" s="98">
        <f t="shared" si="7"/>
        <v>0.6333333333333333</v>
      </c>
      <c r="M35" s="98">
        <f t="shared" si="7"/>
        <v>0.52380952380952384</v>
      </c>
      <c r="N35" s="99">
        <f t="shared" si="5"/>
        <v>-0.10952380952380947</v>
      </c>
    </row>
    <row r="36" spans="1:14" ht="16" x14ac:dyDescent="0.2">
      <c r="A36"/>
      <c r="B36" s="97" t="s">
        <v>17</v>
      </c>
      <c r="C36" s="98"/>
      <c r="D36" s="98">
        <f t="shared" ref="D36:M36" si="8">(D21/217)</f>
        <v>0.30875576036866359</v>
      </c>
      <c r="E36" s="98">
        <f t="shared" si="8"/>
        <v>0.38709677419354838</v>
      </c>
      <c r="F36" s="98">
        <f t="shared" si="8"/>
        <v>0.37788018433179721</v>
      </c>
      <c r="G36" s="98">
        <f t="shared" si="8"/>
        <v>0.33179723502304148</v>
      </c>
      <c r="H36" s="101">
        <f t="shared" si="8"/>
        <v>0</v>
      </c>
      <c r="I36" s="98">
        <f t="shared" si="8"/>
        <v>0.45161290322580644</v>
      </c>
      <c r="J36" s="98">
        <f t="shared" si="8"/>
        <v>0.47465437788018433</v>
      </c>
      <c r="K36" s="98">
        <f t="shared" si="8"/>
        <v>0.50691244239631339</v>
      </c>
      <c r="L36" s="98">
        <f t="shared" si="8"/>
        <v>0.43778801843317972</v>
      </c>
      <c r="M36" s="98">
        <f t="shared" si="8"/>
        <v>0.7695852534562212</v>
      </c>
      <c r="N36" s="100">
        <f t="shared" si="5"/>
        <v>0.33179723502304148</v>
      </c>
    </row>
    <row r="37" spans="1:14" ht="16" x14ac:dyDescent="0.2">
      <c r="A37"/>
      <c r="B37" s="97" t="s">
        <v>16</v>
      </c>
      <c r="C37" s="98"/>
      <c r="D37" s="98">
        <f t="shared" ref="D37:M37" si="9">(D22/210)</f>
        <v>0.23333333333333334</v>
      </c>
      <c r="E37" s="98">
        <f t="shared" si="9"/>
        <v>0.16190476190476191</v>
      </c>
      <c r="F37" s="98">
        <f t="shared" si="9"/>
        <v>0.44285714285714284</v>
      </c>
      <c r="G37" s="98">
        <f t="shared" si="9"/>
        <v>0.42857142857142855</v>
      </c>
      <c r="H37" s="98">
        <f t="shared" si="9"/>
        <v>2.8571428571428571E-2</v>
      </c>
      <c r="I37" s="98">
        <f t="shared" si="9"/>
        <v>0.25714285714285712</v>
      </c>
      <c r="J37" s="98">
        <f t="shared" si="9"/>
        <v>0.37619047619047619</v>
      </c>
      <c r="K37" s="98">
        <f t="shared" si="9"/>
        <v>0.67142857142857137</v>
      </c>
      <c r="L37" s="98">
        <f t="shared" si="9"/>
        <v>0.65714285714285714</v>
      </c>
      <c r="M37" s="98">
        <f t="shared" si="9"/>
        <v>0</v>
      </c>
      <c r="N37" s="102">
        <f t="shared" si="5"/>
        <v>-0.65714285714285714</v>
      </c>
    </row>
    <row r="38" spans="1:14" ht="16" x14ac:dyDescent="0.2">
      <c r="A38"/>
      <c r="B38" s="97" t="s">
        <v>15</v>
      </c>
      <c r="C38" s="98"/>
      <c r="D38" s="98">
        <f t="shared" ref="D38:M39" si="10">(D23/217)</f>
        <v>0.22580645161290322</v>
      </c>
      <c r="E38" s="98">
        <f t="shared" si="10"/>
        <v>0.23502304147465439</v>
      </c>
      <c r="F38" s="98">
        <f t="shared" si="10"/>
        <v>0.38248847926267282</v>
      </c>
      <c r="G38" s="98">
        <f t="shared" si="10"/>
        <v>0.47465437788018433</v>
      </c>
      <c r="H38" s="98">
        <f t="shared" si="10"/>
        <v>8.755760368663594E-2</v>
      </c>
      <c r="I38" s="98">
        <f t="shared" si="10"/>
        <v>0.30414746543778803</v>
      </c>
      <c r="J38" s="98">
        <f t="shared" si="10"/>
        <v>0.50691244239631339</v>
      </c>
      <c r="K38" s="98">
        <f t="shared" si="10"/>
        <v>0.69124423963133641</v>
      </c>
      <c r="L38" s="98">
        <f t="shared" si="10"/>
        <v>0.69124423963133641</v>
      </c>
      <c r="M38" s="98">
        <f t="shared" si="10"/>
        <v>0</v>
      </c>
      <c r="N38" s="102">
        <f t="shared" si="5"/>
        <v>-0.69124423963133641</v>
      </c>
    </row>
    <row r="39" spans="1:14" ht="16" x14ac:dyDescent="0.2">
      <c r="A39"/>
      <c r="B39" s="97" t="s">
        <v>2</v>
      </c>
      <c r="C39" s="98"/>
      <c r="D39" s="98">
        <f t="shared" si="10"/>
        <v>0.16589861751152074</v>
      </c>
      <c r="E39" s="98">
        <f t="shared" si="10"/>
        <v>0.29953917050691242</v>
      </c>
      <c r="F39" s="98">
        <f t="shared" si="10"/>
        <v>0.50691244239631339</v>
      </c>
      <c r="G39" s="98">
        <f t="shared" si="10"/>
        <v>0.54377880184331795</v>
      </c>
      <c r="H39" s="98">
        <f t="shared" si="10"/>
        <v>0.23963133640552994</v>
      </c>
      <c r="I39" s="98">
        <f t="shared" si="10"/>
        <v>0.38709677419354838</v>
      </c>
      <c r="J39" s="98">
        <f t="shared" si="10"/>
        <v>0.46543778801843316</v>
      </c>
      <c r="K39" s="98">
        <f t="shared" si="10"/>
        <v>0.65437788018433185</v>
      </c>
      <c r="L39" s="98">
        <f t="shared" si="10"/>
        <v>0.68663594470046085</v>
      </c>
      <c r="M39" s="98">
        <f t="shared" si="10"/>
        <v>0</v>
      </c>
      <c r="N39" s="102">
        <f t="shared" si="5"/>
        <v>-0.68663594470046085</v>
      </c>
    </row>
    <row r="40" spans="1:14" ht="16" x14ac:dyDescent="0.2">
      <c r="A40"/>
      <c r="B40" s="97" t="s">
        <v>3</v>
      </c>
      <c r="C40" s="98">
        <f>(C25/210)</f>
        <v>4.2857142857142858E-2</v>
      </c>
      <c r="D40" s="98">
        <f t="shared" ref="D40:M40" si="11">(D25/210)</f>
        <v>0.11428571428571428</v>
      </c>
      <c r="E40" s="98">
        <f t="shared" si="11"/>
        <v>0.4</v>
      </c>
      <c r="F40" s="98">
        <f t="shared" si="11"/>
        <v>0.33333333333333331</v>
      </c>
      <c r="G40" s="98">
        <f t="shared" si="11"/>
        <v>0.4238095238095238</v>
      </c>
      <c r="H40" s="98">
        <f t="shared" si="11"/>
        <v>0.31904761904761902</v>
      </c>
      <c r="I40" s="98">
        <f t="shared" si="11"/>
        <v>0.31428571428571428</v>
      </c>
      <c r="J40" s="98">
        <f t="shared" si="11"/>
        <v>0.46190476190476193</v>
      </c>
      <c r="K40" s="98">
        <f t="shared" si="11"/>
        <v>0.56190476190476191</v>
      </c>
      <c r="L40" s="98">
        <f t="shared" si="11"/>
        <v>0.62380952380952381</v>
      </c>
      <c r="M40" s="98">
        <f t="shared" si="11"/>
        <v>0</v>
      </c>
      <c r="N40" s="102">
        <f t="shared" si="5"/>
        <v>-0.62380952380952381</v>
      </c>
    </row>
    <row r="41" spans="1:14" ht="16" x14ac:dyDescent="0.2">
      <c r="A41"/>
      <c r="B41" s="97" t="s">
        <v>14</v>
      </c>
      <c r="C41" s="98">
        <f t="shared" ref="C41:M41" si="12">(C26/217)</f>
        <v>6.9124423963133647E-2</v>
      </c>
      <c r="D41" s="98">
        <f t="shared" si="12"/>
        <v>0.17050691244239632</v>
      </c>
      <c r="E41" s="98">
        <f t="shared" si="12"/>
        <v>0.32258064516129031</v>
      </c>
      <c r="F41" s="98">
        <f t="shared" si="12"/>
        <v>0.37327188940092165</v>
      </c>
      <c r="G41" s="98">
        <f t="shared" si="12"/>
        <v>0.43317972350230416</v>
      </c>
      <c r="H41" s="98">
        <f t="shared" si="12"/>
        <v>0.4009216589861751</v>
      </c>
      <c r="I41" s="98">
        <f t="shared" si="12"/>
        <v>0.39631336405529954</v>
      </c>
      <c r="J41" s="98">
        <f t="shared" si="12"/>
        <v>0.52073732718894006</v>
      </c>
      <c r="K41" s="98">
        <f t="shared" si="12"/>
        <v>0.46543778801843316</v>
      </c>
      <c r="L41" s="98">
        <f t="shared" si="12"/>
        <v>0.59907834101382484</v>
      </c>
      <c r="M41" s="98">
        <f t="shared" si="12"/>
        <v>0</v>
      </c>
      <c r="N41" s="102">
        <f t="shared" si="5"/>
        <v>-0.59907834101382484</v>
      </c>
    </row>
    <row r="42" spans="1:14" ht="16" x14ac:dyDescent="0.2">
      <c r="A42"/>
      <c r="B42" s="97" t="s">
        <v>13</v>
      </c>
      <c r="C42" s="98">
        <f>(C27/210)</f>
        <v>4.7619047619047616E-2</v>
      </c>
      <c r="D42" s="98">
        <f t="shared" ref="D42:M42" si="13">(D27/210)</f>
        <v>0.23809523809523808</v>
      </c>
      <c r="E42" s="98">
        <f t="shared" si="13"/>
        <v>0.33333333333333331</v>
      </c>
      <c r="F42" s="98">
        <f t="shared" si="13"/>
        <v>0.48095238095238096</v>
      </c>
      <c r="G42" s="98">
        <f t="shared" si="13"/>
        <v>0.56666666666666665</v>
      </c>
      <c r="H42" s="98">
        <f t="shared" si="13"/>
        <v>0.48095238095238096</v>
      </c>
      <c r="I42" s="98">
        <f t="shared" si="13"/>
        <v>0.48095238095238096</v>
      </c>
      <c r="J42" s="98">
        <f t="shared" si="13"/>
        <v>0.62857142857142856</v>
      </c>
      <c r="K42" s="98">
        <f t="shared" si="13"/>
        <v>0.6</v>
      </c>
      <c r="L42" s="98">
        <f t="shared" si="13"/>
        <v>0.59047619047619049</v>
      </c>
      <c r="M42" s="98">
        <f t="shared" si="13"/>
        <v>0</v>
      </c>
      <c r="N42" s="102">
        <f t="shared" si="5"/>
        <v>-0.59047619047619049</v>
      </c>
    </row>
    <row r="43" spans="1:14" ht="17" thickBot="1" x14ac:dyDescent="0.25">
      <c r="A43"/>
      <c r="B43" s="103" t="s">
        <v>12</v>
      </c>
      <c r="C43" s="104">
        <f t="shared" ref="C43:M43" si="14">(C28/217)</f>
        <v>0.2119815668202765</v>
      </c>
      <c r="D43" s="104">
        <f t="shared" si="14"/>
        <v>0.28110599078341014</v>
      </c>
      <c r="E43" s="104">
        <f t="shared" si="14"/>
        <v>0.20276497695852536</v>
      </c>
      <c r="F43" s="104">
        <f t="shared" si="14"/>
        <v>0.61290322580645162</v>
      </c>
      <c r="G43" s="104">
        <f t="shared" si="14"/>
        <v>0.53456221198156684</v>
      </c>
      <c r="H43" s="104">
        <f t="shared" si="14"/>
        <v>0.41935483870967744</v>
      </c>
      <c r="I43" s="104">
        <f t="shared" si="14"/>
        <v>0.4838709677419355</v>
      </c>
      <c r="J43" s="104">
        <f t="shared" si="14"/>
        <v>0.47004608294930877</v>
      </c>
      <c r="K43" s="104">
        <f t="shared" si="14"/>
        <v>0.58986175115207373</v>
      </c>
      <c r="L43" s="104">
        <f t="shared" si="14"/>
        <v>0.38709677419354838</v>
      </c>
      <c r="M43" s="104">
        <f t="shared" si="14"/>
        <v>0</v>
      </c>
      <c r="N43" s="105">
        <f t="shared" si="5"/>
        <v>-0.38709677419354838</v>
      </c>
    </row>
    <row r="44" spans="1:14" ht="16" x14ac:dyDescent="0.2">
      <c r="A44"/>
      <c r="B44" s="106" t="s">
        <v>35</v>
      </c>
      <c r="C44" s="107">
        <f>SUM(C32:C43)/12</f>
        <v>3.0965181771633387E-2</v>
      </c>
      <c r="D44" s="108">
        <f t="shared" ref="D44:L44" si="15">SUM(D32:D43)/12</f>
        <v>0.24852525734060774</v>
      </c>
      <c r="E44" s="108">
        <f t="shared" si="15"/>
        <v>0.27592074464194283</v>
      </c>
      <c r="F44" s="108">
        <f t="shared" si="15"/>
        <v>0.42746050032916388</v>
      </c>
      <c r="G44" s="108">
        <f t="shared" si="15"/>
        <v>0.44232773754663146</v>
      </c>
      <c r="H44" s="108">
        <f t="shared" si="15"/>
        <v>0.25712696647068173</v>
      </c>
      <c r="I44" s="108">
        <f t="shared" si="15"/>
        <v>0.36095932996854657</v>
      </c>
      <c r="J44" s="108">
        <f t="shared" si="15"/>
        <v>0.47629013971179873</v>
      </c>
      <c r="K44" s="108">
        <f t="shared" si="15"/>
        <v>0.57053159973666878</v>
      </c>
      <c r="L44" s="108">
        <f t="shared" si="15"/>
        <v>0.57841340466479507</v>
      </c>
      <c r="M44" s="108">
        <f>SUM(M32:M43)/12</f>
        <v>0.24007936507936509</v>
      </c>
      <c r="N44" s="109">
        <f>M44-L44</f>
        <v>-0.33833403958542996</v>
      </c>
    </row>
    <row r="45" spans="1:14" ht="5" customHeight="1" x14ac:dyDescent="0.2">
      <c r="A45"/>
      <c r="B45" s="77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9"/>
    </row>
    <row r="46" spans="1:14" ht="16" x14ac:dyDescent="0.2">
      <c r="A46"/>
      <c r="B46" s="110" t="s">
        <v>5</v>
      </c>
      <c r="C46" s="111">
        <v>2015</v>
      </c>
      <c r="D46" s="111">
        <v>2016</v>
      </c>
      <c r="E46" s="111">
        <v>2017</v>
      </c>
      <c r="F46" s="111">
        <v>2018</v>
      </c>
      <c r="G46" s="111">
        <v>2019</v>
      </c>
      <c r="H46" s="111">
        <v>2020</v>
      </c>
      <c r="I46" s="111">
        <v>2021</v>
      </c>
      <c r="J46" s="111">
        <v>2022</v>
      </c>
      <c r="K46" s="111">
        <v>2023</v>
      </c>
      <c r="L46" s="111">
        <v>2024</v>
      </c>
      <c r="M46" s="111">
        <v>2025</v>
      </c>
      <c r="N46" s="63" t="s">
        <v>24</v>
      </c>
    </row>
    <row r="47" spans="1:14" ht="16" x14ac:dyDescent="0.2">
      <c r="A47"/>
      <c r="B47" s="112" t="s">
        <v>21</v>
      </c>
      <c r="C47" s="113"/>
      <c r="D47" s="114">
        <f t="shared" ref="D47:M58" si="16">D2/D17</f>
        <v>1320.5555555555557</v>
      </c>
      <c r="E47" s="114">
        <f t="shared" si="16"/>
        <v>1485.6</v>
      </c>
      <c r="F47" s="114">
        <f t="shared" si="16"/>
        <v>1097.0744680851064</v>
      </c>
      <c r="G47" s="114">
        <f t="shared" si="16"/>
        <v>1067.904296875</v>
      </c>
      <c r="H47" s="114">
        <f t="shared" si="16"/>
        <v>1205.9373134328359</v>
      </c>
      <c r="I47" s="114">
        <f t="shared" si="16"/>
        <v>1908.8125</v>
      </c>
      <c r="J47" s="114">
        <f t="shared" si="16"/>
        <v>936.72666666666669</v>
      </c>
      <c r="K47" s="114">
        <f t="shared" si="16"/>
        <v>2016.1202197802197</v>
      </c>
      <c r="L47" s="114">
        <f t="shared" si="16"/>
        <v>2390.444</v>
      </c>
      <c r="M47" s="114">
        <f t="shared" si="16"/>
        <v>2231.0478125</v>
      </c>
      <c r="N47" s="115">
        <f>M47-L47</f>
        <v>-159.3961875</v>
      </c>
    </row>
    <row r="48" spans="1:14" ht="16" x14ac:dyDescent="0.2">
      <c r="A48"/>
      <c r="B48" s="112" t="s">
        <v>20</v>
      </c>
      <c r="C48" s="113"/>
      <c r="D48" s="114">
        <f t="shared" si="16"/>
        <v>1131.1818181818182</v>
      </c>
      <c r="E48" s="114">
        <f t="shared" si="16"/>
        <v>1321.4705882352941</v>
      </c>
      <c r="F48" s="114">
        <f t="shared" si="16"/>
        <v>1052.2352941176471</v>
      </c>
      <c r="G48" s="114">
        <f t="shared" si="16"/>
        <v>2068.2057534246574</v>
      </c>
      <c r="H48" s="114">
        <f t="shared" si="16"/>
        <v>1485.1835714285714</v>
      </c>
      <c r="I48" s="114">
        <f t="shared" si="16"/>
        <v>545.52105263157898</v>
      </c>
      <c r="J48" s="114">
        <f t="shared" si="16"/>
        <v>1651.4838554216867</v>
      </c>
      <c r="K48" s="114">
        <f t="shared" si="16"/>
        <v>1607.1825806451614</v>
      </c>
      <c r="L48" s="114">
        <f t="shared" si="16"/>
        <v>2075.3128048780486</v>
      </c>
      <c r="M48" s="114">
        <f t="shared" si="16"/>
        <v>2373.54</v>
      </c>
      <c r="N48" s="116">
        <f t="shared" ref="N48:N58" si="17">M48-L48</f>
        <v>298.22719512195135</v>
      </c>
    </row>
    <row r="49" spans="1:14" ht="16" x14ac:dyDescent="0.2">
      <c r="A49"/>
      <c r="B49" s="112" t="s">
        <v>19</v>
      </c>
      <c r="C49" s="113"/>
      <c r="D49" s="114">
        <f t="shared" si="16"/>
        <v>1346.7307692307693</v>
      </c>
      <c r="E49" s="114">
        <f t="shared" si="16"/>
        <v>1603.5116279069769</v>
      </c>
      <c r="F49" s="114">
        <f t="shared" si="16"/>
        <v>1489.8526315789475</v>
      </c>
      <c r="G49" s="114">
        <f t="shared" si="16"/>
        <v>1478.0179411764707</v>
      </c>
      <c r="H49" s="117">
        <f t="shared" si="16"/>
        <v>1456.8188405797102</v>
      </c>
      <c r="I49" s="114">
        <f t="shared" si="16"/>
        <v>1200.1474358974358</v>
      </c>
      <c r="J49" s="114">
        <f t="shared" si="16"/>
        <v>1278.3636792452828</v>
      </c>
      <c r="K49" s="114">
        <f t="shared" si="16"/>
        <v>1696.636607142857</v>
      </c>
      <c r="L49" s="114">
        <f t="shared" si="16"/>
        <v>1948.1880281690142</v>
      </c>
      <c r="M49" s="114">
        <f t="shared" si="16"/>
        <v>2346.9346099290783</v>
      </c>
      <c r="N49" s="116">
        <f t="shared" si="17"/>
        <v>398.74658176006415</v>
      </c>
    </row>
    <row r="50" spans="1:14" ht="16" x14ac:dyDescent="0.2">
      <c r="A50"/>
      <c r="B50" s="112" t="s">
        <v>18</v>
      </c>
      <c r="C50" s="113"/>
      <c r="D50" s="114">
        <f t="shared" si="16"/>
        <v>1572.9411764705883</v>
      </c>
      <c r="E50" s="114">
        <f t="shared" si="16"/>
        <v>1283.6746987951808</v>
      </c>
      <c r="F50" s="114">
        <f t="shared" si="16"/>
        <v>1538.7606060606061</v>
      </c>
      <c r="G50" s="114">
        <f t="shared" si="16"/>
        <v>1550.2032258064517</v>
      </c>
      <c r="H50" s="118">
        <v>0</v>
      </c>
      <c r="I50" s="114">
        <f t="shared" si="16"/>
        <v>1223.5033333333333</v>
      </c>
      <c r="J50" s="114">
        <f t="shared" si="16"/>
        <v>2037.4388172043011</v>
      </c>
      <c r="K50" s="114">
        <f t="shared" si="16"/>
        <v>1529.5866438356163</v>
      </c>
      <c r="L50" s="114">
        <f t="shared" si="16"/>
        <v>2202.7548872180455</v>
      </c>
      <c r="M50" s="114">
        <f t="shared" si="16"/>
        <v>2278.4081818181817</v>
      </c>
      <c r="N50" s="116">
        <f t="shared" si="17"/>
        <v>75.653294600136178</v>
      </c>
    </row>
    <row r="51" spans="1:14" ht="16" x14ac:dyDescent="0.2">
      <c r="A51"/>
      <c r="B51" s="112" t="s">
        <v>17</v>
      </c>
      <c r="C51" s="113"/>
      <c r="D51" s="114">
        <f t="shared" si="16"/>
        <v>1644.0298507462687</v>
      </c>
      <c r="E51" s="114">
        <f t="shared" si="16"/>
        <v>1086.6071428571429</v>
      </c>
      <c r="F51" s="114">
        <f t="shared" si="16"/>
        <v>1623.1707317073171</v>
      </c>
      <c r="G51" s="114">
        <f t="shared" si="16"/>
        <v>1564.9281944444444</v>
      </c>
      <c r="H51" s="118">
        <v>0</v>
      </c>
      <c r="I51" s="114">
        <f t="shared" si="16"/>
        <v>833.79510204081635</v>
      </c>
      <c r="J51" s="114">
        <f t="shared" si="16"/>
        <v>1842.4318446601942</v>
      </c>
      <c r="K51" s="114">
        <f t="shared" si="16"/>
        <v>1913.0563636363638</v>
      </c>
      <c r="L51" s="114">
        <f t="shared" si="16"/>
        <v>2032.7636842105262</v>
      </c>
      <c r="M51" s="114">
        <f t="shared" si="16"/>
        <v>2440.6807185628741</v>
      </c>
      <c r="N51" s="116">
        <f t="shared" si="17"/>
        <v>407.91703435234786</v>
      </c>
    </row>
    <row r="52" spans="1:14" ht="16" x14ac:dyDescent="0.2">
      <c r="A52"/>
      <c r="B52" s="112" t="s">
        <v>16</v>
      </c>
      <c r="C52" s="113"/>
      <c r="D52" s="114">
        <f t="shared" si="16"/>
        <v>1658.3673469387754</v>
      </c>
      <c r="E52" s="114">
        <f t="shared" si="16"/>
        <v>1319.1176470588234</v>
      </c>
      <c r="F52" s="114">
        <f t="shared" si="16"/>
        <v>1576.6940860215052</v>
      </c>
      <c r="G52" s="114">
        <f t="shared" si="16"/>
        <v>1487.5483333333334</v>
      </c>
      <c r="H52" s="114">
        <f t="shared" si="16"/>
        <v>1380</v>
      </c>
      <c r="I52" s="114">
        <f t="shared" si="16"/>
        <v>1822.2812962962964</v>
      </c>
      <c r="J52" s="114">
        <f t="shared" si="16"/>
        <v>1898.8791139240507</v>
      </c>
      <c r="K52" s="114">
        <f t="shared" si="16"/>
        <v>1488.1572340425532</v>
      </c>
      <c r="L52" s="114">
        <f t="shared" si="16"/>
        <v>1971.0044927536233</v>
      </c>
      <c r="M52" s="114" t="e">
        <f t="shared" si="16"/>
        <v>#DIV/0!</v>
      </c>
      <c r="N52" s="119" t="e">
        <f t="shared" si="17"/>
        <v>#DIV/0!</v>
      </c>
    </row>
    <row r="53" spans="1:14" ht="16" x14ac:dyDescent="0.2">
      <c r="A53"/>
      <c r="B53" s="112" t="s">
        <v>15</v>
      </c>
      <c r="C53" s="113"/>
      <c r="D53" s="114">
        <f t="shared" si="16"/>
        <v>1796.9387755102041</v>
      </c>
      <c r="E53" s="114">
        <f t="shared" si="16"/>
        <v>1469.1176470588234</v>
      </c>
      <c r="F53" s="114">
        <f t="shared" si="16"/>
        <v>1463.4655421686748</v>
      </c>
      <c r="G53" s="114">
        <f t="shared" si="16"/>
        <v>1754.2126213592232</v>
      </c>
      <c r="H53" s="114">
        <f t="shared" si="16"/>
        <v>555.31578947368416</v>
      </c>
      <c r="I53" s="114">
        <f t="shared" si="16"/>
        <v>1167.3848484848484</v>
      </c>
      <c r="J53" s="114">
        <f t="shared" si="16"/>
        <v>1448.1075454545453</v>
      </c>
      <c r="K53" s="114">
        <f t="shared" si="16"/>
        <v>1885.7968666666668</v>
      </c>
      <c r="L53" s="114">
        <f t="shared" si="16"/>
        <v>2289.2593999999999</v>
      </c>
      <c r="M53" s="114" t="e">
        <f t="shared" si="16"/>
        <v>#DIV/0!</v>
      </c>
      <c r="N53" s="119" t="e">
        <f t="shared" si="17"/>
        <v>#DIV/0!</v>
      </c>
    </row>
    <row r="54" spans="1:14" ht="16" x14ac:dyDescent="0.2">
      <c r="A54"/>
      <c r="B54" s="112" t="s">
        <v>2</v>
      </c>
      <c r="C54" s="113"/>
      <c r="D54" s="114">
        <f t="shared" si="16"/>
        <v>1740.2777777777778</v>
      </c>
      <c r="E54" s="114">
        <f t="shared" si="16"/>
        <v>1935.5546153846153</v>
      </c>
      <c r="F54" s="114">
        <f t="shared" si="16"/>
        <v>1546.4086363636366</v>
      </c>
      <c r="G54" s="114">
        <f t="shared" si="16"/>
        <v>1506.6855932203389</v>
      </c>
      <c r="H54" s="114">
        <f t="shared" si="16"/>
        <v>1591.9384615384615</v>
      </c>
      <c r="I54" s="114">
        <f t="shared" si="16"/>
        <v>1450.8233333333333</v>
      </c>
      <c r="J54" s="114">
        <f t="shared" si="16"/>
        <v>2153.6925742574258</v>
      </c>
      <c r="K54" s="114">
        <f t="shared" si="16"/>
        <v>1925.2078873239439</v>
      </c>
      <c r="L54" s="114">
        <f t="shared" si="16"/>
        <v>2402.148053691275</v>
      </c>
      <c r="M54" s="114" t="e">
        <f t="shared" si="16"/>
        <v>#DIV/0!</v>
      </c>
      <c r="N54" s="119" t="e">
        <f t="shared" si="17"/>
        <v>#DIV/0!</v>
      </c>
    </row>
    <row r="55" spans="1:14" ht="16" x14ac:dyDescent="0.2">
      <c r="A55"/>
      <c r="B55" s="112" t="s">
        <v>3</v>
      </c>
      <c r="C55" s="114">
        <f>C10/C25</f>
        <v>1357.7777777777778</v>
      </c>
      <c r="D55" s="114">
        <f t="shared" si="16"/>
        <v>1447.0833333333333</v>
      </c>
      <c r="E55" s="114">
        <f t="shared" si="16"/>
        <v>1419.3452380952381</v>
      </c>
      <c r="F55" s="114">
        <f t="shared" si="16"/>
        <v>1839.0464285714286</v>
      </c>
      <c r="G55" s="114">
        <f t="shared" si="16"/>
        <v>1522.8696629213482</v>
      </c>
      <c r="H55" s="114">
        <f t="shared" si="16"/>
        <v>900.23955223880603</v>
      </c>
      <c r="I55" s="114">
        <f t="shared" si="16"/>
        <v>1918.4148484848486</v>
      </c>
      <c r="J55" s="114">
        <f t="shared" si="16"/>
        <v>1987.7915463917525</v>
      </c>
      <c r="K55" s="114">
        <f t="shared" si="16"/>
        <v>1936.588813559322</v>
      </c>
      <c r="L55" s="114">
        <f t="shared" si="16"/>
        <v>2421.3118320610683</v>
      </c>
      <c r="M55" s="114" t="e">
        <f t="shared" si="16"/>
        <v>#DIV/0!</v>
      </c>
      <c r="N55" s="119" t="e">
        <f t="shared" si="17"/>
        <v>#DIV/0!</v>
      </c>
    </row>
    <row r="56" spans="1:14" ht="16" x14ac:dyDescent="0.2">
      <c r="A56"/>
      <c r="B56" s="112" t="s">
        <v>14</v>
      </c>
      <c r="C56" s="114">
        <f>C11/C26</f>
        <v>1134</v>
      </c>
      <c r="D56" s="114">
        <f t="shared" si="16"/>
        <v>1615.4054054054054</v>
      </c>
      <c r="E56" s="114">
        <f t="shared" si="16"/>
        <v>1708.9285714285713</v>
      </c>
      <c r="F56" s="114">
        <f t="shared" si="16"/>
        <v>1309.6000000000001</v>
      </c>
      <c r="G56" s="114">
        <f t="shared" si="16"/>
        <v>1465.6123404255318</v>
      </c>
      <c r="H56" s="114">
        <f t="shared" si="16"/>
        <v>1161.7847126436782</v>
      </c>
      <c r="I56" s="114">
        <f t="shared" si="16"/>
        <v>1802.6441860465115</v>
      </c>
      <c r="J56" s="114">
        <f t="shared" si="16"/>
        <v>1280.8488495575223</v>
      </c>
      <c r="K56" s="114">
        <f t="shared" si="16"/>
        <v>1810.9624752475247</v>
      </c>
      <c r="L56" s="114">
        <f t="shared" si="16"/>
        <v>2239.4569230769234</v>
      </c>
      <c r="M56" s="114" t="e">
        <f t="shared" si="16"/>
        <v>#DIV/0!</v>
      </c>
      <c r="N56" s="119" t="e">
        <f t="shared" si="17"/>
        <v>#DIV/0!</v>
      </c>
    </row>
    <row r="57" spans="1:14" ht="16" x14ac:dyDescent="0.2">
      <c r="A57"/>
      <c r="B57" s="112" t="s">
        <v>13</v>
      </c>
      <c r="C57" s="114">
        <f>C12/C27</f>
        <v>1224</v>
      </c>
      <c r="D57" s="114">
        <f t="shared" si="16"/>
        <v>1693.2</v>
      </c>
      <c r="E57" s="114">
        <f t="shared" si="16"/>
        <v>1223.8574285714287</v>
      </c>
      <c r="F57" s="114">
        <f t="shared" si="16"/>
        <v>1561.1920792079206</v>
      </c>
      <c r="G57" s="114">
        <f t="shared" si="16"/>
        <v>1750.4436974789915</v>
      </c>
      <c r="H57" s="114">
        <f t="shared" si="16"/>
        <v>1040.7524752475247</v>
      </c>
      <c r="I57" s="114">
        <f t="shared" si="16"/>
        <v>1581.3166336633665</v>
      </c>
      <c r="J57" s="114">
        <f t="shared" si="16"/>
        <v>1308.0668939393938</v>
      </c>
      <c r="K57" s="114">
        <f t="shared" si="16"/>
        <v>2028.9938095238094</v>
      </c>
      <c r="L57" s="114">
        <f t="shared" si="16"/>
        <v>2448.8783870967741</v>
      </c>
      <c r="M57" s="114" t="e">
        <f t="shared" si="16"/>
        <v>#DIV/0!</v>
      </c>
      <c r="N57" s="119" t="e">
        <f t="shared" si="17"/>
        <v>#DIV/0!</v>
      </c>
    </row>
    <row r="58" spans="1:14" ht="17" thickBot="1" x14ac:dyDescent="0.25">
      <c r="A58"/>
      <c r="B58" s="120" t="s">
        <v>12</v>
      </c>
      <c r="C58" s="121">
        <f>C13/C28</f>
        <v>1732.608695652174</v>
      </c>
      <c r="D58" s="121">
        <f t="shared" si="16"/>
        <v>2181.4754098360654</v>
      </c>
      <c r="E58" s="121">
        <f t="shared" si="16"/>
        <v>1471.590909090909</v>
      </c>
      <c r="F58" s="121">
        <f t="shared" si="16"/>
        <v>1209.3846616541355</v>
      </c>
      <c r="G58" s="121">
        <f t="shared" si="16"/>
        <v>856.36982758620684</v>
      </c>
      <c r="H58" s="121">
        <f t="shared" si="16"/>
        <v>1214.6620879120878</v>
      </c>
      <c r="I58" s="121">
        <f t="shared" si="16"/>
        <v>1560.9902857142858</v>
      </c>
      <c r="J58" s="121">
        <f t="shared" si="16"/>
        <v>1658.7335294117647</v>
      </c>
      <c r="K58" s="121">
        <f t="shared" si="16"/>
        <v>1491.3828125</v>
      </c>
      <c r="L58" s="121">
        <f t="shared" si="16"/>
        <v>2606.335</v>
      </c>
      <c r="M58" s="121" t="e">
        <f t="shared" si="16"/>
        <v>#DIV/0!</v>
      </c>
      <c r="N58" s="122" t="e">
        <f t="shared" si="17"/>
        <v>#DIV/0!</v>
      </c>
    </row>
    <row r="59" spans="1:14" ht="16" x14ac:dyDescent="0.2">
      <c r="A59"/>
      <c r="B59" s="123" t="s">
        <v>35</v>
      </c>
      <c r="C59" s="124">
        <f>SUM(C47:C58)/12</f>
        <v>454.03220611916259</v>
      </c>
      <c r="D59" s="124">
        <f t="shared" ref="D59:J59" si="18">SUM(D47:D58)/12</f>
        <v>1595.6822682488801</v>
      </c>
      <c r="E59" s="124">
        <f t="shared" si="18"/>
        <v>1444.0313428735838</v>
      </c>
      <c r="F59" s="124">
        <f t="shared" si="18"/>
        <v>1442.2404304614101</v>
      </c>
      <c r="G59" s="124">
        <f t="shared" si="18"/>
        <v>1506.0834573376667</v>
      </c>
      <c r="H59" s="124">
        <f t="shared" si="18"/>
        <v>999.38606704128006</v>
      </c>
      <c r="I59" s="124">
        <f t="shared" si="18"/>
        <v>1417.969571327221</v>
      </c>
      <c r="J59" s="124">
        <f t="shared" si="18"/>
        <v>1623.5470763445492</v>
      </c>
      <c r="K59" s="124">
        <f>SUM(K47:K58)/12</f>
        <v>1777.4726928253367</v>
      </c>
      <c r="L59" s="124">
        <f>SUM(L47:L58)/12</f>
        <v>2252.3214577629415</v>
      </c>
      <c r="M59" s="124" t="e">
        <f>SUM(M47:M58)/12</f>
        <v>#DIV/0!</v>
      </c>
      <c r="N59" s="125" t="e">
        <f>M59-L59</f>
        <v>#DIV/0!</v>
      </c>
    </row>
    <row r="60" spans="1:14" x14ac:dyDescent="0.2">
      <c r="D60"/>
      <c r="E60"/>
      <c r="F60"/>
      <c r="G60"/>
      <c r="H60"/>
      <c r="I60"/>
      <c r="J60"/>
    </row>
    <row r="61" spans="1:14" x14ac:dyDescent="0.2">
      <c r="D61" s="10"/>
      <c r="E61"/>
      <c r="F61" s="10"/>
      <c r="G61"/>
      <c r="H61"/>
      <c r="I61" s="10"/>
      <c r="J61" s="10"/>
    </row>
    <row r="62" spans="1:14" x14ac:dyDescent="0.2">
      <c r="D62" s="10"/>
      <c r="E62"/>
      <c r="F62" s="10"/>
      <c r="G62"/>
      <c r="H62"/>
      <c r="I62" s="10"/>
      <c r="J62" s="10"/>
    </row>
    <row r="63" spans="1:14" x14ac:dyDescent="0.2">
      <c r="D63" s="10"/>
      <c r="E63"/>
      <c r="F63" s="10"/>
      <c r="G63"/>
      <c r="H63"/>
      <c r="I63" s="10"/>
      <c r="J63" s="10"/>
    </row>
    <row r="64" spans="1:14" x14ac:dyDescent="0.2">
      <c r="D64" s="10"/>
      <c r="E64"/>
      <c r="F64" s="10"/>
      <c r="G64"/>
      <c r="H64"/>
      <c r="I64" s="10"/>
      <c r="J64" s="10"/>
    </row>
  </sheetData>
  <conditionalFormatting sqref="I2:J14 I16:J28 I30:J42 I44:J56">
    <cfRule type="cellIs" dxfId="1" priority="1" operator="greaterThan">
      <formula>0.009</formula>
    </cfRule>
    <cfRule type="cellIs" dxfId="0" priority="2" operator="lessThan">
      <formula>-0.009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OTB RR</vt:lpstr>
      <vt:lpstr>Fin Year</vt:lpstr>
      <vt:lpstr>Historical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Carike Ligthelm</dc:creator>
  <cp:lastModifiedBy>Carike Ligthelm</cp:lastModifiedBy>
  <cp:lastPrinted>2026-05-29T14:43:48Z</cp:lastPrinted>
  <dcterms:created xsi:type="dcterms:W3CDTF">2025-04-03T10:02:25Z</dcterms:created>
  <dcterms:modified xsi:type="dcterms:W3CDTF">2026-08-14T18:20:23Z</dcterms:modified>
</cp:coreProperties>
</file>