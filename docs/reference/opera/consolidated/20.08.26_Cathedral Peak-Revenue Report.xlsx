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loudStorage/Dropbox-CHEETAHPLAINS/Carike Ligthelm/Roomsonline 2024:6/Cathedral Peak/Revenue Reports | CPH/2026/"/>
    </mc:Choice>
  </mc:AlternateContent>
  <xr:revisionPtr revIDLastSave="0" documentId="13_ncr:1_{07858912-94D0-6840-8B0A-065D7ABE8209}" xr6:coauthVersionLast="47" xr6:coauthVersionMax="47" xr10:uidLastSave="{00000000-0000-0000-0000-000000000000}"/>
  <bookViews>
    <workbookView xWindow="16820" yWindow="500" windowWidth="16780" windowHeight="20500" xr2:uid="{529B9ECD-34EE-5444-862A-AF4A04B83C61}"/>
  </bookViews>
  <sheets>
    <sheet name="OTB RR" sheetId="1" r:id="rId1"/>
    <sheet name="Fin Year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B31" i="1"/>
  <c r="L21" i="1"/>
  <c r="H21" i="1"/>
  <c r="G21" i="1"/>
  <c r="L10" i="1"/>
  <c r="J10" i="1"/>
  <c r="I10" i="1"/>
  <c r="E10" i="1"/>
  <c r="C10" i="1"/>
  <c r="D30" i="1"/>
  <c r="B30" i="1"/>
  <c r="L20" i="1"/>
  <c r="H20" i="1"/>
  <c r="G20" i="1"/>
  <c r="L9" i="1"/>
  <c r="J9" i="1"/>
  <c r="I9" i="1"/>
  <c r="C9" i="1"/>
  <c r="L24" i="1"/>
  <c r="L14" i="1"/>
  <c r="L19" i="1"/>
  <c r="L8" i="1"/>
  <c r="C7" i="1"/>
  <c r="D32" i="1"/>
  <c r="D28" i="1"/>
  <c r="D29" i="1"/>
  <c r="L7" i="1"/>
  <c r="L18" i="1"/>
  <c r="L31" i="1" l="1"/>
  <c r="G31" i="1"/>
  <c r="F31" i="1"/>
  <c r="H10" i="1"/>
  <c r="G10" i="1"/>
  <c r="F10" i="1"/>
  <c r="G9" i="1"/>
  <c r="E9" i="1"/>
  <c r="L30" i="1"/>
  <c r="F30" i="1"/>
  <c r="G30" i="1"/>
  <c r="H9" i="1"/>
  <c r="F9" i="1"/>
  <c r="B29" i="1"/>
  <c r="L29" i="1" s="1"/>
  <c r="B28" i="1"/>
  <c r="L28" i="1" s="1"/>
  <c r="H19" i="1"/>
  <c r="G19" i="1"/>
  <c r="H18" i="1"/>
  <c r="G18" i="1"/>
  <c r="J8" i="1"/>
  <c r="I8" i="1"/>
  <c r="C8" i="1"/>
  <c r="E8" i="1" s="1"/>
  <c r="J7" i="1"/>
  <c r="I7" i="1"/>
  <c r="H7" i="1"/>
  <c r="K24" i="1"/>
  <c r="K14" i="1"/>
  <c r="K12" i="1"/>
  <c r="L6" i="1"/>
  <c r="F29" i="1" l="1"/>
  <c r="F28" i="1"/>
  <c r="G28" i="1"/>
  <c r="G29" i="1"/>
  <c r="G8" i="1"/>
  <c r="F8" i="1"/>
  <c r="H8" i="1"/>
  <c r="E7" i="1"/>
  <c r="F7" i="1"/>
  <c r="G7" i="1"/>
  <c r="J6" i="1"/>
  <c r="I6" i="1"/>
  <c r="C6" i="1"/>
  <c r="H6" i="1" s="1"/>
  <c r="L17" i="1"/>
  <c r="H17" i="1"/>
  <c r="G17" i="1"/>
  <c r="D27" i="1"/>
  <c r="B27" i="1"/>
  <c r="D26" i="1"/>
  <c r="B26" i="1"/>
  <c r="L16" i="1"/>
  <c r="H16" i="1"/>
  <c r="G16" i="1"/>
  <c r="L5" i="1"/>
  <c r="J5" i="1"/>
  <c r="I5" i="1"/>
  <c r="C5" i="1"/>
  <c r="G5" i="1" s="1"/>
  <c r="C11" i="1"/>
  <c r="D25" i="1"/>
  <c r="B25" i="1"/>
  <c r="L15" i="1"/>
  <c r="H15" i="1"/>
  <c r="G15" i="1"/>
  <c r="L4" i="1"/>
  <c r="J4" i="1"/>
  <c r="I4" i="1"/>
  <c r="C4" i="1"/>
  <c r="E4" i="1" s="1"/>
  <c r="F6" i="1" l="1"/>
  <c r="L25" i="1"/>
  <c r="L26" i="1"/>
  <c r="L27" i="1"/>
  <c r="E6" i="1"/>
  <c r="G6" i="1"/>
  <c r="F27" i="1"/>
  <c r="G27" i="1"/>
  <c r="F26" i="1"/>
  <c r="G26" i="1"/>
  <c r="E5" i="1"/>
  <c r="H5" i="1"/>
  <c r="F5" i="1"/>
  <c r="F25" i="1"/>
  <c r="G25" i="1"/>
  <c r="F4" i="1"/>
  <c r="G4" i="1"/>
  <c r="H4" i="1"/>
  <c r="B24" i="1"/>
  <c r="B14" i="1"/>
  <c r="C14" i="1" s="1"/>
  <c r="H22" i="1"/>
  <c r="G22" i="1"/>
  <c r="B32" i="1"/>
  <c r="J11" i="1"/>
  <c r="I11" i="1"/>
  <c r="B12" i="1"/>
  <c r="G11" i="1"/>
  <c r="H19" i="5"/>
  <c r="H18" i="5"/>
  <c r="H29" i="5"/>
  <c r="H28" i="5"/>
  <c r="H26" i="5"/>
  <c r="H23" i="5"/>
  <c r="H22" i="5"/>
  <c r="H21" i="5"/>
  <c r="H27" i="5"/>
  <c r="D29" i="5"/>
  <c r="D24" i="5"/>
  <c r="D20" i="5"/>
  <c r="D21" i="5"/>
  <c r="D22" i="5"/>
  <c r="D23" i="5"/>
  <c r="D25" i="5"/>
  <c r="D26" i="5"/>
  <c r="D27" i="5"/>
  <c r="D28" i="5"/>
  <c r="D19" i="5"/>
  <c r="D18" i="5"/>
  <c r="E11" i="1" l="1"/>
  <c r="F32" i="1"/>
  <c r="L12" i="1"/>
  <c r="F11" i="1"/>
  <c r="G32" i="1"/>
  <c r="H11" i="1"/>
  <c r="H20" i="5"/>
  <c r="H25" i="5"/>
  <c r="H24" i="5"/>
  <c r="C33" i="5"/>
  <c r="C34" i="5"/>
  <c r="C35" i="5"/>
  <c r="C36" i="5"/>
  <c r="C37" i="5"/>
  <c r="C38" i="5"/>
  <c r="C39" i="5"/>
  <c r="C40" i="5"/>
  <c r="C41" i="5"/>
  <c r="C42" i="5"/>
  <c r="C43" i="5"/>
  <c r="C32" i="5"/>
  <c r="B33" i="5"/>
  <c r="B34" i="5"/>
  <c r="B35" i="5"/>
  <c r="B36" i="5"/>
  <c r="B37" i="5"/>
  <c r="B38" i="5"/>
  <c r="B39" i="5"/>
  <c r="B40" i="5"/>
  <c r="B41" i="5"/>
  <c r="B42" i="5"/>
  <c r="B43" i="5"/>
  <c r="B32" i="5"/>
  <c r="F4" i="5"/>
  <c r="F5" i="5"/>
  <c r="F6" i="5"/>
  <c r="F7" i="5"/>
  <c r="F8" i="5"/>
  <c r="F9" i="5"/>
  <c r="F10" i="5"/>
  <c r="F11" i="5"/>
  <c r="G11" i="5" s="1"/>
  <c r="F12" i="5"/>
  <c r="F13" i="5"/>
  <c r="F14" i="5"/>
  <c r="G14" i="5" s="1"/>
  <c r="F3" i="5"/>
  <c r="E4" i="5"/>
  <c r="E5" i="5"/>
  <c r="E6" i="5"/>
  <c r="E7" i="5"/>
  <c r="E8" i="5"/>
  <c r="E9" i="5"/>
  <c r="E10" i="5"/>
  <c r="E11" i="5"/>
  <c r="E12" i="5"/>
  <c r="E13" i="5"/>
  <c r="E14" i="5"/>
  <c r="E3" i="5"/>
  <c r="D14" i="5"/>
  <c r="D13" i="5"/>
  <c r="D12" i="5"/>
  <c r="D11" i="5"/>
  <c r="D10" i="5"/>
  <c r="D9" i="5"/>
  <c r="D8" i="5"/>
  <c r="D7" i="5"/>
  <c r="D6" i="5"/>
  <c r="D5" i="5"/>
  <c r="D4" i="5"/>
  <c r="D3" i="5"/>
  <c r="C15" i="5"/>
  <c r="B15" i="5"/>
  <c r="E12" i="1" l="1"/>
  <c r="D38" i="5"/>
  <c r="E42" i="5"/>
  <c r="H6" i="5"/>
  <c r="G6" i="5"/>
  <c r="H13" i="5"/>
  <c r="G13" i="5"/>
  <c r="H5" i="5"/>
  <c r="G5" i="5"/>
  <c r="H4" i="5"/>
  <c r="G4" i="5"/>
  <c r="H12" i="5"/>
  <c r="G12" i="5"/>
  <c r="H10" i="5"/>
  <c r="G10" i="5"/>
  <c r="H9" i="5"/>
  <c r="G9" i="5"/>
  <c r="H8" i="5"/>
  <c r="G8" i="5"/>
  <c r="H3" i="5"/>
  <c r="G3" i="5"/>
  <c r="H7" i="5"/>
  <c r="G7" i="5"/>
  <c r="D40" i="5"/>
  <c r="D39" i="5"/>
  <c r="D37" i="5"/>
  <c r="D36" i="5"/>
  <c r="E32" i="5"/>
  <c r="E43" i="5"/>
  <c r="E35" i="5"/>
  <c r="D42" i="5"/>
  <c r="E34" i="5"/>
  <c r="E41" i="5"/>
  <c r="D33" i="5"/>
  <c r="E39" i="5"/>
  <c r="D41" i="5"/>
  <c r="E40" i="5"/>
  <c r="D34" i="5"/>
  <c r="D32" i="5"/>
  <c r="E38" i="5"/>
  <c r="E37" i="5"/>
  <c r="E33" i="5"/>
  <c r="D43" i="5"/>
  <c r="D35" i="5"/>
  <c r="E36" i="5"/>
  <c r="H14" i="5"/>
  <c r="H11" i="5"/>
  <c r="E15" i="5"/>
  <c r="D15" i="5"/>
  <c r="F15" i="5"/>
  <c r="H15" i="5" s="1"/>
  <c r="G15" i="5" l="1"/>
  <c r="D12" i="1" l="1"/>
  <c r="C12" i="1" l="1"/>
  <c r="J12" i="1"/>
  <c r="I12" i="1"/>
  <c r="F12" i="1"/>
  <c r="G12" i="1" l="1"/>
  <c r="H12" i="1"/>
</calcChain>
</file>

<file path=xl/sharedStrings.xml><?xml version="1.0" encoding="utf-8"?>
<sst xmlns="http://schemas.openxmlformats.org/spreadsheetml/2006/main" count="89" uniqueCount="35">
  <si>
    <t>Last Year Actual</t>
  </si>
  <si>
    <t>OTB vs Target</t>
  </si>
  <si>
    <t>Aug</t>
  </si>
  <si>
    <t>Room Nights</t>
  </si>
  <si>
    <t>ADR</t>
  </si>
  <si>
    <t>Occupancy</t>
  </si>
  <si>
    <t>OTB vs LY</t>
  </si>
  <si>
    <t>TOTAL</t>
  </si>
  <si>
    <t>Dec</t>
  </si>
  <si>
    <t>Nov</t>
  </si>
  <si>
    <t>Oct</t>
  </si>
  <si>
    <t>Jul</t>
  </si>
  <si>
    <t>Jun</t>
  </si>
  <si>
    <t>May</t>
  </si>
  <si>
    <t>Apr</t>
  </si>
  <si>
    <t>Mar</t>
  </si>
  <si>
    <t>Feb</t>
  </si>
  <si>
    <t>Jan</t>
  </si>
  <si>
    <t>Revenue</t>
  </si>
  <si>
    <t>Target (+10%)</t>
  </si>
  <si>
    <t>2025 vs 2024</t>
  </si>
  <si>
    <t>2025 vs Target</t>
  </si>
  <si>
    <t>Sep</t>
  </si>
  <si>
    <t>Cathedral Peak Hotel | Financial Year</t>
  </si>
  <si>
    <t>Target</t>
  </si>
  <si>
    <t>Actual vs Last Year</t>
  </si>
  <si>
    <t>Target vs Last Year</t>
  </si>
  <si>
    <t>RN Last Year</t>
  </si>
  <si>
    <t>Room Occupancy</t>
  </si>
  <si>
    <t>Average Daily Rate</t>
  </si>
  <si>
    <t>Sept</t>
  </si>
  <si>
    <t>OTB @ 20 Aug 2026</t>
  </si>
  <si>
    <t>OTB @ 20 Jul 2026</t>
  </si>
  <si>
    <t>20.08.26 vs 20.07.26</t>
  </si>
  <si>
    <t>Cathedral Peak Hotel | 20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</si>
</sst>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B050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DD9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7" fillId="0" borderId="0" xfId="0" applyFont="1"/>
    <xf numFmtId="17" fontId="9" fillId="0" borderId="1" xfId="0" applyNumberFormat="1" applyFont="1" applyBorder="1" applyAlignment="1">
      <alignment horizontal="left" vertical="center"/>
    </xf>
    <xf numFmtId="17" fontId="9" fillId="0" borderId="2" xfId="0" applyNumberFormat="1" applyFont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3" fontId="9" fillId="0" borderId="1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3" fontId="9" fillId="2" borderId="0" xfId="0" applyNumberFormat="1" applyFont="1" applyFill="1" applyAlignment="1">
      <alignment horizontal="center" vertical="center"/>
    </xf>
    <xf numFmtId="3" fontId="9" fillId="4" borderId="0" xfId="0" applyNumberFormat="1" applyFont="1" applyFill="1" applyAlignment="1">
      <alignment horizontal="center" vertical="center"/>
    </xf>
    <xf numFmtId="3" fontId="10" fillId="0" borderId="4" xfId="0" applyNumberFormat="1" applyFont="1" applyBorder="1" applyAlignment="1">
      <alignment horizontal="center" vertical="center"/>
    </xf>
    <xf numFmtId="3" fontId="10" fillId="2" borderId="5" xfId="0" applyNumberFormat="1" applyFont="1" applyFill="1" applyBorder="1" applyAlignment="1">
      <alignment horizontal="center" vertical="center"/>
    </xf>
    <xf numFmtId="3" fontId="10" fillId="4" borderId="5" xfId="0" applyNumberFormat="1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9" fillId="2" borderId="0" xfId="0" applyNumberFormat="1" applyFont="1" applyFill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9" fillId="0" borderId="0" xfId="0" applyFont="1" applyAlignment="1">
      <alignment vertical="center"/>
    </xf>
    <xf numFmtId="3" fontId="9" fillId="2" borderId="1" xfId="0" applyNumberFormat="1" applyFont="1" applyFill="1" applyBorder="1" applyAlignment="1">
      <alignment horizontal="center" vertical="center"/>
    </xf>
    <xf numFmtId="9" fontId="9" fillId="4" borderId="1" xfId="1" applyFont="1" applyFill="1" applyBorder="1" applyAlignment="1">
      <alignment horizontal="center" vertical="center"/>
    </xf>
    <xf numFmtId="3" fontId="9" fillId="2" borderId="2" xfId="0" applyNumberFormat="1" applyFont="1" applyFill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 wrapText="1"/>
    </xf>
    <xf numFmtId="3" fontId="10" fillId="2" borderId="13" xfId="0" applyNumberFormat="1" applyFont="1" applyFill="1" applyBorder="1" applyAlignment="1">
      <alignment horizontal="center" vertical="center"/>
    </xf>
    <xf numFmtId="9" fontId="10" fillId="2" borderId="15" xfId="1" applyFont="1" applyFill="1" applyBorder="1" applyAlignment="1">
      <alignment horizontal="center" vertical="center"/>
    </xf>
    <xf numFmtId="9" fontId="9" fillId="2" borderId="1" xfId="1" applyFont="1" applyFill="1" applyBorder="1" applyAlignment="1">
      <alignment horizontal="center" vertical="center"/>
    </xf>
    <xf numFmtId="9" fontId="9" fillId="2" borderId="2" xfId="1" applyFont="1" applyFill="1" applyBorder="1" applyAlignment="1">
      <alignment horizontal="center" vertical="center"/>
    </xf>
    <xf numFmtId="3" fontId="9" fillId="4" borderId="4" xfId="0" applyNumberFormat="1" applyFont="1" applyFill="1" applyBorder="1" applyAlignment="1">
      <alignment horizontal="center" vertical="center"/>
    </xf>
    <xf numFmtId="9" fontId="10" fillId="4" borderId="4" xfId="1" applyFont="1" applyFill="1" applyBorder="1" applyAlignment="1">
      <alignment horizontal="center" vertical="center"/>
    </xf>
    <xf numFmtId="17" fontId="9" fillId="0" borderId="4" xfId="0" applyNumberFormat="1" applyFont="1" applyBorder="1" applyAlignment="1">
      <alignment horizontal="left" vertical="center"/>
    </xf>
    <xf numFmtId="164" fontId="9" fillId="2" borderId="1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9" fillId="2" borderId="4" xfId="1" applyNumberFormat="1" applyFont="1" applyFill="1" applyBorder="1" applyAlignment="1">
      <alignment horizontal="center" vertical="center"/>
    </xf>
    <xf numFmtId="164" fontId="9" fillId="2" borderId="1" xfId="1" applyNumberFormat="1" applyFont="1" applyFill="1" applyBorder="1" applyAlignment="1">
      <alignment horizontal="center" vertical="center"/>
    </xf>
    <xf numFmtId="164" fontId="9" fillId="2" borderId="2" xfId="1" applyNumberFormat="1" applyFont="1" applyFill="1" applyBorder="1" applyAlignment="1">
      <alignment horizontal="center" vertical="center"/>
    </xf>
    <xf numFmtId="9" fontId="14" fillId="2" borderId="1" xfId="1" applyFont="1" applyFill="1" applyBorder="1" applyAlignment="1">
      <alignment horizontal="center" vertical="center"/>
    </xf>
    <xf numFmtId="164" fontId="9" fillId="0" borderId="1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7" fontId="1" fillId="0" borderId="1" xfId="0" applyNumberFormat="1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9" fontId="1" fillId="0" borderId="23" xfId="1" applyFont="1" applyFill="1" applyBorder="1" applyAlignment="1">
      <alignment horizontal="center" vertical="center"/>
    </xf>
    <xf numFmtId="17" fontId="1" fillId="0" borderId="18" xfId="0" applyNumberFormat="1" applyFont="1" applyBorder="1" applyAlignment="1">
      <alignment horizontal="left" vertical="center"/>
    </xf>
    <xf numFmtId="3" fontId="1" fillId="0" borderId="18" xfId="0" applyNumberFormat="1" applyFont="1" applyBorder="1" applyAlignment="1">
      <alignment horizontal="center" vertical="center"/>
    </xf>
    <xf numFmtId="3" fontId="1" fillId="0" borderId="19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9" fontId="1" fillId="0" borderId="24" xfId="1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3" fontId="16" fillId="0" borderId="1" xfId="0" applyNumberFormat="1" applyFont="1" applyBorder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3" fontId="16" fillId="0" borderId="11" xfId="0" applyNumberFormat="1" applyFont="1" applyBorder="1" applyAlignment="1">
      <alignment horizontal="center" vertical="center"/>
    </xf>
    <xf numFmtId="9" fontId="16" fillId="0" borderId="22" xfId="1" applyFont="1" applyFill="1" applyBorder="1" applyAlignment="1">
      <alignment horizontal="center" vertical="center"/>
    </xf>
    <xf numFmtId="3" fontId="16" fillId="0" borderId="20" xfId="0" applyNumberFormat="1" applyFont="1" applyBorder="1" applyAlignment="1">
      <alignment horizontal="center" vertical="center"/>
    </xf>
    <xf numFmtId="3" fontId="16" fillId="0" borderId="20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0" xfId="1" applyNumberFormat="1" applyFont="1" applyFill="1" applyAlignment="1">
      <alignment horizontal="center" vertical="center"/>
    </xf>
    <xf numFmtId="164" fontId="1" fillId="0" borderId="1" xfId="1" applyNumberFormat="1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 wrapText="1"/>
    </xf>
    <xf numFmtId="0" fontId="16" fillId="5" borderId="21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vertical="center"/>
    </xf>
    <xf numFmtId="0" fontId="16" fillId="7" borderId="9" xfId="0" applyFont="1" applyFill="1" applyBorder="1" applyAlignment="1">
      <alignment horizontal="center" vertical="center" wrapText="1"/>
    </xf>
    <xf numFmtId="9" fontId="1" fillId="4" borderId="1" xfId="0" applyNumberFormat="1" applyFont="1" applyFill="1" applyBorder="1" applyAlignment="1">
      <alignment horizontal="center" vertical="center"/>
    </xf>
    <xf numFmtId="9" fontId="1" fillId="4" borderId="0" xfId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16" fillId="6" borderId="0" xfId="0" applyFont="1" applyFill="1" applyAlignment="1">
      <alignment horizontal="center" vertical="center" wrapText="1"/>
    </xf>
    <xf numFmtId="1" fontId="1" fillId="0" borderId="1" xfId="1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center" vertical="center"/>
    </xf>
    <xf numFmtId="3" fontId="1" fillId="4" borderId="18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4" borderId="19" xfId="0" applyFont="1" applyFill="1" applyBorder="1" applyAlignment="1">
      <alignment vertical="center"/>
    </xf>
    <xf numFmtId="164" fontId="9" fillId="2" borderId="0" xfId="1" applyNumberFormat="1" applyFont="1" applyFill="1" applyAlignment="1">
      <alignment horizontal="center" vertical="center"/>
    </xf>
    <xf numFmtId="164" fontId="9" fillId="2" borderId="10" xfId="1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" fontId="9" fillId="2" borderId="11" xfId="0" applyNumberFormat="1" applyFont="1" applyFill="1" applyBorder="1" applyAlignment="1">
      <alignment horizontal="center" vertical="center"/>
    </xf>
    <xf numFmtId="164" fontId="9" fillId="0" borderId="15" xfId="1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164" fontId="9" fillId="0" borderId="2" xfId="1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3" xfId="1" applyNumberFormat="1" applyFont="1" applyFill="1" applyBorder="1" applyAlignment="1">
      <alignment horizontal="center" vertical="center"/>
    </xf>
    <xf numFmtId="164" fontId="1" fillId="0" borderId="24" xfId="1" applyNumberFormat="1" applyFont="1" applyFill="1" applyBorder="1" applyAlignment="1">
      <alignment horizontal="center" vertical="center"/>
    </xf>
    <xf numFmtId="164" fontId="16" fillId="0" borderId="22" xfId="1" applyNumberFormat="1" applyFont="1" applyFill="1" applyBorder="1" applyAlignment="1">
      <alignment horizontal="center" vertical="center"/>
    </xf>
    <xf numFmtId="3" fontId="16" fillId="0" borderId="25" xfId="0" applyNumberFormat="1" applyFont="1" applyBorder="1" applyAlignment="1">
      <alignment horizontal="center" vertical="center"/>
    </xf>
    <xf numFmtId="0" fontId="16" fillId="7" borderId="16" xfId="0" applyFont="1" applyFill="1" applyBorder="1" applyAlignment="1">
      <alignment horizontal="center" vertical="center"/>
    </xf>
    <xf numFmtId="0" fontId="16" fillId="7" borderId="17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 wrapText="1"/>
    </xf>
    <xf numFmtId="0" fontId="16" fillId="5" borderId="17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 wrapText="1"/>
    </xf>
    <xf numFmtId="0" fontId="16" fillId="6" borderId="17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0" fontId="1" fillId="4" borderId="0" xfId="0" applyFont="1" applyFill="1" applyBorder="1" applyAlignment="1">
      <alignment vertical="center"/>
    </xf>
  </cellXfs>
  <cellStyles count="2">
    <cellStyle name="Normal" xfId="0" builtinId="0"/>
    <cellStyle name="Per cent" xfId="1" builtinId="5"/>
  </cellStyles>
  <dxfs count="10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F77FDB"/>
      <color rgb="FFFFBCFA"/>
      <color rgb="FFDDD9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Cathedral Peak | Occupancy</a:t>
            </a:r>
            <a:r>
              <a:rPr lang="en-GB" baseline="0"/>
              <a:t> %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'OTB RR'!$B$14</c:f>
              <c:strCache>
                <c:ptCount val="1"/>
                <c:pt idx="0">
                  <c:v>OTB @ 20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RR'!$A$15:$A$22</c:f>
              <c:strCache>
                <c:ptCount val="8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</c:strCache>
            </c:strRef>
          </c:cat>
          <c:val>
            <c:numRef>
              <c:f>'OTB RR'!$B$15:$B$22</c:f>
              <c:numCache>
                <c:formatCode>0.0%</c:formatCode>
                <c:ptCount val="8"/>
                <c:pt idx="0">
                  <c:v>0.78539999999999999</c:v>
                </c:pt>
                <c:pt idx="1">
                  <c:v>0.56579999999999997</c:v>
                </c:pt>
                <c:pt idx="2">
                  <c:v>0.52280000000000004</c:v>
                </c:pt>
                <c:pt idx="3">
                  <c:v>0.51800000000000002</c:v>
                </c:pt>
                <c:pt idx="4">
                  <c:v>0.19869999999999999</c:v>
                </c:pt>
                <c:pt idx="5">
                  <c:v>0.2878</c:v>
                </c:pt>
                <c:pt idx="6">
                  <c:v>9.4600000000000004E-2</c:v>
                </c:pt>
                <c:pt idx="7">
                  <c:v>6.0100000000000001E-2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6-F644-8178-B48B7FDCAF66}"/>
            </c:ext>
          </c:extLst>
        </c:ser>
        <c:ser>
          <c:idx val="9"/>
          <c:order val="1"/>
          <c:tx>
            <c:strRef>
              <c:f>'OTB RR'!$K$14</c:f>
              <c:strCache>
                <c:ptCount val="1"/>
                <c:pt idx="0">
                  <c:v>OTB @ 20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RR'!$A$15:$A$22</c:f>
              <c:strCache>
                <c:ptCount val="8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</c:strCache>
            </c:strRef>
          </c:cat>
          <c:val>
            <c:numRef>
              <c:f>'OTB RR'!$K$15:$K$22</c:f>
              <c:numCache>
                <c:formatCode>0.0%</c:formatCode>
                <c:ptCount val="8"/>
                <c:pt idx="0">
                  <c:v>0.76549999999999996</c:v>
                </c:pt>
                <c:pt idx="1">
                  <c:v>0.40039999999999998</c:v>
                </c:pt>
                <c:pt idx="2">
                  <c:v>0.45190000000000002</c:v>
                </c:pt>
                <c:pt idx="3">
                  <c:v>0.42559999999999998</c:v>
                </c:pt>
                <c:pt idx="4">
                  <c:v>0.15160000000000001</c:v>
                </c:pt>
                <c:pt idx="5">
                  <c:v>0.22459999999999999</c:v>
                </c:pt>
                <c:pt idx="6">
                  <c:v>7.6899999999999996E-2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F46-F644-8178-B48B7FDCAF66}"/>
            </c:ext>
          </c:extLst>
        </c:ser>
        <c:ser>
          <c:idx val="10"/>
          <c:order val="2"/>
          <c:tx>
            <c:strRef>
              <c:f>'OTB RR'!$L$14</c:f>
              <c:strCache>
                <c:ptCount val="1"/>
                <c:pt idx="0">
                  <c:v>20.08.26 vs 20.07.26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RR'!$A$15:$A$22</c:f>
              <c:strCache>
                <c:ptCount val="8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</c:strCache>
            </c:strRef>
          </c:cat>
          <c:val>
            <c:numRef>
              <c:f>'OTB RR'!$L$15:$L$22</c:f>
              <c:numCache>
                <c:formatCode>0.0%</c:formatCode>
                <c:ptCount val="8"/>
                <c:pt idx="0">
                  <c:v>1.9900000000000029E-2</c:v>
                </c:pt>
                <c:pt idx="1">
                  <c:v>0.16539999999999999</c:v>
                </c:pt>
                <c:pt idx="2">
                  <c:v>7.0900000000000019E-2</c:v>
                </c:pt>
                <c:pt idx="3">
                  <c:v>9.2400000000000038E-2</c:v>
                </c:pt>
                <c:pt idx="4">
                  <c:v>4.7099999999999975E-2</c:v>
                </c:pt>
                <c:pt idx="5">
                  <c:v>6.3200000000000006E-2</c:v>
                </c:pt>
                <c:pt idx="6">
                  <c:v>1.7700000000000007E-2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F46-F644-8178-B48B7FDCAF66}"/>
            </c:ext>
          </c:extLst>
        </c:ser>
        <c:ser>
          <c:idx val="2"/>
          <c:order val="3"/>
          <c:tx>
            <c:strRef>
              <c:f>'OTB RR'!$D$14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RR'!$A$15:$A$22</c:f>
              <c:strCache>
                <c:ptCount val="8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</c:strCache>
            </c:strRef>
          </c:cat>
          <c:val>
            <c:numRef>
              <c:f>'OTB RR'!$D$15:$D$22</c:f>
              <c:numCache>
                <c:formatCode>0.0%</c:formatCode>
                <c:ptCount val="8"/>
                <c:pt idx="0">
                  <c:v>0.69599999999999995</c:v>
                </c:pt>
                <c:pt idx="1">
                  <c:v>0.58899999999999997</c:v>
                </c:pt>
                <c:pt idx="2">
                  <c:v>0.55100000000000005</c:v>
                </c:pt>
                <c:pt idx="3">
                  <c:v>0.79400000000000004</c:v>
                </c:pt>
                <c:pt idx="4">
                  <c:v>0.54520000000000002</c:v>
                </c:pt>
                <c:pt idx="5">
                  <c:v>0.72699999999999998</c:v>
                </c:pt>
                <c:pt idx="6">
                  <c:v>0.57069999999999999</c:v>
                </c:pt>
                <c:pt idx="7">
                  <c:v>0.44330000000000003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46-F644-8178-B48B7FDCAF66}"/>
            </c:ext>
          </c:extLst>
        </c:ser>
        <c:ser>
          <c:idx val="5"/>
          <c:order val="4"/>
          <c:tx>
            <c:strRef>
              <c:f>'OTB RR'!$G$14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RR'!$A$15:$A$22</c:f>
              <c:strCache>
                <c:ptCount val="8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</c:strCache>
            </c:strRef>
          </c:cat>
          <c:val>
            <c:numRef>
              <c:f>'OTB RR'!$G$15:$G$22</c:f>
              <c:numCache>
                <c:formatCode>0.0%</c:formatCode>
                <c:ptCount val="8"/>
                <c:pt idx="0">
                  <c:v>8.9400000000000035E-2</c:v>
                </c:pt>
                <c:pt idx="1">
                  <c:v>-2.3199999999999998E-2</c:v>
                </c:pt>
                <c:pt idx="2">
                  <c:v>-2.8200000000000003E-2</c:v>
                </c:pt>
                <c:pt idx="3">
                  <c:v>-0.27600000000000002</c:v>
                </c:pt>
                <c:pt idx="4">
                  <c:v>-0.34650000000000003</c:v>
                </c:pt>
                <c:pt idx="5">
                  <c:v>-0.43919999999999998</c:v>
                </c:pt>
                <c:pt idx="6">
                  <c:v>-0.47609999999999997</c:v>
                </c:pt>
                <c:pt idx="7">
                  <c:v>-0.38320000000000004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46-F644-8178-B48B7FDCA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362927"/>
        <c:axId val="113239679"/>
      </c:barChart>
      <c:catAx>
        <c:axId val="11236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39679"/>
        <c:crosses val="autoZero"/>
        <c:auto val="1"/>
        <c:lblAlgn val="ctr"/>
        <c:lblOffset val="100"/>
        <c:noMultiLvlLbl val="0"/>
      </c:catAx>
      <c:valAx>
        <c:axId val="11323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6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Cathedral</a:t>
            </a:r>
            <a:r>
              <a:rPr lang="en-GB" baseline="0"/>
              <a:t> Peak | ADR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'OTB RR'!$B$24</c:f>
              <c:strCache>
                <c:ptCount val="1"/>
                <c:pt idx="0">
                  <c:v>OTB @ 20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RR'!$A$25:$A$32</c:f>
              <c:strCache>
                <c:ptCount val="8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</c:strCache>
            </c:strRef>
          </c:cat>
          <c:val>
            <c:numRef>
              <c:f>'OTB RR'!$B$25:$B$32</c:f>
              <c:numCache>
                <c:formatCode>#,##0</c:formatCode>
                <c:ptCount val="8"/>
                <c:pt idx="0">
                  <c:v>1506.735462085308</c:v>
                </c:pt>
                <c:pt idx="1">
                  <c:v>1649.2502357456142</c:v>
                </c:pt>
                <c:pt idx="2">
                  <c:v>1204.0562660944206</c:v>
                </c:pt>
                <c:pt idx="3">
                  <c:v>1407.3321556886228</c:v>
                </c:pt>
                <c:pt idx="4">
                  <c:v>1305.8790645161291</c:v>
                </c:pt>
                <c:pt idx="5">
                  <c:v>3155.8879525862071</c:v>
                </c:pt>
                <c:pt idx="6">
                  <c:v>1859.1328196721313</c:v>
                </c:pt>
                <c:pt idx="7">
                  <c:v>1413.2975428571428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0-0C42-9B01-197A5186487E}"/>
            </c:ext>
          </c:extLst>
        </c:ser>
        <c:ser>
          <c:idx val="9"/>
          <c:order val="1"/>
          <c:tx>
            <c:strRef>
              <c:f>'OTB RR'!$K$24</c:f>
              <c:strCache>
                <c:ptCount val="1"/>
                <c:pt idx="0">
                  <c:v>OTB @ 20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RR'!$A$25:$A$32</c:f>
              <c:strCache>
                <c:ptCount val="8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</c:strCache>
            </c:strRef>
          </c:cat>
          <c:val>
            <c:numRef>
              <c:f>'OTB RR'!$K$25:$K$32</c:f>
              <c:numCache>
                <c:formatCode>#,##0</c:formatCode>
                <c:ptCount val="8"/>
                <c:pt idx="0">
                  <c:v>1489.0541045380874</c:v>
                </c:pt>
                <c:pt idx="1">
                  <c:v>1758.6736173508909</c:v>
                </c:pt>
                <c:pt idx="2">
                  <c:v>1269.211219858156</c:v>
                </c:pt>
                <c:pt idx="3">
                  <c:v>1404.6658819241984</c:v>
                </c:pt>
                <c:pt idx="4">
                  <c:v>1163.3763847780128</c:v>
                </c:pt>
                <c:pt idx="5">
                  <c:v>3257.8475552486188</c:v>
                </c:pt>
                <c:pt idx="6">
                  <c:v>1811.0723790322581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BD0-0C42-9B01-197A5186487E}"/>
            </c:ext>
          </c:extLst>
        </c:ser>
        <c:ser>
          <c:idx val="10"/>
          <c:order val="2"/>
          <c:tx>
            <c:strRef>
              <c:f>'OTB RR'!$L$24</c:f>
              <c:strCache>
                <c:ptCount val="1"/>
                <c:pt idx="0">
                  <c:v>20.08.26 vs 20.07.26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RR'!$A$25:$A$32</c:f>
              <c:strCache>
                <c:ptCount val="8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</c:strCache>
            </c:strRef>
          </c:cat>
          <c:val>
            <c:numRef>
              <c:f>'OTB RR'!$L$25:$L$32</c:f>
              <c:numCache>
                <c:formatCode>#,##0</c:formatCode>
                <c:ptCount val="8"/>
                <c:pt idx="0">
                  <c:v>17.681357547220614</c:v>
                </c:pt>
                <c:pt idx="1">
                  <c:v>-109.42338160527675</c:v>
                </c:pt>
                <c:pt idx="2">
                  <c:v>-65.154953763735421</c:v>
                </c:pt>
                <c:pt idx="3">
                  <c:v>2.6662737644244316</c:v>
                </c:pt>
                <c:pt idx="4">
                  <c:v>142.50267973811629</c:v>
                </c:pt>
                <c:pt idx="5">
                  <c:v>-101.95960266241173</c:v>
                </c:pt>
                <c:pt idx="6">
                  <c:v>48.06044063987315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D0-0C42-9B01-197A5186487E}"/>
            </c:ext>
          </c:extLst>
        </c:ser>
        <c:ser>
          <c:idx val="2"/>
          <c:order val="3"/>
          <c:tx>
            <c:strRef>
              <c:f>'OTB RR'!$D$24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RR'!$A$25:$A$32</c:f>
              <c:strCache>
                <c:ptCount val="8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</c:strCache>
            </c:strRef>
          </c:cat>
          <c:val>
            <c:numRef>
              <c:f>'OTB RR'!$D$25:$D$32</c:f>
              <c:numCache>
                <c:formatCode>#,##0</c:formatCode>
                <c:ptCount val="8"/>
                <c:pt idx="0">
                  <c:v>1230.2753743315507</c:v>
                </c:pt>
                <c:pt idx="1">
                  <c:v>1233.336670179136</c:v>
                </c:pt>
                <c:pt idx="2">
                  <c:v>1151.0768335273574</c:v>
                </c:pt>
                <c:pt idx="3">
                  <c:v>1206.2789062500001</c:v>
                </c:pt>
                <c:pt idx="4">
                  <c:v>1784.1479952968843</c:v>
                </c:pt>
                <c:pt idx="5">
                  <c:v>2483.5313779863482</c:v>
                </c:pt>
                <c:pt idx="6">
                  <c:v>1748.473679347826</c:v>
                </c:pt>
                <c:pt idx="7">
                  <c:v>1336.0345313710302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D0-0C42-9B01-197A5186487E}"/>
            </c:ext>
          </c:extLst>
        </c:ser>
        <c:ser>
          <c:idx val="4"/>
          <c:order val="4"/>
          <c:tx>
            <c:strRef>
              <c:f>'OTB RR'!$F$24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RR'!$A$25:$A$32</c:f>
              <c:strCache>
                <c:ptCount val="8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</c:strCache>
            </c:strRef>
          </c:cat>
          <c:val>
            <c:numRef>
              <c:f>'OTB RR'!$F$25:$F$32</c:f>
              <c:numCache>
                <c:formatCode>#,##0</c:formatCode>
                <c:ptCount val="8"/>
                <c:pt idx="0">
                  <c:v>276.46008775375731</c:v>
                </c:pt>
                <c:pt idx="1">
                  <c:v>415.91356556647816</c:v>
                </c:pt>
                <c:pt idx="2">
                  <c:v>52.979432567063213</c:v>
                </c:pt>
                <c:pt idx="3">
                  <c:v>201.05324943862274</c:v>
                </c:pt>
                <c:pt idx="4">
                  <c:v>-478.26893078075523</c:v>
                </c:pt>
                <c:pt idx="5">
                  <c:v>672.35657459985896</c:v>
                </c:pt>
                <c:pt idx="6">
                  <c:v>110.65914032430533</c:v>
                </c:pt>
                <c:pt idx="7">
                  <c:v>77.263011486112646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D0-0C42-9B01-197A51864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7912384"/>
        <c:axId val="2147477152"/>
      </c:barChart>
      <c:catAx>
        <c:axId val="212791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477152"/>
        <c:crosses val="autoZero"/>
        <c:auto val="1"/>
        <c:lblAlgn val="ctr"/>
        <c:lblOffset val="100"/>
        <c:noMultiLvlLbl val="0"/>
      </c:catAx>
      <c:valAx>
        <c:axId val="214747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91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Cathedral Peak |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'OTB RR'!$B$3</c:f>
              <c:strCache>
                <c:ptCount val="1"/>
                <c:pt idx="0">
                  <c:v>OTB @ 20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RR'!$A$4:$A$11</c:f>
              <c:strCache>
                <c:ptCount val="8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</c:strCache>
            </c:strRef>
          </c:cat>
          <c:val>
            <c:numRef>
              <c:f>'OTB RR'!$B$4:$B$11</c:f>
              <c:numCache>
                <c:formatCode>#,##0</c:formatCode>
                <c:ptCount val="8"/>
                <c:pt idx="0">
                  <c:v>3815054.19</c:v>
                </c:pt>
                <c:pt idx="1">
                  <c:v>3008232.43</c:v>
                </c:pt>
                <c:pt idx="2">
                  <c:v>1963815.77</c:v>
                </c:pt>
                <c:pt idx="3">
                  <c:v>2350244.7000000002</c:v>
                </c:pt>
                <c:pt idx="4">
                  <c:v>809645.02</c:v>
                </c:pt>
                <c:pt idx="5">
                  <c:v>2928664.02</c:v>
                </c:pt>
                <c:pt idx="6">
                  <c:v>567035.51</c:v>
                </c:pt>
                <c:pt idx="7">
                  <c:v>247327.07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D-2747-B2D8-F7A09D6F6EB1}"/>
            </c:ext>
          </c:extLst>
        </c:ser>
        <c:ser>
          <c:idx val="9"/>
          <c:order val="1"/>
          <c:tx>
            <c:strRef>
              <c:f>'OTB RR'!$K$3</c:f>
              <c:strCache>
                <c:ptCount val="1"/>
                <c:pt idx="0">
                  <c:v>OTB @ 20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RR'!$A$4:$A$11</c:f>
              <c:strCache>
                <c:ptCount val="8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</c:strCache>
            </c:strRef>
          </c:cat>
          <c:val>
            <c:numRef>
              <c:f>'OTB RR'!$K$4:$K$11</c:f>
              <c:numCache>
                <c:formatCode>#,##0</c:formatCode>
                <c:ptCount val="8"/>
                <c:pt idx="0">
                  <c:v>3674985.53</c:v>
                </c:pt>
                <c:pt idx="1">
                  <c:v>2270447.64</c:v>
                </c:pt>
                <c:pt idx="2">
                  <c:v>1789587.82</c:v>
                </c:pt>
                <c:pt idx="3">
                  <c:v>1927201.59</c:v>
                </c:pt>
                <c:pt idx="4">
                  <c:v>550277.03</c:v>
                </c:pt>
                <c:pt idx="5">
                  <c:v>2358681.63</c:v>
                </c:pt>
                <c:pt idx="6">
                  <c:v>449145.95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7AD-2747-B2D8-F7A09D6F6EB1}"/>
            </c:ext>
          </c:extLst>
        </c:ser>
        <c:ser>
          <c:idx val="10"/>
          <c:order val="2"/>
          <c:tx>
            <c:strRef>
              <c:f>'OTB RR'!$L$3</c:f>
              <c:strCache>
                <c:ptCount val="1"/>
                <c:pt idx="0">
                  <c:v>20.08.26 vs 20.07.26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RR'!$A$4:$A$11</c:f>
              <c:strCache>
                <c:ptCount val="8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</c:strCache>
            </c:strRef>
          </c:cat>
          <c:val>
            <c:numRef>
              <c:f>'OTB RR'!$L$4:$L$11</c:f>
              <c:numCache>
                <c:formatCode>#,##0</c:formatCode>
                <c:ptCount val="8"/>
                <c:pt idx="0">
                  <c:v>140068.66000000015</c:v>
                </c:pt>
                <c:pt idx="1">
                  <c:v>737784.79</c:v>
                </c:pt>
                <c:pt idx="2">
                  <c:v>174227.94999999995</c:v>
                </c:pt>
                <c:pt idx="3">
                  <c:v>423043.1100000001</c:v>
                </c:pt>
                <c:pt idx="4">
                  <c:v>259367.99</c:v>
                </c:pt>
                <c:pt idx="5">
                  <c:v>569982.39000000013</c:v>
                </c:pt>
                <c:pt idx="6">
                  <c:v>117889.56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7AD-2747-B2D8-F7A09D6F6EB1}"/>
            </c:ext>
          </c:extLst>
        </c:ser>
        <c:ser>
          <c:idx val="7"/>
          <c:order val="3"/>
          <c:tx>
            <c:strRef>
              <c:f>'OTB RR'!$I$3</c:f>
              <c:strCache>
                <c:ptCount val="1"/>
                <c:pt idx="0">
                  <c:v>Actual vs Last Year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RR'!$A$4:$A$11</c:f>
              <c:strCache>
                <c:ptCount val="8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</c:strCache>
            </c:strRef>
          </c:cat>
          <c:val>
            <c:numRef>
              <c:f>'OTB RR'!$I$4:$I$11</c:f>
              <c:numCache>
                <c:formatCode>#,##0</c:formatCode>
                <c:ptCount val="8"/>
                <c:pt idx="0">
                  <c:v>1054316.25</c:v>
                </c:pt>
                <c:pt idx="1">
                  <c:v>667359.43000000017</c:v>
                </c:pt>
                <c:pt idx="2">
                  <c:v>-13734.229999999981</c:v>
                </c:pt>
                <c:pt idx="3">
                  <c:v>-737829.29999999981</c:v>
                </c:pt>
                <c:pt idx="4">
                  <c:v>-2225190.7200000002</c:v>
                </c:pt>
                <c:pt idx="5">
                  <c:v>-2892733.53</c:v>
                </c:pt>
                <c:pt idx="6">
                  <c:v>-2650156.0599999996</c:v>
                </c:pt>
                <c:pt idx="7">
                  <c:v>-1477493.51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7AD-2747-B2D8-F7A09D6F6EB1}"/>
            </c:ext>
          </c:extLst>
        </c:ser>
        <c:ser>
          <c:idx val="3"/>
          <c:order val="4"/>
          <c:tx>
            <c:strRef>
              <c:f>'OTB RR'!$E$3</c:f>
              <c:strCache>
                <c:ptCount val="1"/>
                <c:pt idx="0">
                  <c:v>OTB vs Target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RR'!$A$4:$A$11</c:f>
              <c:strCache>
                <c:ptCount val="8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</c:strCache>
            </c:strRef>
          </c:cat>
          <c:val>
            <c:numRef>
              <c:f>'OTB RR'!$E$4:$E$11</c:f>
              <c:numCache>
                <c:formatCode>#,##0</c:formatCode>
                <c:ptCount val="8"/>
                <c:pt idx="0">
                  <c:v>778242.45599999977</c:v>
                </c:pt>
                <c:pt idx="1">
                  <c:v>433272.12999999989</c:v>
                </c:pt>
                <c:pt idx="2">
                  <c:v>-211489.22999999998</c:v>
                </c:pt>
                <c:pt idx="3">
                  <c:v>-1046636.7000000002</c:v>
                </c:pt>
                <c:pt idx="4">
                  <c:v>-2528674.2940000007</c:v>
                </c:pt>
                <c:pt idx="5">
                  <c:v>-3474873.2850000006</c:v>
                </c:pt>
                <c:pt idx="6">
                  <c:v>-2971875.2170000002</c:v>
                </c:pt>
                <c:pt idx="7">
                  <c:v>-1649975.5680000002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AD-2747-B2D8-F7A09D6F6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313904"/>
        <c:axId val="378852848"/>
      </c:barChart>
      <c:catAx>
        <c:axId val="37931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852848"/>
        <c:crosses val="autoZero"/>
        <c:auto val="1"/>
        <c:lblAlgn val="ctr"/>
        <c:lblOffset val="100"/>
        <c:noMultiLvlLbl val="0"/>
      </c:catAx>
      <c:valAx>
        <c:axId val="37885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31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5316306615519214E-2"/>
          <c:y val="0.87434195725534303"/>
          <c:w val="0.94799986540144021"/>
          <c:h val="0.113753280839895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82550</xdr:colOff>
      <xdr:row>33</xdr:row>
      <xdr:rowOff>69850</xdr:rowOff>
    </xdr:from>
    <xdr:to>
      <xdr:col>13</xdr:col>
      <xdr:colOff>641350</xdr:colOff>
      <xdr:row>49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90CCBC-CFA9-E427-1081-51F143FE3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742950</xdr:colOff>
      <xdr:row>33</xdr:row>
      <xdr:rowOff>57150</xdr:rowOff>
    </xdr:from>
    <xdr:to>
      <xdr:col>20</xdr:col>
      <xdr:colOff>704850</xdr:colOff>
      <xdr:row>49</xdr:row>
      <xdr:rowOff>6350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1DB7DB1-73CF-9A12-90C7-CCE45B325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133350</xdr:colOff>
      <xdr:row>33</xdr:row>
      <xdr:rowOff>57150</xdr:rowOff>
    </xdr:from>
    <xdr:to>
      <xdr:col>6</xdr:col>
      <xdr:colOff>895350</xdr:colOff>
      <xdr:row>49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070A97-F3E2-ADCF-24C1-07A612DAA8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FC22-16E4-5542-87C2-0EE348A6D3D1}">
  <dimension ref="A1:Q32"/>
  <sheetViews>
    <sheetView tabSelected="1" zoomScaleNormal="100" workbookViewId="0">
      <selection sqref="A1:L1"/>
    </sheetView>
  </sheetViews>
  <sheetFormatPr baseColWidth="10" defaultRowHeight="16" x14ac:dyDescent="0.2"/>
  <cols>
    <col min="1" max="1" width="8.83203125" style="6" customWidth="1"/>
    <col min="2" max="12" width="11.83203125" style="6" customWidth="1"/>
    <col min="13" max="15" width="11.5" style="1" customWidth="1"/>
    <col min="16" max="17" width="11.5" customWidth="1"/>
  </cols>
  <sheetData>
    <row r="1" spans="1:17" ht="28" customHeight="1" thickBot="1" x14ac:dyDescent="0.25">
      <c r="A1" s="103" t="s">
        <v>34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5"/>
      <c r="O1" s="24"/>
      <c r="P1" s="24"/>
      <c r="Q1" s="24"/>
    </row>
    <row r="2" spans="1:17" ht="25" customHeight="1" thickBot="1" x14ac:dyDescent="0.25">
      <c r="A2" s="114" t="s">
        <v>18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6"/>
      <c r="P2" s="1"/>
      <c r="Q2" s="1"/>
    </row>
    <row r="3" spans="1:17" s="49" customFormat="1" ht="32" customHeight="1" x14ac:dyDescent="0.2">
      <c r="A3" s="70"/>
      <c r="B3" s="70" t="s">
        <v>31</v>
      </c>
      <c r="C3" s="70" t="s">
        <v>24</v>
      </c>
      <c r="D3" s="71" t="s">
        <v>0</v>
      </c>
      <c r="E3" s="106" t="s">
        <v>1</v>
      </c>
      <c r="F3" s="107"/>
      <c r="G3" s="106" t="s">
        <v>26</v>
      </c>
      <c r="H3" s="107"/>
      <c r="I3" s="106" t="s">
        <v>25</v>
      </c>
      <c r="J3" s="107"/>
      <c r="K3" s="70" t="s">
        <v>32</v>
      </c>
      <c r="L3" s="70" t="s">
        <v>33</v>
      </c>
      <c r="M3" s="48"/>
      <c r="N3" s="48"/>
    </row>
    <row r="4" spans="1:17" ht="18" customHeight="1" x14ac:dyDescent="0.2">
      <c r="A4" s="50" t="s">
        <v>11</v>
      </c>
      <c r="B4" s="51">
        <v>3815054.19</v>
      </c>
      <c r="C4" s="51">
        <f t="shared" ref="C4:C11" si="0">D4*1.1</f>
        <v>3036811.7340000002</v>
      </c>
      <c r="D4" s="52">
        <v>2760737.94</v>
      </c>
      <c r="E4" s="53">
        <f>B4-C4</f>
        <v>778242.45599999977</v>
      </c>
      <c r="F4" s="97">
        <f>(B4-C4)/C4</f>
        <v>0.25626957617649926</v>
      </c>
      <c r="G4" s="52">
        <f t="shared" ref="G4:G12" si="1">C4-D4</f>
        <v>276073.79400000023</v>
      </c>
      <c r="H4" s="54">
        <f t="shared" ref="H4:H12" si="2">(C4-D4)/D4</f>
        <v>0.10000000000000009</v>
      </c>
      <c r="I4" s="53">
        <f t="shared" ref="I4:I12" si="3">B4-D4</f>
        <v>1054316.25</v>
      </c>
      <c r="J4" s="97">
        <f t="shared" ref="J4:J10" si="4">(B4-D4)/D4</f>
        <v>0.38189653379414928</v>
      </c>
      <c r="K4" s="51">
        <v>3674985.53</v>
      </c>
      <c r="L4" s="51">
        <f t="shared" ref="L4:L8" si="5">B4-K4</f>
        <v>140068.66000000015</v>
      </c>
      <c r="O4"/>
    </row>
    <row r="5" spans="1:17" ht="18" customHeight="1" x14ac:dyDescent="0.2">
      <c r="A5" s="50" t="s">
        <v>2</v>
      </c>
      <c r="B5" s="51">
        <v>3008232.43</v>
      </c>
      <c r="C5" s="51">
        <f t="shared" ref="C5:C10" si="6">D5*1.1</f>
        <v>2574960.3000000003</v>
      </c>
      <c r="D5" s="52">
        <v>2340873</v>
      </c>
      <c r="E5" s="53">
        <f>B5-C5</f>
        <v>433272.12999999989</v>
      </c>
      <c r="F5" s="97">
        <f>(B5-C5)/C5</f>
        <v>0.16826361555943206</v>
      </c>
      <c r="G5" s="52">
        <f t="shared" si="1"/>
        <v>234087.30000000028</v>
      </c>
      <c r="H5" s="54">
        <f t="shared" si="2"/>
        <v>0.10000000000000012</v>
      </c>
      <c r="I5" s="53">
        <f t="shared" si="3"/>
        <v>667359.43000000017</v>
      </c>
      <c r="J5" s="97">
        <f t="shared" si="4"/>
        <v>0.28508997711537543</v>
      </c>
      <c r="K5" s="51">
        <v>2270447.64</v>
      </c>
      <c r="L5" s="51">
        <f t="shared" si="5"/>
        <v>737784.79</v>
      </c>
      <c r="O5"/>
    </row>
    <row r="6" spans="1:17" ht="18" customHeight="1" x14ac:dyDescent="0.2">
      <c r="A6" s="50" t="s">
        <v>30</v>
      </c>
      <c r="B6" s="51">
        <v>1963815.77</v>
      </c>
      <c r="C6" s="51">
        <f t="shared" si="6"/>
        <v>2175305</v>
      </c>
      <c r="D6" s="52">
        <v>1977550</v>
      </c>
      <c r="E6" s="53">
        <f>B6-C6</f>
        <v>-211489.22999999998</v>
      </c>
      <c r="F6" s="97">
        <f>(B6-C6)/C6</f>
        <v>-9.7222794044972999E-2</v>
      </c>
      <c r="G6" s="52">
        <f t="shared" si="1"/>
        <v>197755</v>
      </c>
      <c r="H6" s="54">
        <f t="shared" si="2"/>
        <v>0.1</v>
      </c>
      <c r="I6" s="53">
        <f t="shared" si="3"/>
        <v>-13734.229999999981</v>
      </c>
      <c r="J6" s="97">
        <f t="shared" si="4"/>
        <v>-6.9450734494702947E-3</v>
      </c>
      <c r="K6" s="51">
        <v>1789587.82</v>
      </c>
      <c r="L6" s="51">
        <f t="shared" si="5"/>
        <v>174227.94999999995</v>
      </c>
      <c r="O6"/>
    </row>
    <row r="7" spans="1:17" ht="18" customHeight="1" x14ac:dyDescent="0.2">
      <c r="A7" s="50" t="s">
        <v>10</v>
      </c>
      <c r="B7" s="51">
        <v>2350244.7000000002</v>
      </c>
      <c r="C7" s="51">
        <f t="shared" si="6"/>
        <v>3396881.4000000004</v>
      </c>
      <c r="D7" s="52">
        <v>3088074</v>
      </c>
      <c r="E7" s="53">
        <f t="shared" ref="E7:E8" si="7">B7-C7</f>
        <v>-1046636.7000000002</v>
      </c>
      <c r="F7" s="97">
        <f t="shared" ref="F7:F8" si="8">(B7-C7)/C7</f>
        <v>-0.30811693926081729</v>
      </c>
      <c r="G7" s="52">
        <f t="shared" ref="G7:G10" si="9">C7-D7</f>
        <v>308807.40000000037</v>
      </c>
      <c r="H7" s="54">
        <f t="shared" ref="H7:H10" si="10">(C7-D7)/D7</f>
        <v>0.10000000000000012</v>
      </c>
      <c r="I7" s="53">
        <f t="shared" ref="I7:I10" si="11">B7-D7</f>
        <v>-737829.29999999981</v>
      </c>
      <c r="J7" s="97">
        <f t="shared" si="4"/>
        <v>-0.23892863318689897</v>
      </c>
      <c r="K7" s="51">
        <v>1927201.59</v>
      </c>
      <c r="L7" s="51">
        <f t="shared" si="5"/>
        <v>423043.1100000001</v>
      </c>
      <c r="O7"/>
    </row>
    <row r="8" spans="1:17" ht="18" customHeight="1" x14ac:dyDescent="0.2">
      <c r="A8" s="50" t="s">
        <v>9</v>
      </c>
      <c r="B8" s="51">
        <v>809645.02</v>
      </c>
      <c r="C8" s="51">
        <f t="shared" si="6"/>
        <v>3338319.3140000007</v>
      </c>
      <c r="D8" s="52">
        <v>3034835.74</v>
      </c>
      <c r="E8" s="53">
        <f t="shared" si="7"/>
        <v>-2528674.2940000007</v>
      </c>
      <c r="F8" s="97">
        <f t="shared" si="8"/>
        <v>-0.75746927005916731</v>
      </c>
      <c r="G8" s="52">
        <f t="shared" si="9"/>
        <v>303483.57400000049</v>
      </c>
      <c r="H8" s="54">
        <f t="shared" si="10"/>
        <v>0.10000000000000016</v>
      </c>
      <c r="I8" s="53">
        <f t="shared" si="11"/>
        <v>-2225190.7200000002</v>
      </c>
      <c r="J8" s="97">
        <f t="shared" si="4"/>
        <v>-0.73321619706508401</v>
      </c>
      <c r="K8" s="51">
        <v>550277.03</v>
      </c>
      <c r="L8" s="51">
        <f t="shared" si="5"/>
        <v>259367.99</v>
      </c>
      <c r="O8"/>
    </row>
    <row r="9" spans="1:17" ht="18" customHeight="1" x14ac:dyDescent="0.2">
      <c r="A9" s="50" t="s">
        <v>8</v>
      </c>
      <c r="B9" s="51">
        <v>2928664.02</v>
      </c>
      <c r="C9" s="51">
        <f t="shared" si="6"/>
        <v>6403537.3050000006</v>
      </c>
      <c r="D9" s="52">
        <v>5821397.5499999998</v>
      </c>
      <c r="E9" s="53">
        <f>B9-C9</f>
        <v>-3474873.2850000006</v>
      </c>
      <c r="F9" s="97">
        <f>(B9-C9)/C9</f>
        <v>-0.54264902654455616</v>
      </c>
      <c r="G9" s="52">
        <f t="shared" si="9"/>
        <v>582139.75500000082</v>
      </c>
      <c r="H9" s="54">
        <f t="shared" si="10"/>
        <v>0.10000000000000014</v>
      </c>
      <c r="I9" s="53">
        <f t="shared" si="11"/>
        <v>-2892733.53</v>
      </c>
      <c r="J9" s="97">
        <f t="shared" si="4"/>
        <v>-0.49691392919901167</v>
      </c>
      <c r="K9" s="51">
        <v>2358681.63</v>
      </c>
      <c r="L9" s="51">
        <f t="shared" ref="L9:L11" si="12">B9-K9</f>
        <v>569982.39000000013</v>
      </c>
      <c r="O9"/>
    </row>
    <row r="10" spans="1:17" ht="18" customHeight="1" x14ac:dyDescent="0.2">
      <c r="A10" s="50" t="s">
        <v>17</v>
      </c>
      <c r="B10" s="51">
        <v>567035.51</v>
      </c>
      <c r="C10" s="51">
        <f t="shared" si="6"/>
        <v>3538910.727</v>
      </c>
      <c r="D10" s="126">
        <v>3217191.57</v>
      </c>
      <c r="E10" s="53">
        <f>B10-C10</f>
        <v>-2971875.2170000002</v>
      </c>
      <c r="F10" s="97">
        <f>(B10-C10)/C10</f>
        <v>-0.83977117431253023</v>
      </c>
      <c r="G10" s="126">
        <f t="shared" si="9"/>
        <v>321719.15700000012</v>
      </c>
      <c r="H10" s="54">
        <f t="shared" si="10"/>
        <v>0.10000000000000005</v>
      </c>
      <c r="I10" s="53">
        <f t="shared" si="11"/>
        <v>-2650156.0599999996</v>
      </c>
      <c r="J10" s="97">
        <f t="shared" si="4"/>
        <v>-0.82374829174378317</v>
      </c>
      <c r="K10" s="51">
        <v>449145.95</v>
      </c>
      <c r="L10" s="51">
        <f t="shared" ref="L10" si="13">B10-K10</f>
        <v>117889.56</v>
      </c>
      <c r="O10"/>
    </row>
    <row r="11" spans="1:17" ht="18" customHeight="1" thickBot="1" x14ac:dyDescent="0.25">
      <c r="A11" s="55" t="s">
        <v>16</v>
      </c>
      <c r="B11" s="56">
        <v>247327.07</v>
      </c>
      <c r="C11" s="56">
        <f t="shared" si="0"/>
        <v>1897302.6380000003</v>
      </c>
      <c r="D11" s="56">
        <v>1724820.58</v>
      </c>
      <c r="E11" s="58">
        <f>B11-C11</f>
        <v>-1649975.5680000002</v>
      </c>
      <c r="F11" s="98">
        <f>(B11-C11)/C11</f>
        <v>-0.86964279443541259</v>
      </c>
      <c r="G11" s="57">
        <f t="shared" si="1"/>
        <v>172482.05800000019</v>
      </c>
      <c r="H11" s="59">
        <f t="shared" si="2"/>
        <v>0.1000000000000001</v>
      </c>
      <c r="I11" s="58">
        <f t="shared" si="3"/>
        <v>-1477493.51</v>
      </c>
      <c r="J11" s="98">
        <f t="shared" ref="J11:J12" si="14">(B11-D11)/D11</f>
        <v>-0.85660707387895385</v>
      </c>
      <c r="K11" s="56"/>
      <c r="L11" s="51"/>
      <c r="O11"/>
    </row>
    <row r="12" spans="1:17" ht="18" customHeight="1" thickBot="1" x14ac:dyDescent="0.25">
      <c r="A12" s="60" t="s">
        <v>7</v>
      </c>
      <c r="B12" s="61">
        <f>SUM(B4:B11)</f>
        <v>15690018.709999999</v>
      </c>
      <c r="C12" s="61">
        <f>D12*1.1</f>
        <v>26362028.418000005</v>
      </c>
      <c r="D12" s="62">
        <f>SUM(D4:D11)</f>
        <v>23965480.380000003</v>
      </c>
      <c r="E12" s="63">
        <f>SUM(E4:E11)</f>
        <v>-10672009.708000002</v>
      </c>
      <c r="F12" s="99">
        <f>(B12-D12)/D12</f>
        <v>-0.34530756483004421</v>
      </c>
      <c r="G12" s="65">
        <f t="shared" si="1"/>
        <v>2396548.0380000025</v>
      </c>
      <c r="H12" s="64">
        <f t="shared" si="2"/>
        <v>0.10000000000000009</v>
      </c>
      <c r="I12" s="66">
        <f t="shared" si="3"/>
        <v>-8275461.6700000037</v>
      </c>
      <c r="J12" s="99">
        <f t="shared" si="14"/>
        <v>-0.34530756483004421</v>
      </c>
      <c r="K12" s="61">
        <f>SUM(K4:K11)</f>
        <v>13020327.189999998</v>
      </c>
      <c r="L12" s="100">
        <f>SUM(L4:L11)</f>
        <v>2422364.4500000007</v>
      </c>
      <c r="P12" s="1"/>
      <c r="Q12" s="1"/>
    </row>
    <row r="13" spans="1:17" ht="25" customHeight="1" thickBot="1" x14ac:dyDescent="0.25">
      <c r="A13" s="108" t="s">
        <v>28</v>
      </c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10"/>
      <c r="P13" s="1"/>
      <c r="Q13" s="1"/>
    </row>
    <row r="14" spans="1:17" ht="32" customHeight="1" x14ac:dyDescent="0.2">
      <c r="A14" s="72"/>
      <c r="B14" s="73" t="str">
        <f>B3</f>
        <v>OTB @ 20 Aug 2026</v>
      </c>
      <c r="C14" s="73" t="str">
        <f>B14</f>
        <v>OTB @ 20 Aug 2026</v>
      </c>
      <c r="D14" s="74" t="s">
        <v>0</v>
      </c>
      <c r="E14" s="73" t="s">
        <v>27</v>
      </c>
      <c r="F14" s="81"/>
      <c r="G14" s="117" t="s">
        <v>6</v>
      </c>
      <c r="H14" s="118"/>
      <c r="I14" s="82"/>
      <c r="J14" s="82"/>
      <c r="K14" s="73" t="str">
        <f>K3</f>
        <v>OTB @ 20 Jul 2026</v>
      </c>
      <c r="L14" s="72" t="str">
        <f>L3</f>
        <v>20.08.26 vs 20.07.26</v>
      </c>
      <c r="P14" s="1"/>
      <c r="Q14" s="1"/>
    </row>
    <row r="15" spans="1:17" ht="18" customHeight="1" x14ac:dyDescent="0.2">
      <c r="A15" s="50" t="s">
        <v>11</v>
      </c>
      <c r="B15" s="69">
        <v>0.78539999999999999</v>
      </c>
      <c r="C15" s="67">
        <v>2532</v>
      </c>
      <c r="D15" s="68">
        <v>0.69599999999999995</v>
      </c>
      <c r="E15" s="67">
        <v>2244</v>
      </c>
      <c r="F15" s="79"/>
      <c r="G15" s="96">
        <f t="shared" ref="G15:G21" si="15">B15-D15</f>
        <v>8.9400000000000035E-2</v>
      </c>
      <c r="H15" s="83">
        <f t="shared" ref="H15:H21" si="16">C15-E15</f>
        <v>288</v>
      </c>
      <c r="I15" s="80"/>
      <c r="J15" s="80"/>
      <c r="K15" s="69">
        <v>0.76549999999999996</v>
      </c>
      <c r="L15" s="69">
        <f>B15-K15</f>
        <v>1.9900000000000029E-2</v>
      </c>
      <c r="P15" s="1"/>
      <c r="Q15" s="1"/>
    </row>
    <row r="16" spans="1:17" ht="18" customHeight="1" x14ac:dyDescent="0.2">
      <c r="A16" s="50" t="s">
        <v>2</v>
      </c>
      <c r="B16" s="69">
        <v>0.56579999999999997</v>
      </c>
      <c r="C16" s="67">
        <v>1824</v>
      </c>
      <c r="D16" s="68">
        <v>0.58899999999999997</v>
      </c>
      <c r="E16" s="67">
        <v>1898</v>
      </c>
      <c r="F16" s="79"/>
      <c r="G16" s="96">
        <f t="shared" si="15"/>
        <v>-2.3199999999999998E-2</v>
      </c>
      <c r="H16" s="83">
        <f t="shared" si="16"/>
        <v>-74</v>
      </c>
      <c r="I16" s="80"/>
      <c r="J16" s="80"/>
      <c r="K16" s="69">
        <v>0.40039999999999998</v>
      </c>
      <c r="L16" s="69">
        <f>B16-K16</f>
        <v>0.16539999999999999</v>
      </c>
      <c r="P16" s="1"/>
      <c r="Q16" s="1"/>
    </row>
    <row r="17" spans="1:17" ht="18" customHeight="1" x14ac:dyDescent="0.2">
      <c r="A17" s="50" t="s">
        <v>30</v>
      </c>
      <c r="B17" s="69">
        <v>0.52280000000000004</v>
      </c>
      <c r="C17" s="67">
        <v>1631</v>
      </c>
      <c r="D17" s="68">
        <v>0.55100000000000005</v>
      </c>
      <c r="E17" s="67">
        <v>1718</v>
      </c>
      <c r="F17" s="79"/>
      <c r="G17" s="96">
        <f t="shared" si="15"/>
        <v>-2.8200000000000003E-2</v>
      </c>
      <c r="H17" s="83">
        <f t="shared" si="16"/>
        <v>-87</v>
      </c>
      <c r="I17" s="80"/>
      <c r="J17" s="80"/>
      <c r="K17" s="69">
        <v>0.45190000000000002</v>
      </c>
      <c r="L17" s="69">
        <f>B17-K17</f>
        <v>7.0900000000000019E-2</v>
      </c>
      <c r="P17" s="1"/>
      <c r="Q17" s="1"/>
    </row>
    <row r="18" spans="1:17" ht="18" customHeight="1" x14ac:dyDescent="0.2">
      <c r="A18" s="50" t="s">
        <v>10</v>
      </c>
      <c r="B18" s="69">
        <v>0.51800000000000002</v>
      </c>
      <c r="C18" s="67">
        <v>1670</v>
      </c>
      <c r="D18" s="68">
        <v>0.79400000000000004</v>
      </c>
      <c r="E18" s="67">
        <v>2560</v>
      </c>
      <c r="F18" s="79"/>
      <c r="G18" s="96">
        <f t="shared" si="15"/>
        <v>-0.27600000000000002</v>
      </c>
      <c r="H18" s="83">
        <f t="shared" si="16"/>
        <v>-890</v>
      </c>
      <c r="I18" s="80"/>
      <c r="J18" s="80"/>
      <c r="K18" s="69">
        <v>0.42559999999999998</v>
      </c>
      <c r="L18" s="69">
        <f>B18-K18</f>
        <v>9.2400000000000038E-2</v>
      </c>
      <c r="P18" s="1"/>
      <c r="Q18" s="1"/>
    </row>
    <row r="19" spans="1:17" ht="18" customHeight="1" x14ac:dyDescent="0.2">
      <c r="A19" s="50" t="s">
        <v>9</v>
      </c>
      <c r="B19" s="69">
        <v>0.19869999999999999</v>
      </c>
      <c r="C19" s="67">
        <v>620</v>
      </c>
      <c r="D19" s="68">
        <v>0.54520000000000002</v>
      </c>
      <c r="E19" s="67">
        <v>1701</v>
      </c>
      <c r="F19" s="79"/>
      <c r="G19" s="96">
        <f t="shared" si="15"/>
        <v>-0.34650000000000003</v>
      </c>
      <c r="H19" s="83">
        <f t="shared" si="16"/>
        <v>-1081</v>
      </c>
      <c r="I19" s="80"/>
      <c r="J19" s="80"/>
      <c r="K19" s="69">
        <v>0.15160000000000001</v>
      </c>
      <c r="L19" s="69">
        <f t="shared" ref="L19" si="17">B19-K19</f>
        <v>4.7099999999999975E-2</v>
      </c>
      <c r="P19" s="1"/>
      <c r="Q19" s="1"/>
    </row>
    <row r="20" spans="1:17" ht="18" customHeight="1" x14ac:dyDescent="0.2">
      <c r="A20" s="50" t="s">
        <v>8</v>
      </c>
      <c r="B20" s="69">
        <v>0.2878</v>
      </c>
      <c r="C20" s="67">
        <v>928</v>
      </c>
      <c r="D20" s="68">
        <v>0.72699999999999998</v>
      </c>
      <c r="E20" s="67">
        <v>2344</v>
      </c>
      <c r="F20" s="79"/>
      <c r="G20" s="96">
        <f t="shared" si="15"/>
        <v>-0.43919999999999998</v>
      </c>
      <c r="H20" s="83">
        <f t="shared" si="16"/>
        <v>-1416</v>
      </c>
      <c r="I20" s="80"/>
      <c r="J20" s="80"/>
      <c r="K20" s="69">
        <v>0.22459999999999999</v>
      </c>
      <c r="L20" s="69">
        <f t="shared" ref="L20:L22" si="18">B20-K20</f>
        <v>6.3200000000000006E-2</v>
      </c>
      <c r="P20" s="1"/>
      <c r="Q20" s="1"/>
    </row>
    <row r="21" spans="1:17" ht="18" customHeight="1" x14ac:dyDescent="0.2">
      <c r="A21" s="50" t="s">
        <v>17</v>
      </c>
      <c r="B21" s="69">
        <v>9.4600000000000004E-2</v>
      </c>
      <c r="C21" s="67">
        <v>305</v>
      </c>
      <c r="D21" s="68">
        <v>0.57069999999999999</v>
      </c>
      <c r="E21" s="67">
        <v>1840</v>
      </c>
      <c r="F21" s="79"/>
      <c r="G21" s="96">
        <f t="shared" si="15"/>
        <v>-0.47609999999999997</v>
      </c>
      <c r="H21" s="83">
        <f t="shared" si="16"/>
        <v>-1535</v>
      </c>
      <c r="I21" s="80"/>
      <c r="J21" s="80"/>
      <c r="K21" s="69">
        <v>7.6899999999999996E-2</v>
      </c>
      <c r="L21" s="69">
        <f t="shared" ref="L21" si="19">B21-K21</f>
        <v>1.7700000000000007E-2</v>
      </c>
      <c r="P21" s="1"/>
      <c r="Q21" s="1"/>
    </row>
    <row r="22" spans="1:17" ht="18" customHeight="1" thickBot="1" x14ac:dyDescent="0.25">
      <c r="A22" s="55" t="s">
        <v>16</v>
      </c>
      <c r="B22" s="69">
        <v>6.0100000000000001E-2</v>
      </c>
      <c r="C22" s="67">
        <v>175</v>
      </c>
      <c r="D22" s="68">
        <v>0.44330000000000003</v>
      </c>
      <c r="E22" s="67">
        <v>1291</v>
      </c>
      <c r="F22" s="79"/>
      <c r="G22" s="96">
        <f t="shared" ref="G22:H22" si="20">B22-D22</f>
        <v>-0.38320000000000004</v>
      </c>
      <c r="H22" s="83">
        <f t="shared" si="20"/>
        <v>-1116</v>
      </c>
      <c r="I22" s="80"/>
      <c r="J22" s="80"/>
      <c r="K22" s="69"/>
      <c r="L22" s="69"/>
      <c r="P22" s="1"/>
      <c r="Q22" s="1"/>
    </row>
    <row r="23" spans="1:17" ht="25" customHeight="1" thickBot="1" x14ac:dyDescent="0.25">
      <c r="A23" s="111" t="s">
        <v>29</v>
      </c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3"/>
    </row>
    <row r="24" spans="1:17" ht="32" customHeight="1" x14ac:dyDescent="0.2">
      <c r="A24" s="75"/>
      <c r="B24" s="75" t="str">
        <f>B3</f>
        <v>OTB @ 20 Aug 2026</v>
      </c>
      <c r="C24" s="84"/>
      <c r="D24" s="76" t="s">
        <v>0</v>
      </c>
      <c r="E24" s="84"/>
      <c r="F24" s="101" t="s">
        <v>6</v>
      </c>
      <c r="G24" s="102"/>
      <c r="H24" s="77"/>
      <c r="I24" s="77"/>
      <c r="J24" s="77"/>
      <c r="K24" s="75" t="str">
        <f>K3</f>
        <v>OTB @ 20 Jul 2026</v>
      </c>
      <c r="L24" s="78" t="str">
        <f>L3</f>
        <v>20.08.26 vs 20.07.26</v>
      </c>
    </row>
    <row r="25" spans="1:17" ht="18" customHeight="1" x14ac:dyDescent="0.2">
      <c r="A25" s="50" t="s">
        <v>11</v>
      </c>
      <c r="B25" s="51">
        <f>B4/C15</f>
        <v>1506.735462085308</v>
      </c>
      <c r="C25" s="85"/>
      <c r="D25" s="51">
        <f>D4/E15</f>
        <v>1230.2753743315507</v>
      </c>
      <c r="E25" s="85"/>
      <c r="F25" s="52">
        <f t="shared" ref="F25:F31" si="21">B25-D25</f>
        <v>276.46008775375731</v>
      </c>
      <c r="G25" s="97">
        <f t="shared" ref="G25:G31" si="22">(B25-D25)/D25</f>
        <v>0.22471398966590486</v>
      </c>
      <c r="H25" s="87"/>
      <c r="I25" s="87"/>
      <c r="J25" s="87"/>
      <c r="K25" s="51">
        <v>1489.0541045380874</v>
      </c>
      <c r="L25" s="51">
        <f>B25-K25</f>
        <v>17.681357547220614</v>
      </c>
    </row>
    <row r="26" spans="1:17" ht="18" customHeight="1" x14ac:dyDescent="0.2">
      <c r="A26" s="50" t="s">
        <v>2</v>
      </c>
      <c r="B26" s="51">
        <f>B5/C16</f>
        <v>1649.2502357456142</v>
      </c>
      <c r="C26" s="85"/>
      <c r="D26" s="51">
        <f>D5/E16</f>
        <v>1233.336670179136</v>
      </c>
      <c r="E26" s="85"/>
      <c r="F26" s="52">
        <f t="shared" si="21"/>
        <v>415.91356556647816</v>
      </c>
      <c r="G26" s="97">
        <f t="shared" si="22"/>
        <v>0.33722630294132805</v>
      </c>
      <c r="H26" s="87"/>
      <c r="I26" s="87"/>
      <c r="J26" s="87"/>
      <c r="K26" s="51">
        <v>1758.6736173508909</v>
      </c>
      <c r="L26" s="51">
        <f>B26-K26</f>
        <v>-109.42338160527675</v>
      </c>
    </row>
    <row r="27" spans="1:17" ht="18" customHeight="1" x14ac:dyDescent="0.2">
      <c r="A27" s="50" t="s">
        <v>30</v>
      </c>
      <c r="B27" s="51">
        <f>B6/C17</f>
        <v>1204.0562660944206</v>
      </c>
      <c r="C27" s="85"/>
      <c r="D27" s="51">
        <f>D6/E17</f>
        <v>1151.0768335273574</v>
      </c>
      <c r="E27" s="85"/>
      <c r="F27" s="52">
        <f t="shared" si="21"/>
        <v>52.979432567063213</v>
      </c>
      <c r="G27" s="97">
        <f t="shared" si="22"/>
        <v>4.6025974134770095E-2</v>
      </c>
      <c r="H27" s="87"/>
      <c r="I27" s="87"/>
      <c r="J27" s="87"/>
      <c r="K27" s="51">
        <v>1269.211219858156</v>
      </c>
      <c r="L27" s="51">
        <f>B27-K27</f>
        <v>-65.154953763735421</v>
      </c>
    </row>
    <row r="28" spans="1:17" ht="18" customHeight="1" x14ac:dyDescent="0.2">
      <c r="A28" s="50" t="s">
        <v>10</v>
      </c>
      <c r="B28" s="51">
        <f>B7/C18</f>
        <v>1407.3321556886228</v>
      </c>
      <c r="C28" s="85"/>
      <c r="D28" s="51">
        <f>D7/E18</f>
        <v>1206.2789062500001</v>
      </c>
      <c r="E28" s="85"/>
      <c r="F28" s="52">
        <f t="shared" si="21"/>
        <v>201.05324943862274</v>
      </c>
      <c r="G28" s="97">
        <f t="shared" si="22"/>
        <v>0.16667227487517275</v>
      </c>
      <c r="H28" s="87"/>
      <c r="I28" s="87"/>
      <c r="J28" s="87"/>
      <c r="K28" s="51">
        <v>1404.6658819241984</v>
      </c>
      <c r="L28" s="51">
        <f t="shared" ref="L28:L29" si="23">B28-K28</f>
        <v>2.6662737644244316</v>
      </c>
    </row>
    <row r="29" spans="1:17" ht="18" customHeight="1" x14ac:dyDescent="0.2">
      <c r="A29" s="50" t="s">
        <v>9</v>
      </c>
      <c r="B29" s="51">
        <f>B8/C19</f>
        <v>1305.8790645161291</v>
      </c>
      <c r="C29" s="85"/>
      <c r="D29" s="51">
        <f>D8/E19</f>
        <v>1784.1479952968843</v>
      </c>
      <c r="E29" s="85"/>
      <c r="F29" s="52">
        <f t="shared" si="21"/>
        <v>-478.26893078075523</v>
      </c>
      <c r="G29" s="97">
        <f t="shared" si="22"/>
        <v>-0.26806572775436754</v>
      </c>
      <c r="H29" s="87"/>
      <c r="I29" s="87"/>
      <c r="J29" s="87"/>
      <c r="K29" s="51">
        <v>1163.3763847780128</v>
      </c>
      <c r="L29" s="51">
        <f t="shared" si="23"/>
        <v>142.50267973811629</v>
      </c>
    </row>
    <row r="30" spans="1:17" ht="18" customHeight="1" x14ac:dyDescent="0.2">
      <c r="A30" s="50" t="s">
        <v>8</v>
      </c>
      <c r="B30" s="51">
        <f>B9/C20</f>
        <v>3155.8879525862071</v>
      </c>
      <c r="C30" s="85"/>
      <c r="D30" s="51">
        <f>D9/E20</f>
        <v>2483.5313779863482</v>
      </c>
      <c r="E30" s="85"/>
      <c r="F30" s="52">
        <f t="shared" si="21"/>
        <v>672.35657459985896</v>
      </c>
      <c r="G30" s="97">
        <f t="shared" si="22"/>
        <v>0.27072602366111714</v>
      </c>
      <c r="H30" s="87"/>
      <c r="I30" s="87"/>
      <c r="J30" s="87"/>
      <c r="K30" s="51">
        <v>3257.8475552486188</v>
      </c>
      <c r="L30" s="51">
        <f>B30-K30</f>
        <v>-101.95960266241173</v>
      </c>
    </row>
    <row r="31" spans="1:17" ht="18" customHeight="1" x14ac:dyDescent="0.2">
      <c r="A31" s="50" t="s">
        <v>17</v>
      </c>
      <c r="B31" s="51">
        <f>B10/C21</f>
        <v>1859.1328196721313</v>
      </c>
      <c r="C31" s="85"/>
      <c r="D31" s="51">
        <f>D10/E21</f>
        <v>1748.473679347826</v>
      </c>
      <c r="E31" s="85"/>
      <c r="F31" s="126">
        <f t="shared" si="21"/>
        <v>110.65914032430533</v>
      </c>
      <c r="G31" s="97">
        <f t="shared" si="22"/>
        <v>6.328899407029151E-2</v>
      </c>
      <c r="H31" s="127"/>
      <c r="I31" s="127"/>
      <c r="J31" s="127"/>
      <c r="K31" s="51">
        <v>1811.0723790322581</v>
      </c>
      <c r="L31" s="51">
        <f>B31-K31</f>
        <v>48.06044063987315</v>
      </c>
    </row>
    <row r="32" spans="1:17" ht="18" customHeight="1" thickBot="1" x14ac:dyDescent="0.25">
      <c r="A32" s="55" t="s">
        <v>16</v>
      </c>
      <c r="B32" s="56">
        <f>B11/C22</f>
        <v>1413.2975428571428</v>
      </c>
      <c r="C32" s="86"/>
      <c r="D32" s="56">
        <f>D11/E22</f>
        <v>1336.0345313710302</v>
      </c>
      <c r="E32" s="86"/>
      <c r="F32" s="58">
        <f t="shared" ref="F32" si="24">B32-D32</f>
        <v>77.263011486112646</v>
      </c>
      <c r="G32" s="98">
        <f t="shared" ref="G32" si="25">(B32-D32)/D32</f>
        <v>5.7830100698689151E-2</v>
      </c>
      <c r="H32" s="88"/>
      <c r="I32" s="88"/>
      <c r="J32" s="88"/>
      <c r="K32" s="56"/>
      <c r="L32" s="56"/>
    </row>
  </sheetData>
  <mergeCells count="9">
    <mergeCell ref="F24:G24"/>
    <mergeCell ref="A1:L1"/>
    <mergeCell ref="E3:F3"/>
    <mergeCell ref="G3:H3"/>
    <mergeCell ref="I3:J3"/>
    <mergeCell ref="A13:L13"/>
    <mergeCell ref="A23:L23"/>
    <mergeCell ref="A2:L2"/>
    <mergeCell ref="G14:H14"/>
  </mergeCells>
  <conditionalFormatting sqref="E4:F12 I4:J12 L4:L12 G15:H22 L15:L22 F25:G32 L25:L32">
    <cfRule type="cellIs" dxfId="9" priority="1" stopIfTrue="1" operator="lessThan">
      <formula>-0.0009</formula>
    </cfRule>
    <cfRule type="cellIs" dxfId="8" priority="2" stopIfTrue="1" operator="greaterThan">
      <formula>0.0009</formula>
    </cfRule>
  </conditionalFormatting>
  <pageMargins left="0.25" right="0.25" top="0.75" bottom="0.75" header="0.3" footer="0.3"/>
  <pageSetup paperSize="8" orientation="landscape" horizontalDpi="0" verticalDpi="0"/>
  <ignoredErrors>
    <ignoredError sqref="C12" formula="1"/>
    <ignoredError sqref="B25:J29 B32:J32 B30:G30 L25:L30" evalError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6A0A5-2695-EA44-927D-7961F5D9B06B}">
  <dimension ref="A1:N170"/>
  <sheetViews>
    <sheetView workbookViewId="0">
      <selection activeCell="E43" sqref="E43"/>
    </sheetView>
  </sheetViews>
  <sheetFormatPr baseColWidth="10" defaultRowHeight="16" x14ac:dyDescent="0.2"/>
  <cols>
    <col min="1" max="1" width="8.83203125" customWidth="1"/>
  </cols>
  <sheetData>
    <row r="1" spans="1:13" ht="28" customHeight="1" thickBot="1" x14ac:dyDescent="0.25">
      <c r="A1" s="103" t="s">
        <v>23</v>
      </c>
      <c r="B1" s="104"/>
      <c r="C1" s="104"/>
      <c r="D1" s="104"/>
      <c r="E1" s="104"/>
      <c r="F1" s="104"/>
      <c r="G1" s="104"/>
      <c r="H1" s="105"/>
      <c r="I1" s="24"/>
      <c r="J1" s="24"/>
      <c r="K1" s="24"/>
      <c r="L1" s="24"/>
    </row>
    <row r="2" spans="1:13" s="5" customFormat="1" ht="32" customHeight="1" x14ac:dyDescent="0.2">
      <c r="A2" s="13"/>
      <c r="B2" s="13">
        <v>2025</v>
      </c>
      <c r="C2" s="14">
        <v>2024</v>
      </c>
      <c r="D2" s="119" t="s">
        <v>20</v>
      </c>
      <c r="E2" s="120"/>
      <c r="F2" s="16" t="s">
        <v>19</v>
      </c>
      <c r="G2" s="121" t="s">
        <v>21</v>
      </c>
      <c r="H2" s="122"/>
      <c r="I2" s="4"/>
      <c r="J2" s="4"/>
    </row>
    <row r="3" spans="1:13" s="3" customFormat="1" ht="18" customHeight="1" x14ac:dyDescent="0.2">
      <c r="A3" s="8" t="s">
        <v>17</v>
      </c>
      <c r="B3" s="11">
        <v>2722396.11</v>
      </c>
      <c r="C3" s="17">
        <v>3087109</v>
      </c>
      <c r="D3" s="27">
        <f t="shared" ref="D3:D15" si="0">B3-C3</f>
        <v>-364712.89000000013</v>
      </c>
      <c r="E3" s="41">
        <f>(B3-C3)/C3</f>
        <v>-0.11814059367518287</v>
      </c>
      <c r="F3" s="18">
        <f>C3*1.1</f>
        <v>3395819.9000000004</v>
      </c>
      <c r="G3" s="30">
        <f>B3-F3</f>
        <v>-673423.7900000005</v>
      </c>
      <c r="H3" s="28">
        <f>(B3-F3)/F3</f>
        <v>-0.19830963061380269</v>
      </c>
      <c r="I3" s="2"/>
      <c r="J3" s="2"/>
    </row>
    <row r="4" spans="1:13" s="3" customFormat="1" ht="18" customHeight="1" x14ac:dyDescent="0.2">
      <c r="A4" s="8" t="s">
        <v>16</v>
      </c>
      <c r="B4" s="11">
        <v>1561693.86</v>
      </c>
      <c r="C4" s="17">
        <v>2059450</v>
      </c>
      <c r="D4" s="27">
        <f t="shared" si="0"/>
        <v>-497756.1399999999</v>
      </c>
      <c r="E4" s="41">
        <f t="shared" ref="E4:E14" si="1">(B4-C4)/C4</f>
        <v>-0.24169372405253825</v>
      </c>
      <c r="F4" s="18">
        <f t="shared" ref="F4:F14" si="2">C4*1.1</f>
        <v>2265395</v>
      </c>
      <c r="G4" s="30">
        <f t="shared" ref="G4:G14" si="3">B4-F4</f>
        <v>-703701.1399999999</v>
      </c>
      <c r="H4" s="28">
        <f t="shared" ref="H4:H14" si="4">(B4-F4)/F4</f>
        <v>-0.31063065822958025</v>
      </c>
      <c r="I4" s="2"/>
      <c r="J4" s="2"/>
    </row>
    <row r="5" spans="1:13" s="3" customFormat="1" ht="18" customHeight="1" x14ac:dyDescent="0.2">
      <c r="A5" s="8" t="s">
        <v>15</v>
      </c>
      <c r="B5" s="11">
        <v>2634827.0499999998</v>
      </c>
      <c r="C5" s="17">
        <v>1951086</v>
      </c>
      <c r="D5" s="27">
        <f t="shared" si="0"/>
        <v>683741.04999999981</v>
      </c>
      <c r="E5" s="41">
        <f t="shared" si="1"/>
        <v>0.3504412670686991</v>
      </c>
      <c r="F5" s="18">
        <f t="shared" si="2"/>
        <v>2146194.6</v>
      </c>
      <c r="G5" s="30">
        <f t="shared" si="3"/>
        <v>488632.44999999972</v>
      </c>
      <c r="H5" s="28">
        <f t="shared" si="4"/>
        <v>0.22767387915336273</v>
      </c>
      <c r="I5" s="2"/>
      <c r="J5" s="2"/>
    </row>
    <row r="6" spans="1:13" s="3" customFormat="1" ht="18" customHeight="1" x14ac:dyDescent="0.2">
      <c r="A6" s="8" t="s">
        <v>14</v>
      </c>
      <c r="B6" s="11">
        <v>3192083.51</v>
      </c>
      <c r="C6" s="17">
        <v>2446118.84</v>
      </c>
      <c r="D6" s="27">
        <f t="shared" si="0"/>
        <v>745964.66999999993</v>
      </c>
      <c r="E6" s="41">
        <f t="shared" si="1"/>
        <v>0.30495847454410674</v>
      </c>
      <c r="F6" s="18">
        <f t="shared" si="2"/>
        <v>2690730.7239999999</v>
      </c>
      <c r="G6" s="30">
        <f t="shared" si="3"/>
        <v>501352.78599999985</v>
      </c>
      <c r="H6" s="28">
        <f t="shared" si="4"/>
        <v>0.18632588594918792</v>
      </c>
      <c r="I6" s="2"/>
      <c r="J6" s="2"/>
    </row>
    <row r="7" spans="1:13" s="3" customFormat="1" ht="18" customHeight="1" x14ac:dyDescent="0.2">
      <c r="A7" s="8" t="s">
        <v>13</v>
      </c>
      <c r="B7" s="11">
        <v>2030622.79</v>
      </c>
      <c r="C7" s="17">
        <v>2244820</v>
      </c>
      <c r="D7" s="27">
        <f t="shared" si="0"/>
        <v>-214197.20999999996</v>
      </c>
      <c r="E7" s="41">
        <f t="shared" si="1"/>
        <v>-9.5418434440177821E-2</v>
      </c>
      <c r="F7" s="18">
        <f t="shared" si="2"/>
        <v>2469302</v>
      </c>
      <c r="G7" s="30">
        <f t="shared" si="3"/>
        <v>-438679.20999999996</v>
      </c>
      <c r="H7" s="28">
        <f t="shared" si="4"/>
        <v>-0.17765312221834348</v>
      </c>
      <c r="I7" s="2"/>
      <c r="J7" s="2"/>
    </row>
    <row r="8" spans="1:13" s="3" customFormat="1" ht="18" customHeight="1" x14ac:dyDescent="0.2">
      <c r="A8" s="8" t="s">
        <v>12</v>
      </c>
      <c r="B8" s="11">
        <v>1682753</v>
      </c>
      <c r="C8" s="17">
        <v>2856875.86</v>
      </c>
      <c r="D8" s="27">
        <f t="shared" si="0"/>
        <v>-1174122.8599999999</v>
      </c>
      <c r="E8" s="41">
        <f t="shared" si="1"/>
        <v>-0.41098140680148415</v>
      </c>
      <c r="F8" s="18">
        <f t="shared" si="2"/>
        <v>3142563.446</v>
      </c>
      <c r="G8" s="30">
        <f t="shared" si="3"/>
        <v>-1459810.446</v>
      </c>
      <c r="H8" s="28">
        <f t="shared" si="4"/>
        <v>-0.46452855163771289</v>
      </c>
      <c r="I8" s="2"/>
      <c r="J8" s="2"/>
    </row>
    <row r="9" spans="1:13" s="3" customFormat="1" ht="18" customHeight="1" x14ac:dyDescent="0.2">
      <c r="A9" s="8" t="s">
        <v>11</v>
      </c>
      <c r="B9" s="11">
        <v>2760737.94</v>
      </c>
      <c r="C9" s="17">
        <v>2182708.14</v>
      </c>
      <c r="D9" s="27">
        <f t="shared" si="0"/>
        <v>578029.79999999981</v>
      </c>
      <c r="E9" s="41">
        <f t="shared" si="1"/>
        <v>0.26482230464399137</v>
      </c>
      <c r="F9" s="18">
        <f t="shared" si="2"/>
        <v>2400978.9540000004</v>
      </c>
      <c r="G9" s="30">
        <f t="shared" si="3"/>
        <v>359758.98599999957</v>
      </c>
      <c r="H9" s="28">
        <f t="shared" si="4"/>
        <v>0.14983845876726479</v>
      </c>
      <c r="I9" s="2"/>
      <c r="J9" s="2"/>
    </row>
    <row r="10" spans="1:13" s="3" customFormat="1" ht="18" customHeight="1" x14ac:dyDescent="0.2">
      <c r="A10" s="8" t="s">
        <v>2</v>
      </c>
      <c r="B10" s="11">
        <v>2231162.0699999998</v>
      </c>
      <c r="C10" s="17">
        <v>2460287</v>
      </c>
      <c r="D10" s="27">
        <f t="shared" si="0"/>
        <v>-229124.93000000017</v>
      </c>
      <c r="E10" s="41">
        <f t="shared" si="1"/>
        <v>-9.3129350356279644E-2</v>
      </c>
      <c r="F10" s="18">
        <f t="shared" si="2"/>
        <v>2706315.7</v>
      </c>
      <c r="G10" s="30">
        <f t="shared" si="3"/>
        <v>-475153.63000000035</v>
      </c>
      <c r="H10" s="28">
        <f t="shared" si="4"/>
        <v>-0.175572136687527</v>
      </c>
      <c r="I10" s="2"/>
      <c r="J10" s="2"/>
    </row>
    <row r="11" spans="1:13" s="3" customFormat="1" ht="18" customHeight="1" x14ac:dyDescent="0.2">
      <c r="A11" s="8" t="s">
        <v>22</v>
      </c>
      <c r="B11" s="11">
        <v>1977550.36</v>
      </c>
      <c r="C11" s="17">
        <v>2362383</v>
      </c>
      <c r="D11" s="27">
        <f t="shared" si="0"/>
        <v>-384832.6399999999</v>
      </c>
      <c r="E11" s="41">
        <f t="shared" si="1"/>
        <v>-0.16290019018931304</v>
      </c>
      <c r="F11" s="18">
        <f t="shared" si="2"/>
        <v>2598621.3000000003</v>
      </c>
      <c r="G11" s="30">
        <f t="shared" si="3"/>
        <v>-621070.94000000018</v>
      </c>
      <c r="H11" s="28">
        <f t="shared" si="4"/>
        <v>-0.23900017289937556</v>
      </c>
      <c r="I11" s="2"/>
      <c r="J11" s="2"/>
    </row>
    <row r="12" spans="1:13" s="3" customFormat="1" ht="18" customHeight="1" x14ac:dyDescent="0.2">
      <c r="A12" s="8" t="s">
        <v>10</v>
      </c>
      <c r="B12" s="11">
        <v>3088074.82</v>
      </c>
      <c r="C12" s="17">
        <v>1818757</v>
      </c>
      <c r="D12" s="27">
        <f t="shared" si="0"/>
        <v>1269317.8199999998</v>
      </c>
      <c r="E12" s="41">
        <f t="shared" si="1"/>
        <v>0.69790401906356914</v>
      </c>
      <c r="F12" s="18">
        <f t="shared" si="2"/>
        <v>2000632.7000000002</v>
      </c>
      <c r="G12" s="30">
        <f t="shared" si="3"/>
        <v>1087442.1199999996</v>
      </c>
      <c r="H12" s="28">
        <f t="shared" si="4"/>
        <v>0.54354910823960823</v>
      </c>
      <c r="I12" s="2"/>
      <c r="J12" s="2"/>
    </row>
    <row r="13" spans="1:13" s="3" customFormat="1" ht="18" customHeight="1" x14ac:dyDescent="0.2">
      <c r="A13" s="8" t="s">
        <v>9</v>
      </c>
      <c r="B13" s="11">
        <v>3034835</v>
      </c>
      <c r="C13" s="17">
        <v>2147049</v>
      </c>
      <c r="D13" s="27">
        <f t="shared" si="0"/>
        <v>887786</v>
      </c>
      <c r="E13" s="41">
        <f t="shared" si="1"/>
        <v>0.41349126172714268</v>
      </c>
      <c r="F13" s="18">
        <f t="shared" si="2"/>
        <v>2361753.9000000004</v>
      </c>
      <c r="G13" s="30">
        <f t="shared" si="3"/>
        <v>673081.09999999963</v>
      </c>
      <c r="H13" s="28">
        <f t="shared" si="4"/>
        <v>0.28499205611558409</v>
      </c>
      <c r="I13" s="2"/>
      <c r="J13" s="2"/>
    </row>
    <row r="14" spans="1:13" s="3" customFormat="1" ht="18" customHeight="1" x14ac:dyDescent="0.2">
      <c r="A14" s="8" t="s">
        <v>8</v>
      </c>
      <c r="B14" s="11"/>
      <c r="C14" s="17">
        <v>5065659</v>
      </c>
      <c r="D14" s="27">
        <f t="shared" si="0"/>
        <v>-5065659</v>
      </c>
      <c r="E14" s="41">
        <f t="shared" si="1"/>
        <v>-1</v>
      </c>
      <c r="F14" s="18">
        <f t="shared" si="2"/>
        <v>5572224.9000000004</v>
      </c>
      <c r="G14" s="30">
        <f t="shared" si="3"/>
        <v>-5572224.9000000004</v>
      </c>
      <c r="H14" s="28">
        <f t="shared" si="4"/>
        <v>-1</v>
      </c>
      <c r="I14" s="2"/>
      <c r="J14" s="2"/>
    </row>
    <row r="15" spans="1:13" s="3" customFormat="1" ht="18" customHeight="1" thickBot="1" x14ac:dyDescent="0.25">
      <c r="A15" s="10" t="s">
        <v>7</v>
      </c>
      <c r="B15" s="19">
        <f>SUM(B3:B14)</f>
        <v>26916736.509999998</v>
      </c>
      <c r="C15" s="20">
        <f>SUM(C3:C14)</f>
        <v>30682302.84</v>
      </c>
      <c r="D15" s="34">
        <f t="shared" si="0"/>
        <v>-3765566.3300000019</v>
      </c>
      <c r="E15" s="35">
        <f>(B15-C15)/C15</f>
        <v>-0.12272763063569325</v>
      </c>
      <c r="F15" s="21">
        <f>SUM(F3:F14)</f>
        <v>33750533.123999998</v>
      </c>
      <c r="G15" s="38">
        <f>B15-F15</f>
        <v>-6833796.6140000001</v>
      </c>
      <c r="H15" s="39">
        <f>(B15-F15)/F15</f>
        <v>-0.20247966421426655</v>
      </c>
      <c r="I15" s="2"/>
      <c r="J15" s="2"/>
      <c r="K15" s="24"/>
      <c r="L15" s="24"/>
      <c r="M15" s="24"/>
    </row>
    <row r="16" spans="1:13" ht="25" customHeight="1" thickBot="1" x14ac:dyDescent="0.25">
      <c r="A16" s="123" t="s">
        <v>3</v>
      </c>
      <c r="B16" s="124"/>
      <c r="C16" s="124"/>
      <c r="D16" s="125"/>
      <c r="E16" s="123" t="s">
        <v>5</v>
      </c>
      <c r="F16" s="124"/>
      <c r="G16" s="124"/>
      <c r="H16" s="125"/>
      <c r="I16" s="1"/>
      <c r="J16" s="1"/>
      <c r="K16" s="1"/>
      <c r="L16" s="1"/>
    </row>
    <row r="17" spans="1:14" s="25" customFormat="1" ht="32" customHeight="1" x14ac:dyDescent="0.2">
      <c r="A17" s="12"/>
      <c r="B17" s="13">
        <v>2025</v>
      </c>
      <c r="C17" s="14">
        <v>2024</v>
      </c>
      <c r="D17" s="33" t="s">
        <v>20</v>
      </c>
      <c r="E17" s="94"/>
      <c r="F17" s="13">
        <v>2025</v>
      </c>
      <c r="G17" s="14">
        <v>2024</v>
      </c>
      <c r="H17" s="15" t="s">
        <v>20</v>
      </c>
      <c r="I17" s="24"/>
      <c r="J17" s="24"/>
      <c r="K17" s="24"/>
      <c r="L17" s="24"/>
      <c r="M17" s="24"/>
      <c r="N17" s="24"/>
    </row>
    <row r="18" spans="1:14" s="25" customFormat="1" ht="18" customHeight="1" x14ac:dyDescent="0.2">
      <c r="A18" s="8" t="s">
        <v>17</v>
      </c>
      <c r="B18" s="22">
        <v>1686</v>
      </c>
      <c r="C18" s="23">
        <v>2041</v>
      </c>
      <c r="D18" s="92">
        <f>B18-C18</f>
        <v>-355</v>
      </c>
      <c r="E18" s="91"/>
      <c r="F18" s="93">
        <v>0.52300000000000002</v>
      </c>
      <c r="G18" s="89">
        <v>0.63300000000000001</v>
      </c>
      <c r="H18" s="36">
        <f t="shared" ref="H18:H29" si="5">F18-G18</f>
        <v>-0.10999999999999999</v>
      </c>
      <c r="J18" s="24"/>
      <c r="K18" s="7"/>
      <c r="L18" s="24"/>
      <c r="M18" s="24"/>
      <c r="N18" s="24"/>
    </row>
    <row r="19" spans="1:14" s="25" customFormat="1" ht="18" customHeight="1" x14ac:dyDescent="0.2">
      <c r="A19" s="8" t="s">
        <v>16</v>
      </c>
      <c r="B19" s="22">
        <v>1299</v>
      </c>
      <c r="C19" s="23">
        <v>1495</v>
      </c>
      <c r="D19" s="31">
        <f>B19-C19</f>
        <v>-196</v>
      </c>
      <c r="E19" s="91"/>
      <c r="F19" s="47">
        <v>0.4461</v>
      </c>
      <c r="G19" s="89">
        <v>0.496</v>
      </c>
      <c r="H19" s="36">
        <f t="shared" si="5"/>
        <v>-4.99E-2</v>
      </c>
      <c r="J19" s="24"/>
      <c r="K19"/>
      <c r="L19" s="24"/>
      <c r="M19" s="24"/>
      <c r="N19" s="24"/>
    </row>
    <row r="20" spans="1:14" s="25" customFormat="1" ht="18" customHeight="1" x14ac:dyDescent="0.2">
      <c r="A20" s="8" t="s">
        <v>15</v>
      </c>
      <c r="B20" s="22">
        <v>1968</v>
      </c>
      <c r="C20" s="23">
        <v>1207</v>
      </c>
      <c r="D20" s="31">
        <f>B20-C20</f>
        <v>761</v>
      </c>
      <c r="E20" s="91"/>
      <c r="F20" s="47">
        <v>0.61040000000000005</v>
      </c>
      <c r="G20" s="89">
        <v>0.374</v>
      </c>
      <c r="H20" s="36">
        <f t="shared" si="5"/>
        <v>0.23640000000000005</v>
      </c>
      <c r="J20" s="24"/>
      <c r="K20" s="7"/>
      <c r="L20" s="24"/>
      <c r="M20" s="24"/>
      <c r="N20" s="24"/>
    </row>
    <row r="21" spans="1:14" s="25" customFormat="1" ht="18" customHeight="1" x14ac:dyDescent="0.2">
      <c r="A21" s="8" t="s">
        <v>14</v>
      </c>
      <c r="B21" s="22">
        <v>2132</v>
      </c>
      <c r="C21" s="23">
        <v>1855</v>
      </c>
      <c r="D21" s="31">
        <f t="shared" ref="D21:D28" si="6">B21-C21</f>
        <v>277</v>
      </c>
      <c r="E21" s="91"/>
      <c r="F21" s="47">
        <v>0.68330000000000002</v>
      </c>
      <c r="G21" s="89">
        <v>0.59460000000000002</v>
      </c>
      <c r="H21" s="36">
        <f t="shared" si="5"/>
        <v>8.8700000000000001E-2</v>
      </c>
      <c r="J21" s="24"/>
      <c r="K21" s="7"/>
      <c r="L21" s="24"/>
      <c r="M21" s="24"/>
      <c r="N21" s="24"/>
    </row>
    <row r="22" spans="1:14" s="25" customFormat="1" ht="18" customHeight="1" x14ac:dyDescent="0.2">
      <c r="A22" s="8" t="s">
        <v>13</v>
      </c>
      <c r="B22" s="22">
        <v>1816</v>
      </c>
      <c r="C22" s="23">
        <v>1835</v>
      </c>
      <c r="D22" s="31">
        <f t="shared" si="6"/>
        <v>-19</v>
      </c>
      <c r="E22" s="91"/>
      <c r="F22" s="47">
        <v>0.56330000000000002</v>
      </c>
      <c r="G22" s="89">
        <v>0.56899999999999995</v>
      </c>
      <c r="H22" s="36">
        <f t="shared" si="5"/>
        <v>-5.6999999999999273E-3</v>
      </c>
      <c r="J22" s="24"/>
      <c r="K22" s="7"/>
      <c r="L22" s="24"/>
      <c r="M22" s="24"/>
      <c r="N22" s="24"/>
    </row>
    <row r="23" spans="1:14" s="25" customFormat="1" ht="18" customHeight="1" x14ac:dyDescent="0.2">
      <c r="A23" s="8" t="s">
        <v>12</v>
      </c>
      <c r="B23" s="22">
        <v>1370</v>
      </c>
      <c r="C23" s="23">
        <v>1954</v>
      </c>
      <c r="D23" s="31">
        <f t="shared" si="6"/>
        <v>-584</v>
      </c>
      <c r="E23" s="91"/>
      <c r="F23" s="47">
        <v>0.439</v>
      </c>
      <c r="G23" s="89">
        <v>0.62629999999999997</v>
      </c>
      <c r="H23" s="36">
        <f t="shared" si="5"/>
        <v>-0.18729999999999997</v>
      </c>
      <c r="I23" s="24"/>
      <c r="J23" s="24"/>
      <c r="K23" s="7"/>
      <c r="L23" s="24"/>
      <c r="M23" s="24"/>
      <c r="N23" s="24"/>
    </row>
    <row r="24" spans="1:14" s="25" customFormat="1" ht="18" customHeight="1" x14ac:dyDescent="0.2">
      <c r="A24" s="8" t="s">
        <v>11</v>
      </c>
      <c r="B24" s="22">
        <v>2244</v>
      </c>
      <c r="C24" s="23">
        <v>1955</v>
      </c>
      <c r="D24" s="31">
        <f>B24-C24</f>
        <v>289</v>
      </c>
      <c r="E24" s="91"/>
      <c r="F24" s="47">
        <v>0.69599999999999995</v>
      </c>
      <c r="G24" s="89">
        <v>0.60640000000000005</v>
      </c>
      <c r="H24" s="36">
        <f t="shared" si="5"/>
        <v>8.9599999999999902E-2</v>
      </c>
      <c r="I24" s="24"/>
      <c r="J24" s="6"/>
      <c r="K24" s="24"/>
      <c r="L24" s="24"/>
      <c r="M24" s="24"/>
      <c r="N24" s="24"/>
    </row>
    <row r="25" spans="1:14" s="25" customFormat="1" ht="18" customHeight="1" x14ac:dyDescent="0.2">
      <c r="A25" s="8" t="s">
        <v>2</v>
      </c>
      <c r="B25" s="22">
        <v>1775</v>
      </c>
      <c r="C25" s="23">
        <v>1975</v>
      </c>
      <c r="D25" s="31">
        <f t="shared" si="6"/>
        <v>-200</v>
      </c>
      <c r="E25" s="91"/>
      <c r="F25" s="47">
        <v>0.55100000000000005</v>
      </c>
      <c r="G25" s="89">
        <v>0.61299999999999999</v>
      </c>
      <c r="H25" s="36">
        <f t="shared" si="5"/>
        <v>-6.1999999999999944E-2</v>
      </c>
      <c r="I25" s="24"/>
      <c r="J25" s="6"/>
      <c r="K25" s="24"/>
      <c r="L25" s="24"/>
      <c r="M25" s="24"/>
      <c r="N25" s="24"/>
    </row>
    <row r="26" spans="1:14" s="25" customFormat="1" ht="18" customHeight="1" x14ac:dyDescent="0.2">
      <c r="A26" s="8" t="s">
        <v>22</v>
      </c>
      <c r="B26" s="22">
        <v>1718</v>
      </c>
      <c r="C26" s="23">
        <v>1878</v>
      </c>
      <c r="D26" s="31">
        <f t="shared" si="6"/>
        <v>-160</v>
      </c>
      <c r="E26" s="91"/>
      <c r="F26" s="47">
        <v>0.55100000000000005</v>
      </c>
      <c r="G26" s="89">
        <v>0.60199999999999998</v>
      </c>
      <c r="H26" s="36">
        <f t="shared" si="5"/>
        <v>-5.0999999999999934E-2</v>
      </c>
      <c r="I26" s="24"/>
      <c r="J26" s="6"/>
      <c r="K26" s="24"/>
      <c r="L26" s="24"/>
      <c r="M26" s="24"/>
      <c r="N26" s="24"/>
    </row>
    <row r="27" spans="1:14" s="25" customFormat="1" ht="18" customHeight="1" x14ac:dyDescent="0.2">
      <c r="A27" s="8" t="s">
        <v>10</v>
      </c>
      <c r="B27" s="22">
        <v>2560</v>
      </c>
      <c r="C27" s="23">
        <v>1856</v>
      </c>
      <c r="D27" s="31">
        <f t="shared" si="6"/>
        <v>704</v>
      </c>
      <c r="E27" s="91"/>
      <c r="F27" s="47">
        <v>0.79400000000000004</v>
      </c>
      <c r="G27" s="89">
        <v>0.57599999999999996</v>
      </c>
      <c r="H27" s="36">
        <f t="shared" si="5"/>
        <v>0.21800000000000008</v>
      </c>
      <c r="I27" s="24"/>
      <c r="J27" s="6"/>
      <c r="K27" s="24"/>
      <c r="L27" s="24"/>
      <c r="M27" s="24"/>
      <c r="N27" s="24"/>
    </row>
    <row r="28" spans="1:14" s="25" customFormat="1" ht="18" customHeight="1" x14ac:dyDescent="0.2">
      <c r="A28" s="8" t="s">
        <v>9</v>
      </c>
      <c r="B28" s="22">
        <v>1701</v>
      </c>
      <c r="C28" s="23">
        <v>1629</v>
      </c>
      <c r="D28" s="31">
        <f t="shared" si="6"/>
        <v>72</v>
      </c>
      <c r="E28" s="91"/>
      <c r="F28" s="47">
        <v>0.54500000000000004</v>
      </c>
      <c r="G28" s="89">
        <v>0.52200000000000002</v>
      </c>
      <c r="H28" s="46">
        <f t="shared" si="5"/>
        <v>2.300000000000002E-2</v>
      </c>
      <c r="I28" s="24"/>
      <c r="J28" s="6"/>
      <c r="K28" s="24"/>
      <c r="L28" s="24"/>
      <c r="M28" s="24"/>
      <c r="N28" s="24"/>
    </row>
    <row r="29" spans="1:14" s="25" customFormat="1" ht="18" customHeight="1" thickBot="1" x14ac:dyDescent="0.25">
      <c r="A29" s="8" t="s">
        <v>8</v>
      </c>
      <c r="B29" s="22"/>
      <c r="C29" s="23">
        <v>2014</v>
      </c>
      <c r="D29" s="31">
        <f>B29-C29</f>
        <v>-2014</v>
      </c>
      <c r="E29" s="91"/>
      <c r="F29" s="95"/>
      <c r="G29" s="90">
        <v>0.625</v>
      </c>
      <c r="H29" s="37">
        <f t="shared" si="5"/>
        <v>-0.625</v>
      </c>
      <c r="I29" s="24"/>
      <c r="J29" s="6"/>
      <c r="K29" s="24"/>
      <c r="L29" s="24"/>
      <c r="M29" s="24"/>
      <c r="N29" s="24"/>
    </row>
    <row r="30" spans="1:14" ht="25" customHeight="1" thickBot="1" x14ac:dyDescent="0.25">
      <c r="A30" s="123" t="s">
        <v>4</v>
      </c>
      <c r="B30" s="124"/>
      <c r="C30" s="124"/>
      <c r="D30" s="124"/>
      <c r="E30" s="125"/>
      <c r="F30" s="6"/>
      <c r="G30" s="6"/>
      <c r="H30" s="1"/>
      <c r="I30" s="1"/>
    </row>
    <row r="31" spans="1:14" s="25" customFormat="1" ht="32" customHeight="1" x14ac:dyDescent="0.2">
      <c r="A31" s="13"/>
      <c r="B31" s="13">
        <v>2025</v>
      </c>
      <c r="C31" s="14">
        <v>2024</v>
      </c>
      <c r="D31" s="119" t="s">
        <v>20</v>
      </c>
      <c r="E31" s="120"/>
      <c r="F31" s="26"/>
      <c r="G31" s="26"/>
      <c r="H31" s="24"/>
      <c r="I31" s="24"/>
    </row>
    <row r="32" spans="1:14" s="25" customFormat="1" ht="17" customHeight="1" x14ac:dyDescent="0.2">
      <c r="A32" s="40" t="s">
        <v>17</v>
      </c>
      <c r="B32" s="11">
        <f>B3/B18</f>
        <v>1614.7070640569393</v>
      </c>
      <c r="C32" s="27">
        <f>C3/C18</f>
        <v>1512.5472807447329</v>
      </c>
      <c r="D32" s="27">
        <f>B32-C32</f>
        <v>102.1597833122064</v>
      </c>
      <c r="E32" s="43">
        <f>(B32-C32)/C32</f>
        <v>6.7541547039710381E-2</v>
      </c>
      <c r="G32" s="26"/>
      <c r="H32" s="24"/>
      <c r="I32" s="24"/>
    </row>
    <row r="33" spans="1:9" s="25" customFormat="1" ht="17" customHeight="1" x14ac:dyDescent="0.2">
      <c r="A33" s="8" t="s">
        <v>16</v>
      </c>
      <c r="B33" s="11">
        <f t="shared" ref="B33:C43" si="7">B4/B19</f>
        <v>1202.2277598152425</v>
      </c>
      <c r="C33" s="27">
        <f t="shared" si="7"/>
        <v>1377.5585284280937</v>
      </c>
      <c r="D33" s="27">
        <f t="shared" ref="D33:D43" si="8">B33-C33</f>
        <v>-175.33076861285122</v>
      </c>
      <c r="E33" s="44">
        <f t="shared" ref="E33:E43" si="9">(B33-C33)/C33</f>
        <v>-0.12727645685800215</v>
      </c>
      <c r="G33" s="26"/>
      <c r="H33" s="24"/>
      <c r="I33" s="24"/>
    </row>
    <row r="34" spans="1:9" s="25" customFormat="1" ht="17" customHeight="1" x14ac:dyDescent="0.2">
      <c r="A34" s="8" t="s">
        <v>15</v>
      </c>
      <c r="B34" s="11">
        <f t="shared" si="7"/>
        <v>1338.8348831300812</v>
      </c>
      <c r="C34" s="27">
        <f t="shared" si="7"/>
        <v>1616.4755592377796</v>
      </c>
      <c r="D34" s="27">
        <f t="shared" si="8"/>
        <v>-277.64067610769848</v>
      </c>
      <c r="E34" s="44">
        <f t="shared" si="9"/>
        <v>-0.17175680419109771</v>
      </c>
      <c r="G34" s="26"/>
      <c r="H34" s="24"/>
      <c r="I34" s="24"/>
    </row>
    <row r="35" spans="1:9" s="25" customFormat="1" ht="17" customHeight="1" x14ac:dyDescent="0.2">
      <c r="A35" s="8" t="s">
        <v>14</v>
      </c>
      <c r="B35" s="11">
        <f t="shared" si="7"/>
        <v>1497.224910881801</v>
      </c>
      <c r="C35" s="27">
        <f t="shared" si="7"/>
        <v>1318.6624474393529</v>
      </c>
      <c r="D35" s="27">
        <f t="shared" si="8"/>
        <v>178.56246344244801</v>
      </c>
      <c r="E35" s="44">
        <f t="shared" si="9"/>
        <v>0.1354118059471473</v>
      </c>
      <c r="G35" s="26"/>
      <c r="H35" s="24"/>
      <c r="I35" s="24"/>
    </row>
    <row r="36" spans="1:9" s="25" customFormat="1" ht="17" customHeight="1" x14ac:dyDescent="0.2">
      <c r="A36" s="8" t="s">
        <v>13</v>
      </c>
      <c r="B36" s="11">
        <f t="shared" si="7"/>
        <v>1118.1843557268724</v>
      </c>
      <c r="C36" s="27">
        <f t="shared" si="7"/>
        <v>1223.3351498637603</v>
      </c>
      <c r="D36" s="27">
        <f t="shared" si="8"/>
        <v>-105.15079413688795</v>
      </c>
      <c r="E36" s="44">
        <f t="shared" si="9"/>
        <v>-8.5954199998747954E-2</v>
      </c>
      <c r="G36" s="26"/>
      <c r="H36" s="24"/>
      <c r="I36" s="24"/>
    </row>
    <row r="37" spans="1:9" s="25" customFormat="1" ht="17" customHeight="1" x14ac:dyDescent="0.2">
      <c r="A37" s="8" t="s">
        <v>12</v>
      </c>
      <c r="B37" s="11">
        <f t="shared" si="7"/>
        <v>1228.2868613138687</v>
      </c>
      <c r="C37" s="27">
        <f t="shared" si="7"/>
        <v>1462.0654350051177</v>
      </c>
      <c r="D37" s="27">
        <f t="shared" si="8"/>
        <v>-233.77857369124899</v>
      </c>
      <c r="E37" s="44">
        <f t="shared" si="9"/>
        <v>-0.15989610867890514</v>
      </c>
      <c r="G37" s="26"/>
      <c r="H37" s="24"/>
      <c r="I37" s="24"/>
    </row>
    <row r="38" spans="1:9" s="25" customFormat="1" ht="17" customHeight="1" x14ac:dyDescent="0.2">
      <c r="A38" s="8" t="s">
        <v>11</v>
      </c>
      <c r="B38" s="11">
        <f t="shared" si="7"/>
        <v>1230.2753743315507</v>
      </c>
      <c r="C38" s="27">
        <f t="shared" si="7"/>
        <v>1116.4747519181587</v>
      </c>
      <c r="D38" s="27">
        <f t="shared" si="8"/>
        <v>113.80062241339192</v>
      </c>
      <c r="E38" s="44">
        <f t="shared" si="9"/>
        <v>0.10192852298529531</v>
      </c>
      <c r="F38" s="6"/>
      <c r="G38" s="26"/>
      <c r="H38" s="24"/>
      <c r="I38" s="24"/>
    </row>
    <row r="39" spans="1:9" s="25" customFormat="1" ht="17" customHeight="1" x14ac:dyDescent="0.2">
      <c r="A39" s="8" t="s">
        <v>2</v>
      </c>
      <c r="B39" s="11">
        <f t="shared" si="7"/>
        <v>1256.9927154929576</v>
      </c>
      <c r="C39" s="27">
        <f t="shared" si="7"/>
        <v>1245.7149367088607</v>
      </c>
      <c r="D39" s="27">
        <f t="shared" si="8"/>
        <v>11.277778784096881</v>
      </c>
      <c r="E39" s="44">
        <f t="shared" si="9"/>
        <v>9.0532580542803907E-3</v>
      </c>
      <c r="F39" s="6"/>
      <c r="G39" s="26"/>
      <c r="H39" s="24"/>
      <c r="I39" s="24"/>
    </row>
    <row r="40" spans="1:9" s="25" customFormat="1" ht="17" customHeight="1" x14ac:dyDescent="0.2">
      <c r="A40" s="8" t="s">
        <v>22</v>
      </c>
      <c r="B40" s="11">
        <f t="shared" si="7"/>
        <v>1151.0770430733412</v>
      </c>
      <c r="C40" s="27">
        <f t="shared" si="7"/>
        <v>1257.9249201277955</v>
      </c>
      <c r="D40" s="27">
        <f t="shared" si="8"/>
        <v>-106.84787705445433</v>
      </c>
      <c r="E40" s="44">
        <f t="shared" si="9"/>
        <v>-8.4939788809970787E-2</v>
      </c>
      <c r="F40" s="6"/>
      <c r="G40" s="26"/>
      <c r="H40" s="24"/>
      <c r="I40" s="24"/>
    </row>
    <row r="41" spans="1:9" s="25" customFormat="1" ht="17" customHeight="1" x14ac:dyDescent="0.2">
      <c r="A41" s="8" t="s">
        <v>10</v>
      </c>
      <c r="B41" s="11">
        <f t="shared" si="7"/>
        <v>1206.2792265624998</v>
      </c>
      <c r="C41" s="27">
        <f t="shared" si="7"/>
        <v>979.93372844827582</v>
      </c>
      <c r="D41" s="27">
        <f t="shared" si="8"/>
        <v>226.34549811422403</v>
      </c>
      <c r="E41" s="44">
        <f t="shared" si="9"/>
        <v>0.23098041382108761</v>
      </c>
      <c r="F41" s="6"/>
      <c r="G41" s="26"/>
      <c r="H41" s="24"/>
      <c r="I41" s="24"/>
    </row>
    <row r="42" spans="1:9" s="25" customFormat="1" ht="17" customHeight="1" x14ac:dyDescent="0.2">
      <c r="A42" s="8" t="s">
        <v>9</v>
      </c>
      <c r="B42" s="11">
        <f t="shared" si="7"/>
        <v>1784.1475602586713</v>
      </c>
      <c r="C42" s="27">
        <f t="shared" si="7"/>
        <v>1318.0165745856355</v>
      </c>
      <c r="D42" s="27">
        <f t="shared" si="8"/>
        <v>466.13098567303587</v>
      </c>
      <c r="E42" s="44">
        <f t="shared" si="9"/>
        <v>0.35366094377043811</v>
      </c>
      <c r="F42" s="6"/>
      <c r="G42" s="26"/>
      <c r="H42" s="24"/>
      <c r="I42" s="24"/>
    </row>
    <row r="43" spans="1:9" s="25" customFormat="1" ht="17" customHeight="1" x14ac:dyDescent="0.2">
      <c r="A43" s="9" t="s">
        <v>8</v>
      </c>
      <c r="B43" s="32" t="e">
        <f t="shared" si="7"/>
        <v>#DIV/0!</v>
      </c>
      <c r="C43" s="29">
        <f t="shared" si="7"/>
        <v>2515.2229394240317</v>
      </c>
      <c r="D43" s="29" t="e">
        <f t="shared" si="8"/>
        <v>#DIV/0!</v>
      </c>
      <c r="E43" s="45" t="e">
        <f t="shared" si="9"/>
        <v>#DIV/0!</v>
      </c>
      <c r="G43" s="26"/>
      <c r="H43" s="24"/>
      <c r="I43" s="24"/>
    </row>
    <row r="46" spans="1:9" x14ac:dyDescent="0.2">
      <c r="B46" s="42"/>
    </row>
    <row r="47" spans="1:9" x14ac:dyDescent="0.2">
      <c r="B47" s="42"/>
    </row>
    <row r="48" spans="1:9" x14ac:dyDescent="0.2">
      <c r="B48" s="42"/>
    </row>
    <row r="49" spans="2:2" x14ac:dyDescent="0.2">
      <c r="B49" s="42"/>
    </row>
    <row r="50" spans="2:2" x14ac:dyDescent="0.2">
      <c r="B50" s="42"/>
    </row>
    <row r="51" spans="2:2" x14ac:dyDescent="0.2">
      <c r="B51" s="42"/>
    </row>
    <row r="52" spans="2:2" x14ac:dyDescent="0.2">
      <c r="B52" s="42"/>
    </row>
    <row r="53" spans="2:2" x14ac:dyDescent="0.2">
      <c r="B53" s="42"/>
    </row>
    <row r="54" spans="2:2" x14ac:dyDescent="0.2">
      <c r="B54" s="42"/>
    </row>
    <row r="55" spans="2:2" x14ac:dyDescent="0.2">
      <c r="B55" s="42"/>
    </row>
    <row r="56" spans="2:2" x14ac:dyDescent="0.2">
      <c r="B56" s="42"/>
    </row>
    <row r="57" spans="2:2" x14ac:dyDescent="0.2">
      <c r="B57" s="42"/>
    </row>
    <row r="58" spans="2:2" x14ac:dyDescent="0.2">
      <c r="B58" s="42"/>
    </row>
    <row r="59" spans="2:2" x14ac:dyDescent="0.2">
      <c r="B59" s="42"/>
    </row>
    <row r="60" spans="2:2" x14ac:dyDescent="0.2">
      <c r="B60" s="42"/>
    </row>
    <row r="61" spans="2:2" x14ac:dyDescent="0.2">
      <c r="B61" s="42"/>
    </row>
    <row r="62" spans="2:2" x14ac:dyDescent="0.2">
      <c r="B62" s="42"/>
    </row>
    <row r="63" spans="2:2" x14ac:dyDescent="0.2">
      <c r="B63" s="42"/>
    </row>
    <row r="64" spans="2:2" x14ac:dyDescent="0.2">
      <c r="B64" s="42"/>
    </row>
    <row r="65" spans="2:2" x14ac:dyDescent="0.2">
      <c r="B65" s="42"/>
    </row>
    <row r="66" spans="2:2" x14ac:dyDescent="0.2">
      <c r="B66" s="42"/>
    </row>
    <row r="67" spans="2:2" x14ac:dyDescent="0.2">
      <c r="B67" s="42"/>
    </row>
    <row r="68" spans="2:2" x14ac:dyDescent="0.2">
      <c r="B68" s="42"/>
    </row>
    <row r="69" spans="2:2" x14ac:dyDescent="0.2">
      <c r="B69" s="42"/>
    </row>
    <row r="70" spans="2:2" x14ac:dyDescent="0.2">
      <c r="B70" s="42"/>
    </row>
    <row r="71" spans="2:2" x14ac:dyDescent="0.2">
      <c r="B71" s="42"/>
    </row>
    <row r="72" spans="2:2" x14ac:dyDescent="0.2">
      <c r="B72" s="42"/>
    </row>
    <row r="73" spans="2:2" x14ac:dyDescent="0.2">
      <c r="B73" s="42"/>
    </row>
    <row r="74" spans="2:2" x14ac:dyDescent="0.2">
      <c r="B74" s="42"/>
    </row>
    <row r="75" spans="2:2" x14ac:dyDescent="0.2">
      <c r="B75" s="42"/>
    </row>
    <row r="76" spans="2:2" x14ac:dyDescent="0.2">
      <c r="B76" s="42"/>
    </row>
    <row r="77" spans="2:2" x14ac:dyDescent="0.2">
      <c r="B77" s="42"/>
    </row>
    <row r="78" spans="2:2" x14ac:dyDescent="0.2">
      <c r="B78" s="42"/>
    </row>
    <row r="79" spans="2:2" x14ac:dyDescent="0.2">
      <c r="B79" s="42"/>
    </row>
    <row r="80" spans="2:2" x14ac:dyDescent="0.2">
      <c r="B80" s="42"/>
    </row>
    <row r="81" spans="2:2" x14ac:dyDescent="0.2">
      <c r="B81" s="42"/>
    </row>
    <row r="82" spans="2:2" x14ac:dyDescent="0.2">
      <c r="B82" s="42"/>
    </row>
    <row r="83" spans="2:2" x14ac:dyDescent="0.2">
      <c r="B83" s="42"/>
    </row>
    <row r="84" spans="2:2" x14ac:dyDescent="0.2">
      <c r="B84" s="42"/>
    </row>
    <row r="85" spans="2:2" x14ac:dyDescent="0.2">
      <c r="B85" s="42"/>
    </row>
    <row r="86" spans="2:2" x14ac:dyDescent="0.2">
      <c r="B86" s="42"/>
    </row>
    <row r="87" spans="2:2" x14ac:dyDescent="0.2">
      <c r="B87" s="42"/>
    </row>
    <row r="88" spans="2:2" x14ac:dyDescent="0.2">
      <c r="B88" s="42"/>
    </row>
    <row r="89" spans="2:2" x14ac:dyDescent="0.2">
      <c r="B89" s="42"/>
    </row>
    <row r="90" spans="2:2" x14ac:dyDescent="0.2">
      <c r="B90" s="42"/>
    </row>
    <row r="91" spans="2:2" x14ac:dyDescent="0.2">
      <c r="B91" s="42"/>
    </row>
    <row r="92" spans="2:2" x14ac:dyDescent="0.2">
      <c r="B92" s="42"/>
    </row>
    <row r="93" spans="2:2" x14ac:dyDescent="0.2">
      <c r="B93" s="42"/>
    </row>
    <row r="94" spans="2:2" x14ac:dyDescent="0.2">
      <c r="B94" s="42"/>
    </row>
    <row r="95" spans="2:2" x14ac:dyDescent="0.2">
      <c r="B95" s="42"/>
    </row>
    <row r="96" spans="2:2" x14ac:dyDescent="0.2">
      <c r="B96" s="42"/>
    </row>
    <row r="97" spans="2:2" x14ac:dyDescent="0.2">
      <c r="B97" s="42"/>
    </row>
    <row r="98" spans="2:2" x14ac:dyDescent="0.2">
      <c r="B98" s="42"/>
    </row>
    <row r="99" spans="2:2" x14ac:dyDescent="0.2">
      <c r="B99" s="42"/>
    </row>
    <row r="100" spans="2:2" x14ac:dyDescent="0.2">
      <c r="B100" s="42"/>
    </row>
    <row r="101" spans="2:2" x14ac:dyDescent="0.2">
      <c r="B101" s="42"/>
    </row>
    <row r="102" spans="2:2" x14ac:dyDescent="0.2">
      <c r="B102" s="42"/>
    </row>
    <row r="103" spans="2:2" x14ac:dyDescent="0.2">
      <c r="B103" s="42"/>
    </row>
    <row r="104" spans="2:2" x14ac:dyDescent="0.2">
      <c r="B104" s="42"/>
    </row>
    <row r="105" spans="2:2" x14ac:dyDescent="0.2">
      <c r="B105" s="42"/>
    </row>
    <row r="106" spans="2:2" x14ac:dyDescent="0.2">
      <c r="B106" s="42"/>
    </row>
    <row r="107" spans="2:2" x14ac:dyDescent="0.2">
      <c r="B107" s="42"/>
    </row>
    <row r="108" spans="2:2" x14ac:dyDescent="0.2">
      <c r="B108" s="42"/>
    </row>
    <row r="109" spans="2:2" x14ac:dyDescent="0.2">
      <c r="B109" s="42"/>
    </row>
    <row r="110" spans="2:2" x14ac:dyDescent="0.2">
      <c r="B110" s="42"/>
    </row>
    <row r="111" spans="2:2" x14ac:dyDescent="0.2">
      <c r="B111" s="42"/>
    </row>
    <row r="112" spans="2:2" x14ac:dyDescent="0.2">
      <c r="B112" s="42"/>
    </row>
    <row r="113" spans="2:2" x14ac:dyDescent="0.2">
      <c r="B113" s="42"/>
    </row>
    <row r="114" spans="2:2" x14ac:dyDescent="0.2">
      <c r="B114" s="42"/>
    </row>
    <row r="115" spans="2:2" x14ac:dyDescent="0.2">
      <c r="B115" s="42"/>
    </row>
    <row r="116" spans="2:2" x14ac:dyDescent="0.2">
      <c r="B116" s="42"/>
    </row>
    <row r="117" spans="2:2" x14ac:dyDescent="0.2">
      <c r="B117" s="42"/>
    </row>
    <row r="118" spans="2:2" x14ac:dyDescent="0.2">
      <c r="B118" s="42"/>
    </row>
    <row r="119" spans="2:2" x14ac:dyDescent="0.2">
      <c r="B119" s="42"/>
    </row>
    <row r="120" spans="2:2" x14ac:dyDescent="0.2">
      <c r="B120" s="42"/>
    </row>
    <row r="121" spans="2:2" x14ac:dyDescent="0.2">
      <c r="B121" s="42"/>
    </row>
    <row r="122" spans="2:2" x14ac:dyDescent="0.2">
      <c r="B122" s="42"/>
    </row>
    <row r="123" spans="2:2" x14ac:dyDescent="0.2">
      <c r="B123" s="42"/>
    </row>
    <row r="124" spans="2:2" x14ac:dyDescent="0.2">
      <c r="B124" s="42"/>
    </row>
    <row r="125" spans="2:2" x14ac:dyDescent="0.2">
      <c r="B125" s="42"/>
    </row>
    <row r="126" spans="2:2" x14ac:dyDescent="0.2">
      <c r="B126" s="42"/>
    </row>
    <row r="127" spans="2:2" x14ac:dyDescent="0.2">
      <c r="B127" s="42"/>
    </row>
    <row r="128" spans="2:2" x14ac:dyDescent="0.2">
      <c r="B128" s="42"/>
    </row>
    <row r="129" spans="2:2" x14ac:dyDescent="0.2">
      <c r="B129" s="42"/>
    </row>
    <row r="130" spans="2:2" x14ac:dyDescent="0.2">
      <c r="B130" s="42"/>
    </row>
    <row r="131" spans="2:2" x14ac:dyDescent="0.2">
      <c r="B131" s="42"/>
    </row>
    <row r="132" spans="2:2" x14ac:dyDescent="0.2">
      <c r="B132" s="42"/>
    </row>
    <row r="133" spans="2:2" x14ac:dyDescent="0.2">
      <c r="B133" s="42"/>
    </row>
    <row r="134" spans="2:2" x14ac:dyDescent="0.2">
      <c r="B134" s="42"/>
    </row>
    <row r="135" spans="2:2" x14ac:dyDescent="0.2">
      <c r="B135" s="42"/>
    </row>
    <row r="136" spans="2:2" x14ac:dyDescent="0.2">
      <c r="B136" s="42"/>
    </row>
    <row r="137" spans="2:2" x14ac:dyDescent="0.2">
      <c r="B137" s="42"/>
    </row>
    <row r="138" spans="2:2" x14ac:dyDescent="0.2">
      <c r="B138" s="42"/>
    </row>
    <row r="139" spans="2:2" x14ac:dyDescent="0.2">
      <c r="B139" s="42"/>
    </row>
    <row r="140" spans="2:2" x14ac:dyDescent="0.2">
      <c r="B140" s="42"/>
    </row>
    <row r="141" spans="2:2" x14ac:dyDescent="0.2">
      <c r="B141" s="42"/>
    </row>
    <row r="142" spans="2:2" x14ac:dyDescent="0.2">
      <c r="B142" s="42"/>
    </row>
    <row r="143" spans="2:2" x14ac:dyDescent="0.2">
      <c r="B143" s="42"/>
    </row>
    <row r="144" spans="2:2" x14ac:dyDescent="0.2">
      <c r="B144" s="42"/>
    </row>
    <row r="145" spans="2:2" x14ac:dyDescent="0.2">
      <c r="B145" s="42"/>
    </row>
    <row r="146" spans="2:2" x14ac:dyDescent="0.2">
      <c r="B146" s="42"/>
    </row>
    <row r="147" spans="2:2" x14ac:dyDescent="0.2">
      <c r="B147" s="42"/>
    </row>
    <row r="148" spans="2:2" x14ac:dyDescent="0.2">
      <c r="B148" s="42"/>
    </row>
    <row r="149" spans="2:2" x14ac:dyDescent="0.2">
      <c r="B149" s="42"/>
    </row>
    <row r="150" spans="2:2" x14ac:dyDescent="0.2">
      <c r="B150" s="42"/>
    </row>
    <row r="151" spans="2:2" x14ac:dyDescent="0.2">
      <c r="B151" s="42"/>
    </row>
    <row r="152" spans="2:2" x14ac:dyDescent="0.2">
      <c r="B152" s="42"/>
    </row>
    <row r="153" spans="2:2" x14ac:dyDescent="0.2">
      <c r="B153" s="42"/>
    </row>
    <row r="154" spans="2:2" x14ac:dyDescent="0.2">
      <c r="B154" s="42"/>
    </row>
    <row r="155" spans="2:2" x14ac:dyDescent="0.2">
      <c r="B155" s="42"/>
    </row>
    <row r="156" spans="2:2" x14ac:dyDescent="0.2">
      <c r="B156" s="42"/>
    </row>
    <row r="157" spans="2:2" x14ac:dyDescent="0.2">
      <c r="B157" s="42"/>
    </row>
    <row r="158" spans="2:2" x14ac:dyDescent="0.2">
      <c r="B158" s="42"/>
    </row>
    <row r="159" spans="2:2" x14ac:dyDescent="0.2">
      <c r="B159" s="42"/>
    </row>
    <row r="160" spans="2:2" x14ac:dyDescent="0.2">
      <c r="B160" s="42"/>
    </row>
    <row r="161" spans="2:2" x14ac:dyDescent="0.2">
      <c r="B161" s="42"/>
    </row>
    <row r="162" spans="2:2" x14ac:dyDescent="0.2">
      <c r="B162" s="42"/>
    </row>
    <row r="163" spans="2:2" x14ac:dyDescent="0.2">
      <c r="B163" s="42"/>
    </row>
    <row r="164" spans="2:2" x14ac:dyDescent="0.2">
      <c r="B164" s="42"/>
    </row>
    <row r="165" spans="2:2" x14ac:dyDescent="0.2">
      <c r="B165" s="42"/>
    </row>
    <row r="166" spans="2:2" x14ac:dyDescent="0.2">
      <c r="B166" s="42"/>
    </row>
    <row r="167" spans="2:2" x14ac:dyDescent="0.2">
      <c r="B167" s="42"/>
    </row>
    <row r="168" spans="2:2" x14ac:dyDescent="0.2">
      <c r="B168" s="42"/>
    </row>
    <row r="169" spans="2:2" x14ac:dyDescent="0.2">
      <c r="B169" s="42"/>
    </row>
    <row r="170" spans="2:2" x14ac:dyDescent="0.2">
      <c r="B170" s="42"/>
    </row>
  </sheetData>
  <mergeCells count="7">
    <mergeCell ref="D31:E31"/>
    <mergeCell ref="G2:H2"/>
    <mergeCell ref="A1:H1"/>
    <mergeCell ref="A16:D16"/>
    <mergeCell ref="E16:H16"/>
    <mergeCell ref="D2:E2"/>
    <mergeCell ref="A30:E30"/>
  </mergeCells>
  <phoneticPr fontId="13" type="noConversion"/>
  <conditionalFormatting sqref="D3:E15 D18:E29 D32:E43">
    <cfRule type="cellIs" dxfId="7" priority="15" operator="equal">
      <formula>0</formula>
    </cfRule>
    <cfRule type="cellIs" dxfId="6" priority="16" operator="lessThan">
      <formula>0</formula>
    </cfRule>
    <cfRule type="cellIs" dxfId="5" priority="17" operator="greaterThan">
      <formula>0</formula>
    </cfRule>
  </conditionalFormatting>
  <conditionalFormatting sqref="G3:H15">
    <cfRule type="cellIs" dxfId="4" priority="3" operator="equal">
      <formula>0</formula>
    </cfRule>
    <cfRule type="cellIs" dxfId="3" priority="4" operator="lessThan">
      <formula>0</formula>
    </cfRule>
    <cfRule type="cellIs" dxfId="2" priority="5" operator="greaterThan">
      <formula>0</formula>
    </cfRule>
  </conditionalFormatting>
  <conditionalFormatting sqref="H18:H29">
    <cfRule type="cellIs" dxfId="1" priority="1" stopIfTrue="1" operator="lessThan">
      <formula>-0.009</formula>
    </cfRule>
    <cfRule type="cellIs" dxfId="0" priority="2" operator="greaterThan">
      <formula>0.009</formula>
    </cfRule>
  </conditionalFormatting>
  <pageMargins left="0.7" right="0.7" top="0.75" bottom="0.75" header="0.3" footer="0.3"/>
  <ignoredErrors>
    <ignoredError sqref="B15:D15" formulaRange="1"/>
    <ignoredError sqref="B32:E43 E15:F15 E3:F3 H3 E4:F14 H4:H14 H15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OTB RR</vt:lpstr>
      <vt:lpstr>Fin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Carike Ligthelm</dc:creator>
  <cp:lastModifiedBy>Carike Ligthelm</cp:lastModifiedBy>
  <dcterms:created xsi:type="dcterms:W3CDTF">2025-04-03T10:02:25Z</dcterms:created>
  <dcterms:modified xsi:type="dcterms:W3CDTF">2026-08-20T08:14:10Z</dcterms:modified>
</cp:coreProperties>
</file>