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filterPrivacy="1" codeName="ThisWorkbook" defaultThemeVersion="202300"/>
  <xr:revisionPtr revIDLastSave="0" documentId="13_ncr:1_{E70C1BDC-95E7-944B-90A2-C96D44267FD7}" xr6:coauthVersionLast="47" xr6:coauthVersionMax="47" xr10:uidLastSave="{00000000-0000-0000-0000-000000000000}"/>
  <bookViews>
    <workbookView xWindow="0" yWindow="0" windowWidth="27320" windowHeight="15360" xr2:uid="{00000000-000D-0000-FFFF-FFFF00000000}"/>
  </bookViews>
  <sheets>
    <sheet name="DynamicListReport_4329" sheetId="1" r:id="rId1"/>
  </sheets>
  <definedNames>
    <definedName name="JR_PAGE_ANCHOR_0_1">DynamicListReport_4329!#REF!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5" i="1" l="1"/>
  <c r="H108" i="1"/>
  <c r="H100" i="1"/>
  <c r="H106" i="1"/>
  <c r="H97" i="1"/>
  <c r="H90" i="1"/>
  <c r="H84" i="1"/>
  <c r="H82" i="1"/>
  <c r="H79" i="1"/>
  <c r="H75" i="1"/>
  <c r="H72" i="1"/>
  <c r="H57" i="1"/>
  <c r="H52" i="1"/>
  <c r="H51" i="1"/>
  <c r="H50" i="1"/>
  <c r="H44" i="1"/>
  <c r="H33" i="1"/>
  <c r="H29" i="1"/>
  <c r="H28" i="1"/>
  <c r="H27" i="1"/>
  <c r="H24" i="1"/>
  <c r="H22" i="1"/>
  <c r="H21" i="1"/>
  <c r="H20" i="1"/>
  <c r="H14" i="1"/>
  <c r="H13" i="1"/>
  <c r="H12" i="1"/>
  <c r="H7" i="1"/>
  <c r="H6" i="1"/>
  <c r="H4" i="1"/>
  <c r="H3" i="1"/>
</calcChain>
</file>

<file path=xl/sharedStrings.xml><?xml version="1.0" encoding="utf-8"?>
<sst xmlns="http://schemas.openxmlformats.org/spreadsheetml/2006/main" count="514" uniqueCount="218">
  <si>
    <t>Arrival</t>
  </si>
  <si>
    <t>Departure</t>
  </si>
  <si>
    <t>Nights</t>
  </si>
  <si>
    <t>Linked Profile 1</t>
  </si>
  <si>
    <t>Linked Profile 2</t>
  </si>
  <si>
    <t>Total</t>
  </si>
  <si>
    <t>18.02.27</t>
  </si>
  <si>
    <t>22.02.27</t>
  </si>
  <si>
    <t>4</t>
  </si>
  <si>
    <t>1</t>
  </si>
  <si>
    <t>3</t>
  </si>
  <si>
    <t>7</t>
  </si>
  <si>
    <t>06.02.27</t>
  </si>
  <si>
    <t>08.02.27</t>
  </si>
  <si>
    <t>2</t>
  </si>
  <si>
    <t>5</t>
  </si>
  <si>
    <t>15.01.27</t>
  </si>
  <si>
    <t>19.01.27</t>
  </si>
  <si>
    <t>10.01.27</t>
  </si>
  <si>
    <t>07.01.27</t>
  </si>
  <si>
    <t>Great Plains Conservation</t>
  </si>
  <si>
    <t>05.01.27</t>
  </si>
  <si>
    <t>6</t>
  </si>
  <si>
    <t>02.01.27</t>
  </si>
  <si>
    <t>30.12.26</t>
  </si>
  <si>
    <t>29.12.26</t>
  </si>
  <si>
    <t>26.12.26</t>
  </si>
  <si>
    <t>24.12.26</t>
  </si>
  <si>
    <t>Triumph Travel</t>
  </si>
  <si>
    <t>21.12.26</t>
  </si>
  <si>
    <t>20.12.26</t>
  </si>
  <si>
    <t>19.12.26</t>
  </si>
  <si>
    <t>18.12.26</t>
  </si>
  <si>
    <t>13.12.26</t>
  </si>
  <si>
    <t>17.12.26</t>
  </si>
  <si>
    <t>12.12.26</t>
  </si>
  <si>
    <t>16.12.26</t>
  </si>
  <si>
    <t>20.11.26</t>
  </si>
  <si>
    <t>22.11.26</t>
  </si>
  <si>
    <t>Ker &amp; Downey</t>
  </si>
  <si>
    <t>22.10.26</t>
  </si>
  <si>
    <t>18.10.26</t>
  </si>
  <si>
    <t>16.10.26</t>
  </si>
  <si>
    <t>14.10.26</t>
  </si>
  <si>
    <t>12.10.26</t>
  </si>
  <si>
    <t>15.10.26</t>
  </si>
  <si>
    <t>11.10.26</t>
  </si>
  <si>
    <t>05.10.26</t>
  </si>
  <si>
    <t>09.10.26</t>
  </si>
  <si>
    <t>02.10.26</t>
  </si>
  <si>
    <t>01.10.26</t>
  </si>
  <si>
    <t>04.10.26</t>
  </si>
  <si>
    <t>28.09.26</t>
  </si>
  <si>
    <t>25.09.26</t>
  </si>
  <si>
    <t>23.09.26</t>
  </si>
  <si>
    <t>21.09.26</t>
  </si>
  <si>
    <t>19.09.26</t>
  </si>
  <si>
    <t>26.09.26</t>
  </si>
  <si>
    <t>17.09.26</t>
  </si>
  <si>
    <t>15.09.26</t>
  </si>
  <si>
    <t>13.09.26</t>
  </si>
  <si>
    <t>12.09.26</t>
  </si>
  <si>
    <t>04.09.26</t>
  </si>
  <si>
    <t>01.09.26</t>
  </si>
  <si>
    <t>03.09.26</t>
  </si>
  <si>
    <t>05.09.26</t>
  </si>
  <si>
    <t>31.08.26</t>
  </si>
  <si>
    <t>25.08.26</t>
  </si>
  <si>
    <t>28.08.26</t>
  </si>
  <si>
    <t>24.08.26</t>
  </si>
  <si>
    <t>27.08.26</t>
  </si>
  <si>
    <t>20.08.26</t>
  </si>
  <si>
    <t>18.08.26</t>
  </si>
  <si>
    <t>22.08.26</t>
  </si>
  <si>
    <t>16.08.26</t>
  </si>
  <si>
    <t>19.08.26</t>
  </si>
  <si>
    <t>14.08.26</t>
  </si>
  <si>
    <t>15.08.26</t>
  </si>
  <si>
    <t>11.08.26</t>
  </si>
  <si>
    <t>04.08.26</t>
  </si>
  <si>
    <t>07.08.26</t>
  </si>
  <si>
    <t>01.08.26</t>
  </si>
  <si>
    <t>29.07.26</t>
  </si>
  <si>
    <t>28.07.26</t>
  </si>
  <si>
    <t>02.08.26</t>
  </si>
  <si>
    <t>26.07.26</t>
  </si>
  <si>
    <t>21.07.26</t>
  </si>
  <si>
    <t>24.07.26</t>
  </si>
  <si>
    <t>18.07.26</t>
  </si>
  <si>
    <t>15.07.26</t>
  </si>
  <si>
    <t>14.07.26</t>
  </si>
  <si>
    <t>13.07.26</t>
  </si>
  <si>
    <t>16.07.26</t>
  </si>
  <si>
    <t>12.07.26</t>
  </si>
  <si>
    <t>10.07.26</t>
  </si>
  <si>
    <t>09.07.26</t>
  </si>
  <si>
    <t>05.07.26</t>
  </si>
  <si>
    <t>03.07.26</t>
  </si>
  <si>
    <t>08.07.26</t>
  </si>
  <si>
    <t>02.07.26</t>
  </si>
  <si>
    <t>01.07.26</t>
  </si>
  <si>
    <t>28.06.26</t>
  </si>
  <si>
    <t>24.06.26</t>
  </si>
  <si>
    <t>22.06.26</t>
  </si>
  <si>
    <t>21.06.26</t>
  </si>
  <si>
    <t>17.06.26</t>
  </si>
  <si>
    <t>20.06.26</t>
  </si>
  <si>
    <t>15.06.26</t>
  </si>
  <si>
    <t>19.06.26</t>
  </si>
  <si>
    <t>04.06.26</t>
  </si>
  <si>
    <t>07.06.26</t>
  </si>
  <si>
    <t>03.06.26</t>
  </si>
  <si>
    <t>31.05.26</t>
  </si>
  <si>
    <t>30.05.26</t>
  </si>
  <si>
    <t>23.05.26</t>
  </si>
  <si>
    <t>27.05.26</t>
  </si>
  <si>
    <t>22.05.26</t>
  </si>
  <si>
    <t>18.05.26</t>
  </si>
  <si>
    <t>14.05.26</t>
  </si>
  <si>
    <t>10.05.26</t>
  </si>
  <si>
    <t>06.05.26</t>
  </si>
  <si>
    <t>03.05.26</t>
  </si>
  <si>
    <t>05.05.26</t>
  </si>
  <si>
    <t>30.04.26</t>
  </si>
  <si>
    <t>02.05.26</t>
  </si>
  <si>
    <t>DM Africa</t>
  </si>
  <si>
    <t>28.04.26</t>
  </si>
  <si>
    <t>27.04.26</t>
  </si>
  <si>
    <t>19.04.26</t>
  </si>
  <si>
    <t>17.04.26</t>
  </si>
  <si>
    <t>Micato Safaris</t>
  </si>
  <si>
    <t>14.04.26</t>
  </si>
  <si>
    <t>18.04.26</t>
  </si>
  <si>
    <t>13.04.26</t>
  </si>
  <si>
    <t>08.04.26</t>
  </si>
  <si>
    <t>06.04.26</t>
  </si>
  <si>
    <t>05.04.26</t>
  </si>
  <si>
    <t>04.04.26</t>
  </si>
  <si>
    <t>03.04.26</t>
  </si>
  <si>
    <t>01.04.26</t>
  </si>
  <si>
    <t>31.03.26</t>
  </si>
  <si>
    <t>30.03.26</t>
  </si>
  <si>
    <t>29.03.26</t>
  </si>
  <si>
    <t>27.03.26</t>
  </si>
  <si>
    <t>25.03.26</t>
  </si>
  <si>
    <t>23.03.26</t>
  </si>
  <si>
    <t>20.03.26</t>
  </si>
  <si>
    <t>24.03.26</t>
  </si>
  <si>
    <t>19.03.26</t>
  </si>
  <si>
    <t>15.03.26</t>
  </si>
  <si>
    <t>18.03.26</t>
  </si>
  <si>
    <t>13.03.26</t>
  </si>
  <si>
    <t>14.03.26</t>
  </si>
  <si>
    <t>Giltedge Travel PTY LTD</t>
  </si>
  <si>
    <t>07.03.26</t>
  </si>
  <si>
    <t>09.03.26</t>
  </si>
  <si>
    <t>01.03.26</t>
  </si>
  <si>
    <t>27.02.26</t>
  </si>
  <si>
    <t>25.02.26</t>
  </si>
  <si>
    <t>Travel Artistry Africa</t>
  </si>
  <si>
    <t>Personal Africa</t>
  </si>
  <si>
    <t>Tanda Afrika</t>
  </si>
  <si>
    <t>Dare to Explore</t>
  </si>
  <si>
    <t>Embark Safaris</t>
  </si>
  <si>
    <t>Africa by Lusso</t>
  </si>
  <si>
    <t>African Safari Group</t>
  </si>
  <si>
    <t>Teresa Perez</t>
  </si>
  <si>
    <t>Wilderness Safaris Ltd</t>
  </si>
  <si>
    <t>Aktiv-Resor Oy</t>
  </si>
  <si>
    <t>TTW Group Brazil</t>
  </si>
  <si>
    <t>And Beyond South Africa (Pty) Ltd</t>
  </si>
  <si>
    <t>Expedia</t>
  </si>
  <si>
    <t>Very Oasis Tour Operator</t>
  </si>
  <si>
    <t>The Malcolm Ainscough collection</t>
  </si>
  <si>
    <t>Amazing Africa</t>
  </si>
  <si>
    <t>New Frontiers</t>
  </si>
  <si>
    <t>Bev's Africa Travel</t>
  </si>
  <si>
    <t>Thompsons Africa</t>
  </si>
  <si>
    <t>UNIK Mexico</t>
  </si>
  <si>
    <t>Roar Africa LLC</t>
  </si>
  <si>
    <t>Journey Beyond</t>
  </si>
  <si>
    <t>African Adventure Tour</t>
  </si>
  <si>
    <t>Tour d'Afrique</t>
  </si>
  <si>
    <t>Chapungu-Kambako Safaris</t>
  </si>
  <si>
    <t>Expeditions Adventures &amp; Safaris</t>
  </si>
  <si>
    <t>Abercrombie &amp; Kent Safaris</t>
  </si>
  <si>
    <t xml:space="preserve">African Greenland Safaris &amp; Travel GmbH </t>
  </si>
  <si>
    <t>Junosync PTY LTD</t>
  </si>
  <si>
    <t>Trans Africa Safaris</t>
  </si>
  <si>
    <t>Tourvest Destination Management</t>
  </si>
  <si>
    <t>M.Domo Travel</t>
  </si>
  <si>
    <t>Indagare</t>
  </si>
  <si>
    <t>Otelle Travel</t>
  </si>
  <si>
    <t>Premier Tours</t>
  </si>
  <si>
    <t>Latitude 1943 Travel Mexico</t>
  </si>
  <si>
    <t>Vacaciones Disenadas Terranova</t>
  </si>
  <si>
    <t>Strong Travel Services</t>
  </si>
  <si>
    <t>OTA</t>
  </si>
  <si>
    <t>Timbuktu Travel</t>
  </si>
  <si>
    <t>Micato NY</t>
  </si>
  <si>
    <t>Curah Travel</t>
  </si>
  <si>
    <t>Kensington Tours - Canada</t>
  </si>
  <si>
    <t>Travel Beyond</t>
  </si>
  <si>
    <t>Siteminder</t>
  </si>
  <si>
    <t>Global Travel Concepts</t>
  </si>
  <si>
    <t>Mango African Safaris (Indagare)</t>
  </si>
  <si>
    <t>Ultimate Jet Vacations</t>
  </si>
  <si>
    <t>Photographing Africa</t>
  </si>
  <si>
    <t>Traversing Travel 2</t>
  </si>
  <si>
    <t>Belle Meade Vacations</t>
  </si>
  <si>
    <t>Abercrombie &amp; Kent UK</t>
  </si>
  <si>
    <t>True Travel - UK</t>
  </si>
  <si>
    <t>Exclusif Voyages</t>
  </si>
  <si>
    <t>Tribeca Traveler</t>
  </si>
  <si>
    <t>Herff Travel</t>
  </si>
  <si>
    <t>WanderLux  Travel</t>
  </si>
  <si>
    <t>Virtuoso</t>
  </si>
  <si>
    <t>Magalena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</si>
</sst>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i/>
      <sz val="7"/>
      <color rgb="FF000000"/>
      <name val="Arial"/>
      <family val="2"/>
    </font>
    <font>
      <i/>
      <sz val="11"/>
      <color theme="1"/>
      <name val="Aptos Narrow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0" fontId="1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0" xfId="0" applyFill="1"/>
    <xf numFmtId="0" fontId="1" fillId="13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1" fillId="14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0" xfId="0" applyFill="1"/>
    <xf numFmtId="0" fontId="1" fillId="15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0" xfId="0" applyFill="1"/>
    <xf numFmtId="0" fontId="1" fillId="16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16" borderId="0" xfId="0" applyFill="1"/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0" xfId="0" applyFill="1"/>
    <xf numFmtId="0" fontId="0" fillId="17" borderId="1" xfId="0" applyFill="1" applyBorder="1"/>
    <xf numFmtId="0" fontId="1" fillId="18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0" fillId="18" borderId="0" xfId="0" applyFill="1"/>
    <xf numFmtId="0" fontId="1" fillId="19" borderId="1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0" fillId="19" borderId="0" xfId="0" applyFill="1"/>
    <xf numFmtId="0" fontId="1" fillId="20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0" fillId="20" borderId="0" xfId="0" applyFill="1"/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0" fillId="21" borderId="0" xfId="0" applyFill="1"/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0" fillId="22" borderId="0" xfId="0" applyFill="1"/>
    <xf numFmtId="3" fontId="1" fillId="3" borderId="2" xfId="0" applyNumberFormat="1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3" fontId="1" fillId="11" borderId="1" xfId="0" applyNumberFormat="1" applyFont="1" applyFill="1" applyBorder="1" applyAlignment="1">
      <alignment horizontal="center" vertical="center" wrapText="1"/>
    </xf>
    <xf numFmtId="3" fontId="1" fillId="12" borderId="1" xfId="0" applyNumberFormat="1" applyFont="1" applyFill="1" applyBorder="1" applyAlignment="1">
      <alignment horizontal="center" vertical="center" wrapText="1"/>
    </xf>
    <xf numFmtId="3" fontId="1" fillId="13" borderId="1" xfId="0" applyNumberFormat="1" applyFont="1" applyFill="1" applyBorder="1" applyAlignment="1">
      <alignment horizontal="center" vertical="center" wrapText="1"/>
    </xf>
    <xf numFmtId="3" fontId="1" fillId="14" borderId="1" xfId="0" applyNumberFormat="1" applyFont="1" applyFill="1" applyBorder="1" applyAlignment="1">
      <alignment horizontal="center" vertical="center" wrapText="1"/>
    </xf>
    <xf numFmtId="3" fontId="1" fillId="15" borderId="1" xfId="0" applyNumberFormat="1" applyFont="1" applyFill="1" applyBorder="1" applyAlignment="1">
      <alignment horizontal="center" vertical="center" wrapText="1"/>
    </xf>
    <xf numFmtId="3" fontId="1" fillId="16" borderId="1" xfId="0" applyNumberFormat="1" applyFont="1" applyFill="1" applyBorder="1" applyAlignment="1">
      <alignment horizontal="center" vertical="center" wrapText="1"/>
    </xf>
    <xf numFmtId="3" fontId="1" fillId="17" borderId="1" xfId="0" applyNumberFormat="1" applyFont="1" applyFill="1" applyBorder="1" applyAlignment="1">
      <alignment horizontal="center" vertical="center" wrapText="1"/>
    </xf>
    <xf numFmtId="3" fontId="1" fillId="18" borderId="1" xfId="0" applyNumberFormat="1" applyFont="1" applyFill="1" applyBorder="1" applyAlignment="1">
      <alignment horizontal="center" vertical="center" wrapText="1"/>
    </xf>
    <xf numFmtId="3" fontId="1" fillId="19" borderId="1" xfId="0" applyNumberFormat="1" applyFont="1" applyFill="1" applyBorder="1" applyAlignment="1">
      <alignment horizontal="center" vertical="center" wrapText="1"/>
    </xf>
    <xf numFmtId="3" fontId="1" fillId="20" borderId="1" xfId="0" applyNumberFormat="1" applyFont="1" applyFill="1" applyBorder="1" applyAlignment="1">
      <alignment horizontal="center" vertical="center" wrapText="1"/>
    </xf>
    <xf numFmtId="3" fontId="1" fillId="21" borderId="1" xfId="0" applyNumberFormat="1" applyFont="1" applyFill="1" applyBorder="1" applyAlignment="1">
      <alignment horizontal="center" vertical="center" wrapText="1"/>
    </xf>
    <xf numFmtId="3" fontId="1" fillId="22" borderId="1" xfId="0" applyNumberFormat="1" applyFont="1" applyFill="1" applyBorder="1" applyAlignment="1">
      <alignment horizontal="center" vertical="center" wrapText="1"/>
    </xf>
    <xf numFmtId="3" fontId="1" fillId="6" borderId="3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 applyProtection="1">
      <alignment horizontal="center" wrapText="1"/>
      <protection locked="0"/>
    </xf>
    <xf numFmtId="3" fontId="0" fillId="0" borderId="0" xfId="0" applyNumberFormat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3" fontId="0" fillId="9" borderId="0" xfId="0" applyNumberFormat="1" applyFill="1" applyAlignment="1">
      <alignment horizontal="center"/>
    </xf>
    <xf numFmtId="3" fontId="0" fillId="10" borderId="0" xfId="0" applyNumberFormat="1" applyFill="1" applyAlignment="1">
      <alignment horizontal="center"/>
    </xf>
    <xf numFmtId="3" fontId="0" fillId="11" borderId="0" xfId="0" applyNumberFormat="1" applyFill="1" applyAlignment="1">
      <alignment horizontal="center"/>
    </xf>
    <xf numFmtId="3" fontId="0" fillId="12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3" fontId="0" fillId="15" borderId="0" xfId="0" applyNumberFormat="1" applyFill="1" applyAlignment="1">
      <alignment horizontal="center"/>
    </xf>
    <xf numFmtId="3" fontId="0" fillId="16" borderId="0" xfId="0" applyNumberFormat="1" applyFill="1" applyAlignment="1">
      <alignment horizontal="center"/>
    </xf>
    <xf numFmtId="3" fontId="0" fillId="17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/>
    </xf>
    <xf numFmtId="3" fontId="0" fillId="19" borderId="0" xfId="0" applyNumberFormat="1" applyFill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20" borderId="0" xfId="0" applyNumberFormat="1" applyFill="1" applyAlignment="1">
      <alignment horizontal="center"/>
    </xf>
    <xf numFmtId="3" fontId="0" fillId="21" borderId="0" xfId="0" applyNumberFormat="1" applyFill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18"/>
  <sheetViews>
    <sheetView tabSelected="1" topLeftCell="A28" zoomScale="136" workbookViewId="0">
      <selection activeCell="G79" sqref="G79"/>
    </sheetView>
  </sheetViews>
  <sheetFormatPr baseColWidth="10" defaultColWidth="8.83203125" defaultRowHeight="15" x14ac:dyDescent="0.2"/>
  <cols>
    <col min="1" max="1" width="7.5" customWidth="1"/>
    <col min="2" max="2" width="7.83203125" customWidth="1"/>
    <col min="3" max="3" width="6.1640625" style="10" customWidth="1"/>
    <col min="4" max="4" width="33.1640625" customWidth="1"/>
    <col min="5" max="5" width="22" hidden="1" customWidth="1"/>
    <col min="6" max="6" width="10.1640625" style="72" customWidth="1"/>
    <col min="7" max="8" width="8.83203125" style="10"/>
  </cols>
  <sheetData>
    <row r="1" spans="1:9" ht="30" customHeight="1" x14ac:dyDescent="0.2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54" t="s">
        <v>5</v>
      </c>
    </row>
    <row r="2" spans="1:9" s="13" customFormat="1" ht="20" hidden="1" customHeight="1" x14ac:dyDescent="0.2">
      <c r="A2" s="11" t="s">
        <v>119</v>
      </c>
      <c r="B2" s="11" t="s">
        <v>118</v>
      </c>
      <c r="C2" s="12" t="s">
        <v>8</v>
      </c>
      <c r="D2" s="11" t="s">
        <v>185</v>
      </c>
      <c r="E2" s="11" t="s">
        <v>210</v>
      </c>
      <c r="F2" s="55">
        <v>778425</v>
      </c>
      <c r="G2" s="73"/>
      <c r="H2" s="73"/>
    </row>
    <row r="3" spans="1:9" s="13" customFormat="1" ht="20" hidden="1" customHeight="1" x14ac:dyDescent="0.2">
      <c r="A3" s="11" t="s">
        <v>127</v>
      </c>
      <c r="B3" s="11" t="s">
        <v>126</v>
      </c>
      <c r="C3" s="12" t="s">
        <v>9</v>
      </c>
      <c r="D3" s="11" t="s">
        <v>185</v>
      </c>
      <c r="E3" s="11"/>
      <c r="F3" s="55">
        <v>0</v>
      </c>
      <c r="G3" s="73">
        <v>5</v>
      </c>
      <c r="H3" s="87">
        <f>SUM(F2:F3)</f>
        <v>778425</v>
      </c>
    </row>
    <row r="4" spans="1:9" ht="20" customHeight="1" x14ac:dyDescent="0.2">
      <c r="A4" s="3" t="s">
        <v>31</v>
      </c>
      <c r="B4" s="3" t="s">
        <v>27</v>
      </c>
      <c r="C4" s="8" t="s">
        <v>15</v>
      </c>
      <c r="D4" s="3" t="s">
        <v>164</v>
      </c>
      <c r="E4" s="3"/>
      <c r="F4" s="56">
        <v>1415400</v>
      </c>
      <c r="G4" s="10">
        <v>5</v>
      </c>
      <c r="H4" s="72">
        <f>F4</f>
        <v>1415400</v>
      </c>
      <c r="I4">
        <v>18</v>
      </c>
    </row>
    <row r="5" spans="1:9" s="16" customFormat="1" ht="20" hidden="1" customHeight="1" x14ac:dyDescent="0.2">
      <c r="A5" s="14" t="s">
        <v>93</v>
      </c>
      <c r="B5" s="14" t="s">
        <v>89</v>
      </c>
      <c r="C5" s="15" t="s">
        <v>10</v>
      </c>
      <c r="D5" s="14" t="s">
        <v>181</v>
      </c>
      <c r="E5" s="14"/>
      <c r="F5" s="57">
        <v>675000</v>
      </c>
      <c r="G5" s="74"/>
      <c r="H5" s="74"/>
    </row>
    <row r="6" spans="1:9" s="16" customFormat="1" ht="20" hidden="1" customHeight="1" x14ac:dyDescent="0.2">
      <c r="A6" s="14" t="s">
        <v>94</v>
      </c>
      <c r="B6" s="14" t="s">
        <v>89</v>
      </c>
      <c r="C6" s="15" t="s">
        <v>15</v>
      </c>
      <c r="D6" s="14" t="s">
        <v>181</v>
      </c>
      <c r="E6" s="14"/>
      <c r="F6" s="57">
        <v>40000</v>
      </c>
      <c r="G6" s="74">
        <v>8</v>
      </c>
      <c r="H6" s="88">
        <f>SUM(F5:F6)</f>
        <v>715000</v>
      </c>
    </row>
    <row r="7" spans="1:9" s="50" customFormat="1" ht="20" customHeight="1" x14ac:dyDescent="0.2">
      <c r="A7" s="48" t="s">
        <v>135</v>
      </c>
      <c r="B7" s="48" t="s">
        <v>133</v>
      </c>
      <c r="C7" s="49" t="s">
        <v>11</v>
      </c>
      <c r="D7" s="48" t="s">
        <v>186</v>
      </c>
      <c r="E7" s="48"/>
      <c r="F7" s="68">
        <v>1545715</v>
      </c>
      <c r="G7" s="85">
        <v>7</v>
      </c>
      <c r="H7" s="99">
        <f>F7</f>
        <v>1545715</v>
      </c>
      <c r="I7" s="50">
        <v>16</v>
      </c>
    </row>
    <row r="8" spans="1:9" s="19" customFormat="1" ht="20" hidden="1" customHeight="1" x14ac:dyDescent="0.2">
      <c r="A8" s="17" t="s">
        <v>35</v>
      </c>
      <c r="B8" s="17" t="s">
        <v>36</v>
      </c>
      <c r="C8" s="18" t="s">
        <v>8</v>
      </c>
      <c r="D8" s="17" t="s">
        <v>165</v>
      </c>
      <c r="E8" s="17"/>
      <c r="F8" s="58">
        <v>529875</v>
      </c>
      <c r="G8" s="75"/>
      <c r="H8" s="75"/>
    </row>
    <row r="9" spans="1:9" s="19" customFormat="1" ht="20" hidden="1" customHeight="1" x14ac:dyDescent="0.2">
      <c r="A9" s="17" t="s">
        <v>63</v>
      </c>
      <c r="B9" s="17" t="s">
        <v>65</v>
      </c>
      <c r="C9" s="18" t="s">
        <v>8</v>
      </c>
      <c r="D9" s="17" t="s">
        <v>165</v>
      </c>
      <c r="E9" s="17"/>
      <c r="F9" s="58">
        <v>754314</v>
      </c>
      <c r="G9" s="75"/>
      <c r="H9" s="75"/>
    </row>
    <row r="10" spans="1:9" s="19" customFormat="1" ht="20" hidden="1" customHeight="1" x14ac:dyDescent="0.2">
      <c r="A10" s="17" t="s">
        <v>72</v>
      </c>
      <c r="B10" s="17" t="s">
        <v>73</v>
      </c>
      <c r="C10" s="18" t="s">
        <v>8</v>
      </c>
      <c r="D10" s="17" t="s">
        <v>165</v>
      </c>
      <c r="E10" s="17"/>
      <c r="F10" s="58">
        <v>1716000</v>
      </c>
      <c r="G10" s="75"/>
      <c r="H10" s="75"/>
    </row>
    <row r="11" spans="1:9" s="19" customFormat="1" ht="20" hidden="1" customHeight="1" x14ac:dyDescent="0.2">
      <c r="A11" s="17" t="s">
        <v>101</v>
      </c>
      <c r="B11" s="17" t="s">
        <v>97</v>
      </c>
      <c r="C11" s="18" t="s">
        <v>15</v>
      </c>
      <c r="D11" s="17" t="s">
        <v>165</v>
      </c>
      <c r="E11" s="17"/>
      <c r="F11" s="58">
        <v>1490625</v>
      </c>
      <c r="G11" s="75"/>
      <c r="H11" s="75"/>
    </row>
    <row r="12" spans="1:9" s="19" customFormat="1" ht="20" customHeight="1" x14ac:dyDescent="0.2">
      <c r="A12" s="17" t="s">
        <v>133</v>
      </c>
      <c r="B12" s="17" t="s">
        <v>129</v>
      </c>
      <c r="C12" s="18" t="s">
        <v>8</v>
      </c>
      <c r="D12" s="17" t="s">
        <v>165</v>
      </c>
      <c r="E12" s="17"/>
      <c r="F12" s="58">
        <v>448875</v>
      </c>
      <c r="G12" s="75">
        <v>21</v>
      </c>
      <c r="H12" s="89">
        <f>SUM(F8:F12)</f>
        <v>4939689</v>
      </c>
      <c r="I12" s="19">
        <v>3</v>
      </c>
    </row>
    <row r="13" spans="1:9" ht="20" customHeight="1" x14ac:dyDescent="0.2">
      <c r="A13" s="3" t="s">
        <v>46</v>
      </c>
      <c r="B13" s="3" t="s">
        <v>43</v>
      </c>
      <c r="C13" s="8" t="s">
        <v>10</v>
      </c>
      <c r="D13" s="3" t="s">
        <v>168</v>
      </c>
      <c r="E13" s="3"/>
      <c r="F13" s="56">
        <v>1002375</v>
      </c>
      <c r="G13" s="10">
        <v>3</v>
      </c>
      <c r="H13" s="72">
        <f>F13</f>
        <v>1002375</v>
      </c>
    </row>
    <row r="14" spans="1:9" s="22" customFormat="1" ht="20" hidden="1" customHeight="1" x14ac:dyDescent="0.2">
      <c r="A14" s="20" t="s">
        <v>66</v>
      </c>
      <c r="B14" s="20" t="s">
        <v>62</v>
      </c>
      <c r="C14" s="21" t="s">
        <v>8</v>
      </c>
      <c r="D14" s="20" t="s">
        <v>174</v>
      </c>
      <c r="E14" s="20" t="s">
        <v>200</v>
      </c>
      <c r="F14" s="59">
        <v>696125</v>
      </c>
      <c r="G14" s="76">
        <v>4</v>
      </c>
      <c r="H14" s="90">
        <f>F14</f>
        <v>696125</v>
      </c>
    </row>
    <row r="15" spans="1:9" ht="20" hidden="1" customHeight="1" x14ac:dyDescent="0.2">
      <c r="A15" s="3" t="s">
        <v>52</v>
      </c>
      <c r="B15" s="3" t="s">
        <v>49</v>
      </c>
      <c r="C15" s="8" t="s">
        <v>8</v>
      </c>
      <c r="D15" s="3" t="s">
        <v>170</v>
      </c>
      <c r="E15" s="3"/>
      <c r="F15" s="56">
        <v>703425</v>
      </c>
    </row>
    <row r="16" spans="1:9" ht="20" hidden="1" customHeight="1" x14ac:dyDescent="0.2">
      <c r="A16" s="3" t="s">
        <v>79</v>
      </c>
      <c r="B16" s="3" t="s">
        <v>80</v>
      </c>
      <c r="C16" s="8" t="s">
        <v>10</v>
      </c>
      <c r="D16" s="3" t="s">
        <v>170</v>
      </c>
      <c r="E16" s="3"/>
      <c r="F16" s="56">
        <v>1003860</v>
      </c>
    </row>
    <row r="17" spans="1:9" ht="20" hidden="1" customHeight="1" x14ac:dyDescent="0.2">
      <c r="A17" s="3" t="s">
        <v>79</v>
      </c>
      <c r="B17" s="3" t="s">
        <v>80</v>
      </c>
      <c r="C17" s="8" t="s">
        <v>10</v>
      </c>
      <c r="D17" s="3" t="s">
        <v>170</v>
      </c>
      <c r="E17" s="3"/>
      <c r="F17" s="56">
        <v>662512.5</v>
      </c>
    </row>
    <row r="18" spans="1:9" ht="20" hidden="1" customHeight="1" x14ac:dyDescent="0.2">
      <c r="A18" s="3" t="s">
        <v>102</v>
      </c>
      <c r="B18" s="3" t="s">
        <v>101</v>
      </c>
      <c r="C18" s="8" t="s">
        <v>8</v>
      </c>
      <c r="D18" s="3" t="s">
        <v>170</v>
      </c>
      <c r="E18" s="3"/>
      <c r="F18" s="56">
        <v>1487200</v>
      </c>
    </row>
    <row r="19" spans="1:9" ht="20" hidden="1" customHeight="1" x14ac:dyDescent="0.2">
      <c r="A19" s="3" t="s">
        <v>154</v>
      </c>
      <c r="B19" s="3" t="s">
        <v>155</v>
      </c>
      <c r="C19" s="8" t="s">
        <v>14</v>
      </c>
      <c r="D19" s="3" t="s">
        <v>170</v>
      </c>
      <c r="E19" s="3"/>
      <c r="F19" s="56">
        <v>0</v>
      </c>
    </row>
    <row r="20" spans="1:9" ht="20" customHeight="1" x14ac:dyDescent="0.2">
      <c r="A20" s="3" t="s">
        <v>157</v>
      </c>
      <c r="B20" s="3" t="s">
        <v>156</v>
      </c>
      <c r="C20" s="8" t="s">
        <v>14</v>
      </c>
      <c r="D20" s="3" t="s">
        <v>170</v>
      </c>
      <c r="E20" s="3"/>
      <c r="F20" s="56">
        <v>0</v>
      </c>
      <c r="G20" s="10">
        <v>18</v>
      </c>
      <c r="H20" s="72">
        <f>SUM(F15:F20)</f>
        <v>3856997.5</v>
      </c>
      <c r="I20">
        <v>7</v>
      </c>
    </row>
    <row r="21" spans="1:9" s="25" customFormat="1" ht="20" hidden="1" customHeight="1" x14ac:dyDescent="0.2">
      <c r="A21" s="23" t="s">
        <v>74</v>
      </c>
      <c r="B21" s="23" t="s">
        <v>75</v>
      </c>
      <c r="C21" s="24" t="s">
        <v>10</v>
      </c>
      <c r="D21" s="23" t="s">
        <v>176</v>
      </c>
      <c r="E21" s="23"/>
      <c r="F21" s="60">
        <v>858000</v>
      </c>
      <c r="G21" s="77">
        <v>3</v>
      </c>
      <c r="H21" s="91">
        <f>F21</f>
        <v>858000</v>
      </c>
    </row>
    <row r="22" spans="1:9" ht="20" hidden="1" customHeight="1" x14ac:dyDescent="0.2">
      <c r="A22" s="3" t="s">
        <v>99</v>
      </c>
      <c r="B22" s="3" t="s">
        <v>96</v>
      </c>
      <c r="C22" s="8" t="s">
        <v>10</v>
      </c>
      <c r="D22" s="3" t="s">
        <v>183</v>
      </c>
      <c r="E22" s="3"/>
      <c r="F22" s="56">
        <v>806872.5</v>
      </c>
      <c r="G22" s="10">
        <v>3</v>
      </c>
      <c r="H22" s="72">
        <f>F22</f>
        <v>806872.5</v>
      </c>
    </row>
    <row r="23" spans="1:9" s="31" customFormat="1" ht="20" hidden="1" customHeight="1" x14ac:dyDescent="0.2">
      <c r="A23" s="29" t="s">
        <v>29</v>
      </c>
      <c r="B23" s="29" t="s">
        <v>27</v>
      </c>
      <c r="C23" s="30" t="s">
        <v>10</v>
      </c>
      <c r="D23" s="29" t="s">
        <v>162</v>
      </c>
      <c r="E23" s="29"/>
      <c r="F23" s="62">
        <v>826875</v>
      </c>
      <c r="G23" s="79"/>
      <c r="H23" s="79"/>
    </row>
    <row r="24" spans="1:9" s="31" customFormat="1" ht="20" customHeight="1" x14ac:dyDescent="0.2">
      <c r="A24" s="29" t="s">
        <v>114</v>
      </c>
      <c r="B24" s="29" t="s">
        <v>115</v>
      </c>
      <c r="C24" s="30" t="s">
        <v>8</v>
      </c>
      <c r="D24" s="29" t="s">
        <v>162</v>
      </c>
      <c r="E24" s="29"/>
      <c r="F24" s="62">
        <v>673314</v>
      </c>
      <c r="G24" s="79">
        <v>7</v>
      </c>
      <c r="H24" s="92">
        <f>SUM(F23:F24)</f>
        <v>1500189</v>
      </c>
      <c r="I24" s="31">
        <v>17</v>
      </c>
    </row>
    <row r="25" spans="1:9" ht="20" hidden="1" customHeight="1" x14ac:dyDescent="0.2">
      <c r="A25" s="3" t="s">
        <v>123</v>
      </c>
      <c r="B25" s="3" t="s">
        <v>124</v>
      </c>
      <c r="C25" s="8" t="s">
        <v>14</v>
      </c>
      <c r="D25" s="3" t="s">
        <v>125</v>
      </c>
      <c r="E25" s="3"/>
      <c r="F25" s="56">
        <v>0</v>
      </c>
    </row>
    <row r="26" spans="1:9" ht="20" hidden="1" customHeight="1" x14ac:dyDescent="0.2">
      <c r="A26" s="3" t="s">
        <v>126</v>
      </c>
      <c r="B26" s="3" t="s">
        <v>123</v>
      </c>
      <c r="C26" s="8" t="s">
        <v>14</v>
      </c>
      <c r="D26" s="3" t="s">
        <v>125</v>
      </c>
      <c r="E26" s="3"/>
      <c r="F26" s="56">
        <v>0</v>
      </c>
    </row>
    <row r="27" spans="1:9" ht="20" hidden="1" customHeight="1" x14ac:dyDescent="0.2">
      <c r="A27" s="3" t="s">
        <v>140</v>
      </c>
      <c r="B27" s="3" t="s">
        <v>137</v>
      </c>
      <c r="C27" s="8" t="s">
        <v>8</v>
      </c>
      <c r="D27" s="3" t="s">
        <v>125</v>
      </c>
      <c r="E27" s="3" t="s">
        <v>212</v>
      </c>
      <c r="F27" s="56">
        <v>653736</v>
      </c>
      <c r="G27" s="10">
        <v>8</v>
      </c>
      <c r="H27" s="72">
        <f>F27</f>
        <v>653736</v>
      </c>
    </row>
    <row r="28" spans="1:9" s="34" customFormat="1" ht="20" customHeight="1" x14ac:dyDescent="0.2">
      <c r="A28" s="32" t="s">
        <v>30</v>
      </c>
      <c r="B28" s="32" t="s">
        <v>27</v>
      </c>
      <c r="C28" s="33" t="s">
        <v>8</v>
      </c>
      <c r="D28" s="32" t="s">
        <v>163</v>
      </c>
      <c r="E28" s="32"/>
      <c r="F28" s="63">
        <v>1587600</v>
      </c>
      <c r="G28" s="80">
        <v>4</v>
      </c>
      <c r="H28" s="93">
        <f>F28</f>
        <v>1587600</v>
      </c>
      <c r="I28" s="34">
        <v>15</v>
      </c>
    </row>
    <row r="29" spans="1:9" ht="20" hidden="1" customHeight="1" x14ac:dyDescent="0.2">
      <c r="A29" s="3" t="s">
        <v>56</v>
      </c>
      <c r="B29" s="3" t="s">
        <v>57</v>
      </c>
      <c r="C29" s="8" t="s">
        <v>11</v>
      </c>
      <c r="D29" s="3" t="s">
        <v>171</v>
      </c>
      <c r="E29" s="3" t="s">
        <v>197</v>
      </c>
      <c r="F29" s="56">
        <v>808224.35</v>
      </c>
      <c r="G29" s="10">
        <v>7</v>
      </c>
      <c r="H29" s="72">
        <f>F29</f>
        <v>808224.35</v>
      </c>
    </row>
    <row r="30" spans="1:9" s="31" customFormat="1" ht="20" hidden="1" customHeight="1" x14ac:dyDescent="0.2">
      <c r="A30" s="29" t="s">
        <v>103</v>
      </c>
      <c r="B30" s="29" t="s">
        <v>102</v>
      </c>
      <c r="C30" s="30" t="s">
        <v>14</v>
      </c>
      <c r="D30" s="29" t="s">
        <v>184</v>
      </c>
      <c r="E30" s="29"/>
      <c r="F30" s="62">
        <v>536625</v>
      </c>
      <c r="G30" s="79"/>
      <c r="H30" s="79"/>
    </row>
    <row r="31" spans="1:9" s="31" customFormat="1" ht="20" hidden="1" customHeight="1" x14ac:dyDescent="0.2">
      <c r="A31" s="29" t="s">
        <v>103</v>
      </c>
      <c r="B31" s="29" t="s">
        <v>102</v>
      </c>
      <c r="C31" s="30" t="s">
        <v>14</v>
      </c>
      <c r="D31" s="29" t="s">
        <v>184</v>
      </c>
      <c r="E31" s="29"/>
      <c r="F31" s="62">
        <v>20000</v>
      </c>
      <c r="G31" s="79"/>
      <c r="H31" s="79"/>
    </row>
    <row r="32" spans="1:9" s="31" customFormat="1" ht="20" hidden="1" customHeight="1" x14ac:dyDescent="0.2">
      <c r="A32" s="29" t="s">
        <v>105</v>
      </c>
      <c r="B32" s="29" t="s">
        <v>106</v>
      </c>
      <c r="C32" s="30" t="s">
        <v>10</v>
      </c>
      <c r="D32" s="29" t="s">
        <v>184</v>
      </c>
      <c r="E32" s="29" t="s">
        <v>207</v>
      </c>
      <c r="F32" s="62">
        <v>1287000</v>
      </c>
      <c r="G32" s="79"/>
      <c r="H32" s="79"/>
    </row>
    <row r="33" spans="1:9" s="31" customFormat="1" ht="20" customHeight="1" x14ac:dyDescent="0.2">
      <c r="A33" s="29" t="s">
        <v>105</v>
      </c>
      <c r="B33" s="29" t="s">
        <v>106</v>
      </c>
      <c r="C33" s="30" t="s">
        <v>10</v>
      </c>
      <c r="D33" s="29" t="s">
        <v>184</v>
      </c>
      <c r="E33" s="29" t="s">
        <v>207</v>
      </c>
      <c r="F33" s="62">
        <v>30000</v>
      </c>
      <c r="G33" s="79">
        <v>10</v>
      </c>
      <c r="H33" s="92">
        <f>SUM(F30:F33)</f>
        <v>1873625</v>
      </c>
      <c r="I33" s="31">
        <v>14</v>
      </c>
    </row>
    <row r="34" spans="1:9" ht="20" hidden="1" customHeight="1" x14ac:dyDescent="0.2">
      <c r="A34" s="3" t="s">
        <v>24</v>
      </c>
      <c r="B34" s="3" t="s">
        <v>23</v>
      </c>
      <c r="C34" s="8" t="s">
        <v>10</v>
      </c>
      <c r="D34" s="3" t="s">
        <v>153</v>
      </c>
      <c r="E34" s="3" t="s">
        <v>216</v>
      </c>
      <c r="F34" s="56">
        <v>802425</v>
      </c>
    </row>
    <row r="35" spans="1:9" ht="20" hidden="1" customHeight="1" x14ac:dyDescent="0.2">
      <c r="A35" s="3" t="s">
        <v>26</v>
      </c>
      <c r="B35" s="3" t="s">
        <v>25</v>
      </c>
      <c r="C35" s="8" t="s">
        <v>10</v>
      </c>
      <c r="D35" s="3" t="s">
        <v>153</v>
      </c>
      <c r="E35" s="3" t="s">
        <v>216</v>
      </c>
      <c r="F35" s="56">
        <v>716625</v>
      </c>
    </row>
    <row r="36" spans="1:9" ht="20" hidden="1" customHeight="1" x14ac:dyDescent="0.2">
      <c r="A36" s="3" t="s">
        <v>32</v>
      </c>
      <c r="B36" s="3" t="s">
        <v>29</v>
      </c>
      <c r="C36" s="8" t="s">
        <v>10</v>
      </c>
      <c r="D36" s="3" t="s">
        <v>153</v>
      </c>
      <c r="E36" s="3" t="s">
        <v>216</v>
      </c>
      <c r="F36" s="56">
        <v>498225</v>
      </c>
    </row>
    <row r="37" spans="1:9" ht="20" hidden="1" customHeight="1" x14ac:dyDescent="0.2">
      <c r="A37" s="3" t="s">
        <v>54</v>
      </c>
      <c r="B37" s="3" t="s">
        <v>53</v>
      </c>
      <c r="C37" s="8" t="s">
        <v>14</v>
      </c>
      <c r="D37" s="3" t="s">
        <v>153</v>
      </c>
      <c r="E37" s="3" t="s">
        <v>196</v>
      </c>
      <c r="F37" s="56">
        <v>282750</v>
      </c>
    </row>
    <row r="38" spans="1:9" ht="20" hidden="1" customHeight="1" x14ac:dyDescent="0.2">
      <c r="A38" s="3" t="s">
        <v>58</v>
      </c>
      <c r="B38" s="3" t="s">
        <v>55</v>
      </c>
      <c r="C38" s="8" t="s">
        <v>8</v>
      </c>
      <c r="D38" s="3" t="s">
        <v>153</v>
      </c>
      <c r="E38" s="3" t="s">
        <v>216</v>
      </c>
      <c r="F38" s="56">
        <v>389025</v>
      </c>
    </row>
    <row r="39" spans="1:9" ht="20" hidden="1" customHeight="1" x14ac:dyDescent="0.2">
      <c r="A39" s="3" t="s">
        <v>69</v>
      </c>
      <c r="B39" s="3" t="s">
        <v>70</v>
      </c>
      <c r="C39" s="8" t="s">
        <v>10</v>
      </c>
      <c r="D39" s="3" t="s">
        <v>153</v>
      </c>
      <c r="E39" s="3" t="s">
        <v>216</v>
      </c>
      <c r="F39" s="56">
        <v>697612.5</v>
      </c>
    </row>
    <row r="40" spans="1:9" ht="20" hidden="1" customHeight="1" x14ac:dyDescent="0.2">
      <c r="A40" s="3" t="s">
        <v>81</v>
      </c>
      <c r="B40" s="3" t="s">
        <v>79</v>
      </c>
      <c r="C40" s="8" t="s">
        <v>10</v>
      </c>
      <c r="D40" s="3" t="s">
        <v>153</v>
      </c>
      <c r="E40" s="3" t="s">
        <v>216</v>
      </c>
      <c r="F40" s="56">
        <v>697125</v>
      </c>
    </row>
    <row r="41" spans="1:9" ht="20" hidden="1" customHeight="1" x14ac:dyDescent="0.2">
      <c r="A41" s="3" t="s">
        <v>149</v>
      </c>
      <c r="B41" s="3" t="s">
        <v>150</v>
      </c>
      <c r="C41" s="8" t="s">
        <v>10</v>
      </c>
      <c r="D41" s="3" t="s">
        <v>153</v>
      </c>
      <c r="E41" s="3" t="s">
        <v>215</v>
      </c>
      <c r="F41" s="56">
        <v>838455</v>
      </c>
    </row>
    <row r="42" spans="1:9" ht="20" hidden="1" customHeight="1" x14ac:dyDescent="0.2">
      <c r="A42" s="3" t="s">
        <v>149</v>
      </c>
      <c r="B42" s="3" t="s">
        <v>150</v>
      </c>
      <c r="C42" s="8" t="s">
        <v>10</v>
      </c>
      <c r="D42" s="3" t="s">
        <v>153</v>
      </c>
      <c r="E42" s="3" t="s">
        <v>215</v>
      </c>
      <c r="F42" s="56">
        <v>651543</v>
      </c>
    </row>
    <row r="43" spans="1:9" ht="20" hidden="1" customHeight="1" x14ac:dyDescent="0.2">
      <c r="A43" s="3" t="s">
        <v>149</v>
      </c>
      <c r="B43" s="3" t="s">
        <v>150</v>
      </c>
      <c r="C43" s="8" t="s">
        <v>10</v>
      </c>
      <c r="D43" s="3" t="s">
        <v>153</v>
      </c>
      <c r="E43" s="3" t="s">
        <v>215</v>
      </c>
      <c r="F43" s="56">
        <v>651543</v>
      </c>
    </row>
    <row r="44" spans="1:9" ht="20" customHeight="1" x14ac:dyDescent="0.2">
      <c r="A44" s="3" t="s">
        <v>151</v>
      </c>
      <c r="B44" s="3" t="s">
        <v>152</v>
      </c>
      <c r="C44" s="8" t="s">
        <v>9</v>
      </c>
      <c r="D44" s="3" t="s">
        <v>153</v>
      </c>
      <c r="E44" s="3"/>
      <c r="F44" s="56">
        <v>10000</v>
      </c>
      <c r="G44" s="10">
        <v>31</v>
      </c>
      <c r="H44" s="100">
        <f>SUM(F34:F44)</f>
        <v>6235328.5</v>
      </c>
      <c r="I44">
        <v>1</v>
      </c>
    </row>
    <row r="45" spans="1:9" s="37" customFormat="1" ht="20" hidden="1" customHeight="1" x14ac:dyDescent="0.2">
      <c r="A45" s="35" t="s">
        <v>19</v>
      </c>
      <c r="B45" s="35" t="s">
        <v>18</v>
      </c>
      <c r="C45" s="36" t="s">
        <v>10</v>
      </c>
      <c r="D45" s="35" t="s">
        <v>20</v>
      </c>
      <c r="E45" s="35" t="s">
        <v>191</v>
      </c>
      <c r="F45" s="64">
        <v>448875</v>
      </c>
      <c r="G45" s="81"/>
      <c r="H45" s="81"/>
    </row>
    <row r="46" spans="1:9" s="37" customFormat="1" ht="20" hidden="1" customHeight="1" x14ac:dyDescent="0.2">
      <c r="A46" s="35" t="s">
        <v>33</v>
      </c>
      <c r="B46" s="35" t="s">
        <v>34</v>
      </c>
      <c r="C46" s="36" t="s">
        <v>8</v>
      </c>
      <c r="D46" s="35" t="s">
        <v>20</v>
      </c>
      <c r="E46" s="35" t="s">
        <v>193</v>
      </c>
      <c r="F46" s="64">
        <v>642000</v>
      </c>
      <c r="G46" s="81"/>
      <c r="H46" s="81"/>
    </row>
    <row r="47" spans="1:9" s="37" customFormat="1" ht="20" hidden="1" customHeight="1" x14ac:dyDescent="0.2">
      <c r="A47" s="35" t="s">
        <v>74</v>
      </c>
      <c r="B47" s="35" t="s">
        <v>71</v>
      </c>
      <c r="C47" s="36" t="s">
        <v>8</v>
      </c>
      <c r="D47" s="35" t="s">
        <v>20</v>
      </c>
      <c r="E47" s="35" t="s">
        <v>202</v>
      </c>
      <c r="F47" s="64">
        <v>1072500</v>
      </c>
      <c r="G47" s="81"/>
      <c r="H47" s="81"/>
    </row>
    <row r="48" spans="1:9" s="37" customFormat="1" ht="20" hidden="1" customHeight="1" x14ac:dyDescent="0.2">
      <c r="A48" s="35" t="s">
        <v>76</v>
      </c>
      <c r="B48" s="35" t="s">
        <v>71</v>
      </c>
      <c r="C48" s="36" t="s">
        <v>22</v>
      </c>
      <c r="D48" s="35" t="s">
        <v>20</v>
      </c>
      <c r="E48" s="35" t="s">
        <v>202</v>
      </c>
      <c r="F48" s="64">
        <v>50000</v>
      </c>
      <c r="G48" s="81"/>
      <c r="H48" s="81"/>
    </row>
    <row r="49" spans="1:9" s="37" customFormat="1" ht="20" hidden="1" customHeight="1" x14ac:dyDescent="0.2">
      <c r="A49" s="35" t="s">
        <v>90</v>
      </c>
      <c r="B49" s="35" t="s">
        <v>88</v>
      </c>
      <c r="C49" s="36" t="s">
        <v>8</v>
      </c>
      <c r="D49" s="35" t="s">
        <v>20</v>
      </c>
      <c r="E49" s="35" t="s">
        <v>205</v>
      </c>
      <c r="F49" s="64">
        <v>1072500</v>
      </c>
      <c r="G49" s="81"/>
      <c r="H49" s="81"/>
    </row>
    <row r="50" spans="1:9" s="37" customFormat="1" ht="20" customHeight="1" x14ac:dyDescent="0.2">
      <c r="A50" s="35" t="s">
        <v>109</v>
      </c>
      <c r="B50" s="35" t="s">
        <v>110</v>
      </c>
      <c r="C50" s="36" t="s">
        <v>10</v>
      </c>
      <c r="D50" s="35" t="s">
        <v>20</v>
      </c>
      <c r="E50" s="38"/>
      <c r="F50" s="64">
        <v>750750</v>
      </c>
      <c r="G50" s="81">
        <v>24</v>
      </c>
      <c r="H50" s="94">
        <f>SUM(F45:F50)</f>
        <v>4036625</v>
      </c>
      <c r="I50" s="37">
        <v>6</v>
      </c>
    </row>
    <row r="51" spans="1:9" ht="20" customHeight="1" x14ac:dyDescent="0.2">
      <c r="A51" s="3" t="s">
        <v>85</v>
      </c>
      <c r="B51" s="3" t="s">
        <v>82</v>
      </c>
      <c r="C51" s="8" t="s">
        <v>10</v>
      </c>
      <c r="D51" s="3" t="s">
        <v>180</v>
      </c>
      <c r="E51" s="3" t="s">
        <v>204</v>
      </c>
      <c r="F51" s="56">
        <v>1201200</v>
      </c>
      <c r="G51" s="10">
        <v>3</v>
      </c>
      <c r="H51" s="72">
        <f>F51</f>
        <v>1201200</v>
      </c>
      <c r="I51">
        <v>19</v>
      </c>
    </row>
    <row r="52" spans="1:9" s="13" customFormat="1" ht="20" hidden="1" customHeight="1" x14ac:dyDescent="0.2">
      <c r="A52" s="11" t="s">
        <v>139</v>
      </c>
      <c r="B52" s="11" t="s">
        <v>136</v>
      </c>
      <c r="C52" s="12" t="s">
        <v>8</v>
      </c>
      <c r="D52" s="11" t="s">
        <v>187</v>
      </c>
      <c r="E52" s="11"/>
      <c r="F52" s="55">
        <v>718200</v>
      </c>
      <c r="G52" s="73">
        <v>4</v>
      </c>
      <c r="H52" s="87">
        <f>F52</f>
        <v>718200</v>
      </c>
    </row>
    <row r="53" spans="1:9" ht="20" hidden="1" customHeight="1" x14ac:dyDescent="0.2">
      <c r="A53" s="3" t="s">
        <v>23</v>
      </c>
      <c r="B53" s="3" t="s">
        <v>21</v>
      </c>
      <c r="C53" s="8" t="s">
        <v>10</v>
      </c>
      <c r="D53" s="3" t="s">
        <v>39</v>
      </c>
      <c r="E53" s="3"/>
      <c r="F53" s="56">
        <v>826875</v>
      </c>
    </row>
    <row r="54" spans="1:9" ht="20" hidden="1" customHeight="1" x14ac:dyDescent="0.2">
      <c r="A54" s="3" t="s">
        <v>37</v>
      </c>
      <c r="B54" s="3" t="s">
        <v>38</v>
      </c>
      <c r="C54" s="8" t="s">
        <v>14</v>
      </c>
      <c r="D54" s="3" t="s">
        <v>39</v>
      </c>
      <c r="E54" s="3"/>
      <c r="F54" s="56">
        <v>0</v>
      </c>
    </row>
    <row r="55" spans="1:9" ht="20" hidden="1" customHeight="1" x14ac:dyDescent="0.2">
      <c r="A55" s="3" t="s">
        <v>107</v>
      </c>
      <c r="B55" s="3" t="s">
        <v>108</v>
      </c>
      <c r="C55" s="8" t="s">
        <v>8</v>
      </c>
      <c r="D55" s="3" t="s">
        <v>39</v>
      </c>
      <c r="E55" s="3"/>
      <c r="F55" s="56">
        <v>1001000</v>
      </c>
    </row>
    <row r="56" spans="1:9" ht="20" hidden="1" customHeight="1" x14ac:dyDescent="0.2">
      <c r="A56" s="3" t="s">
        <v>121</v>
      </c>
      <c r="B56" s="3" t="s">
        <v>120</v>
      </c>
      <c r="C56" s="8" t="s">
        <v>10</v>
      </c>
      <c r="D56" s="3" t="s">
        <v>39</v>
      </c>
      <c r="E56" s="3"/>
      <c r="F56" s="56">
        <v>523689</v>
      </c>
    </row>
    <row r="57" spans="1:9" s="13" customFormat="1" ht="20" customHeight="1" x14ac:dyDescent="0.2">
      <c r="A57" s="11" t="s">
        <v>121</v>
      </c>
      <c r="B57" s="11" t="s">
        <v>122</v>
      </c>
      <c r="C57" s="12" t="s">
        <v>14</v>
      </c>
      <c r="D57" s="11" t="s">
        <v>39</v>
      </c>
      <c r="E57" s="11"/>
      <c r="F57" s="55">
        <v>10000</v>
      </c>
      <c r="G57" s="73">
        <v>14</v>
      </c>
      <c r="H57" s="87">
        <f>SUM(F53:F57)</f>
        <v>2361564</v>
      </c>
      <c r="I57" s="13">
        <v>12</v>
      </c>
    </row>
    <row r="58" spans="1:9" s="41" customFormat="1" ht="20" hidden="1" customHeight="1" x14ac:dyDescent="0.2">
      <c r="A58" s="39" t="s">
        <v>60</v>
      </c>
      <c r="B58" s="39" t="s">
        <v>58</v>
      </c>
      <c r="C58" s="40" t="s">
        <v>8</v>
      </c>
      <c r="D58" s="39" t="s">
        <v>130</v>
      </c>
      <c r="E58" s="39" t="s">
        <v>199</v>
      </c>
      <c r="F58" s="65">
        <v>424125</v>
      </c>
      <c r="G58" s="82"/>
      <c r="H58" s="82"/>
    </row>
    <row r="59" spans="1:9" s="41" customFormat="1" ht="20" hidden="1" customHeight="1" x14ac:dyDescent="0.2">
      <c r="A59" s="39" t="s">
        <v>60</v>
      </c>
      <c r="B59" s="39" t="s">
        <v>58</v>
      </c>
      <c r="C59" s="40" t="s">
        <v>8</v>
      </c>
      <c r="D59" s="39" t="s">
        <v>130</v>
      </c>
      <c r="E59" s="39" t="s">
        <v>199</v>
      </c>
      <c r="F59" s="65">
        <v>40000</v>
      </c>
      <c r="G59" s="82"/>
      <c r="H59" s="82"/>
    </row>
    <row r="60" spans="1:9" s="41" customFormat="1" ht="20" hidden="1" customHeight="1" x14ac:dyDescent="0.2">
      <c r="A60" s="39" t="s">
        <v>67</v>
      </c>
      <c r="B60" s="39" t="s">
        <v>68</v>
      </c>
      <c r="C60" s="40" t="s">
        <v>10</v>
      </c>
      <c r="D60" s="39" t="s">
        <v>130</v>
      </c>
      <c r="E60" s="39" t="s">
        <v>216</v>
      </c>
      <c r="F60" s="65">
        <v>1115400</v>
      </c>
      <c r="G60" s="82"/>
      <c r="H60" s="82"/>
    </row>
    <row r="61" spans="1:9" s="41" customFormat="1" ht="20" hidden="1" customHeight="1" x14ac:dyDescent="0.2">
      <c r="A61" s="39" t="s">
        <v>67</v>
      </c>
      <c r="B61" s="39" t="s">
        <v>68</v>
      </c>
      <c r="C61" s="40" t="s">
        <v>10</v>
      </c>
      <c r="D61" s="39" t="s">
        <v>130</v>
      </c>
      <c r="E61" s="39" t="s">
        <v>216</v>
      </c>
      <c r="F61" s="65">
        <v>697125</v>
      </c>
      <c r="G61" s="82"/>
      <c r="H61" s="82"/>
    </row>
    <row r="62" spans="1:9" s="41" customFormat="1" ht="20" hidden="1" customHeight="1" x14ac:dyDescent="0.2">
      <c r="A62" s="39" t="s">
        <v>67</v>
      </c>
      <c r="B62" s="39" t="s">
        <v>68</v>
      </c>
      <c r="C62" s="40" t="s">
        <v>10</v>
      </c>
      <c r="D62" s="39" t="s">
        <v>130</v>
      </c>
      <c r="E62" s="39" t="s">
        <v>216</v>
      </c>
      <c r="F62" s="65">
        <v>30000</v>
      </c>
      <c r="G62" s="82"/>
      <c r="H62" s="82"/>
    </row>
    <row r="63" spans="1:9" s="41" customFormat="1" ht="20" hidden="1" customHeight="1" x14ac:dyDescent="0.2">
      <c r="A63" s="39" t="s">
        <v>67</v>
      </c>
      <c r="B63" s="39" t="s">
        <v>68</v>
      </c>
      <c r="C63" s="40" t="s">
        <v>10</v>
      </c>
      <c r="D63" s="39" t="s">
        <v>130</v>
      </c>
      <c r="E63" s="39" t="s">
        <v>216</v>
      </c>
      <c r="F63" s="65">
        <v>30000</v>
      </c>
      <c r="G63" s="82"/>
      <c r="H63" s="82"/>
    </row>
    <row r="64" spans="1:9" s="41" customFormat="1" ht="20" hidden="1" customHeight="1" x14ac:dyDescent="0.2">
      <c r="A64" s="39" t="s">
        <v>82</v>
      </c>
      <c r="B64" s="39" t="s">
        <v>81</v>
      </c>
      <c r="C64" s="40" t="s">
        <v>10</v>
      </c>
      <c r="D64" s="39" t="s">
        <v>130</v>
      </c>
      <c r="E64" s="39" t="s">
        <v>216</v>
      </c>
      <c r="F64" s="65">
        <v>1003860</v>
      </c>
      <c r="G64" s="82"/>
      <c r="H64" s="82"/>
    </row>
    <row r="65" spans="1:9" s="41" customFormat="1" ht="20" hidden="1" customHeight="1" x14ac:dyDescent="0.2">
      <c r="A65" s="39" t="s">
        <v>82</v>
      </c>
      <c r="B65" s="39" t="s">
        <v>81</v>
      </c>
      <c r="C65" s="40" t="s">
        <v>10</v>
      </c>
      <c r="D65" s="39" t="s">
        <v>130</v>
      </c>
      <c r="E65" s="39" t="s">
        <v>216</v>
      </c>
      <c r="F65" s="65">
        <v>30000</v>
      </c>
      <c r="G65" s="82"/>
      <c r="H65" s="82"/>
    </row>
    <row r="66" spans="1:9" s="41" customFormat="1" ht="20" hidden="1" customHeight="1" x14ac:dyDescent="0.2">
      <c r="A66" s="39" t="s">
        <v>91</v>
      </c>
      <c r="B66" s="39" t="s">
        <v>92</v>
      </c>
      <c r="C66" s="40" t="s">
        <v>10</v>
      </c>
      <c r="D66" s="39" t="s">
        <v>130</v>
      </c>
      <c r="E66" s="39"/>
      <c r="F66" s="65">
        <v>750750</v>
      </c>
      <c r="G66" s="82"/>
      <c r="H66" s="82"/>
    </row>
    <row r="67" spans="1:9" s="41" customFormat="1" ht="20" hidden="1" customHeight="1" x14ac:dyDescent="0.2">
      <c r="A67" s="39" t="s">
        <v>91</v>
      </c>
      <c r="B67" s="39" t="s">
        <v>92</v>
      </c>
      <c r="C67" s="40" t="s">
        <v>10</v>
      </c>
      <c r="D67" s="39" t="s">
        <v>130</v>
      </c>
      <c r="E67" s="39"/>
      <c r="F67" s="65">
        <v>30000</v>
      </c>
      <c r="G67" s="82"/>
      <c r="H67" s="82"/>
    </row>
    <row r="68" spans="1:9" s="41" customFormat="1" ht="20" hidden="1" customHeight="1" x14ac:dyDescent="0.2">
      <c r="A68" s="39" t="s">
        <v>101</v>
      </c>
      <c r="B68" s="39" t="s">
        <v>100</v>
      </c>
      <c r="C68" s="40" t="s">
        <v>10</v>
      </c>
      <c r="D68" s="39" t="s">
        <v>130</v>
      </c>
      <c r="E68" s="39" t="s">
        <v>199</v>
      </c>
      <c r="F68" s="65">
        <v>767812.5</v>
      </c>
      <c r="G68" s="82"/>
      <c r="H68" s="82"/>
    </row>
    <row r="69" spans="1:9" s="41" customFormat="1" ht="20" hidden="1" customHeight="1" x14ac:dyDescent="0.2">
      <c r="A69" s="39" t="s">
        <v>101</v>
      </c>
      <c r="B69" s="39" t="s">
        <v>100</v>
      </c>
      <c r="C69" s="40" t="s">
        <v>10</v>
      </c>
      <c r="D69" s="39" t="s">
        <v>130</v>
      </c>
      <c r="E69" s="39" t="s">
        <v>199</v>
      </c>
      <c r="F69" s="65">
        <v>30000</v>
      </c>
      <c r="G69" s="82"/>
      <c r="H69" s="82"/>
    </row>
    <row r="70" spans="1:9" s="41" customFormat="1" ht="20" hidden="1" customHeight="1" x14ac:dyDescent="0.2">
      <c r="A70" s="39" t="s">
        <v>129</v>
      </c>
      <c r="B70" s="39" t="s">
        <v>128</v>
      </c>
      <c r="C70" s="40" t="s">
        <v>14</v>
      </c>
      <c r="D70" s="39" t="s">
        <v>130</v>
      </c>
      <c r="E70" s="39" t="s">
        <v>216</v>
      </c>
      <c r="F70" s="65">
        <v>0</v>
      </c>
      <c r="G70" s="82"/>
      <c r="H70" s="82"/>
    </row>
    <row r="71" spans="1:9" s="41" customFormat="1" ht="20" hidden="1" customHeight="1" x14ac:dyDescent="0.2">
      <c r="A71" s="39" t="s">
        <v>158</v>
      </c>
      <c r="B71" s="39" t="s">
        <v>156</v>
      </c>
      <c r="C71" s="40" t="s">
        <v>8</v>
      </c>
      <c r="D71" s="39" t="s">
        <v>130</v>
      </c>
      <c r="E71" s="39" t="s">
        <v>199</v>
      </c>
      <c r="F71" s="65">
        <v>470250</v>
      </c>
      <c r="G71" s="82"/>
      <c r="H71" s="82"/>
    </row>
    <row r="72" spans="1:9" s="41" customFormat="1" ht="20" customHeight="1" x14ac:dyDescent="0.2">
      <c r="A72" s="39" t="s">
        <v>158</v>
      </c>
      <c r="B72" s="39" t="s">
        <v>156</v>
      </c>
      <c r="C72" s="40" t="s">
        <v>8</v>
      </c>
      <c r="D72" s="39" t="s">
        <v>130</v>
      </c>
      <c r="E72" s="39" t="s">
        <v>199</v>
      </c>
      <c r="F72" s="65">
        <v>40000</v>
      </c>
      <c r="G72" s="82">
        <v>48</v>
      </c>
      <c r="H72" s="95">
        <f>SUM(F58:F72)</f>
        <v>5459322.5</v>
      </c>
      <c r="I72" s="41">
        <v>2</v>
      </c>
    </row>
    <row r="73" spans="1:9" s="44" customFormat="1" ht="20" hidden="1" customHeight="1" x14ac:dyDescent="0.2">
      <c r="A73" s="42" t="s">
        <v>71</v>
      </c>
      <c r="B73" s="42" t="s">
        <v>69</v>
      </c>
      <c r="C73" s="43" t="s">
        <v>8</v>
      </c>
      <c r="D73" s="42" t="s">
        <v>175</v>
      </c>
      <c r="E73" s="42" t="s">
        <v>201</v>
      </c>
      <c r="F73" s="66">
        <v>929500</v>
      </c>
      <c r="G73" s="83"/>
      <c r="H73" s="83"/>
    </row>
    <row r="74" spans="1:9" s="44" customFormat="1" ht="20" hidden="1" customHeight="1" x14ac:dyDescent="0.2">
      <c r="A74" s="42" t="s">
        <v>113</v>
      </c>
      <c r="B74" s="42" t="s">
        <v>111</v>
      </c>
      <c r="C74" s="43" t="s">
        <v>8</v>
      </c>
      <c r="D74" s="42" t="s">
        <v>175</v>
      </c>
      <c r="E74" s="42" t="s">
        <v>208</v>
      </c>
      <c r="F74" s="66">
        <v>900899</v>
      </c>
      <c r="G74" s="83"/>
      <c r="H74" s="83"/>
    </row>
    <row r="75" spans="1:9" s="44" customFormat="1" ht="20" customHeight="1" x14ac:dyDescent="0.2">
      <c r="A75" s="42" t="s">
        <v>137</v>
      </c>
      <c r="B75" s="42" t="s">
        <v>134</v>
      </c>
      <c r="C75" s="43" t="s">
        <v>8</v>
      </c>
      <c r="D75" s="42" t="s">
        <v>175</v>
      </c>
      <c r="E75" s="42" t="s">
        <v>211</v>
      </c>
      <c r="F75" s="66">
        <v>389025</v>
      </c>
      <c r="G75" s="83">
        <v>12</v>
      </c>
      <c r="H75" s="96">
        <f>SUM(F73:F75)</f>
        <v>2219424</v>
      </c>
      <c r="I75" s="44">
        <v>13</v>
      </c>
    </row>
    <row r="76" spans="1:9" s="28" customFormat="1" ht="20" hidden="1" customHeight="1" x14ac:dyDescent="0.2">
      <c r="A76" s="26" t="s">
        <v>12</v>
      </c>
      <c r="B76" s="26" t="s">
        <v>13</v>
      </c>
      <c r="C76" s="27" t="s">
        <v>14</v>
      </c>
      <c r="D76" s="26" t="s">
        <v>160</v>
      </c>
      <c r="E76" s="26"/>
      <c r="F76" s="61">
        <v>0</v>
      </c>
      <c r="G76" s="78"/>
      <c r="H76" s="78"/>
    </row>
    <row r="77" spans="1:9" s="28" customFormat="1" ht="20" hidden="1" customHeight="1" x14ac:dyDescent="0.2">
      <c r="A77" s="26" t="s">
        <v>59</v>
      </c>
      <c r="B77" s="26" t="s">
        <v>56</v>
      </c>
      <c r="C77" s="27" t="s">
        <v>8</v>
      </c>
      <c r="D77" s="26" t="s">
        <v>160</v>
      </c>
      <c r="E77" s="26" t="s">
        <v>198</v>
      </c>
      <c r="F77" s="61">
        <v>389025</v>
      </c>
      <c r="G77" s="78"/>
      <c r="H77" s="78"/>
    </row>
    <row r="78" spans="1:9" s="28" customFormat="1" ht="20" hidden="1" customHeight="1" x14ac:dyDescent="0.2">
      <c r="A78" s="26" t="s">
        <v>144</v>
      </c>
      <c r="B78" s="26" t="s">
        <v>142</v>
      </c>
      <c r="C78" s="27" t="s">
        <v>8</v>
      </c>
      <c r="D78" s="26" t="s">
        <v>160</v>
      </c>
      <c r="E78" s="26"/>
      <c r="F78" s="61">
        <v>703425</v>
      </c>
      <c r="G78" s="78"/>
      <c r="H78" s="78"/>
    </row>
    <row r="79" spans="1:9" s="28" customFormat="1" ht="20" customHeight="1" x14ac:dyDescent="0.2">
      <c r="A79" s="26" t="s">
        <v>144</v>
      </c>
      <c r="B79" s="26" t="s">
        <v>142</v>
      </c>
      <c r="C79" s="27" t="s">
        <v>8</v>
      </c>
      <c r="D79" s="26" t="s">
        <v>160</v>
      </c>
      <c r="E79" s="26"/>
      <c r="F79" s="61">
        <v>40000</v>
      </c>
      <c r="G79" s="78">
        <v>14</v>
      </c>
      <c r="H79" s="97">
        <f>SUM(F76:F79)</f>
        <v>1132450</v>
      </c>
      <c r="I79" s="28">
        <v>20</v>
      </c>
    </row>
    <row r="80" spans="1:9" s="47" customFormat="1" ht="20" hidden="1" customHeight="1" x14ac:dyDescent="0.2">
      <c r="A80" s="45" t="s">
        <v>83</v>
      </c>
      <c r="B80" s="45" t="s">
        <v>84</v>
      </c>
      <c r="C80" s="46" t="s">
        <v>15</v>
      </c>
      <c r="D80" s="45" t="s">
        <v>179</v>
      </c>
      <c r="E80" s="45"/>
      <c r="F80" s="67">
        <v>1391250</v>
      </c>
      <c r="G80" s="84"/>
      <c r="H80" s="84"/>
    </row>
    <row r="81" spans="1:9" s="47" customFormat="1" ht="20" hidden="1" customHeight="1" x14ac:dyDescent="0.2">
      <c r="A81" s="45" t="s">
        <v>104</v>
      </c>
      <c r="B81" s="45" t="s">
        <v>102</v>
      </c>
      <c r="C81" s="46" t="s">
        <v>10</v>
      </c>
      <c r="D81" s="45" t="s">
        <v>179</v>
      </c>
      <c r="E81" s="45"/>
      <c r="F81" s="67">
        <v>750750</v>
      </c>
      <c r="G81" s="84"/>
      <c r="H81" s="84"/>
    </row>
    <row r="82" spans="1:9" s="47" customFormat="1" ht="20" customHeight="1" x14ac:dyDescent="0.2">
      <c r="A82" s="45" t="s">
        <v>112</v>
      </c>
      <c r="B82" s="45" t="s">
        <v>109</v>
      </c>
      <c r="C82" s="46" t="s">
        <v>8</v>
      </c>
      <c r="D82" s="45" t="s">
        <v>179</v>
      </c>
      <c r="E82" s="45"/>
      <c r="F82" s="67">
        <v>1535625</v>
      </c>
      <c r="G82" s="84">
        <v>12</v>
      </c>
      <c r="H82" s="98">
        <f>SUM(F80:F82)</f>
        <v>3677625</v>
      </c>
      <c r="I82" s="47">
        <v>8</v>
      </c>
    </row>
    <row r="83" spans="1:9" ht="20" hidden="1" customHeight="1" x14ac:dyDescent="0.2">
      <c r="A83" s="3" t="s">
        <v>134</v>
      </c>
      <c r="B83" s="3" t="s">
        <v>133</v>
      </c>
      <c r="C83" s="8" t="s">
        <v>15</v>
      </c>
      <c r="D83" s="3" t="s">
        <v>203</v>
      </c>
      <c r="E83" s="3"/>
      <c r="F83" s="56">
        <v>982364.5</v>
      </c>
    </row>
    <row r="84" spans="1:9" ht="20" customHeight="1" x14ac:dyDescent="0.2">
      <c r="A84" s="3" t="s">
        <v>145</v>
      </c>
      <c r="B84" s="3" t="s">
        <v>143</v>
      </c>
      <c r="C84" s="8" t="s">
        <v>8</v>
      </c>
      <c r="D84" s="3" t="s">
        <v>203</v>
      </c>
      <c r="E84" s="3"/>
      <c r="F84" s="56">
        <v>1433250</v>
      </c>
      <c r="G84" s="10">
        <v>9</v>
      </c>
      <c r="H84" s="72">
        <f>SUM(F83:F84)</f>
        <v>2415614.5</v>
      </c>
      <c r="I84">
        <v>11</v>
      </c>
    </row>
    <row r="85" spans="1:9" s="22" customFormat="1" ht="20" hidden="1" customHeight="1" x14ac:dyDescent="0.2">
      <c r="A85" s="20" t="s">
        <v>16</v>
      </c>
      <c r="B85" s="20" t="s">
        <v>17</v>
      </c>
      <c r="C85" s="21" t="s">
        <v>8</v>
      </c>
      <c r="D85" s="20" t="s">
        <v>161</v>
      </c>
      <c r="E85" s="20"/>
      <c r="F85" s="59">
        <v>835314</v>
      </c>
      <c r="G85" s="76"/>
      <c r="H85" s="76"/>
    </row>
    <row r="86" spans="1:9" s="22" customFormat="1" ht="20" hidden="1" customHeight="1" x14ac:dyDescent="0.2">
      <c r="A86" s="20" t="s">
        <v>95</v>
      </c>
      <c r="B86" s="20" t="s">
        <v>93</v>
      </c>
      <c r="C86" s="21" t="s">
        <v>10</v>
      </c>
      <c r="D86" s="20" t="s">
        <v>161</v>
      </c>
      <c r="E86" s="20"/>
      <c r="F86" s="59">
        <v>1158300</v>
      </c>
      <c r="G86" s="76"/>
      <c r="H86" s="76"/>
    </row>
    <row r="87" spans="1:9" s="22" customFormat="1" ht="20" hidden="1" customHeight="1" x14ac:dyDescent="0.2">
      <c r="A87" s="20" t="s">
        <v>95</v>
      </c>
      <c r="B87" s="20" t="s">
        <v>93</v>
      </c>
      <c r="C87" s="21" t="s">
        <v>10</v>
      </c>
      <c r="D87" s="20" t="s">
        <v>161</v>
      </c>
      <c r="E87" s="20"/>
      <c r="F87" s="59">
        <v>804937.5</v>
      </c>
      <c r="G87" s="76"/>
      <c r="H87" s="76"/>
    </row>
    <row r="88" spans="1:9" s="22" customFormat="1" ht="20" hidden="1" customHeight="1" x14ac:dyDescent="0.2">
      <c r="A88" s="20" t="s">
        <v>95</v>
      </c>
      <c r="B88" s="20" t="s">
        <v>93</v>
      </c>
      <c r="C88" s="21" t="s">
        <v>10</v>
      </c>
      <c r="D88" s="20" t="s">
        <v>161</v>
      </c>
      <c r="E88" s="20"/>
      <c r="F88" s="59">
        <v>804937.5</v>
      </c>
      <c r="G88" s="76"/>
      <c r="H88" s="76"/>
    </row>
    <row r="89" spans="1:9" s="22" customFormat="1" ht="20" hidden="1" customHeight="1" x14ac:dyDescent="0.2">
      <c r="A89" s="20" t="s">
        <v>95</v>
      </c>
      <c r="B89" s="20" t="s">
        <v>93</v>
      </c>
      <c r="C89" s="21" t="s">
        <v>10</v>
      </c>
      <c r="D89" s="20" t="s">
        <v>161</v>
      </c>
      <c r="E89" s="20"/>
      <c r="F89" s="59">
        <v>12000</v>
      </c>
      <c r="G89" s="76"/>
      <c r="H89" s="76"/>
    </row>
    <row r="90" spans="1:9" s="22" customFormat="1" ht="20" customHeight="1" x14ac:dyDescent="0.2">
      <c r="A90" s="20" t="s">
        <v>103</v>
      </c>
      <c r="B90" s="20" t="s">
        <v>102</v>
      </c>
      <c r="C90" s="21" t="s">
        <v>14</v>
      </c>
      <c r="D90" s="20" t="s">
        <v>161</v>
      </c>
      <c r="E90" s="20"/>
      <c r="F90" s="59">
        <v>476250</v>
      </c>
      <c r="G90" s="76">
        <v>18</v>
      </c>
      <c r="H90" s="90">
        <f>SUM(F85:F90)</f>
        <v>4091739</v>
      </c>
      <c r="I90" s="22">
        <v>5</v>
      </c>
    </row>
    <row r="91" spans="1:9" s="16" customFormat="1" ht="20" hidden="1" customHeight="1" x14ac:dyDescent="0.2">
      <c r="A91" s="14" t="s">
        <v>43</v>
      </c>
      <c r="B91" s="14" t="s">
        <v>42</v>
      </c>
      <c r="C91" s="15" t="s">
        <v>14</v>
      </c>
      <c r="D91" s="14" t="s">
        <v>166</v>
      </c>
      <c r="E91" s="14"/>
      <c r="F91" s="57">
        <v>0</v>
      </c>
      <c r="G91" s="74"/>
      <c r="H91" s="74"/>
    </row>
    <row r="92" spans="1:9" ht="20" hidden="1" customHeight="1" x14ac:dyDescent="0.2">
      <c r="A92" s="3" t="s">
        <v>63</v>
      </c>
      <c r="B92" s="3" t="s">
        <v>64</v>
      </c>
      <c r="C92" s="8" t="s">
        <v>14</v>
      </c>
      <c r="D92" s="3" t="s">
        <v>173</v>
      </c>
      <c r="E92" s="3" t="s">
        <v>217</v>
      </c>
      <c r="F92" s="56">
        <v>0</v>
      </c>
    </row>
    <row r="93" spans="1:9" s="25" customFormat="1" ht="20" hidden="1" customHeight="1" x14ac:dyDescent="0.2">
      <c r="A93" s="23" t="s">
        <v>78</v>
      </c>
      <c r="B93" s="23" t="s">
        <v>77</v>
      </c>
      <c r="C93" s="24" t="s">
        <v>8</v>
      </c>
      <c r="D93" s="23" t="s">
        <v>177</v>
      </c>
      <c r="E93" s="23"/>
      <c r="F93" s="60">
        <v>572000</v>
      </c>
      <c r="G93" s="77"/>
      <c r="H93" s="77"/>
    </row>
    <row r="94" spans="1:9" ht="20" hidden="1" customHeight="1" x14ac:dyDescent="0.2">
      <c r="A94" s="3" t="s">
        <v>97</v>
      </c>
      <c r="B94" s="3" t="s">
        <v>98</v>
      </c>
      <c r="C94" s="8" t="s">
        <v>15</v>
      </c>
      <c r="D94" s="3" t="s">
        <v>182</v>
      </c>
      <c r="E94" s="3" t="s">
        <v>206</v>
      </c>
      <c r="F94" s="56">
        <v>1045687.5</v>
      </c>
    </row>
    <row r="95" spans="1:9" ht="20" hidden="1" customHeight="1" x14ac:dyDescent="0.2">
      <c r="A95" s="3" t="s">
        <v>117</v>
      </c>
      <c r="B95" s="3" t="s">
        <v>116</v>
      </c>
      <c r="C95" s="8" t="s">
        <v>8</v>
      </c>
      <c r="D95" s="3" t="s">
        <v>182</v>
      </c>
      <c r="E95" s="3" t="s">
        <v>209</v>
      </c>
      <c r="F95" s="56">
        <v>583536</v>
      </c>
    </row>
    <row r="96" spans="1:9" ht="20" hidden="1" customHeight="1" x14ac:dyDescent="0.2">
      <c r="A96" s="3" t="s">
        <v>138</v>
      </c>
      <c r="B96" s="3" t="s">
        <v>135</v>
      </c>
      <c r="C96" s="8" t="s">
        <v>10</v>
      </c>
      <c r="D96" s="3" t="s">
        <v>182</v>
      </c>
      <c r="E96" s="3" t="s">
        <v>206</v>
      </c>
      <c r="F96" s="56">
        <v>838452</v>
      </c>
    </row>
    <row r="97" spans="1:9" ht="20" customHeight="1" x14ac:dyDescent="0.2">
      <c r="A97" s="3" t="s">
        <v>141</v>
      </c>
      <c r="B97" s="3" t="s">
        <v>138</v>
      </c>
      <c r="C97" s="8" t="s">
        <v>8</v>
      </c>
      <c r="D97" s="3" t="s">
        <v>182</v>
      </c>
      <c r="E97" s="3" t="s">
        <v>213</v>
      </c>
      <c r="F97" s="56">
        <v>389025</v>
      </c>
      <c r="G97" s="10">
        <v>16</v>
      </c>
      <c r="H97" s="72">
        <f>SUM(F94:F97)</f>
        <v>2856700.5</v>
      </c>
      <c r="I97">
        <v>10</v>
      </c>
    </row>
    <row r="98" spans="1:9" s="53" customFormat="1" ht="20" hidden="1" customHeight="1" x14ac:dyDescent="0.2">
      <c r="A98" s="51" t="s">
        <v>148</v>
      </c>
      <c r="B98" s="51" t="s">
        <v>145</v>
      </c>
      <c r="C98" s="52" t="s">
        <v>8</v>
      </c>
      <c r="D98" s="51" t="s">
        <v>189</v>
      </c>
      <c r="E98" s="51"/>
      <c r="F98" s="69">
        <v>628425</v>
      </c>
      <c r="G98" s="86"/>
      <c r="H98" s="86"/>
    </row>
    <row r="99" spans="1:9" ht="20" hidden="1" customHeight="1" x14ac:dyDescent="0.2">
      <c r="A99" s="3" t="s">
        <v>146</v>
      </c>
      <c r="B99" s="3" t="s">
        <v>147</v>
      </c>
      <c r="C99" s="8" t="s">
        <v>8</v>
      </c>
      <c r="D99" s="3" t="s">
        <v>188</v>
      </c>
      <c r="E99" s="3" t="s">
        <v>214</v>
      </c>
      <c r="F99" s="56">
        <v>418950</v>
      </c>
    </row>
    <row r="100" spans="1:9" s="41" customFormat="1" ht="20" customHeight="1" x14ac:dyDescent="0.2">
      <c r="A100" s="39" t="s">
        <v>6</v>
      </c>
      <c r="B100" s="39" t="s">
        <v>7</v>
      </c>
      <c r="C100" s="40" t="s">
        <v>8</v>
      </c>
      <c r="D100" s="39" t="s">
        <v>159</v>
      </c>
      <c r="E100" s="39" t="s">
        <v>190</v>
      </c>
      <c r="F100" s="65">
        <v>1003275</v>
      </c>
      <c r="G100" s="82">
        <v>4</v>
      </c>
      <c r="H100" s="95">
        <f>F100</f>
        <v>1003275</v>
      </c>
    </row>
    <row r="101" spans="1:9" ht="20" hidden="1" customHeight="1" x14ac:dyDescent="0.2">
      <c r="A101" s="3" t="s">
        <v>27</v>
      </c>
      <c r="B101" s="3" t="s">
        <v>26</v>
      </c>
      <c r="C101" s="8" t="s">
        <v>14</v>
      </c>
      <c r="D101" s="3" t="s">
        <v>28</v>
      </c>
      <c r="E101" s="3" t="s">
        <v>192</v>
      </c>
      <c r="F101" s="56">
        <v>737100</v>
      </c>
    </row>
    <row r="102" spans="1:9" ht="20" hidden="1" customHeight="1" x14ac:dyDescent="0.2">
      <c r="A102" s="3" t="s">
        <v>27</v>
      </c>
      <c r="B102" s="3" t="s">
        <v>26</v>
      </c>
      <c r="C102" s="8" t="s">
        <v>14</v>
      </c>
      <c r="D102" s="3" t="s">
        <v>28</v>
      </c>
      <c r="E102" s="3" t="s">
        <v>192</v>
      </c>
      <c r="F102" s="56">
        <v>592150</v>
      </c>
    </row>
    <row r="103" spans="1:9" ht="20" hidden="1" customHeight="1" x14ac:dyDescent="0.2">
      <c r="A103" s="3" t="s">
        <v>27</v>
      </c>
      <c r="B103" s="3" t="s">
        <v>26</v>
      </c>
      <c r="C103" s="8" t="s">
        <v>14</v>
      </c>
      <c r="D103" s="3" t="s">
        <v>28</v>
      </c>
      <c r="E103" s="3" t="s">
        <v>192</v>
      </c>
      <c r="F103" s="56">
        <v>534950</v>
      </c>
    </row>
    <row r="104" spans="1:9" ht="20" hidden="1" customHeight="1" x14ac:dyDescent="0.2">
      <c r="A104" s="3" t="s">
        <v>41</v>
      </c>
      <c r="B104" s="3" t="s">
        <v>40</v>
      </c>
      <c r="C104" s="8" t="s">
        <v>8</v>
      </c>
      <c r="D104" s="3" t="s">
        <v>28</v>
      </c>
      <c r="E104" s="3" t="s">
        <v>194</v>
      </c>
      <c r="F104" s="56">
        <v>486282</v>
      </c>
    </row>
    <row r="105" spans="1:9" ht="20" hidden="1" customHeight="1" x14ac:dyDescent="0.2">
      <c r="A105" s="3" t="s">
        <v>41</v>
      </c>
      <c r="B105" s="3" t="s">
        <v>40</v>
      </c>
      <c r="C105" s="8" t="s">
        <v>8</v>
      </c>
      <c r="D105" s="3" t="s">
        <v>28</v>
      </c>
      <c r="E105" s="3"/>
      <c r="F105" s="56">
        <v>389025</v>
      </c>
    </row>
    <row r="106" spans="1:9" ht="20" customHeight="1" x14ac:dyDescent="0.2">
      <c r="A106" s="3" t="s">
        <v>88</v>
      </c>
      <c r="B106" s="3" t="s">
        <v>86</v>
      </c>
      <c r="C106" s="8" t="s">
        <v>10</v>
      </c>
      <c r="D106" s="3" t="s">
        <v>28</v>
      </c>
      <c r="E106" s="3" t="s">
        <v>216</v>
      </c>
      <c r="F106" s="56">
        <v>697125</v>
      </c>
      <c r="G106" s="10">
        <v>17</v>
      </c>
      <c r="H106" s="72">
        <f>SUM(F101:F106)</f>
        <v>3436632</v>
      </c>
      <c r="I106">
        <v>9</v>
      </c>
    </row>
    <row r="107" spans="1:9" s="28" customFormat="1" ht="20" hidden="1" customHeight="1" x14ac:dyDescent="0.2">
      <c r="A107" s="26" t="s">
        <v>50</v>
      </c>
      <c r="B107" s="26" t="s">
        <v>51</v>
      </c>
      <c r="C107" s="27" t="s">
        <v>10</v>
      </c>
      <c r="D107" s="26" t="s">
        <v>169</v>
      </c>
      <c r="E107" s="26"/>
      <c r="F107" s="61">
        <v>478800</v>
      </c>
      <c r="G107" s="78"/>
      <c r="H107" s="78"/>
    </row>
    <row r="108" spans="1:9" s="31" customFormat="1" ht="20" customHeight="1" x14ac:dyDescent="0.2">
      <c r="A108" s="29" t="s">
        <v>83</v>
      </c>
      <c r="B108" s="29" t="s">
        <v>81</v>
      </c>
      <c r="C108" s="30" t="s">
        <v>8</v>
      </c>
      <c r="D108" s="29" t="s">
        <v>178</v>
      </c>
      <c r="E108" s="29"/>
      <c r="F108" s="62">
        <v>1087200</v>
      </c>
      <c r="G108" s="79">
        <v>4</v>
      </c>
      <c r="H108" s="92">
        <f>F108</f>
        <v>1087200</v>
      </c>
    </row>
    <row r="109" spans="1:9" s="22" customFormat="1" ht="20" hidden="1" customHeight="1" x14ac:dyDescent="0.2">
      <c r="A109" s="20" t="s">
        <v>61</v>
      </c>
      <c r="B109" s="20" t="s">
        <v>59</v>
      </c>
      <c r="C109" s="21" t="s">
        <v>10</v>
      </c>
      <c r="D109" s="20" t="s">
        <v>172</v>
      </c>
      <c r="E109" s="20"/>
      <c r="F109" s="59">
        <v>762000</v>
      </c>
      <c r="G109" s="76"/>
      <c r="H109" s="76"/>
    </row>
    <row r="110" spans="1:9" ht="20" hidden="1" customHeight="1" x14ac:dyDescent="0.2">
      <c r="A110" s="3" t="s">
        <v>44</v>
      </c>
      <c r="B110" s="3" t="s">
        <v>45</v>
      </c>
      <c r="C110" s="8" t="s">
        <v>10</v>
      </c>
      <c r="D110" s="3" t="s">
        <v>167</v>
      </c>
      <c r="E110" s="3"/>
      <c r="F110" s="56">
        <v>1003275</v>
      </c>
    </row>
    <row r="111" spans="1:9" ht="20" hidden="1" customHeight="1" x14ac:dyDescent="0.2">
      <c r="A111" s="3" t="s">
        <v>44</v>
      </c>
      <c r="B111" s="3" t="s">
        <v>45</v>
      </c>
      <c r="C111" s="8" t="s">
        <v>10</v>
      </c>
      <c r="D111" s="3" t="s">
        <v>167</v>
      </c>
      <c r="E111" s="3"/>
      <c r="F111" s="56">
        <v>606450</v>
      </c>
    </row>
    <row r="112" spans="1:9" ht="20" hidden="1" customHeight="1" x14ac:dyDescent="0.2">
      <c r="A112" s="3" t="s">
        <v>47</v>
      </c>
      <c r="B112" s="3" t="s">
        <v>48</v>
      </c>
      <c r="C112" s="8" t="s">
        <v>8</v>
      </c>
      <c r="D112" s="3" t="s">
        <v>167</v>
      </c>
      <c r="E112" s="3" t="s">
        <v>195</v>
      </c>
      <c r="F112" s="56">
        <v>653736</v>
      </c>
    </row>
    <row r="113" spans="1:9" ht="20" hidden="1" customHeight="1" x14ac:dyDescent="0.2">
      <c r="A113" s="3" t="s">
        <v>86</v>
      </c>
      <c r="B113" s="3" t="s">
        <v>87</v>
      </c>
      <c r="C113" s="8" t="s">
        <v>10</v>
      </c>
      <c r="D113" s="3" t="s">
        <v>167</v>
      </c>
      <c r="E113" s="3"/>
      <c r="F113" s="56">
        <v>627412.5</v>
      </c>
    </row>
    <row r="114" spans="1:9" ht="20" hidden="1" customHeight="1" x14ac:dyDescent="0.2">
      <c r="A114" s="3" t="s">
        <v>86</v>
      </c>
      <c r="B114" s="3" t="s">
        <v>87</v>
      </c>
      <c r="C114" s="8" t="s">
        <v>10</v>
      </c>
      <c r="D114" s="3" t="s">
        <v>167</v>
      </c>
      <c r="E114" s="3"/>
      <c r="F114" s="56">
        <v>627412.5</v>
      </c>
    </row>
    <row r="115" spans="1:9" ht="20" customHeight="1" x14ac:dyDescent="0.2">
      <c r="A115" s="3" t="s">
        <v>131</v>
      </c>
      <c r="B115" s="3" t="s">
        <v>132</v>
      </c>
      <c r="C115" s="8" t="s">
        <v>8</v>
      </c>
      <c r="D115" s="3" t="s">
        <v>167</v>
      </c>
      <c r="E115" s="3"/>
      <c r="F115" s="56">
        <v>1242152</v>
      </c>
      <c r="G115" s="10">
        <v>20</v>
      </c>
      <c r="H115" s="72">
        <f>SUM(F110:F115)</f>
        <v>4760438</v>
      </c>
      <c r="I115">
        <v>4</v>
      </c>
    </row>
    <row r="116" spans="1:9" ht="20" customHeight="1" x14ac:dyDescent="0.2">
      <c r="A116" s="5"/>
      <c r="B116" s="5"/>
      <c r="C116" s="5"/>
      <c r="D116" s="1"/>
      <c r="E116" s="1"/>
      <c r="F116" s="70"/>
    </row>
    <row r="117" spans="1:9" ht="15" customHeight="1" x14ac:dyDescent="0.2">
      <c r="A117" s="4"/>
      <c r="B117" s="6"/>
      <c r="C117" s="6"/>
      <c r="D117" s="1"/>
      <c r="E117" s="1"/>
      <c r="F117" s="71"/>
    </row>
    <row r="118" spans="1:9" ht="10" customHeight="1" x14ac:dyDescent="0.2">
      <c r="A118" s="1"/>
      <c r="B118" s="1"/>
      <c r="C118" s="9"/>
      <c r="D118" s="1"/>
      <c r="E118" s="1"/>
      <c r="F118" s="71"/>
    </row>
  </sheetData>
  <sortState xmlns:xlrd2="http://schemas.microsoft.com/office/spreadsheetml/2017/richdata2" ref="A2:F115">
    <sortCondition ref="D2:D115"/>
  </sortState>
  <mergeCells count="2">
    <mergeCell ref="A116:C116"/>
    <mergeCell ref="B117:C117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DynamicListReport_4329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2026-07-31T15:24:11Z</dcterms:modified>
</cp:coreProperties>
</file>