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queryTables/queryTable1.xml" ContentType="application/vnd.openxmlformats-officedocument.spreadsheetml.query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admin1/Library/CloudStorage/Dropbox-CHEETAHPLAINS/Carike Ligthelm/Roomsonline 2024:6/Grande Roche/Revenue Reports  | GR/2026/Aug/"/>
    </mc:Choice>
  </mc:AlternateContent>
  <xr:revisionPtr revIDLastSave="0" documentId="13_ncr:1_{8D871C0F-9697-8C40-B09C-7587E5A84605}" xr6:coauthVersionLast="47" xr6:coauthVersionMax="47" xr10:uidLastSave="{00000000-0000-0000-0000-000000000000}"/>
  <bookViews>
    <workbookView xWindow="0" yWindow="0" windowWidth="27320" windowHeight="15360" activeTab="8" xr2:uid="{00000000-000D-0000-FFFF-FFFF00000000}"/>
  </bookViews>
  <sheets>
    <sheet name="VA" sheetId="2" state="hidden" r:id="rId1"/>
    <sheet name="QV" sheetId="3" state="hidden" r:id="rId2"/>
    <sheet name="DH" sheetId="4" state="hidden" r:id="rId3"/>
    <sheet name="Online Res" sheetId="5" state="hidden" r:id="rId4"/>
    <sheet name="Web Comparison" sheetId="6" state="hidden" r:id="rId5"/>
    <sheet name="All" sheetId="7" state="hidden" r:id="rId6"/>
    <sheet name="09.12.19" sheetId="8" state="hidden" r:id="rId7"/>
    <sheet name="Revenue" sheetId="9" r:id="rId8"/>
    <sheet name="Historical Stats" sheetId="18" r:id="rId9"/>
    <sheet name="Sheet4" sheetId="20" r:id="rId10"/>
    <sheet name="24.08.2020" sheetId="10" state="hidden" r:id="rId11"/>
    <sheet name="Revenue 2017 - 2020" sheetId="11" state="hidden" r:id="rId12"/>
    <sheet name="Sheet2" sheetId="12" state="hidden" r:id="rId13"/>
    <sheet name="SM Dec 2019 vs 2018" sheetId="13" state="hidden" r:id="rId14"/>
    <sheet name="Stats" sheetId="14" state="hidden" r:id="rId15"/>
    <sheet name="Studio Revenue" sheetId="15" state="hidden" r:id="rId16"/>
    <sheet name="Marketing" sheetId="16" state="hidden" r:id="rId17"/>
    <sheet name="Sheet1" sheetId="17" state="hidden" r:id="rId18"/>
  </sheets>
  <definedNames>
    <definedName name="_xlnm._FilterDatabase" localSheetId="9" hidden="1">Sheet4!$A$1:$AD$1</definedName>
    <definedName name="channel_analysis" localSheetId="13">'SM Dec 2019 vs 2018'!$A$1:$L$9</definedName>
    <definedName name="reservations_summary_report__15" localSheetId="9">Sheet4!$A$1:$AD$818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21" roundtripDataSignature="AMtx7mgTD3vb3kQwawqBEchTIhPDrOUjEA=="/>
    </ext>
  </extLst>
</workbook>
</file>

<file path=xl/calcChain.xml><?xml version="1.0" encoding="utf-8"?>
<calcChain xmlns="http://schemas.openxmlformats.org/spreadsheetml/2006/main">
  <c r="O28" i="18" l="1"/>
  <c r="O42" i="18"/>
  <c r="Q9" i="9"/>
  <c r="P9" i="9"/>
  <c r="N9" i="9"/>
  <c r="F9" i="9"/>
  <c r="D9" i="9"/>
  <c r="P19" i="9"/>
  <c r="F19" i="9"/>
  <c r="D19" i="9"/>
  <c r="P28" i="9"/>
  <c r="F28" i="9"/>
  <c r="D28" i="9"/>
  <c r="E37" i="9"/>
  <c r="C37" i="9"/>
  <c r="B37" i="9"/>
  <c r="F37" i="9" s="1"/>
  <c r="C36" i="9"/>
  <c r="C35" i="9"/>
  <c r="C34" i="9"/>
  <c r="C33" i="9"/>
  <c r="C32" i="9"/>
  <c r="C11" i="9"/>
  <c r="D27" i="9"/>
  <c r="D18" i="9"/>
  <c r="D8" i="9"/>
  <c r="E36" i="9"/>
  <c r="B36" i="9"/>
  <c r="E35" i="9"/>
  <c r="B35" i="9"/>
  <c r="P27" i="9"/>
  <c r="F27" i="9"/>
  <c r="P26" i="9"/>
  <c r="F26" i="9"/>
  <c r="D26" i="9"/>
  <c r="P18" i="9"/>
  <c r="F18" i="9"/>
  <c r="P17" i="9"/>
  <c r="F17" i="9"/>
  <c r="D17" i="9"/>
  <c r="Q8" i="9"/>
  <c r="P8" i="9"/>
  <c r="N8" i="9"/>
  <c r="F8" i="9"/>
  <c r="Q7" i="9"/>
  <c r="P7" i="9"/>
  <c r="N7" i="9"/>
  <c r="F7" i="9"/>
  <c r="D7" i="9"/>
  <c r="D16" i="9"/>
  <c r="D25" i="9"/>
  <c r="D6" i="9"/>
  <c r="E34" i="9"/>
  <c r="B34" i="9"/>
  <c r="P25" i="9"/>
  <c r="F25" i="9"/>
  <c r="P16" i="9"/>
  <c r="F16" i="9"/>
  <c r="E33" i="9"/>
  <c r="E32" i="9"/>
  <c r="B38" i="9"/>
  <c r="B33" i="9"/>
  <c r="B32" i="9"/>
  <c r="P13" i="18"/>
  <c r="M28" i="18"/>
  <c r="N28" i="18" s="1"/>
  <c r="N13" i="18"/>
  <c r="P41" i="18"/>
  <c r="P40" i="18"/>
  <c r="P39" i="18"/>
  <c r="P38" i="18"/>
  <c r="P37" i="18"/>
  <c r="P36" i="18"/>
  <c r="P35" i="18"/>
  <c r="P34" i="18"/>
  <c r="P33" i="18"/>
  <c r="P32" i="18"/>
  <c r="P31" i="18"/>
  <c r="P30" i="18"/>
  <c r="P27" i="18"/>
  <c r="P26" i="18"/>
  <c r="P25" i="18"/>
  <c r="P24" i="18"/>
  <c r="P23" i="18"/>
  <c r="P22" i="18"/>
  <c r="P21" i="18"/>
  <c r="P20" i="18"/>
  <c r="P19" i="18"/>
  <c r="P18" i="18"/>
  <c r="P17" i="18"/>
  <c r="P16" i="18"/>
  <c r="O14" i="18"/>
  <c r="P12" i="18"/>
  <c r="P11" i="18"/>
  <c r="P10" i="18"/>
  <c r="P9" i="18"/>
  <c r="P8" i="18"/>
  <c r="P7" i="18"/>
  <c r="P6" i="18"/>
  <c r="P5" i="18"/>
  <c r="P4" i="18"/>
  <c r="P3" i="18"/>
  <c r="P2" i="18"/>
  <c r="D24" i="9"/>
  <c r="D15" i="9"/>
  <c r="D5" i="9"/>
  <c r="Q5" i="9"/>
  <c r="P5" i="9"/>
  <c r="N5" i="9"/>
  <c r="F5" i="9"/>
  <c r="P24" i="9"/>
  <c r="F24" i="9"/>
  <c r="P15" i="9"/>
  <c r="F15" i="9"/>
  <c r="Q23" i="9"/>
  <c r="D23" i="9"/>
  <c r="D14" i="9"/>
  <c r="D4" i="9"/>
  <c r="P23" i="9"/>
  <c r="F23" i="9"/>
  <c r="P14" i="9"/>
  <c r="F14" i="9"/>
  <c r="Q4" i="9"/>
  <c r="P4" i="9"/>
  <c r="N4" i="9"/>
  <c r="F4" i="9"/>
  <c r="Q10" i="9"/>
  <c r="E38" i="9"/>
  <c r="N41" i="18"/>
  <c r="N40" i="18"/>
  <c r="N39" i="18"/>
  <c r="N12" i="18"/>
  <c r="N11" i="18"/>
  <c r="B11" i="9"/>
  <c r="K28" i="18"/>
  <c r="M42" i="18"/>
  <c r="N42" i="18" s="1"/>
  <c r="N38" i="18"/>
  <c r="N37" i="18"/>
  <c r="N36" i="18"/>
  <c r="N35" i="18"/>
  <c r="N34" i="18"/>
  <c r="N33" i="18"/>
  <c r="N32" i="18"/>
  <c r="N31" i="18"/>
  <c r="N30" i="18"/>
  <c r="N27" i="18"/>
  <c r="N26" i="18"/>
  <c r="N25" i="18"/>
  <c r="N24" i="18"/>
  <c r="N23" i="18"/>
  <c r="N22" i="18"/>
  <c r="N21" i="18"/>
  <c r="N20" i="18"/>
  <c r="N19" i="18"/>
  <c r="N18" i="18"/>
  <c r="N17" i="18"/>
  <c r="N16" i="18"/>
  <c r="N10" i="18"/>
  <c r="N9" i="18"/>
  <c r="N8" i="18"/>
  <c r="N7" i="18"/>
  <c r="N6" i="18"/>
  <c r="N5" i="18"/>
  <c r="N4" i="18"/>
  <c r="N3" i="18"/>
  <c r="N2" i="18"/>
  <c r="L42" i="18"/>
  <c r="L41" i="18"/>
  <c r="L40" i="18"/>
  <c r="L39" i="18"/>
  <c r="L38" i="18"/>
  <c r="L37" i="18"/>
  <c r="L36" i="18"/>
  <c r="L35" i="18"/>
  <c r="K42" i="18"/>
  <c r="L28" i="18"/>
  <c r="L27" i="18"/>
  <c r="L26" i="18"/>
  <c r="L25" i="18"/>
  <c r="L24" i="18"/>
  <c r="L23" i="18"/>
  <c r="L22" i="18"/>
  <c r="L21" i="18"/>
  <c r="J28" i="18"/>
  <c r="M14" i="18"/>
  <c r="N14" i="18" s="1"/>
  <c r="L13" i="18"/>
  <c r="L12" i="18"/>
  <c r="L11" i="18"/>
  <c r="L10" i="18"/>
  <c r="L9" i="18"/>
  <c r="L8" i="18"/>
  <c r="L7" i="18"/>
  <c r="D37" i="9" l="1"/>
  <c r="D35" i="9"/>
  <c r="F36" i="9"/>
  <c r="D36" i="9"/>
  <c r="F35" i="9"/>
  <c r="F34" i="9"/>
  <c r="D34" i="9"/>
  <c r="D32" i="9"/>
  <c r="D33" i="9"/>
  <c r="P28" i="18"/>
  <c r="P42" i="18"/>
  <c r="P14" i="18"/>
  <c r="F33" i="9"/>
  <c r="F32" i="9"/>
  <c r="F20" i="9" l="1"/>
  <c r="F38" i="9" l="1"/>
  <c r="E11" i="9"/>
  <c r="F29" i="9"/>
  <c r="F10" i="9"/>
  <c r="L34" i="18"/>
  <c r="L33" i="18"/>
  <c r="L32" i="18"/>
  <c r="L31" i="18"/>
  <c r="L30" i="18"/>
  <c r="L20" i="18"/>
  <c r="L19" i="18"/>
  <c r="L18" i="18"/>
  <c r="L17" i="18"/>
  <c r="L16" i="18"/>
  <c r="L6" i="18"/>
  <c r="L5" i="18"/>
  <c r="L4" i="18"/>
  <c r="L3" i="18"/>
  <c r="L2" i="18"/>
  <c r="K14" i="18"/>
  <c r="J14" i="18"/>
  <c r="J42" i="18"/>
  <c r="L14" i="18" l="1"/>
  <c r="F11" i="9"/>
  <c r="D11" i="9"/>
  <c r="P10" i="9"/>
  <c r="N10" i="9"/>
  <c r="I42" i="18" l="1"/>
  <c r="H42" i="18"/>
  <c r="G42" i="18"/>
  <c r="F42" i="18"/>
  <c r="E42" i="18"/>
  <c r="D42" i="18"/>
  <c r="C42" i="18"/>
  <c r="B42" i="18"/>
  <c r="I28" i="18"/>
  <c r="H28" i="18"/>
  <c r="G28" i="18"/>
  <c r="F28" i="18"/>
  <c r="E28" i="18"/>
  <c r="D28" i="18"/>
  <c r="C28" i="18"/>
  <c r="B28" i="18"/>
  <c r="I14" i="18"/>
  <c r="H14" i="18"/>
  <c r="G14" i="18"/>
  <c r="F14" i="18"/>
  <c r="E14" i="18"/>
  <c r="D14" i="18"/>
  <c r="C14" i="18"/>
  <c r="B14" i="18"/>
  <c r="P20" i="9"/>
  <c r="P29" i="9"/>
  <c r="P11" i="9"/>
  <c r="J11" i="9" l="1"/>
  <c r="N24" i="17" l="1"/>
  <c r="L24" i="17" s="1"/>
  <c r="K24" i="17"/>
  <c r="J24" i="17"/>
  <c r="E24" i="17"/>
  <c r="N23" i="17"/>
  <c r="L23" i="17"/>
  <c r="K23" i="17"/>
  <c r="J23" i="17"/>
  <c r="E23" i="17"/>
  <c r="N22" i="17"/>
  <c r="L22" i="17" s="1"/>
  <c r="K22" i="17"/>
  <c r="J22" i="17"/>
  <c r="E22" i="17"/>
  <c r="N21" i="17"/>
  <c r="L21" i="17" s="1"/>
  <c r="K21" i="17"/>
  <c r="J21" i="17"/>
  <c r="E21" i="17"/>
  <c r="N20" i="17"/>
  <c r="L20" i="17"/>
  <c r="K20" i="17"/>
  <c r="J20" i="17"/>
  <c r="E20" i="17"/>
  <c r="N19" i="17"/>
  <c r="L19" i="17"/>
  <c r="K19" i="17"/>
  <c r="J19" i="17"/>
  <c r="E19" i="17"/>
  <c r="L16" i="17"/>
  <c r="K16" i="17"/>
  <c r="J16" i="17"/>
  <c r="L15" i="17"/>
  <c r="K15" i="17"/>
  <c r="J15" i="17"/>
  <c r="L14" i="17"/>
  <c r="K14" i="17"/>
  <c r="J14" i="17"/>
  <c r="L13" i="17"/>
  <c r="K13" i="17"/>
  <c r="J13" i="17"/>
  <c r="L12" i="17"/>
  <c r="K12" i="17"/>
  <c r="J12" i="17"/>
  <c r="L11" i="17"/>
  <c r="K11" i="17"/>
  <c r="J11" i="17"/>
  <c r="L8" i="17"/>
  <c r="K8" i="17"/>
  <c r="J8" i="17"/>
  <c r="C8" i="17"/>
  <c r="H8" i="17" s="1"/>
  <c r="L7" i="17"/>
  <c r="K7" i="17"/>
  <c r="J7" i="17"/>
  <c r="C7" i="17"/>
  <c r="H7" i="17" s="1"/>
  <c r="L6" i="17"/>
  <c r="K6" i="17"/>
  <c r="J6" i="17"/>
  <c r="C6" i="17"/>
  <c r="H6" i="17" s="1"/>
  <c r="L5" i="17"/>
  <c r="K5" i="17"/>
  <c r="J5" i="17"/>
  <c r="F5" i="17"/>
  <c r="C5" i="17"/>
  <c r="H5" i="17" s="1"/>
  <c r="L4" i="17"/>
  <c r="K4" i="17"/>
  <c r="J4" i="17"/>
  <c r="F4" i="17"/>
  <c r="C4" i="17"/>
  <c r="H4" i="17" s="1"/>
  <c r="L3" i="17"/>
  <c r="K3" i="17"/>
  <c r="J3" i="17"/>
  <c r="F3" i="17"/>
  <c r="C3" i="17"/>
  <c r="H3" i="17" s="1"/>
  <c r="L66" i="15"/>
  <c r="B66" i="15"/>
  <c r="L58" i="15"/>
  <c r="E58" i="15"/>
  <c r="D58" i="15"/>
  <c r="G58" i="15" s="1"/>
  <c r="B58" i="15"/>
  <c r="L57" i="15"/>
  <c r="G57" i="15"/>
  <c r="E57" i="15"/>
  <c r="D57" i="15"/>
  <c r="B57" i="15"/>
  <c r="L56" i="15"/>
  <c r="E56" i="15"/>
  <c r="D56" i="15"/>
  <c r="B56" i="15"/>
  <c r="G56" i="15" s="1"/>
  <c r="L55" i="15"/>
  <c r="E55" i="15"/>
  <c r="D55" i="15"/>
  <c r="G55" i="15" s="1"/>
  <c r="B55" i="15"/>
  <c r="I55" i="15" s="1"/>
  <c r="G54" i="15"/>
  <c r="E54" i="15"/>
  <c r="D54" i="15"/>
  <c r="B54" i="15"/>
  <c r="I54" i="15" s="1"/>
  <c r="I53" i="15"/>
  <c r="G53" i="15"/>
  <c r="B53" i="15"/>
  <c r="E53" i="15" s="1"/>
  <c r="D52" i="15"/>
  <c r="B52" i="15"/>
  <c r="G52" i="15" s="1"/>
  <c r="D51" i="15"/>
  <c r="B51" i="15"/>
  <c r="I51" i="15" s="1"/>
  <c r="E50" i="15"/>
  <c r="D50" i="15"/>
  <c r="G50" i="15" s="1"/>
  <c r="B50" i="15"/>
  <c r="I50" i="15" s="1"/>
  <c r="G49" i="15"/>
  <c r="E49" i="15"/>
  <c r="D49" i="15"/>
  <c r="B49" i="15"/>
  <c r="I49" i="15" s="1"/>
  <c r="D48" i="15"/>
  <c r="B48" i="15"/>
  <c r="G48" i="15" s="1"/>
  <c r="D47" i="15"/>
  <c r="D66" i="15" s="1"/>
  <c r="B47" i="15"/>
  <c r="I47" i="15" s="1"/>
  <c r="I34" i="15"/>
  <c r="I33" i="15"/>
  <c r="I32" i="15"/>
  <c r="I31" i="15"/>
  <c r="I30" i="15"/>
  <c r="I29" i="15"/>
  <c r="I28" i="15"/>
  <c r="I27" i="15"/>
  <c r="I26" i="15"/>
  <c r="L23" i="15"/>
  <c r="K23" i="15"/>
  <c r="D23" i="15"/>
  <c r="C23" i="15" s="1"/>
  <c r="B23" i="15"/>
  <c r="H22" i="15"/>
  <c r="G22" i="15"/>
  <c r="F22" i="15"/>
  <c r="E22" i="15"/>
  <c r="H21" i="15"/>
  <c r="G21" i="15"/>
  <c r="F21" i="15"/>
  <c r="E21" i="15"/>
  <c r="H20" i="15"/>
  <c r="G20" i="15"/>
  <c r="F20" i="15"/>
  <c r="E20" i="15"/>
  <c r="H19" i="15"/>
  <c r="G19" i="15"/>
  <c r="F19" i="15"/>
  <c r="E19" i="15"/>
  <c r="H18" i="15"/>
  <c r="G18" i="15"/>
  <c r="F18" i="15"/>
  <c r="E18" i="15"/>
  <c r="H17" i="15"/>
  <c r="G17" i="15"/>
  <c r="F17" i="15"/>
  <c r="E17" i="15"/>
  <c r="N16" i="15"/>
  <c r="M16" i="15"/>
  <c r="H16" i="15"/>
  <c r="G16" i="15"/>
  <c r="F16" i="15"/>
  <c r="E16" i="15"/>
  <c r="K15" i="15"/>
  <c r="D15" i="15"/>
  <c r="N14" i="15"/>
  <c r="M14" i="15"/>
  <c r="C14" i="15"/>
  <c r="G14" i="15" s="1"/>
  <c r="N13" i="15"/>
  <c r="M13" i="15"/>
  <c r="G13" i="15"/>
  <c r="F13" i="15"/>
  <c r="C13" i="15"/>
  <c r="E13" i="15" s="1"/>
  <c r="N12" i="15"/>
  <c r="M12" i="15"/>
  <c r="G12" i="15"/>
  <c r="F12" i="15"/>
  <c r="E12" i="15"/>
  <c r="C12" i="15"/>
  <c r="H12" i="15" s="1"/>
  <c r="N11" i="15"/>
  <c r="M11" i="15"/>
  <c r="I11" i="15"/>
  <c r="G11" i="15"/>
  <c r="F11" i="15"/>
  <c r="E11" i="15"/>
  <c r="C11" i="15"/>
  <c r="H11" i="15" s="1"/>
  <c r="N10" i="15"/>
  <c r="M10" i="15"/>
  <c r="I10" i="15"/>
  <c r="G10" i="15"/>
  <c r="F10" i="15"/>
  <c r="E10" i="15"/>
  <c r="C10" i="15"/>
  <c r="H10" i="15" s="1"/>
  <c r="M9" i="15"/>
  <c r="I9" i="15"/>
  <c r="G9" i="15"/>
  <c r="F9" i="15"/>
  <c r="E9" i="15"/>
  <c r="C9" i="15"/>
  <c r="H9" i="15" s="1"/>
  <c r="B9" i="15"/>
  <c r="B15" i="15" s="1"/>
  <c r="N8" i="15"/>
  <c r="M8" i="15"/>
  <c r="I8" i="15"/>
  <c r="G8" i="15"/>
  <c r="F8" i="15"/>
  <c r="C8" i="15"/>
  <c r="E8" i="15" s="1"/>
  <c r="N7" i="15"/>
  <c r="M7" i="15"/>
  <c r="I7" i="15"/>
  <c r="G7" i="15"/>
  <c r="F7" i="15"/>
  <c r="C7" i="15"/>
  <c r="E7" i="15" s="1"/>
  <c r="N6" i="15"/>
  <c r="M6" i="15"/>
  <c r="I6" i="15"/>
  <c r="G6" i="15"/>
  <c r="F6" i="15"/>
  <c r="C6" i="15"/>
  <c r="E6" i="15" s="1"/>
  <c r="N5" i="15"/>
  <c r="M5" i="15"/>
  <c r="I5" i="15"/>
  <c r="G5" i="15"/>
  <c r="F5" i="15"/>
  <c r="C5" i="15"/>
  <c r="E5" i="15" s="1"/>
  <c r="N4" i="15"/>
  <c r="M4" i="15"/>
  <c r="I4" i="15"/>
  <c r="G4" i="15"/>
  <c r="F4" i="15"/>
  <c r="C4" i="15"/>
  <c r="E4" i="15" s="1"/>
  <c r="N3" i="15"/>
  <c r="M3" i="15"/>
  <c r="I3" i="15"/>
  <c r="G3" i="15"/>
  <c r="G15" i="15" s="1"/>
  <c r="F3" i="15"/>
  <c r="C3" i="15"/>
  <c r="E3" i="15" s="1"/>
  <c r="F20" i="14"/>
  <c r="F19" i="14"/>
  <c r="M10" i="13"/>
  <c r="L10" i="13"/>
  <c r="N10" i="13" s="1"/>
  <c r="G10" i="13"/>
  <c r="F10" i="13"/>
  <c r="E10" i="13"/>
  <c r="D10" i="13"/>
  <c r="C10" i="13"/>
  <c r="B10" i="13"/>
  <c r="N9" i="13"/>
  <c r="G9" i="13"/>
  <c r="D9" i="13"/>
  <c r="N8" i="13"/>
  <c r="G8" i="13"/>
  <c r="D8" i="13"/>
  <c r="N7" i="13"/>
  <c r="G7" i="13"/>
  <c r="D7" i="13"/>
  <c r="N6" i="13"/>
  <c r="G6" i="13"/>
  <c r="D6" i="13"/>
  <c r="N5" i="13"/>
  <c r="G5" i="13"/>
  <c r="D5" i="13"/>
  <c r="N4" i="13"/>
  <c r="G4" i="13"/>
  <c r="D4" i="13"/>
  <c r="N3" i="13"/>
  <c r="G3" i="13"/>
  <c r="D3" i="13"/>
  <c r="D9" i="12"/>
  <c r="D8" i="12"/>
  <c r="D7" i="12"/>
  <c r="D6" i="12"/>
  <c r="D5" i="12"/>
  <c r="D4" i="12"/>
  <c r="D3" i="12"/>
  <c r="G15" i="11"/>
  <c r="H15" i="11" s="1"/>
  <c r="E15" i="11"/>
  <c r="C15" i="11"/>
  <c r="F15" i="11" s="1"/>
  <c r="B15" i="11"/>
  <c r="H14" i="11"/>
  <c r="F14" i="11"/>
  <c r="D14" i="11"/>
  <c r="H13" i="11"/>
  <c r="F13" i="11"/>
  <c r="D13" i="11"/>
  <c r="H12" i="11"/>
  <c r="F12" i="11"/>
  <c r="D12" i="11"/>
  <c r="H11" i="11"/>
  <c r="F11" i="11"/>
  <c r="D11" i="11"/>
  <c r="H10" i="11"/>
  <c r="F10" i="11"/>
  <c r="D10" i="11"/>
  <c r="H9" i="11"/>
  <c r="F9" i="11"/>
  <c r="D9" i="11"/>
  <c r="H8" i="11"/>
  <c r="F8" i="11"/>
  <c r="D8" i="11"/>
  <c r="H7" i="11"/>
  <c r="F7" i="11"/>
  <c r="D7" i="11"/>
  <c r="H6" i="11"/>
  <c r="F6" i="11"/>
  <c r="D6" i="11"/>
  <c r="H5" i="11"/>
  <c r="F5" i="11"/>
  <c r="D5" i="11"/>
  <c r="H4" i="11"/>
  <c r="F4" i="11"/>
  <c r="D4" i="11"/>
  <c r="H3" i="11"/>
  <c r="F3" i="11"/>
  <c r="D3" i="11"/>
  <c r="N221" i="10"/>
  <c r="J221" i="10"/>
  <c r="G221" i="10"/>
  <c r="Q221" i="10" s="1"/>
  <c r="E221" i="10"/>
  <c r="D221" i="10"/>
  <c r="C221" i="10"/>
  <c r="B221" i="10"/>
  <c r="F221" i="10" s="1"/>
  <c r="N220" i="10"/>
  <c r="Q220" i="10" s="1"/>
  <c r="G220" i="10"/>
  <c r="E220" i="10"/>
  <c r="J220" i="10" s="1"/>
  <c r="D220" i="10"/>
  <c r="C220" i="10"/>
  <c r="B220" i="10"/>
  <c r="F220" i="10" s="1"/>
  <c r="Q219" i="10"/>
  <c r="N219" i="10"/>
  <c r="G219" i="10"/>
  <c r="E219" i="10"/>
  <c r="J219" i="10" s="1"/>
  <c r="C219" i="10"/>
  <c r="B219" i="10"/>
  <c r="D219" i="10" s="1"/>
  <c r="N218" i="10"/>
  <c r="G218" i="10"/>
  <c r="Q218" i="10" s="1"/>
  <c r="E218" i="10"/>
  <c r="C218" i="10"/>
  <c r="B218" i="10"/>
  <c r="F218" i="10" s="1"/>
  <c r="N217" i="10"/>
  <c r="J217" i="10"/>
  <c r="G217" i="10"/>
  <c r="Q217" i="10" s="1"/>
  <c r="E217" i="10"/>
  <c r="D217" i="10"/>
  <c r="C217" i="10"/>
  <c r="B217" i="10"/>
  <c r="F217" i="10" s="1"/>
  <c r="N216" i="10"/>
  <c r="Q216" i="10" s="1"/>
  <c r="G216" i="10"/>
  <c r="E216" i="10"/>
  <c r="J216" i="10" s="1"/>
  <c r="D216" i="10"/>
  <c r="C216" i="10"/>
  <c r="B216" i="10"/>
  <c r="F216" i="10" s="1"/>
  <c r="Q215" i="10"/>
  <c r="N215" i="10"/>
  <c r="G215" i="10"/>
  <c r="E215" i="10"/>
  <c r="J215" i="10" s="1"/>
  <c r="C215" i="10"/>
  <c r="B215" i="10"/>
  <c r="D215" i="10" s="1"/>
  <c r="N214" i="10"/>
  <c r="G214" i="10"/>
  <c r="Q214" i="10" s="1"/>
  <c r="E214" i="10"/>
  <c r="C214" i="10"/>
  <c r="B214" i="10"/>
  <c r="F214" i="10" s="1"/>
  <c r="N213" i="10"/>
  <c r="J213" i="10"/>
  <c r="G213" i="10"/>
  <c r="Q213" i="10" s="1"/>
  <c r="E213" i="10"/>
  <c r="D213" i="10"/>
  <c r="C213" i="10"/>
  <c r="B213" i="10"/>
  <c r="F213" i="10" s="1"/>
  <c r="N212" i="10"/>
  <c r="Q212" i="10" s="1"/>
  <c r="G212" i="10"/>
  <c r="E212" i="10"/>
  <c r="J212" i="10" s="1"/>
  <c r="D212" i="10"/>
  <c r="C212" i="10"/>
  <c r="B212" i="10"/>
  <c r="F212" i="10" s="1"/>
  <c r="Q211" i="10"/>
  <c r="N211" i="10"/>
  <c r="G211" i="10"/>
  <c r="E211" i="10"/>
  <c r="J211" i="10" s="1"/>
  <c r="C211" i="10"/>
  <c r="B211" i="10"/>
  <c r="D211" i="10" s="1"/>
  <c r="N210" i="10"/>
  <c r="G210" i="10"/>
  <c r="Q210" i="10" s="1"/>
  <c r="E210" i="10"/>
  <c r="C210" i="10"/>
  <c r="B210" i="10"/>
  <c r="F210" i="10" s="1"/>
  <c r="Q207" i="10"/>
  <c r="J207" i="10"/>
  <c r="F207" i="10"/>
  <c r="D207" i="10"/>
  <c r="Q206" i="10"/>
  <c r="J206" i="10"/>
  <c r="F206" i="10"/>
  <c r="D206" i="10"/>
  <c r="Q205" i="10"/>
  <c r="J205" i="10"/>
  <c r="F205" i="10"/>
  <c r="D205" i="10"/>
  <c r="Q204" i="10"/>
  <c r="J204" i="10"/>
  <c r="F204" i="10"/>
  <c r="D204" i="10"/>
  <c r="Q203" i="10"/>
  <c r="J203" i="10"/>
  <c r="F203" i="10"/>
  <c r="D203" i="10"/>
  <c r="Q202" i="10"/>
  <c r="J202" i="10"/>
  <c r="F202" i="10"/>
  <c r="D202" i="10"/>
  <c r="Q201" i="10"/>
  <c r="J201" i="10"/>
  <c r="F201" i="10"/>
  <c r="D201" i="10"/>
  <c r="Q200" i="10"/>
  <c r="J200" i="10"/>
  <c r="F200" i="10"/>
  <c r="D200" i="10"/>
  <c r="Q199" i="10"/>
  <c r="J199" i="10"/>
  <c r="F199" i="10"/>
  <c r="D199" i="10"/>
  <c r="Q198" i="10"/>
  <c r="J198" i="10"/>
  <c r="F198" i="10"/>
  <c r="D198" i="10"/>
  <c r="Q197" i="10"/>
  <c r="J197" i="10"/>
  <c r="F197" i="10"/>
  <c r="D197" i="10"/>
  <c r="Q196" i="10"/>
  <c r="J196" i="10"/>
  <c r="F196" i="10"/>
  <c r="D196" i="10"/>
  <c r="F195" i="10"/>
  <c r="Q194" i="10"/>
  <c r="J194" i="10"/>
  <c r="F194" i="10"/>
  <c r="Q193" i="10"/>
  <c r="J193" i="10"/>
  <c r="F193" i="10"/>
  <c r="Q192" i="10"/>
  <c r="J192" i="10"/>
  <c r="F192" i="10"/>
  <c r="Q191" i="10"/>
  <c r="J191" i="10"/>
  <c r="F191" i="10"/>
  <c r="Q190" i="10"/>
  <c r="J190" i="10"/>
  <c r="F190" i="10"/>
  <c r="Q189" i="10"/>
  <c r="J189" i="10"/>
  <c r="F189" i="10"/>
  <c r="Q188" i="10"/>
  <c r="J188" i="10"/>
  <c r="F188" i="10"/>
  <c r="Q187" i="10"/>
  <c r="J187" i="10"/>
  <c r="F187" i="10"/>
  <c r="Q186" i="10"/>
  <c r="J186" i="10"/>
  <c r="F186" i="10"/>
  <c r="L185" i="10"/>
  <c r="Q185" i="10" s="1"/>
  <c r="J185" i="10"/>
  <c r="F185" i="10"/>
  <c r="L184" i="10"/>
  <c r="Q184" i="10" s="1"/>
  <c r="J184" i="10"/>
  <c r="F184" i="10"/>
  <c r="L183" i="10"/>
  <c r="Q183" i="10" s="1"/>
  <c r="J183" i="10"/>
  <c r="F183" i="10"/>
  <c r="L182" i="10"/>
  <c r="Q182" i="10" s="1"/>
  <c r="J182" i="10"/>
  <c r="F182" i="10"/>
  <c r="L181" i="10"/>
  <c r="Q181" i="10" s="1"/>
  <c r="J181" i="10"/>
  <c r="F181" i="10"/>
  <c r="L180" i="10"/>
  <c r="Q180" i="10" s="1"/>
  <c r="J180" i="10"/>
  <c r="F180" i="10"/>
  <c r="Q179" i="10"/>
  <c r="J179" i="10"/>
  <c r="F179" i="10"/>
  <c r="Q178" i="10"/>
  <c r="J178" i="10"/>
  <c r="F178" i="10"/>
  <c r="Q177" i="10"/>
  <c r="J177" i="10"/>
  <c r="F177" i="10"/>
  <c r="Q176" i="10"/>
  <c r="J176" i="10"/>
  <c r="Q175" i="10"/>
  <c r="J175" i="10"/>
  <c r="Q174" i="10"/>
  <c r="J174" i="10"/>
  <c r="Q173" i="10"/>
  <c r="J173" i="10"/>
  <c r="Q172" i="10"/>
  <c r="J172" i="10"/>
  <c r="Q171" i="10"/>
  <c r="J171" i="10"/>
  <c r="Q170" i="10"/>
  <c r="J170" i="10"/>
  <c r="Q169" i="10"/>
  <c r="J169" i="10"/>
  <c r="Q168" i="10"/>
  <c r="J168" i="10"/>
  <c r="Q167" i="10"/>
  <c r="J167" i="10"/>
  <c r="Q166" i="10"/>
  <c r="J166" i="10"/>
  <c r="Q165" i="10"/>
  <c r="J165" i="10"/>
  <c r="Q164" i="10"/>
  <c r="J164" i="10"/>
  <c r="Q163" i="10"/>
  <c r="C163" i="10"/>
  <c r="J163" i="10" s="1"/>
  <c r="B163" i="10"/>
  <c r="Q162" i="10"/>
  <c r="C162" i="10"/>
  <c r="J162" i="10" s="1"/>
  <c r="B162" i="10"/>
  <c r="Q161" i="10"/>
  <c r="J161" i="10"/>
  <c r="Q160" i="10"/>
  <c r="J160" i="10"/>
  <c r="Q159" i="10"/>
  <c r="J159" i="10"/>
  <c r="Q158" i="10"/>
  <c r="J158" i="10"/>
  <c r="E158" i="10"/>
  <c r="Q157" i="10"/>
  <c r="E157" i="10"/>
  <c r="J157" i="10" s="1"/>
  <c r="Q156" i="10"/>
  <c r="J156" i="10"/>
  <c r="Q155" i="10"/>
  <c r="J155" i="10"/>
  <c r="E155" i="10"/>
  <c r="Q154" i="10"/>
  <c r="J154" i="10"/>
  <c r="Q153" i="10"/>
  <c r="J153" i="10"/>
  <c r="E153" i="10"/>
  <c r="C153" i="10"/>
  <c r="B153" i="10"/>
  <c r="Q152" i="10"/>
  <c r="E152" i="10"/>
  <c r="C152" i="10"/>
  <c r="J152" i="10" s="1"/>
  <c r="B152" i="10"/>
  <c r="Q151" i="10"/>
  <c r="E151" i="10"/>
  <c r="C151" i="10"/>
  <c r="J151" i="10" s="1"/>
  <c r="B151" i="10"/>
  <c r="Q150" i="10"/>
  <c r="O150" i="10"/>
  <c r="E150" i="10"/>
  <c r="C150" i="10"/>
  <c r="J150" i="10" s="1"/>
  <c r="B150" i="10"/>
  <c r="Q149" i="10"/>
  <c r="O149" i="10"/>
  <c r="J149" i="10"/>
  <c r="H149" i="10"/>
  <c r="E149" i="10"/>
  <c r="C149" i="10"/>
  <c r="B149" i="10"/>
  <c r="Q148" i="10"/>
  <c r="O148" i="10"/>
  <c r="H148" i="10"/>
  <c r="C148" i="10"/>
  <c r="J148" i="10" s="1"/>
  <c r="B148" i="10"/>
  <c r="Q147" i="10"/>
  <c r="O147" i="10"/>
  <c r="E147" i="10"/>
  <c r="C147" i="10"/>
  <c r="J147" i="10" s="1"/>
  <c r="B147" i="10"/>
  <c r="Q146" i="10"/>
  <c r="O146" i="10"/>
  <c r="J146" i="10"/>
  <c r="H146" i="10"/>
  <c r="E146" i="10"/>
  <c r="C146" i="10"/>
  <c r="B146" i="10"/>
  <c r="Q145" i="10"/>
  <c r="O145" i="10"/>
  <c r="H145" i="10"/>
  <c r="E145" i="10"/>
  <c r="J145" i="10" s="1"/>
  <c r="C145" i="10"/>
  <c r="B145" i="10"/>
  <c r="Q144" i="10"/>
  <c r="O144" i="10"/>
  <c r="E144" i="10"/>
  <c r="C144" i="10"/>
  <c r="J144" i="10" s="1"/>
  <c r="B144" i="10"/>
  <c r="Q143" i="10"/>
  <c r="O143" i="10"/>
  <c r="E143" i="10"/>
  <c r="C143" i="10"/>
  <c r="J143" i="10" s="1"/>
  <c r="B143" i="10"/>
  <c r="Q142" i="10"/>
  <c r="O142" i="10"/>
  <c r="J142" i="10"/>
  <c r="H142" i="10"/>
  <c r="E142" i="10"/>
  <c r="C142" i="10"/>
  <c r="B142" i="10"/>
  <c r="Q139" i="10"/>
  <c r="F139" i="10"/>
  <c r="D139" i="10"/>
  <c r="Q138" i="10"/>
  <c r="F138" i="10"/>
  <c r="D138" i="10"/>
  <c r="Q137" i="10"/>
  <c r="F137" i="10"/>
  <c r="D137" i="10"/>
  <c r="Q136" i="10"/>
  <c r="F136" i="10"/>
  <c r="D136" i="10"/>
  <c r="Q135" i="10"/>
  <c r="F135" i="10"/>
  <c r="D135" i="10"/>
  <c r="Q134" i="10"/>
  <c r="F134" i="10"/>
  <c r="D134" i="10"/>
  <c r="Q133" i="10"/>
  <c r="F133" i="10"/>
  <c r="D133" i="10"/>
  <c r="Q132" i="10"/>
  <c r="F132" i="10"/>
  <c r="D132" i="10"/>
  <c r="Q131" i="10"/>
  <c r="F131" i="10"/>
  <c r="D131" i="10"/>
  <c r="Q130" i="10"/>
  <c r="F130" i="10"/>
  <c r="D130" i="10"/>
  <c r="Q129" i="10"/>
  <c r="F129" i="10"/>
  <c r="D129" i="10"/>
  <c r="Q128" i="10"/>
  <c r="F128" i="10"/>
  <c r="D128" i="10"/>
  <c r="Q127" i="10"/>
  <c r="J127" i="10"/>
  <c r="F127" i="10"/>
  <c r="Q126" i="10"/>
  <c r="J126" i="10"/>
  <c r="F126" i="10"/>
  <c r="Q125" i="10"/>
  <c r="J125" i="10"/>
  <c r="F125" i="10"/>
  <c r="Q124" i="10"/>
  <c r="J124" i="10"/>
  <c r="F124" i="10"/>
  <c r="Q123" i="10"/>
  <c r="J123" i="10"/>
  <c r="F123" i="10"/>
  <c r="Q122" i="10"/>
  <c r="J122" i="10"/>
  <c r="F122" i="10"/>
  <c r="Q121" i="10"/>
  <c r="J121" i="10"/>
  <c r="F121" i="10"/>
  <c r="Q120" i="10"/>
  <c r="J120" i="10"/>
  <c r="F120" i="10"/>
  <c r="Q119" i="10"/>
  <c r="J119" i="10"/>
  <c r="F119" i="10"/>
  <c r="Q118" i="10"/>
  <c r="J118" i="10"/>
  <c r="F118" i="10"/>
  <c r="Q117" i="10"/>
  <c r="J117" i="10"/>
  <c r="F117" i="10"/>
  <c r="Q116" i="10"/>
  <c r="J116" i="10"/>
  <c r="F116" i="10"/>
  <c r="Q115" i="10"/>
  <c r="J115" i="10"/>
  <c r="Q114" i="10"/>
  <c r="J114" i="10"/>
  <c r="Q113" i="10"/>
  <c r="J113" i="10"/>
  <c r="Q112" i="10"/>
  <c r="J112" i="10"/>
  <c r="Q111" i="10"/>
  <c r="J111" i="10"/>
  <c r="Q110" i="10"/>
  <c r="J110" i="10"/>
  <c r="Q109" i="10"/>
  <c r="J109" i="10"/>
  <c r="Q108" i="10"/>
  <c r="J108" i="10"/>
  <c r="Q107" i="10"/>
  <c r="J107" i="10"/>
  <c r="Q106" i="10"/>
  <c r="J106" i="10"/>
  <c r="Q105" i="10"/>
  <c r="J105" i="10"/>
  <c r="Q104" i="10"/>
  <c r="J104" i="10"/>
  <c r="Q103" i="10"/>
  <c r="J103" i="10"/>
  <c r="Q102" i="10"/>
  <c r="J102" i="10"/>
  <c r="Q101" i="10"/>
  <c r="J101" i="10"/>
  <c r="Q100" i="10"/>
  <c r="J100" i="10"/>
  <c r="Q99" i="10"/>
  <c r="N99" i="10"/>
  <c r="J99" i="10"/>
  <c r="G99" i="10"/>
  <c r="Q98" i="10"/>
  <c r="N98" i="10"/>
  <c r="J98" i="10"/>
  <c r="G98" i="10"/>
  <c r="Q97" i="10"/>
  <c r="N97" i="10"/>
  <c r="J97" i="10"/>
  <c r="G97" i="10"/>
  <c r="Q96" i="10"/>
  <c r="N96" i="10"/>
  <c r="J96" i="10"/>
  <c r="G96" i="10"/>
  <c r="Q95" i="10"/>
  <c r="N95" i="10"/>
  <c r="J95" i="10"/>
  <c r="G95" i="10"/>
  <c r="Q94" i="10"/>
  <c r="N94" i="10"/>
  <c r="J94" i="10"/>
  <c r="G94" i="10"/>
  <c r="Q93" i="10"/>
  <c r="J93" i="10"/>
  <c r="Q92" i="10"/>
  <c r="J92" i="10"/>
  <c r="Q91" i="10"/>
  <c r="J91" i="10"/>
  <c r="Q90" i="10"/>
  <c r="J90" i="10"/>
  <c r="Q89" i="10"/>
  <c r="J89" i="10"/>
  <c r="Q88" i="10"/>
  <c r="J88" i="10"/>
  <c r="Q87" i="10"/>
  <c r="J87" i="10"/>
  <c r="Q86" i="10"/>
  <c r="J86" i="10"/>
  <c r="Q85" i="10"/>
  <c r="J85" i="10"/>
  <c r="Q84" i="10"/>
  <c r="J84" i="10"/>
  <c r="Q83" i="10"/>
  <c r="J83" i="10"/>
  <c r="Q82" i="10"/>
  <c r="O82" i="10"/>
  <c r="J82" i="10"/>
  <c r="H82" i="10"/>
  <c r="Q81" i="10"/>
  <c r="O81" i="10"/>
  <c r="J81" i="10"/>
  <c r="H81" i="10"/>
  <c r="Q80" i="10"/>
  <c r="O80" i="10"/>
  <c r="J80" i="10"/>
  <c r="H80" i="10"/>
  <c r="Q79" i="10"/>
  <c r="O79" i="10"/>
  <c r="J79" i="10"/>
  <c r="H79" i="10"/>
  <c r="Q78" i="10"/>
  <c r="O78" i="10"/>
  <c r="J78" i="10"/>
  <c r="H78" i="10"/>
  <c r="Q77" i="10"/>
  <c r="O77" i="10"/>
  <c r="J77" i="10"/>
  <c r="H77" i="10"/>
  <c r="Q76" i="10"/>
  <c r="O76" i="10"/>
  <c r="J76" i="10"/>
  <c r="H76" i="10"/>
  <c r="Q75" i="10"/>
  <c r="O75" i="10"/>
  <c r="J75" i="10"/>
  <c r="H75" i="10"/>
  <c r="Q74" i="10"/>
  <c r="O74" i="10"/>
  <c r="J74" i="10"/>
  <c r="H74" i="10"/>
  <c r="N71" i="10"/>
  <c r="M71" i="10"/>
  <c r="G71" i="10"/>
  <c r="E71" i="10"/>
  <c r="C71" i="10"/>
  <c r="B71" i="10"/>
  <c r="Q70" i="10"/>
  <c r="J70" i="10"/>
  <c r="F70" i="10"/>
  <c r="D70" i="10"/>
  <c r="Q69" i="10"/>
  <c r="J69" i="10"/>
  <c r="F69" i="10"/>
  <c r="D69" i="10"/>
  <c r="Q68" i="10"/>
  <c r="J68" i="10"/>
  <c r="F68" i="10"/>
  <c r="D68" i="10"/>
  <c r="Q67" i="10"/>
  <c r="J67" i="10"/>
  <c r="F67" i="10"/>
  <c r="D67" i="10"/>
  <c r="Q66" i="10"/>
  <c r="J66" i="10"/>
  <c r="F66" i="10"/>
  <c r="D66" i="10"/>
  <c r="Q65" i="10"/>
  <c r="J65" i="10"/>
  <c r="F65" i="10"/>
  <c r="D65" i="10"/>
  <c r="Q64" i="10"/>
  <c r="J64" i="10"/>
  <c r="F64" i="10"/>
  <c r="D64" i="10"/>
  <c r="Q63" i="10"/>
  <c r="J63" i="10"/>
  <c r="F63" i="10"/>
  <c r="D63" i="10"/>
  <c r="Q62" i="10"/>
  <c r="J62" i="10"/>
  <c r="F62" i="10"/>
  <c r="D62" i="10"/>
  <c r="Q61" i="10"/>
  <c r="J61" i="10"/>
  <c r="F61" i="10"/>
  <c r="D61" i="10"/>
  <c r="Q60" i="10"/>
  <c r="J60" i="10"/>
  <c r="F60" i="10"/>
  <c r="D60" i="10"/>
  <c r="Q59" i="10"/>
  <c r="J59" i="10"/>
  <c r="F59" i="10"/>
  <c r="D59" i="10"/>
  <c r="Q58" i="10"/>
  <c r="N58" i="10"/>
  <c r="J58" i="10"/>
  <c r="G58" i="10"/>
  <c r="F58" i="10"/>
  <c r="Q57" i="10"/>
  <c r="N57" i="10"/>
  <c r="J57" i="10"/>
  <c r="G57" i="10"/>
  <c r="F57" i="10"/>
  <c r="Q56" i="10"/>
  <c r="N56" i="10"/>
  <c r="J56" i="10"/>
  <c r="G56" i="10"/>
  <c r="F56" i="10"/>
  <c r="Q55" i="10"/>
  <c r="N55" i="10"/>
  <c r="J55" i="10"/>
  <c r="G55" i="10"/>
  <c r="F55" i="10"/>
  <c r="Q54" i="10"/>
  <c r="N54" i="10"/>
  <c r="J54" i="10"/>
  <c r="G54" i="10"/>
  <c r="F54" i="10"/>
  <c r="Q53" i="10"/>
  <c r="N53" i="10"/>
  <c r="J53" i="10"/>
  <c r="G53" i="10"/>
  <c r="F53" i="10"/>
  <c r="Q52" i="10"/>
  <c r="N52" i="10"/>
  <c r="J52" i="10"/>
  <c r="G52" i="10"/>
  <c r="F52" i="10"/>
  <c r="Q51" i="10"/>
  <c r="N51" i="10"/>
  <c r="J51" i="10"/>
  <c r="G51" i="10"/>
  <c r="F51" i="10"/>
  <c r="Q50" i="10"/>
  <c r="N50" i="10"/>
  <c r="J50" i="10"/>
  <c r="G50" i="10"/>
  <c r="F50" i="10"/>
  <c r="Q49" i="10"/>
  <c r="N49" i="10"/>
  <c r="J49" i="10"/>
  <c r="G49" i="10"/>
  <c r="F49" i="10"/>
  <c r="N48" i="10"/>
  <c r="L48" i="10"/>
  <c r="Q48" i="10" s="1"/>
  <c r="J48" i="10"/>
  <c r="G48" i="10"/>
  <c r="F48" i="10"/>
  <c r="Q47" i="10"/>
  <c r="N47" i="10"/>
  <c r="L47" i="10"/>
  <c r="J47" i="10"/>
  <c r="G47" i="10"/>
  <c r="F47" i="10"/>
  <c r="N46" i="10"/>
  <c r="L46" i="10"/>
  <c r="Q46" i="10" s="1"/>
  <c r="J46" i="10"/>
  <c r="G46" i="10"/>
  <c r="F46" i="10"/>
  <c r="Q45" i="10"/>
  <c r="N45" i="10"/>
  <c r="L45" i="10"/>
  <c r="J45" i="10"/>
  <c r="G45" i="10"/>
  <c r="F45" i="10"/>
  <c r="N44" i="10"/>
  <c r="L44" i="10"/>
  <c r="Q44" i="10" s="1"/>
  <c r="J44" i="10"/>
  <c r="G44" i="10"/>
  <c r="F44" i="10"/>
  <c r="Q43" i="10"/>
  <c r="N43" i="10"/>
  <c r="L43" i="10"/>
  <c r="J43" i="10"/>
  <c r="G43" i="10"/>
  <c r="F43" i="10"/>
  <c r="Q42" i="10"/>
  <c r="N42" i="10"/>
  <c r="J42" i="10"/>
  <c r="G42" i="10"/>
  <c r="F42" i="10"/>
  <c r="Q41" i="10"/>
  <c r="N41" i="10"/>
  <c r="J41" i="10"/>
  <c r="G41" i="10"/>
  <c r="F41" i="10"/>
  <c r="Q40" i="10"/>
  <c r="N40" i="10"/>
  <c r="J40" i="10"/>
  <c r="G40" i="10"/>
  <c r="F40" i="10"/>
  <c r="Q39" i="10"/>
  <c r="N39" i="10"/>
  <c r="J39" i="10"/>
  <c r="G39" i="10"/>
  <c r="F39" i="10"/>
  <c r="Q38" i="10"/>
  <c r="N38" i="10"/>
  <c r="J38" i="10"/>
  <c r="G38" i="10"/>
  <c r="F38" i="10"/>
  <c r="Q37" i="10"/>
  <c r="N37" i="10"/>
  <c r="J37" i="10"/>
  <c r="G37" i="10"/>
  <c r="F37" i="10"/>
  <c r="Q36" i="10"/>
  <c r="J36" i="10"/>
  <c r="F36" i="10"/>
  <c r="Q35" i="10"/>
  <c r="N35" i="10"/>
  <c r="J35" i="10"/>
  <c r="G35" i="10"/>
  <c r="F35" i="10"/>
  <c r="Q34" i="10"/>
  <c r="N34" i="10"/>
  <c r="J34" i="10"/>
  <c r="G34" i="10"/>
  <c r="F34" i="10"/>
  <c r="Q33" i="10"/>
  <c r="J33" i="10"/>
  <c r="F33" i="10"/>
  <c r="Q32" i="10"/>
  <c r="N32" i="10"/>
  <c r="J32" i="10"/>
  <c r="G32" i="10"/>
  <c r="F32" i="10"/>
  <c r="Q31" i="10"/>
  <c r="N31" i="10"/>
  <c r="J31" i="10"/>
  <c r="G31" i="10"/>
  <c r="F31" i="10"/>
  <c r="Q30" i="10"/>
  <c r="N30" i="10"/>
  <c r="J30" i="10"/>
  <c r="G30" i="10"/>
  <c r="F30" i="10"/>
  <c r="Q29" i="10"/>
  <c r="N29" i="10"/>
  <c r="J29" i="10"/>
  <c r="G29" i="10"/>
  <c r="F29" i="10"/>
  <c r="Q28" i="10"/>
  <c r="N28" i="10"/>
  <c r="J28" i="10"/>
  <c r="G28" i="10"/>
  <c r="F28" i="10"/>
  <c r="Q27" i="10"/>
  <c r="N27" i="10"/>
  <c r="J27" i="10"/>
  <c r="G27" i="10"/>
  <c r="F27" i="10"/>
  <c r="Q26" i="10"/>
  <c r="N26" i="10"/>
  <c r="J26" i="10"/>
  <c r="G26" i="10"/>
  <c r="F26" i="10"/>
  <c r="Q25" i="10"/>
  <c r="N25" i="10"/>
  <c r="J25" i="10"/>
  <c r="G25" i="10"/>
  <c r="F25" i="10"/>
  <c r="Q24" i="10"/>
  <c r="N24" i="10"/>
  <c r="J24" i="10"/>
  <c r="G24" i="10"/>
  <c r="F24" i="10"/>
  <c r="Q23" i="10"/>
  <c r="N23" i="10"/>
  <c r="J23" i="10"/>
  <c r="G23" i="10"/>
  <c r="F23" i="10"/>
  <c r="Q22" i="10"/>
  <c r="N22" i="10"/>
  <c r="J22" i="10"/>
  <c r="G22" i="10"/>
  <c r="F22" i="10"/>
  <c r="Q21" i="10"/>
  <c r="N21" i="10"/>
  <c r="J21" i="10"/>
  <c r="G21" i="10"/>
  <c r="F21" i="10"/>
  <c r="Q20" i="10"/>
  <c r="N20" i="10"/>
  <c r="J20" i="10"/>
  <c r="G20" i="10"/>
  <c r="F20" i="10"/>
  <c r="Q19" i="10"/>
  <c r="N19" i="10"/>
  <c r="J19" i="10"/>
  <c r="G19" i="10"/>
  <c r="F19" i="10"/>
  <c r="Q18" i="10"/>
  <c r="N18" i="10"/>
  <c r="J18" i="10"/>
  <c r="G18" i="10"/>
  <c r="F18" i="10"/>
  <c r="Q17" i="10"/>
  <c r="N17" i="10"/>
  <c r="J17" i="10"/>
  <c r="G17" i="10"/>
  <c r="F17" i="10"/>
  <c r="Q16" i="10"/>
  <c r="N16" i="10"/>
  <c r="J16" i="10"/>
  <c r="G16" i="10"/>
  <c r="F16" i="10"/>
  <c r="Q15" i="10"/>
  <c r="F15" i="10"/>
  <c r="E15" i="10"/>
  <c r="Q14" i="10"/>
  <c r="N14" i="10"/>
  <c r="J14" i="10"/>
  <c r="G14" i="10"/>
  <c r="F14" i="10"/>
  <c r="Q13" i="10"/>
  <c r="N13" i="10"/>
  <c r="J13" i="10"/>
  <c r="G13" i="10"/>
  <c r="F13" i="10"/>
  <c r="Q12" i="10"/>
  <c r="N12" i="10"/>
  <c r="J12" i="10"/>
  <c r="G12" i="10"/>
  <c r="F12" i="10"/>
  <c r="Q11" i="10"/>
  <c r="O11" i="10"/>
  <c r="N11" i="10"/>
  <c r="J11" i="10"/>
  <c r="H11" i="10"/>
  <c r="G11" i="10"/>
  <c r="F11" i="10"/>
  <c r="Q10" i="10"/>
  <c r="O10" i="10"/>
  <c r="N10" i="10"/>
  <c r="J10" i="10"/>
  <c r="H10" i="10"/>
  <c r="G10" i="10"/>
  <c r="F10" i="10"/>
  <c r="Q9" i="10"/>
  <c r="O9" i="10"/>
  <c r="N9" i="10"/>
  <c r="J9" i="10"/>
  <c r="G9" i="10"/>
  <c r="C9" i="10"/>
  <c r="B9" i="10"/>
  <c r="B15" i="10" s="1"/>
  <c r="Q8" i="10"/>
  <c r="O8" i="10"/>
  <c r="N8" i="10"/>
  <c r="J8" i="10"/>
  <c r="H8" i="10"/>
  <c r="G8" i="10"/>
  <c r="F8" i="10"/>
  <c r="Q7" i="10"/>
  <c r="O7" i="10"/>
  <c r="N7" i="10"/>
  <c r="J7" i="10"/>
  <c r="H7" i="10"/>
  <c r="G7" i="10"/>
  <c r="F7" i="10"/>
  <c r="Q6" i="10"/>
  <c r="O6" i="10"/>
  <c r="N6" i="10"/>
  <c r="J6" i="10"/>
  <c r="H6" i="10"/>
  <c r="G6" i="10"/>
  <c r="F6" i="10"/>
  <c r="Q5" i="10"/>
  <c r="O5" i="10"/>
  <c r="N5" i="10"/>
  <c r="J5" i="10"/>
  <c r="H5" i="10"/>
  <c r="G5" i="10"/>
  <c r="F5" i="10"/>
  <c r="Q4" i="10"/>
  <c r="O4" i="10"/>
  <c r="N4" i="10"/>
  <c r="J4" i="10"/>
  <c r="H4" i="10"/>
  <c r="G4" i="10"/>
  <c r="F4" i="10"/>
  <c r="Q3" i="10"/>
  <c r="O3" i="10"/>
  <c r="N3" i="10"/>
  <c r="N15" i="10" s="1"/>
  <c r="J3" i="10"/>
  <c r="H3" i="10"/>
  <c r="G3" i="10"/>
  <c r="G15" i="10" s="1"/>
  <c r="F3" i="10"/>
  <c r="R177" i="8"/>
  <c r="N177" i="8"/>
  <c r="M177" i="8"/>
  <c r="K177" i="8"/>
  <c r="E177" i="8"/>
  <c r="R176" i="8"/>
  <c r="N176" i="8"/>
  <c r="M176" i="8"/>
  <c r="K176" i="8"/>
  <c r="E176" i="8"/>
  <c r="R175" i="8"/>
  <c r="N175" i="8"/>
  <c r="M175" i="8"/>
  <c r="K175" i="8"/>
  <c r="E175" i="8"/>
  <c r="R174" i="8"/>
  <c r="N174" i="8"/>
  <c r="M174" i="8"/>
  <c r="K174" i="8"/>
  <c r="E174" i="8"/>
  <c r="R173" i="8"/>
  <c r="N173" i="8"/>
  <c r="M173" i="8"/>
  <c r="K173" i="8"/>
  <c r="E173" i="8"/>
  <c r="R172" i="8"/>
  <c r="N172" i="8"/>
  <c r="M172" i="8"/>
  <c r="K172" i="8"/>
  <c r="E172" i="8"/>
  <c r="R171" i="8"/>
  <c r="N171" i="8"/>
  <c r="M171" i="8"/>
  <c r="K171" i="8"/>
  <c r="E171" i="8"/>
  <c r="N170" i="8"/>
  <c r="M170" i="8"/>
  <c r="K170" i="8"/>
  <c r="E170" i="8"/>
  <c r="N169" i="8"/>
  <c r="M169" i="8"/>
  <c r="K169" i="8"/>
  <c r="E169" i="8"/>
  <c r="N168" i="8"/>
  <c r="M168" i="8"/>
  <c r="K168" i="8"/>
  <c r="E168" i="8"/>
  <c r="N167" i="8"/>
  <c r="M167" i="8"/>
  <c r="K167" i="8"/>
  <c r="E167" i="8"/>
  <c r="N166" i="8"/>
  <c r="M166" i="8"/>
  <c r="K166" i="8"/>
  <c r="E166" i="8"/>
  <c r="P165" i="8"/>
  <c r="N165" i="8"/>
  <c r="M165" i="8"/>
  <c r="K165" i="8"/>
  <c r="E165" i="8"/>
  <c r="P164" i="8"/>
  <c r="N164" i="8"/>
  <c r="M164" i="8"/>
  <c r="K164" i="8"/>
  <c r="E164" i="8"/>
  <c r="P163" i="8"/>
  <c r="N163" i="8"/>
  <c r="M163" i="8"/>
  <c r="K163" i="8"/>
  <c r="E163" i="8"/>
  <c r="P162" i="8"/>
  <c r="N162" i="8"/>
  <c r="M162" i="8"/>
  <c r="K162" i="8"/>
  <c r="E162" i="8"/>
  <c r="P161" i="8"/>
  <c r="N161" i="8"/>
  <c r="M161" i="8"/>
  <c r="K161" i="8"/>
  <c r="E161" i="8"/>
  <c r="P160" i="8"/>
  <c r="N160" i="8"/>
  <c r="M160" i="8"/>
  <c r="K160" i="8"/>
  <c r="E160" i="8"/>
  <c r="N159" i="8"/>
  <c r="M159" i="8"/>
  <c r="K159" i="8"/>
  <c r="E159" i="8"/>
  <c r="N158" i="8"/>
  <c r="M158" i="8"/>
  <c r="K158" i="8"/>
  <c r="E158" i="8"/>
  <c r="N157" i="8"/>
  <c r="M157" i="8"/>
  <c r="K157" i="8"/>
  <c r="E157" i="8"/>
  <c r="N156" i="8"/>
  <c r="M156" i="8"/>
  <c r="K156" i="8"/>
  <c r="N155" i="8"/>
  <c r="M155" i="8"/>
  <c r="K155" i="8"/>
  <c r="N154" i="8"/>
  <c r="M154" i="8"/>
  <c r="K154" i="8"/>
  <c r="N153" i="8"/>
  <c r="M153" i="8"/>
  <c r="K153" i="8"/>
  <c r="M152" i="8"/>
  <c r="K152" i="8"/>
  <c r="N151" i="8"/>
  <c r="M151" i="8"/>
  <c r="N150" i="8"/>
  <c r="M150" i="8"/>
  <c r="K150" i="8"/>
  <c r="N149" i="8"/>
  <c r="M149" i="8"/>
  <c r="K149" i="8"/>
  <c r="N148" i="8"/>
  <c r="M148" i="8"/>
  <c r="K148" i="8"/>
  <c r="N147" i="8"/>
  <c r="M147" i="8"/>
  <c r="K147" i="8"/>
  <c r="N146" i="8"/>
  <c r="M146" i="8"/>
  <c r="K146" i="8"/>
  <c r="N145" i="8"/>
  <c r="M145" i="8"/>
  <c r="N144" i="8"/>
  <c r="M144" i="8"/>
  <c r="M143" i="8"/>
  <c r="B143" i="8"/>
  <c r="N142" i="8"/>
  <c r="B142" i="8"/>
  <c r="M142" i="8" s="1"/>
  <c r="N141" i="8"/>
  <c r="M141" i="8"/>
  <c r="K141" i="8"/>
  <c r="N140" i="8"/>
  <c r="M140" i="8"/>
  <c r="N139" i="8"/>
  <c r="M139" i="8"/>
  <c r="N138" i="8"/>
  <c r="D138" i="8"/>
  <c r="M138" i="8" s="1"/>
  <c r="N137" i="8"/>
  <c r="M137" i="8"/>
  <c r="D137" i="8"/>
  <c r="N136" i="8"/>
  <c r="M136" i="8"/>
  <c r="N135" i="8"/>
  <c r="D135" i="8"/>
  <c r="M135" i="8" s="1"/>
  <c r="N134" i="8"/>
  <c r="M134" i="8"/>
  <c r="L133" i="8"/>
  <c r="D133" i="8"/>
  <c r="M133" i="8" s="1"/>
  <c r="B133" i="8"/>
  <c r="M132" i="8"/>
  <c r="L132" i="8"/>
  <c r="D132" i="8"/>
  <c r="B132" i="8"/>
  <c r="N132" i="8" s="1"/>
  <c r="N131" i="8"/>
  <c r="L131" i="8"/>
  <c r="D131" i="8"/>
  <c r="B131" i="8"/>
  <c r="M131" i="8" s="1"/>
  <c r="L130" i="8"/>
  <c r="I130" i="8"/>
  <c r="D130" i="8"/>
  <c r="N130" i="8" s="1"/>
  <c r="B130" i="8"/>
  <c r="M129" i="8"/>
  <c r="L129" i="8"/>
  <c r="D129" i="8"/>
  <c r="B129" i="8"/>
  <c r="N128" i="8"/>
  <c r="L128" i="8"/>
  <c r="I128" i="8"/>
  <c r="B128" i="8"/>
  <c r="M128" i="8" s="1"/>
  <c r="L127" i="8"/>
  <c r="I127" i="8"/>
  <c r="D127" i="8"/>
  <c r="B127" i="8"/>
  <c r="N127" i="8" s="1"/>
  <c r="D126" i="8"/>
  <c r="N126" i="8" s="1"/>
  <c r="B126" i="8"/>
  <c r="I126" i="8" s="1"/>
  <c r="I125" i="8"/>
  <c r="D125" i="8"/>
  <c r="B125" i="8"/>
  <c r="N125" i="8" s="1"/>
  <c r="D124" i="8"/>
  <c r="N124" i="8" s="1"/>
  <c r="B124" i="8"/>
  <c r="I124" i="8" s="1"/>
  <c r="L123" i="8"/>
  <c r="I123" i="8"/>
  <c r="D123" i="8"/>
  <c r="B123" i="8"/>
  <c r="N123" i="8" s="1"/>
  <c r="D122" i="8"/>
  <c r="N122" i="8" s="1"/>
  <c r="B122" i="8"/>
  <c r="I122" i="8" s="1"/>
  <c r="R119" i="8"/>
  <c r="N119" i="8"/>
  <c r="M119" i="8"/>
  <c r="K119" i="8"/>
  <c r="E119" i="8"/>
  <c r="R118" i="8"/>
  <c r="N118" i="8"/>
  <c r="M118" i="8"/>
  <c r="K118" i="8"/>
  <c r="E118" i="8"/>
  <c r="R117" i="8"/>
  <c r="N117" i="8"/>
  <c r="M117" i="8"/>
  <c r="K117" i="8"/>
  <c r="E117" i="8"/>
  <c r="R116" i="8"/>
  <c r="N116" i="8"/>
  <c r="M116" i="8"/>
  <c r="K116" i="8"/>
  <c r="E116" i="8"/>
  <c r="R115" i="8"/>
  <c r="N115" i="8"/>
  <c r="M115" i="8"/>
  <c r="K115" i="8"/>
  <c r="E115" i="8"/>
  <c r="R114" i="8"/>
  <c r="N114" i="8"/>
  <c r="M114" i="8"/>
  <c r="K114" i="8"/>
  <c r="E114" i="8"/>
  <c r="R113" i="8"/>
  <c r="N113" i="8"/>
  <c r="M113" i="8"/>
  <c r="K113" i="8"/>
  <c r="E113" i="8"/>
  <c r="N112" i="8"/>
  <c r="M112" i="8"/>
  <c r="K112" i="8"/>
  <c r="E112" i="8"/>
  <c r="N111" i="8"/>
  <c r="M111" i="8"/>
  <c r="K111" i="8"/>
  <c r="E111" i="8"/>
  <c r="N110" i="8"/>
  <c r="M110" i="8"/>
  <c r="K110" i="8"/>
  <c r="E110" i="8"/>
  <c r="N109" i="8"/>
  <c r="M109" i="8"/>
  <c r="K109" i="8"/>
  <c r="E109" i="8"/>
  <c r="N108" i="8"/>
  <c r="M108" i="8"/>
  <c r="K108" i="8"/>
  <c r="E108" i="8"/>
  <c r="N107" i="8"/>
  <c r="M107" i="8"/>
  <c r="K107" i="8"/>
  <c r="E107" i="8"/>
  <c r="N106" i="8"/>
  <c r="M106" i="8"/>
  <c r="K106" i="8"/>
  <c r="E106" i="8"/>
  <c r="N105" i="8"/>
  <c r="M105" i="8"/>
  <c r="K105" i="8"/>
  <c r="N104" i="8"/>
  <c r="M104" i="8"/>
  <c r="K104" i="8"/>
  <c r="N103" i="8"/>
  <c r="M103" i="8"/>
  <c r="K103" i="8"/>
  <c r="N102" i="8"/>
  <c r="M102" i="8"/>
  <c r="K102" i="8"/>
  <c r="N101" i="8"/>
  <c r="M101" i="8"/>
  <c r="K101" i="8"/>
  <c r="N100" i="8"/>
  <c r="M100" i="8"/>
  <c r="K100" i="8"/>
  <c r="N99" i="8"/>
  <c r="M99" i="8"/>
  <c r="K99" i="8"/>
  <c r="N98" i="8"/>
  <c r="M98" i="8"/>
  <c r="K98" i="8"/>
  <c r="N97" i="8"/>
  <c r="M97" i="8"/>
  <c r="N96" i="8"/>
  <c r="M96" i="8"/>
  <c r="N95" i="8"/>
  <c r="M95" i="8"/>
  <c r="M94" i="8"/>
  <c r="N93" i="8"/>
  <c r="M93" i="8"/>
  <c r="N92" i="8"/>
  <c r="M92" i="8"/>
  <c r="N91" i="8"/>
  <c r="M91" i="8"/>
  <c r="N90" i="8"/>
  <c r="M90" i="8"/>
  <c r="N89" i="8"/>
  <c r="M89" i="8"/>
  <c r="G89" i="8"/>
  <c r="N88" i="8"/>
  <c r="M88" i="8"/>
  <c r="G88" i="8"/>
  <c r="N87" i="8"/>
  <c r="M87" i="8"/>
  <c r="G87" i="8"/>
  <c r="N86" i="8"/>
  <c r="M86" i="8"/>
  <c r="L143" i="8" s="1"/>
  <c r="G86" i="8"/>
  <c r="N85" i="8"/>
  <c r="M85" i="8"/>
  <c r="L142" i="8" s="1"/>
  <c r="G85" i="8"/>
  <c r="N84" i="8"/>
  <c r="M84" i="8"/>
  <c r="G84" i="8"/>
  <c r="N83" i="8"/>
  <c r="M83" i="8"/>
  <c r="N82" i="8"/>
  <c r="M82" i="8"/>
  <c r="N81" i="8"/>
  <c r="M81" i="8"/>
  <c r="N80" i="8"/>
  <c r="M80" i="8"/>
  <c r="N79" i="8"/>
  <c r="M79" i="8"/>
  <c r="N78" i="8"/>
  <c r="M78" i="8"/>
  <c r="N77" i="8"/>
  <c r="M77" i="8"/>
  <c r="N76" i="8"/>
  <c r="M76" i="8"/>
  <c r="N75" i="8"/>
  <c r="M75" i="8"/>
  <c r="N74" i="8"/>
  <c r="M74" i="8"/>
  <c r="N73" i="8"/>
  <c r="M73" i="8"/>
  <c r="N72" i="8"/>
  <c r="M72" i="8"/>
  <c r="I72" i="8"/>
  <c r="N71" i="8"/>
  <c r="M71" i="8"/>
  <c r="I71" i="8"/>
  <c r="N70" i="8"/>
  <c r="M70" i="8"/>
  <c r="I70" i="8"/>
  <c r="N69" i="8"/>
  <c r="M69" i="8"/>
  <c r="I69" i="8"/>
  <c r="N68" i="8"/>
  <c r="M68" i="8"/>
  <c r="L126" i="8" s="1"/>
  <c r="I68" i="8"/>
  <c r="N67" i="8"/>
  <c r="M67" i="8"/>
  <c r="L125" i="8" s="1"/>
  <c r="I67" i="8"/>
  <c r="N66" i="8"/>
  <c r="M66" i="8"/>
  <c r="L124" i="8" s="1"/>
  <c r="I66" i="8"/>
  <c r="N65" i="8"/>
  <c r="M65" i="8"/>
  <c r="I65" i="8"/>
  <c r="N64" i="8"/>
  <c r="M64" i="8"/>
  <c r="L122" i="8" s="1"/>
  <c r="I64" i="8"/>
  <c r="Q61" i="8"/>
  <c r="R61" i="8" s="1"/>
  <c r="L61" i="8"/>
  <c r="D61" i="8"/>
  <c r="N61" i="8" s="1"/>
  <c r="B61" i="8"/>
  <c r="M61" i="8" s="1"/>
  <c r="T60" i="8"/>
  <c r="R60" i="8"/>
  <c r="N60" i="8"/>
  <c r="M60" i="8"/>
  <c r="K60" i="8"/>
  <c r="H60" i="8"/>
  <c r="G60" i="8"/>
  <c r="E60" i="8"/>
  <c r="C60" i="8"/>
  <c r="F60" i="8" s="1"/>
  <c r="T59" i="8"/>
  <c r="R59" i="8"/>
  <c r="N59" i="8"/>
  <c r="M59" i="8"/>
  <c r="K59" i="8"/>
  <c r="G59" i="8"/>
  <c r="F59" i="8"/>
  <c r="E59" i="8"/>
  <c r="C59" i="8"/>
  <c r="H59" i="8" s="1"/>
  <c r="T58" i="8"/>
  <c r="R58" i="8"/>
  <c r="N58" i="8"/>
  <c r="M58" i="8"/>
  <c r="K58" i="8"/>
  <c r="H58" i="8"/>
  <c r="E58" i="8"/>
  <c r="C58" i="8"/>
  <c r="F58" i="8" s="1"/>
  <c r="T57" i="8"/>
  <c r="R57" i="8"/>
  <c r="N57" i="8"/>
  <c r="M57" i="8"/>
  <c r="K57" i="8"/>
  <c r="G57" i="8"/>
  <c r="F57" i="8"/>
  <c r="E57" i="8"/>
  <c r="C57" i="8"/>
  <c r="H57" i="8" s="1"/>
  <c r="T56" i="8"/>
  <c r="R56" i="8"/>
  <c r="N56" i="8"/>
  <c r="M56" i="8"/>
  <c r="K56" i="8"/>
  <c r="H56" i="8"/>
  <c r="G56" i="8"/>
  <c r="E56" i="8"/>
  <c r="C56" i="8"/>
  <c r="F56" i="8" s="1"/>
  <c r="R55" i="8"/>
  <c r="N55" i="8"/>
  <c r="M55" i="8"/>
  <c r="K55" i="8"/>
  <c r="H55" i="8"/>
  <c r="F55" i="8"/>
  <c r="E55" i="8"/>
  <c r="C55" i="8"/>
  <c r="G55" i="8" s="1"/>
  <c r="R54" i="8"/>
  <c r="N54" i="8"/>
  <c r="M54" i="8"/>
  <c r="K54" i="8"/>
  <c r="G54" i="8"/>
  <c r="F54" i="8"/>
  <c r="E54" i="8"/>
  <c r="C54" i="8"/>
  <c r="H54" i="8" s="1"/>
  <c r="N53" i="8"/>
  <c r="M53" i="8"/>
  <c r="K53" i="8"/>
  <c r="G53" i="8"/>
  <c r="F53" i="8"/>
  <c r="E53" i="8"/>
  <c r="C53" i="8"/>
  <c r="H53" i="8" s="1"/>
  <c r="N52" i="8"/>
  <c r="M52" i="8"/>
  <c r="K52" i="8"/>
  <c r="G52" i="8"/>
  <c r="F52" i="8"/>
  <c r="E52" i="8"/>
  <c r="C52" i="8"/>
  <c r="H52" i="8" s="1"/>
  <c r="N51" i="8"/>
  <c r="M51" i="8"/>
  <c r="K51" i="8"/>
  <c r="K61" i="8" s="1"/>
  <c r="G51" i="8"/>
  <c r="F51" i="8"/>
  <c r="E51" i="8"/>
  <c r="C51" i="8"/>
  <c r="H51" i="8" s="1"/>
  <c r="N50" i="8"/>
  <c r="M50" i="8"/>
  <c r="K50" i="8"/>
  <c r="G50" i="8"/>
  <c r="F50" i="8"/>
  <c r="E50" i="8"/>
  <c r="C50" i="8"/>
  <c r="H50" i="8" s="1"/>
  <c r="N49" i="8"/>
  <c r="M49" i="8"/>
  <c r="K49" i="8"/>
  <c r="G49" i="8"/>
  <c r="F49" i="8"/>
  <c r="E49" i="8"/>
  <c r="C49" i="8"/>
  <c r="H49" i="8" s="1"/>
  <c r="P48" i="8"/>
  <c r="N48" i="8"/>
  <c r="M48" i="8"/>
  <c r="K48" i="8"/>
  <c r="C48" i="8"/>
  <c r="E48" i="8" s="1"/>
  <c r="P47" i="8"/>
  <c r="N47" i="8"/>
  <c r="M47" i="8"/>
  <c r="K47" i="8"/>
  <c r="C47" i="8"/>
  <c r="F47" i="8" s="1"/>
  <c r="P46" i="8"/>
  <c r="N46" i="8"/>
  <c r="M46" i="8"/>
  <c r="K46" i="8"/>
  <c r="C46" i="8"/>
  <c r="G46" i="8" s="1"/>
  <c r="P45" i="8"/>
  <c r="N45" i="8"/>
  <c r="M45" i="8"/>
  <c r="K45" i="8"/>
  <c r="G45" i="8"/>
  <c r="F45" i="8"/>
  <c r="E45" i="8"/>
  <c r="C45" i="8"/>
  <c r="H45" i="8" s="1"/>
  <c r="P44" i="8"/>
  <c r="N44" i="8"/>
  <c r="M44" i="8"/>
  <c r="K44" i="8"/>
  <c r="C44" i="8"/>
  <c r="E44" i="8" s="1"/>
  <c r="P43" i="8"/>
  <c r="N43" i="8"/>
  <c r="M43" i="8"/>
  <c r="K43" i="8"/>
  <c r="C43" i="8"/>
  <c r="F43" i="8" s="1"/>
  <c r="N42" i="8"/>
  <c r="M42" i="8"/>
  <c r="K42" i="8"/>
  <c r="H42" i="8"/>
  <c r="E42" i="8"/>
  <c r="C42" i="8"/>
  <c r="F42" i="8" s="1"/>
  <c r="N41" i="8"/>
  <c r="M41" i="8"/>
  <c r="K41" i="8"/>
  <c r="G41" i="8"/>
  <c r="C41" i="8"/>
  <c r="F41" i="8" s="1"/>
  <c r="N40" i="8"/>
  <c r="M40" i="8"/>
  <c r="K40" i="8"/>
  <c r="H40" i="8"/>
  <c r="G40" i="8"/>
  <c r="E40" i="8"/>
  <c r="C40" i="8"/>
  <c r="F40" i="8" s="1"/>
  <c r="N39" i="8"/>
  <c r="M39" i="8"/>
  <c r="K39" i="8"/>
  <c r="C39" i="8"/>
  <c r="F39" i="8" s="1"/>
  <c r="N38" i="8"/>
  <c r="M38" i="8"/>
  <c r="K38" i="8"/>
  <c r="H38" i="8"/>
  <c r="G38" i="8"/>
  <c r="F38" i="8"/>
  <c r="E38" i="8"/>
  <c r="N37" i="8"/>
  <c r="M37" i="8"/>
  <c r="K37" i="8"/>
  <c r="G37" i="8"/>
  <c r="C37" i="8"/>
  <c r="E37" i="8" s="1"/>
  <c r="N36" i="8"/>
  <c r="M36" i="8"/>
  <c r="K36" i="8"/>
  <c r="E36" i="8"/>
  <c r="N35" i="8"/>
  <c r="M35" i="8"/>
  <c r="K35" i="8"/>
  <c r="H35" i="8"/>
  <c r="G35" i="8"/>
  <c r="F35" i="8"/>
  <c r="C35" i="8"/>
  <c r="E35" i="8" s="1"/>
  <c r="N34" i="8"/>
  <c r="M34" i="8"/>
  <c r="K34" i="8"/>
  <c r="C34" i="8"/>
  <c r="E34" i="8" s="1"/>
  <c r="M33" i="8"/>
  <c r="K33" i="8"/>
  <c r="C33" i="8"/>
  <c r="E33" i="8" s="1"/>
  <c r="N32" i="8"/>
  <c r="M32" i="8"/>
  <c r="K32" i="8"/>
  <c r="G32" i="8"/>
  <c r="C32" i="8"/>
  <c r="E32" i="8" s="1"/>
  <c r="N31" i="8"/>
  <c r="M31" i="8"/>
  <c r="K31" i="8"/>
  <c r="H31" i="8"/>
  <c r="G31" i="8"/>
  <c r="F31" i="8"/>
  <c r="C31" i="8"/>
  <c r="E31" i="8" s="1"/>
  <c r="N30" i="8"/>
  <c r="M30" i="8"/>
  <c r="K30" i="8"/>
  <c r="C30" i="8"/>
  <c r="E30" i="8" s="1"/>
  <c r="N29" i="8"/>
  <c r="M29" i="8"/>
  <c r="K29" i="8"/>
  <c r="H29" i="8"/>
  <c r="F29" i="8"/>
  <c r="C29" i="8"/>
  <c r="E29" i="8" s="1"/>
  <c r="N28" i="8"/>
  <c r="M28" i="8"/>
  <c r="G28" i="8"/>
  <c r="F28" i="8"/>
  <c r="E28" i="8"/>
  <c r="C28" i="8"/>
  <c r="H28" i="8" s="1"/>
  <c r="N27" i="8"/>
  <c r="M27" i="8"/>
  <c r="H27" i="8"/>
  <c r="E27" i="8"/>
  <c r="C27" i="8"/>
  <c r="G27" i="8" s="1"/>
  <c r="N26" i="8"/>
  <c r="M26" i="8"/>
  <c r="K26" i="8"/>
  <c r="F26" i="8"/>
  <c r="C26" i="8"/>
  <c r="G26" i="8" s="1"/>
  <c r="N25" i="8"/>
  <c r="M25" i="8"/>
  <c r="K25" i="8"/>
  <c r="H25" i="8"/>
  <c r="F25" i="8"/>
  <c r="E25" i="8"/>
  <c r="C25" i="8"/>
  <c r="G25" i="8" s="1"/>
  <c r="N24" i="8"/>
  <c r="M24" i="8"/>
  <c r="K24" i="8"/>
  <c r="C24" i="8"/>
  <c r="G24" i="8" s="1"/>
  <c r="N23" i="8"/>
  <c r="M23" i="8"/>
  <c r="G23" i="8"/>
  <c r="C23" i="8"/>
  <c r="F23" i="8" s="1"/>
  <c r="N22" i="8"/>
  <c r="M22" i="8"/>
  <c r="C22" i="8"/>
  <c r="E22" i="8" s="1"/>
  <c r="N21" i="8"/>
  <c r="M21" i="8"/>
  <c r="G21" i="8"/>
  <c r="F21" i="8"/>
  <c r="E21" i="8"/>
  <c r="C21" i="8"/>
  <c r="H21" i="8" s="1"/>
  <c r="N20" i="8"/>
  <c r="M20" i="8"/>
  <c r="C20" i="8"/>
  <c r="G20" i="8" s="1"/>
  <c r="N19" i="8"/>
  <c r="M19" i="8"/>
  <c r="G19" i="8"/>
  <c r="C19" i="8"/>
  <c r="F19" i="8" s="1"/>
  <c r="N18" i="8"/>
  <c r="M18" i="8"/>
  <c r="H18" i="8"/>
  <c r="G18" i="8"/>
  <c r="F18" i="8"/>
  <c r="E18" i="8"/>
  <c r="N17" i="8"/>
  <c r="M17" i="8"/>
  <c r="F17" i="8"/>
  <c r="C17" i="8"/>
  <c r="G17" i="8" s="1"/>
  <c r="N16" i="8"/>
  <c r="M16" i="8"/>
  <c r="C16" i="8"/>
  <c r="F16" i="8" s="1"/>
  <c r="D15" i="8"/>
  <c r="N14" i="8"/>
  <c r="M14" i="8"/>
  <c r="H14" i="8"/>
  <c r="G14" i="8"/>
  <c r="E14" i="8"/>
  <c r="C14" i="8"/>
  <c r="F14" i="8" s="1"/>
  <c r="N13" i="8"/>
  <c r="M13" i="8"/>
  <c r="H13" i="8"/>
  <c r="F13" i="8"/>
  <c r="C13" i="8"/>
  <c r="E13" i="8" s="1"/>
  <c r="N12" i="8"/>
  <c r="M12" i="8"/>
  <c r="G12" i="8"/>
  <c r="F12" i="8"/>
  <c r="E12" i="8"/>
  <c r="C12" i="8"/>
  <c r="H12" i="8" s="1"/>
  <c r="N11" i="8"/>
  <c r="M11" i="8"/>
  <c r="I11" i="8"/>
  <c r="G11" i="8"/>
  <c r="F11" i="8"/>
  <c r="E11" i="8"/>
  <c r="C11" i="8"/>
  <c r="H11" i="8" s="1"/>
  <c r="N10" i="8"/>
  <c r="M10" i="8"/>
  <c r="I10" i="8"/>
  <c r="G10" i="8"/>
  <c r="F10" i="8"/>
  <c r="E10" i="8"/>
  <c r="C10" i="8"/>
  <c r="H10" i="8" s="1"/>
  <c r="L9" i="8"/>
  <c r="L15" i="8" s="1"/>
  <c r="G9" i="8"/>
  <c r="C9" i="8"/>
  <c r="H9" i="8" s="1"/>
  <c r="B9" i="8"/>
  <c r="I9" i="8" s="1"/>
  <c r="N8" i="8"/>
  <c r="M8" i="8"/>
  <c r="I8" i="8"/>
  <c r="C8" i="8"/>
  <c r="G8" i="8" s="1"/>
  <c r="N7" i="8"/>
  <c r="M7" i="8"/>
  <c r="I7" i="8"/>
  <c r="C7" i="8"/>
  <c r="G7" i="8" s="1"/>
  <c r="N6" i="8"/>
  <c r="M6" i="8"/>
  <c r="I6" i="8"/>
  <c r="C6" i="8"/>
  <c r="G6" i="8" s="1"/>
  <c r="N5" i="8"/>
  <c r="M5" i="8"/>
  <c r="I5" i="8"/>
  <c r="C5" i="8"/>
  <c r="G5" i="8" s="1"/>
  <c r="N4" i="8"/>
  <c r="M4" i="8"/>
  <c r="I4" i="8"/>
  <c r="C4" i="8"/>
  <c r="G4" i="8" s="1"/>
  <c r="N3" i="8"/>
  <c r="M3" i="8"/>
  <c r="I3" i="8"/>
  <c r="C3" i="8"/>
  <c r="G3" i="8" s="1"/>
  <c r="J27" i="7"/>
  <c r="D27" i="7"/>
  <c r="C27" i="7"/>
  <c r="J26" i="7"/>
  <c r="I26" i="7"/>
  <c r="D26" i="7"/>
  <c r="C26" i="7"/>
  <c r="J25" i="7"/>
  <c r="I25" i="7"/>
  <c r="G25" i="7"/>
  <c r="D25" i="7"/>
  <c r="C25" i="7"/>
  <c r="J24" i="7"/>
  <c r="I24" i="7"/>
  <c r="G24" i="7"/>
  <c r="D24" i="7"/>
  <c r="C24" i="7"/>
  <c r="J23" i="7"/>
  <c r="I23" i="7"/>
  <c r="G23" i="7"/>
  <c r="D23" i="7"/>
  <c r="C23" i="7"/>
  <c r="J22" i="7"/>
  <c r="I22" i="7"/>
  <c r="G22" i="7"/>
  <c r="D22" i="7"/>
  <c r="C22" i="7"/>
  <c r="J18" i="7"/>
  <c r="E18" i="7"/>
  <c r="D18" i="7"/>
  <c r="C18" i="7"/>
  <c r="J17" i="7"/>
  <c r="I17" i="7"/>
  <c r="E17" i="7"/>
  <c r="D17" i="7"/>
  <c r="C17" i="7"/>
  <c r="J16" i="7"/>
  <c r="I16" i="7"/>
  <c r="H16" i="7"/>
  <c r="G16" i="7"/>
  <c r="E16" i="7"/>
  <c r="D16" i="7"/>
  <c r="C16" i="7"/>
  <c r="J15" i="7"/>
  <c r="I15" i="7"/>
  <c r="H15" i="7"/>
  <c r="G15" i="7"/>
  <c r="E15" i="7"/>
  <c r="D15" i="7"/>
  <c r="C15" i="7"/>
  <c r="J14" i="7"/>
  <c r="I14" i="7"/>
  <c r="H14" i="7"/>
  <c r="G14" i="7"/>
  <c r="E14" i="7"/>
  <c r="D14" i="7"/>
  <c r="C14" i="7"/>
  <c r="J13" i="7"/>
  <c r="I13" i="7"/>
  <c r="H13" i="7"/>
  <c r="G13" i="7"/>
  <c r="E13" i="7"/>
  <c r="D13" i="7"/>
  <c r="C13" i="7"/>
  <c r="J9" i="7"/>
  <c r="E9" i="7"/>
  <c r="D9" i="7"/>
  <c r="C9" i="7"/>
  <c r="J8" i="7"/>
  <c r="I8" i="7"/>
  <c r="E8" i="7"/>
  <c r="D8" i="7"/>
  <c r="C8" i="7"/>
  <c r="J7" i="7"/>
  <c r="I7" i="7"/>
  <c r="H7" i="7"/>
  <c r="G7" i="7"/>
  <c r="E7" i="7"/>
  <c r="D7" i="7"/>
  <c r="C7" i="7"/>
  <c r="J6" i="7"/>
  <c r="I6" i="7"/>
  <c r="H6" i="7"/>
  <c r="G6" i="7"/>
  <c r="E6" i="7"/>
  <c r="D6" i="7"/>
  <c r="C6" i="7"/>
  <c r="J5" i="7"/>
  <c r="I5" i="7"/>
  <c r="H5" i="7"/>
  <c r="G5" i="7"/>
  <c r="E5" i="7"/>
  <c r="D5" i="7"/>
  <c r="C5" i="7"/>
  <c r="J4" i="7"/>
  <c r="I4" i="7"/>
  <c r="H4" i="7"/>
  <c r="G4" i="7"/>
  <c r="E4" i="7"/>
  <c r="D4" i="7"/>
  <c r="C4" i="7"/>
  <c r="P30" i="4"/>
  <c r="N30" i="4"/>
  <c r="M30" i="4"/>
  <c r="K30" i="4"/>
  <c r="Q30" i="4" s="1"/>
  <c r="I30" i="4"/>
  <c r="G30" i="4"/>
  <c r="P29" i="4"/>
  <c r="N29" i="4"/>
  <c r="M29" i="4"/>
  <c r="K29" i="4"/>
  <c r="Q29" i="4" s="1"/>
  <c r="I29" i="4"/>
  <c r="G29" i="4"/>
  <c r="P28" i="4"/>
  <c r="N28" i="4"/>
  <c r="M28" i="4"/>
  <c r="K28" i="4"/>
  <c r="Q28" i="4" s="1"/>
  <c r="I28" i="4"/>
  <c r="G28" i="4"/>
  <c r="P27" i="4"/>
  <c r="N27" i="4"/>
  <c r="M27" i="4"/>
  <c r="K27" i="4"/>
  <c r="Q27" i="4" s="1"/>
  <c r="I27" i="4"/>
  <c r="G27" i="4"/>
  <c r="P26" i="4"/>
  <c r="N26" i="4"/>
  <c r="M26" i="4"/>
  <c r="K26" i="4"/>
  <c r="Q26" i="4" s="1"/>
  <c r="I26" i="4"/>
  <c r="G26" i="4"/>
  <c r="P25" i="4"/>
  <c r="N25" i="4"/>
  <c r="M25" i="4"/>
  <c r="K25" i="4"/>
  <c r="Q25" i="4" s="1"/>
  <c r="I25" i="4"/>
  <c r="G25" i="4"/>
  <c r="E21" i="4"/>
  <c r="C21" i="4"/>
  <c r="E20" i="4"/>
  <c r="C20" i="4"/>
  <c r="E19" i="4"/>
  <c r="C19" i="4"/>
  <c r="E18" i="4"/>
  <c r="C18" i="4"/>
  <c r="E17" i="4"/>
  <c r="C17" i="4"/>
  <c r="E16" i="4"/>
  <c r="C16" i="4"/>
  <c r="Q12" i="4"/>
  <c r="N12" i="4"/>
  <c r="O12" i="4" s="1"/>
  <c r="M12" i="4"/>
  <c r="K12" i="4"/>
  <c r="G12" i="4"/>
  <c r="F12" i="4"/>
  <c r="I12" i="4" s="1"/>
  <c r="E12" i="4"/>
  <c r="C12" i="4"/>
  <c r="I11" i="4"/>
  <c r="G11" i="4"/>
  <c r="E11" i="4"/>
  <c r="C11" i="4"/>
  <c r="I10" i="4"/>
  <c r="G10" i="4"/>
  <c r="E10" i="4"/>
  <c r="C10" i="4"/>
  <c r="I9" i="4"/>
  <c r="G9" i="4"/>
  <c r="E9" i="4"/>
  <c r="C9" i="4"/>
  <c r="I8" i="4"/>
  <c r="G8" i="4"/>
  <c r="E8" i="4"/>
  <c r="C8" i="4"/>
  <c r="I7" i="4"/>
  <c r="G7" i="4"/>
  <c r="E7" i="4"/>
  <c r="C7" i="4"/>
  <c r="I6" i="4"/>
  <c r="G6" i="4"/>
  <c r="E6" i="4"/>
  <c r="C6" i="4"/>
  <c r="P30" i="3"/>
  <c r="N30" i="3"/>
  <c r="M30" i="3"/>
  <c r="K30" i="3"/>
  <c r="Q30" i="3" s="1"/>
  <c r="I30" i="3"/>
  <c r="G30" i="3"/>
  <c r="P29" i="3"/>
  <c r="N29" i="3"/>
  <c r="M29" i="3"/>
  <c r="K29" i="3"/>
  <c r="Q29" i="3" s="1"/>
  <c r="I29" i="3"/>
  <c r="G29" i="3"/>
  <c r="P28" i="3"/>
  <c r="N28" i="3"/>
  <c r="M28" i="3"/>
  <c r="K28" i="3"/>
  <c r="Q28" i="3" s="1"/>
  <c r="I28" i="3"/>
  <c r="G28" i="3"/>
  <c r="P27" i="3"/>
  <c r="N27" i="3"/>
  <c r="M27" i="3"/>
  <c r="K27" i="3"/>
  <c r="Q27" i="3" s="1"/>
  <c r="I27" i="3"/>
  <c r="G27" i="3"/>
  <c r="P26" i="3"/>
  <c r="N26" i="3"/>
  <c r="M26" i="3"/>
  <c r="K26" i="3"/>
  <c r="Q26" i="3" s="1"/>
  <c r="I26" i="3"/>
  <c r="G26" i="3"/>
  <c r="P25" i="3"/>
  <c r="N25" i="3"/>
  <c r="M25" i="3"/>
  <c r="K25" i="3"/>
  <c r="Q25" i="3" s="1"/>
  <c r="I25" i="3"/>
  <c r="G25" i="3"/>
  <c r="E21" i="3"/>
  <c r="C21" i="3"/>
  <c r="E20" i="3"/>
  <c r="C20" i="3"/>
  <c r="E19" i="3"/>
  <c r="C19" i="3"/>
  <c r="E18" i="3"/>
  <c r="C18" i="3"/>
  <c r="E17" i="3"/>
  <c r="C17" i="3"/>
  <c r="E16" i="3"/>
  <c r="C16" i="3"/>
  <c r="Q12" i="3"/>
  <c r="N12" i="3"/>
  <c r="O12" i="3" s="1"/>
  <c r="M12" i="3"/>
  <c r="K12" i="3"/>
  <c r="G12" i="3"/>
  <c r="F12" i="3"/>
  <c r="I12" i="3" s="1"/>
  <c r="E12" i="3"/>
  <c r="C12" i="3"/>
  <c r="I11" i="3"/>
  <c r="G11" i="3"/>
  <c r="E11" i="3"/>
  <c r="C11" i="3"/>
  <c r="I10" i="3"/>
  <c r="G10" i="3"/>
  <c r="E10" i="3"/>
  <c r="C10" i="3"/>
  <c r="I9" i="3"/>
  <c r="G9" i="3"/>
  <c r="E9" i="3"/>
  <c r="C9" i="3"/>
  <c r="I8" i="3"/>
  <c r="G8" i="3"/>
  <c r="E8" i="3"/>
  <c r="C8" i="3"/>
  <c r="I7" i="3"/>
  <c r="G7" i="3"/>
  <c r="E7" i="3"/>
  <c r="C7" i="3"/>
  <c r="I6" i="3"/>
  <c r="G6" i="3"/>
  <c r="E6" i="3"/>
  <c r="C6" i="3"/>
  <c r="P74" i="2"/>
  <c r="N74" i="2"/>
  <c r="M74" i="2"/>
  <c r="K74" i="2"/>
  <c r="Q74" i="2" s="1"/>
  <c r="I74" i="2"/>
  <c r="G74" i="2"/>
  <c r="P73" i="2"/>
  <c r="N73" i="2"/>
  <c r="M73" i="2"/>
  <c r="K73" i="2"/>
  <c r="Q73" i="2" s="1"/>
  <c r="I73" i="2"/>
  <c r="G73" i="2"/>
  <c r="P72" i="2"/>
  <c r="N72" i="2"/>
  <c r="M72" i="2"/>
  <c r="K72" i="2"/>
  <c r="Q72" i="2" s="1"/>
  <c r="I72" i="2"/>
  <c r="G72" i="2"/>
  <c r="P71" i="2"/>
  <c r="N71" i="2"/>
  <c r="M71" i="2"/>
  <c r="K71" i="2"/>
  <c r="Q71" i="2" s="1"/>
  <c r="I71" i="2"/>
  <c r="G71" i="2"/>
  <c r="P70" i="2"/>
  <c r="N70" i="2"/>
  <c r="M70" i="2"/>
  <c r="K70" i="2"/>
  <c r="Q70" i="2" s="1"/>
  <c r="I70" i="2"/>
  <c r="G70" i="2"/>
  <c r="P69" i="2"/>
  <c r="N69" i="2"/>
  <c r="M69" i="2"/>
  <c r="K69" i="2"/>
  <c r="Q69" i="2" s="1"/>
  <c r="I69" i="2"/>
  <c r="G69" i="2"/>
  <c r="E66" i="2"/>
  <c r="C66" i="2"/>
  <c r="E65" i="2"/>
  <c r="C65" i="2"/>
  <c r="E64" i="2"/>
  <c r="C64" i="2"/>
  <c r="E63" i="2"/>
  <c r="C63" i="2"/>
  <c r="E62" i="2"/>
  <c r="C62" i="2"/>
  <c r="E61" i="2"/>
  <c r="C61" i="2"/>
  <c r="I58" i="2"/>
  <c r="G58" i="2"/>
  <c r="E58" i="2"/>
  <c r="C58" i="2"/>
  <c r="I57" i="2"/>
  <c r="G57" i="2"/>
  <c r="E57" i="2"/>
  <c r="C57" i="2"/>
  <c r="I56" i="2"/>
  <c r="G56" i="2"/>
  <c r="E56" i="2"/>
  <c r="C56" i="2"/>
  <c r="I55" i="2"/>
  <c r="G55" i="2"/>
  <c r="E55" i="2"/>
  <c r="C55" i="2"/>
  <c r="I54" i="2"/>
  <c r="G54" i="2"/>
  <c r="E54" i="2"/>
  <c r="C54" i="2"/>
  <c r="I53" i="2"/>
  <c r="G53" i="2"/>
  <c r="E53" i="2"/>
  <c r="C53" i="2"/>
  <c r="P50" i="2"/>
  <c r="N50" i="2"/>
  <c r="M50" i="2"/>
  <c r="K50" i="2"/>
  <c r="Q50" i="2" s="1"/>
  <c r="I50" i="2"/>
  <c r="G50" i="2"/>
  <c r="P49" i="2"/>
  <c r="N49" i="2"/>
  <c r="M49" i="2"/>
  <c r="K49" i="2"/>
  <c r="Q49" i="2" s="1"/>
  <c r="I49" i="2"/>
  <c r="G49" i="2"/>
  <c r="P48" i="2"/>
  <c r="N48" i="2"/>
  <c r="M48" i="2"/>
  <c r="K48" i="2"/>
  <c r="Q48" i="2" s="1"/>
  <c r="I48" i="2"/>
  <c r="G48" i="2"/>
  <c r="P47" i="2"/>
  <c r="N47" i="2"/>
  <c r="M47" i="2"/>
  <c r="K47" i="2"/>
  <c r="Q47" i="2" s="1"/>
  <c r="I47" i="2"/>
  <c r="G47" i="2"/>
  <c r="P46" i="2"/>
  <c r="N46" i="2"/>
  <c r="M46" i="2"/>
  <c r="K46" i="2"/>
  <c r="Q46" i="2" s="1"/>
  <c r="I46" i="2"/>
  <c r="G46" i="2"/>
  <c r="P45" i="2"/>
  <c r="N45" i="2"/>
  <c r="M45" i="2"/>
  <c r="K45" i="2"/>
  <c r="Q45" i="2" s="1"/>
  <c r="I45" i="2"/>
  <c r="G45" i="2"/>
  <c r="E42" i="2"/>
  <c r="C42" i="2"/>
  <c r="E41" i="2"/>
  <c r="C41" i="2"/>
  <c r="E40" i="2"/>
  <c r="C40" i="2"/>
  <c r="E39" i="2"/>
  <c r="C39" i="2"/>
  <c r="E38" i="2"/>
  <c r="C38" i="2"/>
  <c r="E37" i="2"/>
  <c r="C37" i="2"/>
  <c r="I34" i="2"/>
  <c r="G34" i="2"/>
  <c r="E34" i="2"/>
  <c r="C34" i="2"/>
  <c r="I33" i="2"/>
  <c r="G33" i="2"/>
  <c r="E33" i="2"/>
  <c r="C33" i="2"/>
  <c r="I32" i="2"/>
  <c r="G32" i="2"/>
  <c r="E32" i="2"/>
  <c r="C32" i="2"/>
  <c r="I31" i="2"/>
  <c r="G31" i="2"/>
  <c r="E31" i="2"/>
  <c r="C31" i="2"/>
  <c r="I30" i="2"/>
  <c r="G30" i="2"/>
  <c r="E30" i="2"/>
  <c r="C30" i="2"/>
  <c r="I29" i="2"/>
  <c r="G29" i="2"/>
  <c r="E29" i="2"/>
  <c r="C29" i="2"/>
  <c r="N26" i="2"/>
  <c r="L26" i="2"/>
  <c r="M26" i="2" s="1"/>
  <c r="J26" i="2"/>
  <c r="P26" i="2" s="1"/>
  <c r="H26" i="2"/>
  <c r="I26" i="2" s="1"/>
  <c r="F26" i="2"/>
  <c r="G26" i="2" s="1"/>
  <c r="P25" i="2"/>
  <c r="N25" i="2"/>
  <c r="M25" i="2"/>
  <c r="L25" i="2"/>
  <c r="K25" i="2"/>
  <c r="Q25" i="2" s="1"/>
  <c r="J25" i="2"/>
  <c r="I25" i="2"/>
  <c r="H25" i="2"/>
  <c r="G25" i="2"/>
  <c r="F25" i="2"/>
  <c r="L24" i="2"/>
  <c r="N24" i="2" s="1"/>
  <c r="J24" i="2"/>
  <c r="P24" i="2" s="1"/>
  <c r="H24" i="2"/>
  <c r="I24" i="2" s="1"/>
  <c r="F24" i="2"/>
  <c r="G24" i="2" s="1"/>
  <c r="P23" i="2"/>
  <c r="M23" i="2"/>
  <c r="L23" i="2"/>
  <c r="N23" i="2" s="1"/>
  <c r="K23" i="2"/>
  <c r="Q23" i="2" s="1"/>
  <c r="J23" i="2"/>
  <c r="I23" i="2"/>
  <c r="H23" i="2"/>
  <c r="G23" i="2"/>
  <c r="F23" i="2"/>
  <c r="N22" i="2"/>
  <c r="L22" i="2"/>
  <c r="M22" i="2" s="1"/>
  <c r="J22" i="2"/>
  <c r="P22" i="2" s="1"/>
  <c r="H22" i="2"/>
  <c r="I22" i="2" s="1"/>
  <c r="F22" i="2"/>
  <c r="G22" i="2" s="1"/>
  <c r="P21" i="2"/>
  <c r="N21" i="2"/>
  <c r="M21" i="2"/>
  <c r="L21" i="2"/>
  <c r="K21" i="2"/>
  <c r="Q21" i="2" s="1"/>
  <c r="J21" i="2"/>
  <c r="I21" i="2"/>
  <c r="H21" i="2"/>
  <c r="G21" i="2"/>
  <c r="F21" i="2"/>
  <c r="E18" i="2"/>
  <c r="C17" i="2"/>
  <c r="E16" i="2"/>
  <c r="C15" i="2"/>
  <c r="E14" i="2"/>
  <c r="C13" i="2"/>
  <c r="Q10" i="2"/>
  <c r="N10" i="2"/>
  <c r="O10" i="2" s="1"/>
  <c r="M10" i="2"/>
  <c r="K10" i="2"/>
  <c r="G10" i="2"/>
  <c r="F10" i="2"/>
  <c r="I10" i="2" s="1"/>
  <c r="E10" i="2"/>
  <c r="C10" i="2"/>
  <c r="H9" i="2"/>
  <c r="C18" i="2" s="1"/>
  <c r="G9" i="2"/>
  <c r="F9" i="2"/>
  <c r="E9" i="2"/>
  <c r="C9" i="2"/>
  <c r="I8" i="2"/>
  <c r="H8" i="2"/>
  <c r="F8" i="2"/>
  <c r="E17" i="2" s="1"/>
  <c r="E8" i="2"/>
  <c r="C8" i="2"/>
  <c r="H7" i="2"/>
  <c r="C16" i="2" s="1"/>
  <c r="G7" i="2"/>
  <c r="F7" i="2"/>
  <c r="E7" i="2"/>
  <c r="C7" i="2"/>
  <c r="I6" i="2"/>
  <c r="H6" i="2"/>
  <c r="F6" i="2"/>
  <c r="E15" i="2" s="1"/>
  <c r="E6" i="2"/>
  <c r="C6" i="2"/>
  <c r="H5" i="2"/>
  <c r="C14" i="2" s="1"/>
  <c r="G5" i="2"/>
  <c r="F5" i="2"/>
  <c r="E5" i="2"/>
  <c r="C5" i="2"/>
  <c r="I4" i="2"/>
  <c r="H4" i="2"/>
  <c r="F4" i="2"/>
  <c r="E13" i="2" s="1"/>
  <c r="E4" i="2"/>
  <c r="C4" i="2"/>
  <c r="H6" i="8" l="1"/>
  <c r="H7" i="8"/>
  <c r="H8" i="8"/>
  <c r="K22" i="2"/>
  <c r="Q22" i="2" s="1"/>
  <c r="M24" i="2"/>
  <c r="K26" i="2"/>
  <c r="Q26" i="2" s="1"/>
  <c r="E3" i="8"/>
  <c r="E4" i="8"/>
  <c r="E5" i="8"/>
  <c r="E6" i="8"/>
  <c r="E7" i="8"/>
  <c r="E8" i="8"/>
  <c r="B15" i="8"/>
  <c r="E16" i="8"/>
  <c r="H17" i="8"/>
  <c r="H19" i="8"/>
  <c r="E20" i="8"/>
  <c r="F22" i="8"/>
  <c r="H23" i="8"/>
  <c r="E24" i="8"/>
  <c r="H26" i="8"/>
  <c r="F30" i="8"/>
  <c r="H32" i="8"/>
  <c r="F34" i="8"/>
  <c r="H37" i="8"/>
  <c r="E39" i="8"/>
  <c r="H41" i="8"/>
  <c r="E43" i="8"/>
  <c r="F44" i="8"/>
  <c r="E46" i="8"/>
  <c r="E47" i="8"/>
  <c r="F48" i="8"/>
  <c r="C61" i="8"/>
  <c r="M122" i="8"/>
  <c r="M124" i="8"/>
  <c r="M126" i="8"/>
  <c r="N133" i="8"/>
  <c r="K143" i="8"/>
  <c r="N9" i="8"/>
  <c r="G4" i="2"/>
  <c r="I5" i="2"/>
  <c r="G6" i="2"/>
  <c r="I7" i="2"/>
  <c r="G8" i="2"/>
  <c r="F3" i="8"/>
  <c r="F4" i="8"/>
  <c r="F5" i="8"/>
  <c r="F6" i="8"/>
  <c r="F7" i="8"/>
  <c r="F8" i="8"/>
  <c r="E9" i="8"/>
  <c r="C15" i="8"/>
  <c r="H15" i="8" s="1"/>
  <c r="G16" i="8"/>
  <c r="F20" i="8"/>
  <c r="G22" i="8"/>
  <c r="F24" i="8"/>
  <c r="G30" i="8"/>
  <c r="G34" i="8"/>
  <c r="G39" i="8"/>
  <c r="G43" i="8"/>
  <c r="G44" i="8"/>
  <c r="F46" i="8"/>
  <c r="G47" i="8"/>
  <c r="G48" i="8"/>
  <c r="H3" i="8"/>
  <c r="H4" i="8"/>
  <c r="H5" i="8"/>
  <c r="I9" i="2"/>
  <c r="K24" i="2"/>
  <c r="Q24" i="2" s="1"/>
  <c r="F9" i="8"/>
  <c r="M9" i="8"/>
  <c r="G13" i="8"/>
  <c r="G15" i="8" s="1"/>
  <c r="H16" i="8"/>
  <c r="E17" i="8"/>
  <c r="E19" i="8"/>
  <c r="H20" i="8"/>
  <c r="H22" i="8"/>
  <c r="E23" i="8"/>
  <c r="H24" i="8"/>
  <c r="E26" i="8"/>
  <c r="F27" i="8"/>
  <c r="G29" i="8"/>
  <c r="H30" i="8"/>
  <c r="F32" i="8"/>
  <c r="H34" i="8"/>
  <c r="F37" i="8"/>
  <c r="H39" i="8"/>
  <c r="E41" i="8"/>
  <c r="G42" i="8"/>
  <c r="H43" i="8"/>
  <c r="H44" i="8"/>
  <c r="H46" i="8"/>
  <c r="H47" i="8"/>
  <c r="H48" i="8"/>
  <c r="G58" i="8"/>
  <c r="I129" i="8"/>
  <c r="N129" i="8"/>
  <c r="M130" i="8"/>
  <c r="K142" i="8"/>
  <c r="N143" i="8"/>
  <c r="M123" i="8"/>
  <c r="M125" i="8"/>
  <c r="M127" i="8"/>
  <c r="G66" i="15"/>
  <c r="F9" i="10"/>
  <c r="H9" i="10"/>
  <c r="C15" i="10"/>
  <c r="J15" i="10" s="1"/>
  <c r="N15" i="15"/>
  <c r="M15" i="15"/>
  <c r="H23" i="15"/>
  <c r="G23" i="15"/>
  <c r="F211" i="10"/>
  <c r="F215" i="10"/>
  <c r="F219" i="10"/>
  <c r="H14" i="15"/>
  <c r="C15" i="15"/>
  <c r="H15" i="15" s="1"/>
  <c r="I48" i="15"/>
  <c r="I52" i="15"/>
  <c r="I3" i="17"/>
  <c r="I4" i="17"/>
  <c r="I5" i="17"/>
  <c r="I6" i="17"/>
  <c r="I7" i="17"/>
  <c r="I8" i="17"/>
  <c r="H144" i="10"/>
  <c r="D210" i="10"/>
  <c r="J210" i="10"/>
  <c r="D214" i="10"/>
  <c r="J214" i="10"/>
  <c r="D218" i="10"/>
  <c r="J218" i="10"/>
  <c r="D15" i="11"/>
  <c r="H3" i="15"/>
  <c r="H4" i="15"/>
  <c r="H5" i="15"/>
  <c r="H6" i="15"/>
  <c r="H7" i="15"/>
  <c r="H8" i="15"/>
  <c r="N9" i="15"/>
  <c r="H13" i="15"/>
  <c r="E14" i="15"/>
  <c r="E15" i="15" s="1"/>
  <c r="E47" i="15"/>
  <c r="E51" i="15"/>
  <c r="E66" i="15"/>
  <c r="F6" i="17"/>
  <c r="F7" i="17"/>
  <c r="F8" i="17"/>
  <c r="H143" i="10"/>
  <c r="H147" i="10"/>
  <c r="H150" i="10"/>
  <c r="F14" i="15"/>
  <c r="G47" i="15"/>
  <c r="E48" i="15"/>
  <c r="G51" i="15"/>
  <c r="E52" i="15"/>
  <c r="G3" i="17"/>
  <c r="G4" i="17"/>
  <c r="G5" i="17"/>
  <c r="G6" i="17"/>
  <c r="G7" i="17"/>
  <c r="G8" i="17"/>
  <c r="E23" i="15" l="1"/>
  <c r="G61" i="8"/>
  <c r="E61" i="8"/>
  <c r="H61" i="8"/>
  <c r="M15" i="8"/>
  <c r="N15" i="8"/>
  <c r="E15" i="8"/>
  <c r="N11"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59" authorId="0" shapeId="0" xr:uid="{00000000-0006-0000-0900-00002C000000}">
      <text>
        <r>
          <rPr>
            <sz val="10"/>
            <color rgb="FF000000"/>
            <rFont val="Arial"/>
            <family val="2"/>
            <scheme val="minor"/>
          </rPr>
          <t>======
ID#AAAAfRRUO5w
Microsoft Office User    (2022-09-09 10:48:53)
Aug 2020</t>
        </r>
      </text>
    </comment>
    <comment ref="E59" authorId="0" shapeId="0" xr:uid="{00000000-0006-0000-0900-000010000000}">
      <text>
        <r>
          <rPr>
            <sz val="10"/>
            <color rgb="FF000000"/>
            <rFont val="Arial"/>
            <family val="2"/>
            <scheme val="minor"/>
          </rPr>
          <t>======
ID#AAAAfRSlnY4
Microsoft Office User    (2022-09-09 10:48:53)
Aug 2019</t>
        </r>
      </text>
    </comment>
    <comment ref="G59" authorId="0" shapeId="0" xr:uid="{00000000-0006-0000-0900-000005000000}">
      <text>
        <r>
          <rPr>
            <sz val="10"/>
            <color rgb="FF000000"/>
            <rFont val="Arial"/>
            <family val="2"/>
            <scheme val="minor"/>
          </rPr>
          <t>======
ID#AAAAfRSlnZ0
Microsoft Office User    (2022-09-09 10:48:53)
Aug 2018</t>
        </r>
      </text>
    </comment>
    <comment ref="N59" authorId="0" shapeId="0" xr:uid="{00000000-0006-0000-0900-000021000000}">
      <text>
        <r>
          <rPr>
            <sz val="10"/>
            <color rgb="FF000000"/>
            <rFont val="Arial"/>
            <family val="2"/>
            <scheme val="minor"/>
          </rPr>
          <t>======
ID#AAAAfRSlnXo
Microsoft Office User    (2022-09-09 10:48:53)
Aug 2017</t>
        </r>
      </text>
    </comment>
    <comment ref="C60" authorId="0" shapeId="0" xr:uid="{00000000-0006-0000-0900-00002D000000}">
      <text>
        <r>
          <rPr>
            <sz val="10"/>
            <color rgb="FF000000"/>
            <rFont val="Arial"/>
            <family val="2"/>
            <scheme val="minor"/>
          </rPr>
          <t>======
ID#AAAAfRRUO5s
Microsoft Office User    (2022-09-09 10:48:53)
Sept 2020</t>
        </r>
      </text>
    </comment>
    <comment ref="E60" authorId="0" shapeId="0" xr:uid="{00000000-0006-0000-0900-000012000000}">
      <text>
        <r>
          <rPr>
            <sz val="10"/>
            <color rgb="FF000000"/>
            <rFont val="Arial"/>
            <family val="2"/>
            <scheme val="minor"/>
          </rPr>
          <t>======
ID#AAAAfRSlnYs
Microsoft Office User    (2022-09-09 10:48:53)
Sept 2019</t>
        </r>
      </text>
    </comment>
    <comment ref="G60" authorId="0" shapeId="0" xr:uid="{00000000-0006-0000-0900-000025000000}">
      <text>
        <r>
          <rPr>
            <sz val="10"/>
            <color rgb="FF000000"/>
            <rFont val="Arial"/>
            <family val="2"/>
            <scheme val="minor"/>
          </rPr>
          <t>======
ID#AAAAfRSlnXU
Microsoft Office User    (2022-09-09 10:48:53)
Sept 2018</t>
        </r>
      </text>
    </comment>
    <comment ref="N60" authorId="0" shapeId="0" xr:uid="{00000000-0006-0000-0900-000028000000}">
      <text>
        <r>
          <rPr>
            <sz val="10"/>
            <color rgb="FF000000"/>
            <rFont val="Arial"/>
            <family val="2"/>
            <scheme val="minor"/>
          </rPr>
          <t>======
ID#AAAAfRSlnXM
Microsoft Office User    (2022-09-09 10:48:53)
Sept 2017</t>
        </r>
      </text>
    </comment>
    <comment ref="C61" authorId="0" shapeId="0" xr:uid="{00000000-0006-0000-0900-00000F000000}">
      <text>
        <r>
          <rPr>
            <sz val="10"/>
            <color rgb="FF000000"/>
            <rFont val="Arial"/>
            <family val="2"/>
            <scheme val="minor"/>
          </rPr>
          <t>======
ID#AAAAfRSlnY0
Microsoft Office User    (2022-09-09 10:48:53)
Oct 2020</t>
        </r>
      </text>
    </comment>
    <comment ref="E61" authorId="0" shapeId="0" xr:uid="{00000000-0006-0000-0900-000006000000}">
      <text>
        <r>
          <rPr>
            <sz val="10"/>
            <color rgb="FF000000"/>
            <rFont val="Arial"/>
            <family val="2"/>
            <scheme val="minor"/>
          </rPr>
          <t>======
ID#AAAAfRSlnZc
Microsoft Office User    (2022-09-09 10:48:53)
Oct 2019</t>
        </r>
      </text>
    </comment>
    <comment ref="G61" authorId="0" shapeId="0" xr:uid="{00000000-0006-0000-0900-000008000000}">
      <text>
        <r>
          <rPr>
            <sz val="10"/>
            <color rgb="FF000000"/>
            <rFont val="Arial"/>
            <family val="2"/>
            <scheme val="minor"/>
          </rPr>
          <t>======
ID#AAAAfRSlnZo
Microsoft Office User    (2022-09-09 10:48:53)
Oct 2018</t>
        </r>
      </text>
    </comment>
    <comment ref="N61" authorId="0" shapeId="0" xr:uid="{00000000-0006-0000-0900-00002E000000}">
      <text>
        <r>
          <rPr>
            <sz val="10"/>
            <color rgb="FF000000"/>
            <rFont val="Arial"/>
            <family val="2"/>
            <scheme val="minor"/>
          </rPr>
          <t>======
ID#AAAAfRRUO5g
Microsoft Office User    (2022-09-09 10:48:53)
Oct 2017</t>
        </r>
      </text>
    </comment>
    <comment ref="C62" authorId="0" shapeId="0" xr:uid="{00000000-0006-0000-0900-000011000000}">
      <text>
        <r>
          <rPr>
            <sz val="10"/>
            <color rgb="FF000000"/>
            <rFont val="Arial"/>
            <family val="2"/>
            <scheme val="minor"/>
          </rPr>
          <t>======
ID#AAAAfRSlnY8
Microsoft Office User    (2022-09-09 10:48:53)
Nov 2020</t>
        </r>
      </text>
    </comment>
    <comment ref="E62" authorId="0" shapeId="0" xr:uid="{00000000-0006-0000-0900-000007000000}">
      <text>
        <r>
          <rPr>
            <sz val="10"/>
            <color rgb="FF000000"/>
            <rFont val="Arial"/>
            <family val="2"/>
            <scheme val="minor"/>
          </rPr>
          <t>======
ID#AAAAfRSlnZg
Microsoft Office User    (2022-09-09 10:48:53)
Nov 2019</t>
        </r>
      </text>
    </comment>
    <comment ref="G62" authorId="0" shapeId="0" xr:uid="{00000000-0006-0000-0900-000019000000}">
      <text>
        <r>
          <rPr>
            <sz val="10"/>
            <color rgb="FF000000"/>
            <rFont val="Arial"/>
            <family val="2"/>
            <scheme val="minor"/>
          </rPr>
          <t>======
ID#AAAAfRSlnYI
Microsoft Office User    (2022-09-09 10:48:53)
Nov 2018</t>
        </r>
      </text>
    </comment>
    <comment ref="N62" authorId="0" shapeId="0" xr:uid="{00000000-0006-0000-0900-000020000000}">
      <text>
        <r>
          <rPr>
            <sz val="10"/>
            <color rgb="FF000000"/>
            <rFont val="Arial"/>
            <family val="2"/>
            <scheme val="minor"/>
          </rPr>
          <t>======
ID#AAAAfRSlnX0
Microsoft Office User    (2022-09-09 10:48:53)
Nov 2017</t>
        </r>
      </text>
    </comment>
    <comment ref="C63" authorId="0" shapeId="0" xr:uid="{00000000-0006-0000-0900-000030000000}">
      <text>
        <r>
          <rPr>
            <sz val="10"/>
            <color rgb="FF000000"/>
            <rFont val="Arial"/>
            <family val="2"/>
            <scheme val="minor"/>
          </rPr>
          <t>======
ID#AAAAfRRUO5c
Microsoft Office User    (2022-09-09 10:48:53)
Dec 2020</t>
        </r>
      </text>
    </comment>
    <comment ref="E63" authorId="0" shapeId="0" xr:uid="{00000000-0006-0000-0900-00000D000000}">
      <text>
        <r>
          <rPr>
            <sz val="10"/>
            <color rgb="FF000000"/>
            <rFont val="Arial"/>
            <family val="2"/>
            <scheme val="minor"/>
          </rPr>
          <t>======
ID#AAAAfRSlnZA
Microsoft Office User    (2022-09-09 10:48:53)
Dec 2019</t>
        </r>
      </text>
    </comment>
    <comment ref="G63" authorId="0" shapeId="0" xr:uid="{00000000-0006-0000-0900-000014000000}">
      <text>
        <r>
          <rPr>
            <sz val="10"/>
            <color rgb="FF000000"/>
            <rFont val="Arial"/>
            <family val="2"/>
            <scheme val="minor"/>
          </rPr>
          <t>======
ID#AAAAfRSlnYg
Microsoft Office User    (2022-09-09 10:48:53)
Dec 2018</t>
        </r>
      </text>
    </comment>
    <comment ref="N63" authorId="0" shapeId="0" xr:uid="{00000000-0006-0000-0900-00000E000000}">
      <text>
        <r>
          <rPr>
            <sz val="10"/>
            <color rgb="FF000000"/>
            <rFont val="Arial"/>
            <family val="2"/>
            <scheme val="minor"/>
          </rPr>
          <t>======
ID#AAAAfRSlnZE
Microsoft Office User    (2022-09-09 10:48:53)
Dec 2017</t>
        </r>
      </text>
    </comment>
    <comment ref="C64" authorId="0" shapeId="0" xr:uid="{00000000-0006-0000-0900-00000A000000}">
      <text>
        <r>
          <rPr>
            <sz val="10"/>
            <color rgb="FF000000"/>
            <rFont val="Arial"/>
            <family val="2"/>
            <scheme val="minor"/>
          </rPr>
          <t>======
ID#AAAAfRSlnZQ
Microsoft Office User    (2022-09-09 10:48:53)
Jan 2021</t>
        </r>
      </text>
    </comment>
    <comment ref="E64" authorId="0" shapeId="0" xr:uid="{00000000-0006-0000-0900-000004000000}">
      <text>
        <r>
          <rPr>
            <sz val="10"/>
            <color rgb="FF000000"/>
            <rFont val="Arial"/>
            <family val="2"/>
            <scheme val="minor"/>
          </rPr>
          <t>======
ID#AAAAfRSlnZ8
Microsoft Office User    (2022-09-09 10:48:53)
Jan 2020</t>
        </r>
      </text>
    </comment>
    <comment ref="G64" authorId="0" shapeId="0" xr:uid="{00000000-0006-0000-0900-000027000000}">
      <text>
        <r>
          <rPr>
            <sz val="10"/>
            <color rgb="FF000000"/>
            <rFont val="Arial"/>
            <family val="2"/>
            <scheme val="minor"/>
          </rPr>
          <t>======
ID#AAAAfRRUO6A
Microsoft Office User    (2022-09-09 10:48:53)
Jan 2019</t>
        </r>
      </text>
    </comment>
    <comment ref="N64" authorId="0" shapeId="0" xr:uid="{00000000-0006-0000-0900-00000B000000}">
      <text>
        <r>
          <rPr>
            <sz val="10"/>
            <color rgb="FF000000"/>
            <rFont val="Arial"/>
            <family val="2"/>
            <scheme val="minor"/>
          </rPr>
          <t>======
ID#AAAAfRSlnZU
Microsoft Office User    (2022-09-09 10:48:53)
Jan 2018</t>
        </r>
      </text>
    </comment>
    <comment ref="C65" authorId="0" shapeId="0" xr:uid="{00000000-0006-0000-0900-00002B000000}">
      <text>
        <r>
          <rPr>
            <sz val="10"/>
            <color rgb="FF000000"/>
            <rFont val="Arial"/>
            <family val="2"/>
            <scheme val="minor"/>
          </rPr>
          <t>======
ID#AAAAfRRUO58
Microsoft Office User    (2022-09-09 10:48:53)
Feb 2021</t>
        </r>
      </text>
    </comment>
    <comment ref="E65" authorId="0" shapeId="0" xr:uid="{00000000-0006-0000-0900-000017000000}">
      <text>
        <r>
          <rPr>
            <sz val="10"/>
            <color rgb="FF000000"/>
            <rFont val="Arial"/>
            <family val="2"/>
            <scheme val="minor"/>
          </rPr>
          <t>======
ID#AAAAfRSlnYY
Microsoft Office User    (2022-09-09 10:48:53)
Feb 2020</t>
        </r>
      </text>
    </comment>
    <comment ref="G65" authorId="0" shapeId="0" xr:uid="{00000000-0006-0000-0900-00001F000000}">
      <text>
        <r>
          <rPr>
            <sz val="10"/>
            <color rgb="FF000000"/>
            <rFont val="Arial"/>
            <family val="2"/>
            <scheme val="minor"/>
          </rPr>
          <t>======
ID#AAAAfRSlnXw
Microsoft Office User    (2022-09-09 10:48:53)
Feb 2019</t>
        </r>
      </text>
    </comment>
    <comment ref="N65" authorId="0" shapeId="0" xr:uid="{00000000-0006-0000-0900-000029000000}">
      <text>
        <r>
          <rPr>
            <sz val="10"/>
            <color rgb="FF000000"/>
            <rFont val="Arial"/>
            <family val="2"/>
            <scheme val="minor"/>
          </rPr>
          <t>======
ID#AAAAfRRUO50
Microsoft Office User    (2022-09-09 10:48:53)
Feb 2018</t>
        </r>
      </text>
    </comment>
    <comment ref="C66" authorId="0" shapeId="0" xr:uid="{00000000-0006-0000-0900-00001E000000}">
      <text>
        <r>
          <rPr>
            <sz val="10"/>
            <color rgb="FF000000"/>
            <rFont val="Arial"/>
            <family val="2"/>
            <scheme val="minor"/>
          </rPr>
          <t>======
ID#AAAAfRSlnXs
Microsoft Office User    (2022-09-09 10:48:53)
Mar 2021</t>
        </r>
      </text>
    </comment>
    <comment ref="E66" authorId="0" shapeId="0" xr:uid="{00000000-0006-0000-0900-000023000000}">
      <text>
        <r>
          <rPr>
            <sz val="10"/>
            <color rgb="FF000000"/>
            <rFont val="Arial"/>
            <family val="2"/>
            <scheme val="minor"/>
          </rPr>
          <t>======
ID#AAAAfRSlnXk
Microsoft Office User    (2022-09-09 10:48:53)
Mar 2020</t>
        </r>
      </text>
    </comment>
    <comment ref="G66" authorId="0" shapeId="0" xr:uid="{00000000-0006-0000-0900-000022000000}">
      <text>
        <r>
          <rPr>
            <sz val="10"/>
            <color rgb="FF000000"/>
            <rFont val="Arial"/>
            <family val="2"/>
            <scheme val="minor"/>
          </rPr>
          <t>======
ID#AAAAfRSlnXg
Microsoft Office User    (2022-09-09 10:48:53)
Mar 2019</t>
        </r>
      </text>
    </comment>
    <comment ref="N66" authorId="0" shapeId="0" xr:uid="{00000000-0006-0000-0900-00000C000000}">
      <text>
        <r>
          <rPr>
            <sz val="10"/>
            <color rgb="FF000000"/>
            <rFont val="Arial"/>
            <family val="2"/>
            <scheme val="minor"/>
          </rPr>
          <t>======
ID#AAAAfRSlnZI
Microsoft Office User    (2022-09-09 10:48:53)
Mar 2018</t>
        </r>
      </text>
    </comment>
    <comment ref="C67" authorId="0" shapeId="0" xr:uid="{00000000-0006-0000-0900-000026000000}">
      <text>
        <r>
          <rPr>
            <sz val="10"/>
            <color rgb="FF000000"/>
            <rFont val="Arial"/>
            <family val="2"/>
            <scheme val="minor"/>
          </rPr>
          <t>======
ID#AAAAfRSlnXY
Microsoft Office User    (2022-09-09 10:48:53)
Apr 2021</t>
        </r>
      </text>
    </comment>
    <comment ref="E67" authorId="0" shapeId="0" xr:uid="{00000000-0006-0000-0900-000001000000}">
      <text>
        <r>
          <rPr>
            <sz val="10"/>
            <color rgb="FF000000"/>
            <rFont val="Arial"/>
            <family val="2"/>
            <scheme val="minor"/>
          </rPr>
          <t>======
ID#AAAAfRSlnaI
Microsoft Office User    (2022-09-09 10:48:53)
Apr 2020</t>
        </r>
      </text>
    </comment>
    <comment ref="G67" authorId="0" shapeId="0" xr:uid="{00000000-0006-0000-0900-000018000000}">
      <text>
        <r>
          <rPr>
            <sz val="10"/>
            <color rgb="FF000000"/>
            <rFont val="Arial"/>
            <family val="2"/>
            <scheme val="minor"/>
          </rPr>
          <t>======
ID#AAAAfRSlnYE
Microsoft Office User    (2022-09-09 10:48:53)
Apr 2019</t>
        </r>
      </text>
    </comment>
    <comment ref="N67" authorId="0" shapeId="0" xr:uid="{00000000-0006-0000-0900-000016000000}">
      <text>
        <r>
          <rPr>
            <sz val="10"/>
            <color rgb="FF000000"/>
            <rFont val="Arial"/>
            <family val="2"/>
            <scheme val="minor"/>
          </rPr>
          <t>======
ID#AAAAfRSlnYU
Microsoft Office User    (2022-09-09 10:48:53)
Apr 2018</t>
        </r>
      </text>
    </comment>
    <comment ref="C68" authorId="0" shapeId="0" xr:uid="{00000000-0006-0000-0900-00002F000000}">
      <text>
        <r>
          <rPr>
            <sz val="10"/>
            <color rgb="FF000000"/>
            <rFont val="Arial"/>
            <family val="2"/>
            <scheme val="minor"/>
          </rPr>
          <t>======
ID#AAAAfRRUO5k
Microsoft Office User    (2022-09-09 10:48:53)
May 2021</t>
        </r>
      </text>
    </comment>
    <comment ref="E68" authorId="0" shapeId="0" xr:uid="{00000000-0006-0000-0900-00001C000000}">
      <text>
        <r>
          <rPr>
            <sz val="10"/>
            <color rgb="FF000000"/>
            <rFont val="Arial"/>
            <family val="2"/>
            <scheme val="minor"/>
          </rPr>
          <t>======
ID#AAAAfRSlnX4
Microsoft Office User    (2022-09-09 10:48:53)
May 2020</t>
        </r>
      </text>
    </comment>
    <comment ref="G68" authorId="0" shapeId="0" xr:uid="{00000000-0006-0000-0900-00001A000000}">
      <text>
        <r>
          <rPr>
            <sz val="10"/>
            <color rgb="FF000000"/>
            <rFont val="Arial"/>
            <family val="2"/>
            <scheme val="minor"/>
          </rPr>
          <t>======
ID#AAAAfRSlnYM
Microsoft Office User    (2022-09-09 10:48:53)
May 2019</t>
        </r>
      </text>
    </comment>
    <comment ref="N68" authorId="0" shapeId="0" xr:uid="{00000000-0006-0000-0900-000015000000}">
      <text>
        <r>
          <rPr>
            <sz val="10"/>
            <color rgb="FF000000"/>
            <rFont val="Arial"/>
            <family val="2"/>
            <scheme val="minor"/>
          </rPr>
          <t>======
ID#AAAAfRSlnYo
Microsoft Office User    (2022-09-09 10:48:53)
May 2018</t>
        </r>
      </text>
    </comment>
    <comment ref="C69" authorId="0" shapeId="0" xr:uid="{00000000-0006-0000-0900-000013000000}">
      <text>
        <r>
          <rPr>
            <sz val="10"/>
            <color rgb="FF000000"/>
            <rFont val="Arial"/>
            <family val="2"/>
            <scheme val="minor"/>
          </rPr>
          <t>======
ID#AAAAfRSlnYw
Microsoft Office User    (2022-09-09 10:48:53)
Jun 2021</t>
        </r>
      </text>
    </comment>
    <comment ref="E69" authorId="0" shapeId="0" xr:uid="{00000000-0006-0000-0900-000003000000}">
      <text>
        <r>
          <rPr>
            <sz val="10"/>
            <color rgb="FF000000"/>
            <rFont val="Arial"/>
            <family val="2"/>
            <scheme val="minor"/>
          </rPr>
          <t>======
ID#AAAAfRSlnZ4
Microsoft Office User    (2022-09-09 10:48:53)
Jun 2020</t>
        </r>
      </text>
    </comment>
    <comment ref="G69" authorId="0" shapeId="0" xr:uid="{00000000-0006-0000-0900-00001D000000}">
      <text>
        <r>
          <rPr>
            <sz val="10"/>
            <color rgb="FF000000"/>
            <rFont val="Arial"/>
            <family val="2"/>
            <scheme val="minor"/>
          </rPr>
          <t>======
ID#AAAAfRSlnX8
Microsoft Office User    (2022-09-09 10:48:53)
June 2019</t>
        </r>
      </text>
    </comment>
    <comment ref="N69" authorId="0" shapeId="0" xr:uid="{00000000-0006-0000-0900-000009000000}">
      <text>
        <r>
          <rPr>
            <sz val="10"/>
            <color rgb="FF000000"/>
            <rFont val="Arial"/>
            <family val="2"/>
            <scheme val="minor"/>
          </rPr>
          <t>======
ID#AAAAfRSlnZs
Microsoft Office User    (2022-09-09 10:48:53)
June 2018</t>
        </r>
      </text>
    </comment>
    <comment ref="C70" authorId="0" shapeId="0" xr:uid="{00000000-0006-0000-0900-00001B000000}">
      <text>
        <r>
          <rPr>
            <sz val="10"/>
            <color rgb="FF000000"/>
            <rFont val="Arial"/>
            <family val="2"/>
            <scheme val="minor"/>
          </rPr>
          <t>======
ID#AAAAfRSlnYA
Microsoft Office User    (2022-09-09 10:48:53)
Jul 2021</t>
        </r>
      </text>
    </comment>
    <comment ref="E70" authorId="0" shapeId="0" xr:uid="{00000000-0006-0000-0900-000002000000}">
      <text>
        <r>
          <rPr>
            <sz val="10"/>
            <color rgb="FF000000"/>
            <rFont val="Arial"/>
            <family val="2"/>
            <scheme val="minor"/>
          </rPr>
          <t>======
ID#AAAAfRSlnaM
Microsoft Office User    (2022-09-09 10:48:53)
Jul 2020</t>
        </r>
      </text>
    </comment>
    <comment ref="G70" authorId="0" shapeId="0" xr:uid="{00000000-0006-0000-0900-00002A000000}">
      <text>
        <r>
          <rPr>
            <sz val="10"/>
            <color rgb="FF000000"/>
            <rFont val="Arial"/>
            <family val="2"/>
            <scheme val="minor"/>
          </rPr>
          <t>======
ID#AAAAfRRUO54
Microsoft Office User    (2022-09-09 10:48:53)
Jul 2019</t>
        </r>
      </text>
    </comment>
    <comment ref="N70" authorId="0" shapeId="0" xr:uid="{00000000-0006-0000-0900-000024000000}">
      <text>
        <r>
          <rPr>
            <sz val="10"/>
            <color rgb="FF000000"/>
            <rFont val="Arial"/>
            <family val="2"/>
            <scheme val="minor"/>
          </rPr>
          <t>======
ID#AAAAfRSlnXc
Microsoft Office User    (2022-09-09 10:48:53)
Jul 2018</t>
        </r>
      </text>
    </comment>
  </commentList>
  <extLst>
    <ext xmlns:r="http://schemas.openxmlformats.org/officeDocument/2006/relationships" uri="GoogleSheetsCustomDataVersion1">
      <go:sheetsCustomData xmlns:go="http://customooxmlschemas.google.com/" r:id="rId1" roundtripDataSignature="AMtx7mgSsO6zEtrG+rJKAjfwu3Bkvl54mg=="/>
    </ext>
  </extL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E3DC5A-1D97-F54F-8EF9-FD81172A135E}" name="reservations_summary_report (15)" type="6" refreshedVersion="8" background="1" saveData="1">
    <textPr sourceFile="/Users/admin1/Downloads/reservations_summary_report (15).csv" decimal="," thousands=" " comma="1" semicolon="1">
      <textFields count="30">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<sst xmlns="http://schemas.openxmlformats.org/spreadsheetml/2006/main" count="10059" uniqueCount="2587">
  <si>
    <t>BUDGET</t>
  </si>
  <si>
    <t>Opera</t>
  </si>
  <si>
    <t>Last Year Actual</t>
  </si>
  <si>
    <t>RM NITES</t>
  </si>
  <si>
    <t>OCC %</t>
  </si>
  <si>
    <t>REV</t>
  </si>
  <si>
    <t>AVR Rate</t>
  </si>
  <si>
    <t>September</t>
  </si>
  <si>
    <t>October</t>
  </si>
  <si>
    <t>November</t>
  </si>
  <si>
    <t>December</t>
  </si>
  <si>
    <t>February</t>
  </si>
  <si>
    <t>Revenue</t>
  </si>
  <si>
    <t>Room Nights</t>
  </si>
  <si>
    <t xml:space="preserve">January </t>
  </si>
  <si>
    <t>As at 30 August 2011</t>
  </si>
  <si>
    <t>V&amp;A HOTEL</t>
  </si>
  <si>
    <t>August</t>
  </si>
  <si>
    <t>Opera/ Budget</t>
  </si>
  <si>
    <t>As at 10 Aug</t>
  </si>
  <si>
    <t>As at 23 Aug</t>
  </si>
  <si>
    <t>Pick Up since 10 Aug</t>
  </si>
  <si>
    <t>Pick Up since 23 Aug</t>
  </si>
  <si>
    <t>QUEEN VICTORIA HOTEL</t>
  </si>
  <si>
    <t>DOCK HOUSE HOTEL</t>
  </si>
  <si>
    <t>V&amp;A</t>
  </si>
  <si>
    <t>AH</t>
  </si>
  <si>
    <t>LS</t>
  </si>
  <si>
    <t>33 res</t>
  </si>
  <si>
    <t>17 res</t>
  </si>
  <si>
    <t>4 res</t>
  </si>
  <si>
    <t>1 res</t>
  </si>
  <si>
    <t>11 res -</t>
  </si>
  <si>
    <t>26 res</t>
  </si>
  <si>
    <t>21 res</t>
  </si>
  <si>
    <t>26 res *</t>
  </si>
  <si>
    <t>18 res</t>
  </si>
  <si>
    <t>10 res</t>
  </si>
  <si>
    <t>35 res</t>
  </si>
  <si>
    <t>11 res</t>
  </si>
  <si>
    <t>40 res</t>
  </si>
  <si>
    <t>14 res</t>
  </si>
  <si>
    <t>3 res</t>
  </si>
  <si>
    <t>42 res</t>
  </si>
  <si>
    <t>18 res -</t>
  </si>
  <si>
    <t>28 res</t>
  </si>
  <si>
    <t>20 res</t>
  </si>
  <si>
    <t>19 res</t>
  </si>
  <si>
    <t>34 res</t>
  </si>
  <si>
    <t>mid July</t>
  </si>
  <si>
    <t>WOTIF 1N</t>
  </si>
  <si>
    <t>WOTIF 1N+</t>
  </si>
  <si>
    <t>EXPEDIA 1N</t>
  </si>
  <si>
    <t>EXPEDIA 3N</t>
  </si>
  <si>
    <t>BOOKING 1N</t>
  </si>
  <si>
    <t>BOOKING 3N</t>
  </si>
  <si>
    <t xml:space="preserve">V&amp;A  </t>
  </si>
  <si>
    <t>1097 *</t>
  </si>
  <si>
    <t>1640 *</t>
  </si>
  <si>
    <t>1093 *</t>
  </si>
  <si>
    <t>* ranking : 1</t>
  </si>
  <si>
    <t>DH</t>
  </si>
  <si>
    <t>QV</t>
  </si>
  <si>
    <t>669 **</t>
  </si>
  <si>
    <t>** ranking : 4</t>
  </si>
  <si>
    <t>Bantry Bay Luxury Suites</t>
  </si>
  <si>
    <t>Cape Royale</t>
  </si>
  <si>
    <t>Commodore</t>
  </si>
  <si>
    <t>Pepper Club</t>
  </si>
  <si>
    <t>Radisson</t>
  </si>
  <si>
    <t>TAJ</t>
  </si>
  <si>
    <t xml:space="preserve">Westin </t>
  </si>
  <si>
    <t>President</t>
  </si>
  <si>
    <t>1140 (1660)</t>
  </si>
  <si>
    <t>Breakwater</t>
  </si>
  <si>
    <t>Hilton</t>
  </si>
  <si>
    <t>Vineyard</t>
  </si>
  <si>
    <t xml:space="preserve">AMBASSADOR </t>
  </si>
  <si>
    <t>OPERA</t>
  </si>
  <si>
    <t>IDEAS</t>
  </si>
  <si>
    <t>LAST YEAR</t>
  </si>
  <si>
    <t>REVENUE</t>
  </si>
  <si>
    <t>P/UP SINCE 25/10</t>
  </si>
  <si>
    <t xml:space="preserve">P/UP SINCE 13/9 </t>
  </si>
  <si>
    <t>as @ 01/11</t>
  </si>
  <si>
    <t xml:space="preserve">Ideas/ Budget </t>
  </si>
  <si>
    <t>Nov</t>
  </si>
  <si>
    <t>Dec</t>
  </si>
  <si>
    <t>Jan</t>
  </si>
  <si>
    <t>Feb</t>
  </si>
  <si>
    <t>Mar</t>
  </si>
  <si>
    <t>April</t>
  </si>
  <si>
    <t>V&amp;A PROPERTIES COMBINED</t>
  </si>
  <si>
    <t>LA SPLENDIDA</t>
  </si>
  <si>
    <t>HOTELIER</t>
  </si>
  <si>
    <t>Hotelier/ Budget</t>
  </si>
  <si>
    <t>AH:</t>
  </si>
  <si>
    <t>Great pick up for November in the last 7 days : R297k - AVR dropped by R48</t>
  </si>
  <si>
    <t>December also good pick in the last 7 days, however, AVR dropped by R57</t>
  </si>
  <si>
    <t>VA:</t>
  </si>
  <si>
    <t>Pick up November slower than previously reported</t>
  </si>
  <si>
    <t>Good pick up in Dec R286k in the last 7 days and AVR up by R10</t>
  </si>
  <si>
    <t>Great pick up for Jan R317k as well as AVR up by R14</t>
  </si>
  <si>
    <t>LS:</t>
  </si>
  <si>
    <t>Great pick in in the last 7 days, R32k over budget already</t>
  </si>
  <si>
    <t>Steady pick up Dec &amp; Jan</t>
  </si>
  <si>
    <t>Devonvale Revenue Report 09 December 2019</t>
  </si>
  <si>
    <t>OTB @ 09 Dec 2019</t>
  </si>
  <si>
    <t xml:space="preserve">Target  </t>
  </si>
  <si>
    <t>LY Actual</t>
  </si>
  <si>
    <t>OTB vrs Target</t>
  </si>
  <si>
    <t>Target vrs LY</t>
  </si>
  <si>
    <t>Variance last 7 days</t>
  </si>
  <si>
    <t>as @ 03 June 2014</t>
  </si>
  <si>
    <t>Variance last 14 days</t>
  </si>
  <si>
    <t>OTB @ 25 Nov 2019</t>
  </si>
  <si>
    <t>Actual vrs LY</t>
  </si>
  <si>
    <t>as @ 8 Nov 2017</t>
  </si>
  <si>
    <t>Variance 2018 vrs 2017</t>
  </si>
  <si>
    <t>OTB @ 8 Nov 2018</t>
  </si>
  <si>
    <t>Variance OTB vrs LY OTB</t>
  </si>
  <si>
    <t>OTB @ 20 Dec 2018</t>
  </si>
  <si>
    <t>Variance</t>
  </si>
  <si>
    <t>Apr</t>
  </si>
  <si>
    <t>May</t>
  </si>
  <si>
    <t>Jun</t>
  </si>
  <si>
    <t>July</t>
  </si>
  <si>
    <t>Aug</t>
  </si>
  <si>
    <t>Sept</t>
  </si>
  <si>
    <t>Oct</t>
  </si>
  <si>
    <t>Fin Year</t>
  </si>
  <si>
    <t>June</t>
  </si>
  <si>
    <t>March</t>
  </si>
  <si>
    <t xml:space="preserve">Nov </t>
  </si>
  <si>
    <t>Sep</t>
  </si>
  <si>
    <t>Occupancy</t>
  </si>
  <si>
    <t>Variance to LY</t>
  </si>
  <si>
    <t>loss</t>
  </si>
  <si>
    <t>66.4%</t>
  </si>
  <si>
    <t>Average Room Rate</t>
  </si>
  <si>
    <t>as @ 16 Nov 2017</t>
  </si>
  <si>
    <t>OTB vs LY Actual</t>
  </si>
  <si>
    <t>Budget / Target</t>
  </si>
  <si>
    <t>OTB vs Target</t>
  </si>
  <si>
    <t>LY Actal vs Target</t>
  </si>
  <si>
    <t>RevPAR</t>
  </si>
  <si>
    <t>Devonvale Revenue Report 6 August 2020</t>
  </si>
  <si>
    <t>OTB 2020/2021 @ 24 Aug 2020</t>
  </si>
  <si>
    <t>OTB 2020/2021 @ 06 August 2020</t>
  </si>
  <si>
    <t xml:space="preserve">Variance 24 Aug vs 6 Aug </t>
  </si>
  <si>
    <t>Actual 2019/2020</t>
  </si>
  <si>
    <t>24 Aug 2020 vs 2019/2020</t>
  </si>
  <si>
    <t>Actual 2018/2019</t>
  </si>
  <si>
    <t>2019/2020 vs 2018/2019</t>
  </si>
  <si>
    <t>Actual 2017/2018</t>
  </si>
  <si>
    <t>2018/2019 vs 2017/18</t>
  </si>
  <si>
    <t>Revenue vs previous year</t>
  </si>
  <si>
    <t>Variance 2018 vs 2017</t>
  </si>
  <si>
    <t>Variance 2019 vs 2018</t>
  </si>
  <si>
    <t>Variance 2020 vs 2019</t>
  </si>
  <si>
    <t>Jul</t>
  </si>
  <si>
    <t>TOTAL</t>
  </si>
  <si>
    <t>Siteminder</t>
  </si>
  <si>
    <t xml:space="preserve"> Channel</t>
  </si>
  <si>
    <t xml:space="preserve"> Number of Reservations</t>
  </si>
  <si>
    <t>2019 vs 2018</t>
  </si>
  <si>
    <t xml:space="preserve"> Avg Lead Time</t>
  </si>
  <si>
    <t xml:space="preserve"> Avg Length of Stay</t>
  </si>
  <si>
    <t xml:space="preserve"> Agoda</t>
  </si>
  <si>
    <t xml:space="preserve"> 152.00</t>
  </si>
  <si>
    <t xml:space="preserve"> 3.00</t>
  </si>
  <si>
    <t xml:space="preserve"> Booking.com</t>
  </si>
  <si>
    <t xml:space="preserve"> 64.50</t>
  </si>
  <si>
    <t xml:space="preserve"> 2.95</t>
  </si>
  <si>
    <t>Booking Button</t>
  </si>
  <si>
    <t xml:space="preserve"> Expedia</t>
  </si>
  <si>
    <t xml:space="preserve"> 16.00</t>
  </si>
  <si>
    <t xml:space="preserve"> 2.00</t>
  </si>
  <si>
    <t xml:space="preserve"> Hotelbeds</t>
  </si>
  <si>
    <t xml:space="preserve"> 32.80</t>
  </si>
  <si>
    <t xml:space="preserve"> 1.60</t>
  </si>
  <si>
    <t>HRS</t>
  </si>
  <si>
    <t xml:space="preserve"> Simple Booking</t>
  </si>
  <si>
    <t xml:space="preserve"> 42.47</t>
  </si>
  <si>
    <t xml:space="preserve"> 1.88</t>
  </si>
  <si>
    <t>AVR</t>
  </si>
  <si>
    <t xml:space="preserve">Jan </t>
  </si>
  <si>
    <t>Siteminder stats @ 19 May 2016</t>
  </si>
  <si>
    <t>Res</t>
  </si>
  <si>
    <t>RN</t>
  </si>
  <si>
    <t>Rev</t>
  </si>
  <si>
    <t>LoS</t>
  </si>
  <si>
    <t>as @ 21 April 2015</t>
  </si>
  <si>
    <t>21 April 2015 vrs Target</t>
  </si>
  <si>
    <t>as @ 14 April 2015</t>
  </si>
  <si>
    <t>TOTALS</t>
  </si>
  <si>
    <t>Current vrs LY Actual</t>
  </si>
  <si>
    <t>Variance 2015 vrs 2014</t>
  </si>
  <si>
    <t>Think about the steps you personally take to book a trip – how much research would it involve? Where would you look and who would you trust? Add these considerations into your marketing efforts to make sure you’re speaking to today’s traveller at each stage of the cycle – including post-stay</t>
  </si>
  <si>
    <t>If you know a guest has had an amazing time, then encourage them to share that experience online. Your hotel will become part of a ‘friends and family’ discussion, which is a sure-fire way to get in to social media newsfeeds, If you’re delivering the right experience, customers will do the promoting for you via social media</t>
  </si>
  <si>
    <t>Engaging with travel bloggers might seem daunting but it’s something you should start to mastermind as they can influence many online users and sway booking decisions. Many blogs have bigger readerships than printed magazines so you should stand up and take notice of them. Be authentic and do your research by familiarising yourself with the blog. They will only ever write about topics they’re genuinely interested in. Start by finding a local blogger and build your networking from there,</t>
  </si>
  <si>
    <t>as @ 15 July 2014</t>
  </si>
  <si>
    <t>On the books @        15 July 2013</t>
  </si>
  <si>
    <t>10 July 2014 vrs Target</t>
  </si>
  <si>
    <t>Budget vrs LY</t>
  </si>
  <si>
    <t>10 July 2014 vrs 10 July 2013</t>
  </si>
  <si>
    <t>Variance last 5 days</t>
  </si>
  <si>
    <t>Variance last 5 days LY</t>
  </si>
  <si>
    <t>as @ 10 July 2014</t>
  </si>
  <si>
    <t>Occ @                        10 July 2014</t>
  </si>
  <si>
    <t>On the books @        10 July 2013</t>
  </si>
  <si>
    <t>OTB 25.05.22</t>
  </si>
  <si>
    <t>Variance OTB Current vs LY</t>
  </si>
  <si>
    <t>ADR</t>
  </si>
  <si>
    <t>June 2017 - closed from 6-30 June</t>
  </si>
  <si>
    <t>June 2018 - closed from 5-30 June</t>
  </si>
  <si>
    <t>June 2019 - closed 1-30 June</t>
  </si>
  <si>
    <t>March 2020 - closed lock down 26-30 March</t>
  </si>
  <si>
    <t>April 2020 - closed lock down 1-30 April</t>
  </si>
  <si>
    <t xml:space="preserve">May 2020 - closed lockdown 1-31 May </t>
  </si>
  <si>
    <t>June 2020 - closed</t>
  </si>
  <si>
    <t>July 2020 - closed</t>
  </si>
  <si>
    <t xml:space="preserve">August 2020 - closed 1-25 August. All rom sblocked in a way that reports 100% occupancy. </t>
  </si>
  <si>
    <t>September  2020 - closed 5-30 Sept. All rom sblocked in a way that reports 100% occupanc</t>
  </si>
  <si>
    <t xml:space="preserve">July 2021 - closed 1-29 July </t>
  </si>
  <si>
    <t>July 2022 - a week here or there closed. Some nights on 100% which is not possible when compared to revenue</t>
  </si>
  <si>
    <t>2024 vs 2023</t>
  </si>
  <si>
    <t>2025 vs 2024</t>
  </si>
  <si>
    <t>2026 vs 2025</t>
  </si>
  <si>
    <t>OTB 29.07.26</t>
  </si>
  <si>
    <t>Grande Roche Revenue On the Books @ 14 August 2026</t>
  </si>
  <si>
    <t>OTB 14.08.26</t>
  </si>
  <si>
    <t>Booking reference</t>
  </si>
  <si>
    <t>Guest names</t>
  </si>
  <si>
    <t>Check-in</t>
  </si>
  <si>
    <t>Check-out</t>
  </si>
  <si>
    <t>Channel</t>
  </si>
  <si>
    <t>Affiliated Channel</t>
  </si>
  <si>
    <t>Referral</t>
  </si>
  <si>
    <t>Room</t>
  </si>
  <si>
    <t>Booked-on date</t>
  </si>
  <si>
    <t>Modified-on date</t>
  </si>
  <si>
    <t>Cancelled-on date</t>
  </si>
  <si>
    <t>Booking status</t>
  </si>
  <si>
    <t>Total price</t>
  </si>
  <si>
    <t>Connectivity status</t>
  </si>
  <si>
    <t>Connectivity last sent at</t>
  </si>
  <si>
    <t>Guest title</t>
  </si>
  <si>
    <t>Guest name</t>
  </si>
  <si>
    <t>Guest first name</t>
  </si>
  <si>
    <t>Guest last name</t>
  </si>
  <si>
    <t>Guest address</t>
  </si>
  <si>
    <t>Guest address2</t>
  </si>
  <si>
    <t>Guest state</t>
  </si>
  <si>
    <t>Guest postcode</t>
  </si>
  <si>
    <t>Guest country</t>
  </si>
  <si>
    <t>Guest email</t>
  </si>
  <si>
    <t>Guest phone</t>
  </si>
  <si>
    <t>GDPR consent</t>
  </si>
  <si>
    <t>GDPR consent date</t>
  </si>
  <si>
    <t>Promo code</t>
  </si>
  <si>
    <t>Megan Sirockman</t>
  </si>
  <si>
    <t>Expedia</t>
  </si>
  <si>
    <t>1 x Duplex - Breakfast Included - Standalone - Derived</t>
  </si>
  <si>
    <t>Cancelled</t>
  </si>
  <si>
    <t>2 - 0 - 0</t>
  </si>
  <si>
    <t>ZAR 13923.00</t>
  </si>
  <si>
    <t>Delivered</t>
  </si>
  <si>
    <t>-</t>
  </si>
  <si>
    <t xml:space="preserve"> </t>
  </si>
  <si>
    <t>Neil Hind, , FN TBA a LN TBA a</t>
  </si>
  <si>
    <t>HyperGuest</t>
  </si>
  <si>
    <t>Nuitee Travel Limited</t>
  </si>
  <si>
    <t>1 x Legacy Room</t>
  </si>
  <si>
    <t>Booked</t>
  </si>
  <si>
    <t>ZAR 5162.40</t>
  </si>
  <si>
    <t>Hamada Gomaa</t>
  </si>
  <si>
    <t>Expedia Affiliate Network</t>
  </si>
  <si>
    <t>1 x Room (Legacy) - Breakfast Included - Package - Linked</t>
  </si>
  <si>
    <t>1 - 0 - 0</t>
  </si>
  <si>
    <t>ZAR 3484.62</t>
  </si>
  <si>
    <t>Ebrahim El Naggar</t>
  </si>
  <si>
    <t>Ahmed El Naggar</t>
  </si>
  <si>
    <t>Zeina Habib</t>
  </si>
  <si>
    <t>Nikos Genalis</t>
  </si>
  <si>
    <t>Yassine Laarif</t>
  </si>
  <si>
    <t>Ahmed Elsisi</t>
  </si>
  <si>
    <t>BB25060317639010</t>
  </si>
  <si>
    <t>Melinda Woodhead</t>
  </si>
  <si>
    <t>Direct Booking</t>
  </si>
  <si>
    <t>grandrochedirect</t>
  </si>
  <si>
    <t>2 x Heritage Suite - Book Direct save 15%</t>
  </si>
  <si>
    <t>4 - 0 - 0</t>
  </si>
  <si>
    <t>ZAR 7888.00</t>
  </si>
  <si>
    <t>Melinda</t>
  </si>
  <si>
    <t>Woodhead</t>
  </si>
  <si>
    <t>Jakkalsfontein Nature Reserve, R27 (West Coast Road)</t>
  </si>
  <si>
    <t>62 Sandpiper</t>
  </si>
  <si>
    <t>Western Cape</t>
  </si>
  <si>
    <t>South Africa</t>
  </si>
  <si>
    <t>mel@thecapeandafricadiscovered.com</t>
  </si>
  <si>
    <t>2025-06-03T00:00:00.000Z</t>
  </si>
  <si>
    <t>BB25060317645485</t>
  </si>
  <si>
    <t>Michelle Lavin</t>
  </si>
  <si>
    <t>grandrochedirect_DemandPlus</t>
  </si>
  <si>
    <t>1 x Legacy Room - Book Direct save 15%</t>
  </si>
  <si>
    <t>ZAR 9991.00</t>
  </si>
  <si>
    <t>Michelle</t>
  </si>
  <si>
    <t>Lavin</t>
  </si>
  <si>
    <t>4 fairways two</t>
  </si>
  <si>
    <t>R32 t9y6</t>
  </si>
  <si>
    <t>Ireland</t>
  </si>
  <si>
    <t>Milavin@tcd.ie</t>
  </si>
  <si>
    <t xml:space="preserve">Frank Tippmann, </t>
  </si>
  <si>
    <t>Booking.com</t>
  </si>
  <si>
    <t>BDC</t>
  </si>
  <si>
    <t>1 x Duplex Suite - General - Breakfast included - European Economic Area</t>
  </si>
  <si>
    <t>ZAR 34228.80</t>
  </si>
  <si>
    <t>BB25060717683597</t>
  </si>
  <si>
    <t>Michael Neidig</t>
  </si>
  <si>
    <t>1 x Terrace Suite - Book Direct save 15%</t>
  </si>
  <si>
    <t>ZAR 22178.00</t>
  </si>
  <si>
    <t>Michael</t>
  </si>
  <si>
    <t>Neidig</t>
  </si>
  <si>
    <t>113 FERRY ROAD</t>
  </si>
  <si>
    <t>Select state...</t>
  </si>
  <si>
    <t>OX3 0EX</t>
  </si>
  <si>
    <t>United Kingdom</t>
  </si>
  <si>
    <t>michael.neidig@chem.ox.ac.uk</t>
  </si>
  <si>
    <t>2025-06-07T00:00:00.000Z</t>
  </si>
  <si>
    <t>Robert Zaeh</t>
  </si>
  <si>
    <t>Hotels.com</t>
  </si>
  <si>
    <t>1 x Room (Legacy) - Breakfast Included - Standalone - Derived</t>
  </si>
  <si>
    <t>ZAR 13665.60</t>
  </si>
  <si>
    <t>Katharina Ruedlinger</t>
  </si>
  <si>
    <t>Luke Cassell</t>
  </si>
  <si>
    <t>1 x Studio - General - Breakfast included - Getaway Deal</t>
  </si>
  <si>
    <t>ZAR 3656.70</t>
  </si>
  <si>
    <t>Stephen Rich</t>
  </si>
  <si>
    <t>1 x Studio - General - Breakfast included - Domestic</t>
  </si>
  <si>
    <t>ZAR 15183.00</t>
  </si>
  <si>
    <t>BB25061017713865</t>
  </si>
  <si>
    <t>Joerg Schmidt</t>
  </si>
  <si>
    <t>ZAR 28095.00</t>
  </si>
  <si>
    <t>Joerg</t>
  </si>
  <si>
    <t>Schmidt</t>
  </si>
  <si>
    <t>Zur Havelduene 13</t>
  </si>
  <si>
    <t>Berlin</t>
  </si>
  <si>
    <t>Germany</t>
  </si>
  <si>
    <t>joerg@schmidt-berlin.eu</t>
  </si>
  <si>
    <t>2025-06-10T00:00:00.000Z</t>
  </si>
  <si>
    <t>Tshepang Hlatshwayo</t>
  </si>
  <si>
    <t>ZAR 7405.03</t>
  </si>
  <si>
    <t>Ivo Schepers</t>
  </si>
  <si>
    <t>1 x Studio - General - Breakfast included - European Economic Area</t>
  </si>
  <si>
    <t>ZAR 6832.80</t>
  </si>
  <si>
    <t>BB25061117723988</t>
  </si>
  <si>
    <t>Chelsey Moolman</t>
  </si>
  <si>
    <t>1 x Legacy Room - Promotion 5: THN15</t>
  </si>
  <si>
    <t>ZAR 3658.00</t>
  </si>
  <si>
    <t>Chelsey</t>
  </si>
  <si>
    <t>Moolman</t>
  </si>
  <si>
    <t>The Huntsman Estate</t>
  </si>
  <si>
    <t>Macassar Rd, Croydon, Cape Town</t>
  </si>
  <si>
    <t>chelseymoolman@gmail.com</t>
  </si>
  <si>
    <t>2025-06-11T00:00:00.000Z</t>
  </si>
  <si>
    <t>THN15</t>
  </si>
  <si>
    <t>Iain Burgess</t>
  </si>
  <si>
    <t>1 x Studio - General - Breakfast included - United Kingdom</t>
  </si>
  <si>
    <t>ZAR 10578.60</t>
  </si>
  <si>
    <t>Sfiso Mazibuko</t>
  </si>
  <si>
    <t>ZAR 7770.70</t>
  </si>
  <si>
    <t>Helmut Richter</t>
  </si>
  <si>
    <t>ZAR 18979.20</t>
  </si>
  <si>
    <t>BB25061417756189</t>
  </si>
  <si>
    <t>Babalwa Nyoka</t>
  </si>
  <si>
    <t xml:space="preserve">1 x Legacy Room - Best Available Rate </t>
  </si>
  <si>
    <t xml:space="preserve"> 1 x Terrace Suite - Grande Reserve Experience"</t>
  </si>
  <si>
    <t>ZAR 10340.00</t>
  </si>
  <si>
    <t>Babalwa</t>
  </si>
  <si>
    <t>Nyoka</t>
  </si>
  <si>
    <t>Babalwa.nyoka@gmail.com</t>
  </si>
  <si>
    <t>90 Ashley Drive</t>
  </si>
  <si>
    <t>2025-06-14T00:00:00.000Z</t>
  </si>
  <si>
    <t>William Duffy</t>
  </si>
  <si>
    <t>1 x Duplex - Breakfast Included - Package - Linked</t>
  </si>
  <si>
    <t>ZAR 11761.20</t>
  </si>
  <si>
    <t>Sandra McDiarmid</t>
  </si>
  <si>
    <t>ZAR 39476.70</t>
  </si>
  <si>
    <t>Theo Basson, Christine Basson</t>
  </si>
  <si>
    <t>2 x Studio - General - Breakfast included - Getaway Deal</t>
  </si>
  <si>
    <t>ZAR 18285.20</t>
  </si>
  <si>
    <t>BB25061717785788</t>
  </si>
  <si>
    <t>Sonja Nel</t>
  </si>
  <si>
    <t>1 x Garden Suite - Promotion 5: THN15</t>
  </si>
  <si>
    <t>ZAR 6353.00</t>
  </si>
  <si>
    <t>Sonja</t>
  </si>
  <si>
    <t>Nel</t>
  </si>
  <si>
    <t>42 Optenhorst street, Paarl</t>
  </si>
  <si>
    <t>Lemoenkloof</t>
  </si>
  <si>
    <t>Cape town</t>
  </si>
  <si>
    <t>sonja@limecrop.co.za</t>
  </si>
  <si>
    <t>2025-06-17T00:00:00.000Z</t>
  </si>
  <si>
    <t>Kebonye Aubrey Kgwaadira</t>
  </si>
  <si>
    <t>1 x Suite with Terrace - General - Breakfast included - Getaway Deal</t>
  </si>
  <si>
    <t>ZAR 21753.20</t>
  </si>
  <si>
    <t>Cornelis Kerver</t>
  </si>
  <si>
    <t>ZAR 21257.08</t>
  </si>
  <si>
    <t>Rolf Werner</t>
  </si>
  <si>
    <t>ZAR 6073.21</t>
  </si>
  <si>
    <t>Julie Criddle</t>
  </si>
  <si>
    <t>1 x Room (Legacy) - Non - refundable - Standalone - Derived</t>
  </si>
  <si>
    <t>ZAR 12341.78</t>
  </si>
  <si>
    <t>BB25061917813882</t>
  </si>
  <si>
    <t>Ralph Goeller</t>
  </si>
  <si>
    <t>ZAR 22944.00</t>
  </si>
  <si>
    <t>Ralph</t>
  </si>
  <si>
    <t>Goeller</t>
  </si>
  <si>
    <t>Kohlbergweg 9</t>
  </si>
  <si>
    <t>ralph.goeller@t-online.de</t>
  </si>
  <si>
    <t>2025-06-19T00:00:00.000Z</t>
  </si>
  <si>
    <t>HTFT100001-06201108094114</t>
  </si>
  <si>
    <t>Test Test</t>
  </si>
  <si>
    <t>Tourplan</t>
  </si>
  <si>
    <t>Highline Travel Service</t>
  </si>
  <si>
    <t>1 x Standard King Studio</t>
  </si>
  <si>
    <t>ZAR 3765.00</t>
  </si>
  <si>
    <t>BB25062317843710</t>
  </si>
  <si>
    <t>Du Toit Visser</t>
  </si>
  <si>
    <t>ZAR 12799.00</t>
  </si>
  <si>
    <t>Du Toit</t>
  </si>
  <si>
    <t>Visser</t>
  </si>
  <si>
    <t>31 Sandpiper Estates</t>
  </si>
  <si>
    <t>T1R1M6</t>
  </si>
  <si>
    <t>Canada</t>
  </si>
  <si>
    <t>dutoitvisser@gmail.com</t>
  </si>
  <si>
    <t>2025-06-23T00:00:00.000Z</t>
  </si>
  <si>
    <t>Thando Khoase</t>
  </si>
  <si>
    <t>ZAR 7840.82</t>
  </si>
  <si>
    <t>Anders Chr. Feyling</t>
  </si>
  <si>
    <t>A-Hotels.com</t>
  </si>
  <si>
    <t>1 x Duplex - Breakfast Included - Standalone - SellRate</t>
  </si>
  <si>
    <t>ZAR 22688.00</t>
  </si>
  <si>
    <t>BB25062417861051</t>
  </si>
  <si>
    <t>Mlungisi Kwini</t>
  </si>
  <si>
    <t xml:space="preserve">1 x Garden Suite - Book Direct save 15% </t>
  </si>
  <si>
    <t xml:space="preserve"> 1 x Terrace Suite - Book Direct save 15%"</t>
  </si>
  <si>
    <t>ZAR 44409.00</t>
  </si>
  <si>
    <t>Mlungisi</t>
  </si>
  <si>
    <t>Kwini</t>
  </si>
  <si>
    <t>204 Anderson Avenue</t>
  </si>
  <si>
    <t>Northcliff</t>
  </si>
  <si>
    <t>mlungisi.kwini@lukhanyo.com</t>
  </si>
  <si>
    <t>2025-06-24T00:00:00.000Z</t>
  </si>
  <si>
    <t>BB25062417861085</t>
  </si>
  <si>
    <t>ZAR 26234.00</t>
  </si>
  <si>
    <t>BB25062417861217</t>
  </si>
  <si>
    <t>ZAR 10766.00</t>
  </si>
  <si>
    <t>Thrine Seglem</t>
  </si>
  <si>
    <t>ZAR 18377.29</t>
  </si>
  <si>
    <t>BB25062417862960</t>
  </si>
  <si>
    <t>Claire Carroll</t>
  </si>
  <si>
    <t>ZAR 14340.00</t>
  </si>
  <si>
    <t>Claire</t>
  </si>
  <si>
    <t>Carroll</t>
  </si>
  <si>
    <t>66 Graythwaite</t>
  </si>
  <si>
    <t>England</t>
  </si>
  <si>
    <t>DH2 2UH</t>
  </si>
  <si>
    <t>clairefrater@yahoo.co.uk</t>
  </si>
  <si>
    <t>BB25062517867319</t>
  </si>
  <si>
    <t>Johanna van Summeren</t>
  </si>
  <si>
    <t>ZAR 4440.00</t>
  </si>
  <si>
    <t>Johanna</t>
  </si>
  <si>
    <t>van Summeren</t>
  </si>
  <si>
    <t>Hamstraat</t>
  </si>
  <si>
    <t>The Netherlands</t>
  </si>
  <si>
    <t>5361HB</t>
  </si>
  <si>
    <t>Netherlands</t>
  </si>
  <si>
    <t>annemarie@vansummeren.nl</t>
  </si>
  <si>
    <t>2025-06-25T00:00:00.000Z</t>
  </si>
  <si>
    <t>BB25062517867374</t>
  </si>
  <si>
    <t>Yvette Groenewoud</t>
  </si>
  <si>
    <t>1 x Heritage Suite - Book Direct save 15%</t>
  </si>
  <si>
    <t>ZAR 3944.00</t>
  </si>
  <si>
    <t>Yvette</t>
  </si>
  <si>
    <t>Groenewoud</t>
  </si>
  <si>
    <t>Van Blankenburgstraat 55</t>
  </si>
  <si>
    <t>2517 XN</t>
  </si>
  <si>
    <t>yvettemaarten@gmail.com</t>
  </si>
  <si>
    <t>Gil Givoni</t>
  </si>
  <si>
    <t>ZAR 18316.65</t>
  </si>
  <si>
    <t>Fiona Reynolds</t>
  </si>
  <si>
    <t>2 x Studio - General - Breakfast included - Mobile(App) Rate</t>
  </si>
  <si>
    <t>ZAR 25812.00</t>
  </si>
  <si>
    <t>BB25062617877822</t>
  </si>
  <si>
    <t>Julian Naik</t>
  </si>
  <si>
    <t xml:space="preserve">1 x Legacy Room - Book Direct save 15% </t>
  </si>
  <si>
    <t xml:space="preserve"> 1 x Heritage Suite - Book Direct save 15%"</t>
  </si>
  <si>
    <t>ZAR 15202.00</t>
  </si>
  <si>
    <t>Julian</t>
  </si>
  <si>
    <t>Naik</t>
  </si>
  <si>
    <t>15 Rimal, 334 Bryanston Drive</t>
  </si>
  <si>
    <t>julian@spiritsandbubbles.co.za</t>
  </si>
  <si>
    <t>2025-06-26T00:00:00.000Z</t>
  </si>
  <si>
    <t>DD2C858203-06261516445434</t>
  </si>
  <si>
    <t>Tina Seraina Collenberg, Kevin Walther Fehervary</t>
  </si>
  <si>
    <t>Tourvest DMC</t>
  </si>
  <si>
    <t>1 x Deluxe King Duplex - Heritage Suite</t>
  </si>
  <si>
    <t>Lara Klebor</t>
  </si>
  <si>
    <t>3 x Studio - General - Breakfast included - European Economic Area</t>
  </si>
  <si>
    <t>5 - 0 - 0</t>
  </si>
  <si>
    <t>ZAR 38718.00</t>
  </si>
  <si>
    <t>Roland Vogt</t>
  </si>
  <si>
    <t>1 x Duplex Suite - General - Breakfast included - Getaway Deal</t>
  </si>
  <si>
    <t>ZAR 10775.45</t>
  </si>
  <si>
    <t>Holly Littlewood</t>
  </si>
  <si>
    <t>1 x Duplex Suite - General - Breakfast included - United Kingdom</t>
  </si>
  <si>
    <t>ZAR 17115.30</t>
  </si>
  <si>
    <t>Helge Weber</t>
  </si>
  <si>
    <t>2 x Studio - General - Breakfast included - European Economic Area</t>
  </si>
  <si>
    <t>3 - 0 - 0</t>
  </si>
  <si>
    <t>ZAR 94136.40</t>
  </si>
  <si>
    <t>BB25063017916341</t>
  </si>
  <si>
    <t>2 x Terrace Suite - Grande Reserve Experience</t>
  </si>
  <si>
    <t>ZAR 11000.00</t>
  </si>
  <si>
    <t>2025-06-30T00:00:00.000Z</t>
  </si>
  <si>
    <t>DD2D860254-06301900479758</t>
  </si>
  <si>
    <t>David Banner, Rosemary Banner</t>
  </si>
  <si>
    <t>ZAR 5905.00</t>
  </si>
  <si>
    <t>sophia korduner</t>
  </si>
  <si>
    <t>TDFT281076-07011430014061</t>
  </si>
  <si>
    <t>Adult 01 Lauren &amp; Tyler (Honeymooners), Adult 02 Lauren &amp; Tyler (Honeymooners)</t>
  </si>
  <si>
    <t>Tour d'Afrique</t>
  </si>
  <si>
    <t>ZAR 9282.00</t>
  </si>
  <si>
    <t>Tess GlynneJones</t>
  </si>
  <si>
    <t>ZAR 27329.40</t>
  </si>
  <si>
    <t>Sabine Amelung-Hildebrand</t>
  </si>
  <si>
    <t>1 x Suite with Terrace - General - Breakfast included - European Economic Area</t>
  </si>
  <si>
    <t>ZAR 21249.00</t>
  </si>
  <si>
    <t>HANNA KALIADA</t>
  </si>
  <si>
    <t>1 x Studio - General - Breakfast included - Mobile(App) Rate</t>
  </si>
  <si>
    <t>ZAR 22015.80</t>
  </si>
  <si>
    <t>Krishnee Murugan, Rajendra Balmakhun</t>
  </si>
  <si>
    <t>ZAR 4114.00</t>
  </si>
  <si>
    <t>Sanne Huntjens</t>
  </si>
  <si>
    <t>ZAR 4788.90</t>
  </si>
  <si>
    <t>Monika Nuechter</t>
  </si>
  <si>
    <t>ZAR 12906.00</t>
  </si>
  <si>
    <t>BB25070617982968</t>
  </si>
  <si>
    <t>Elsa Van Huyssteen</t>
  </si>
  <si>
    <t>Elsa</t>
  </si>
  <si>
    <t>Van Huyssteen</t>
  </si>
  <si>
    <t>71 Upper Orange Street</t>
  </si>
  <si>
    <t>Gardens</t>
  </si>
  <si>
    <t>elsavh@mweb.co.za</t>
  </si>
  <si>
    <t>2025-07-06T00:00:00.000Z</t>
  </si>
  <si>
    <t>Tadhg Brennan</t>
  </si>
  <si>
    <t>ZAR 15487.20</t>
  </si>
  <si>
    <t>BB25070717989220</t>
  </si>
  <si>
    <t>James Rands</t>
  </si>
  <si>
    <t>1 x Garden Suite - Book Direct save 15%</t>
  </si>
  <si>
    <t>ZAR 21036.00</t>
  </si>
  <si>
    <t>James</t>
  </si>
  <si>
    <t>Rands</t>
  </si>
  <si>
    <t>1 The Oasts</t>
  </si>
  <si>
    <t>The Green</t>
  </si>
  <si>
    <t>Kent</t>
  </si>
  <si>
    <t>ME144EB</t>
  </si>
  <si>
    <t>jrands1@gmail.com</t>
  </si>
  <si>
    <t>2025-07-07T00:00:00.000Z</t>
  </si>
  <si>
    <t>Krishnee Murugan, Firdhose Coovadia</t>
  </si>
  <si>
    <t>Aniko Sebok</t>
  </si>
  <si>
    <t>ZAR 23229.99</t>
  </si>
  <si>
    <t>BB25070717992283</t>
  </si>
  <si>
    <t>Christian Paul</t>
  </si>
  <si>
    <t>ZAR 5388.00</t>
  </si>
  <si>
    <t>Christian</t>
  </si>
  <si>
    <t>Paul</t>
  </si>
  <si>
    <t>Oberspaarer Stra√üe 30</t>
  </si>
  <si>
    <t>Sachsen</t>
  </si>
  <si>
    <t>christian.paul2@googlemail.com</t>
  </si>
  <si>
    <t>BB25070717993596</t>
  </si>
  <si>
    <t>James Mackenzie</t>
  </si>
  <si>
    <t>Mackenzie</t>
  </si>
  <si>
    <t>10 Bonair Road</t>
  </si>
  <si>
    <t>Rondebosch</t>
  </si>
  <si>
    <t>mackenzie@capebar.co.za</t>
  </si>
  <si>
    <t>DD2C860691-07080646100385</t>
  </si>
  <si>
    <t>Anita Jost, Fredy Meier</t>
  </si>
  <si>
    <t>Paul Marier</t>
  </si>
  <si>
    <t>ZAR 5134.58</t>
  </si>
  <si>
    <t>Dan Rice</t>
  </si>
  <si>
    <t>Merle Matthews</t>
  </si>
  <si>
    <t>ZAR 9142.60</t>
  </si>
  <si>
    <t>Craig Bosch</t>
  </si>
  <si>
    <t>ZAR 3871.80</t>
  </si>
  <si>
    <t>Martina Hacker</t>
  </si>
  <si>
    <t>ZAR 18219.60</t>
  </si>
  <si>
    <t>Angelica Wekwete</t>
  </si>
  <si>
    <t>ZAR 17043.30</t>
  </si>
  <si>
    <t>Viviane Berchtold</t>
  </si>
  <si>
    <t>Christian Gerber</t>
  </si>
  <si>
    <t>ZAR 13804.00</t>
  </si>
  <si>
    <t>Linda Fowler</t>
  </si>
  <si>
    <t>1 x Suite, Terrace - Breakfast Included - Package - Linked</t>
  </si>
  <si>
    <t>ZAR 27730.35</t>
  </si>
  <si>
    <t>1 x Suite with Terrace - General - Breakfast included - United Kingdom</t>
  </si>
  <si>
    <t>ZAR 30811.50</t>
  </si>
  <si>
    <t>JEAN CHRISTOPHE BOURREILLE</t>
  </si>
  <si>
    <t>ZAR 13665.58</t>
  </si>
  <si>
    <t>BB25071718099314</t>
  </si>
  <si>
    <t>Sharon du Toit</t>
  </si>
  <si>
    <t>Sharon</t>
  </si>
  <si>
    <t>du Toit</t>
  </si>
  <si>
    <t>128 EMERALD DRIVE, Noordhoek</t>
  </si>
  <si>
    <t>128 Emerald Drive</t>
  </si>
  <si>
    <t>Noordhoek</t>
  </si>
  <si>
    <t>dutoitsharon27@gmail.com</t>
  </si>
  <si>
    <t>2025-07-17T00:00:00.000Z</t>
  </si>
  <si>
    <t>BB25071718099668</t>
  </si>
  <si>
    <t>Michelle Visagie</t>
  </si>
  <si>
    <t>1 x Terrace Suite - Grande Reserve Experience</t>
  </si>
  <si>
    <t>ZAR 5500.00</t>
  </si>
  <si>
    <t>Visagie</t>
  </si>
  <si>
    <t>2 Athens Road</t>
  </si>
  <si>
    <t>mishgomes@hotmail.com</t>
  </si>
  <si>
    <t>SAFI115544-07171430545607</t>
  </si>
  <si>
    <t>Karl-Heinz Birkner, Cornelia Birkner</t>
  </si>
  <si>
    <t>Terra Nova Tours</t>
  </si>
  <si>
    <t>1 x Superior King Suite - Terrace Suite</t>
  </si>
  <si>
    <t>ZAR 33056.00</t>
  </si>
  <si>
    <t>Abdulkarim Alotaibi</t>
  </si>
  <si>
    <t>1 x Studio - Last Minute NoCC Free Cancellation - Breakfast included - Getaway Deal</t>
  </si>
  <si>
    <t>Cathriena St√§blein</t>
  </si>
  <si>
    <t>ZAR 13966.83</t>
  </si>
  <si>
    <t xml:space="preserve">Markus van der Merwe, Markus MN van der Merwe, </t>
  </si>
  <si>
    <t>2 x Suite with Terrace - General - Breakfast included - Getaway Deal</t>
  </si>
  <si>
    <t>ZAR 23033.30</t>
  </si>
  <si>
    <t>Floyd Lebatie</t>
  </si>
  <si>
    <t>BB25072118142215</t>
  </si>
  <si>
    <t>Andre Schoeman</t>
  </si>
  <si>
    <t>ZAR 4995.00</t>
  </si>
  <si>
    <t>Andre</t>
  </si>
  <si>
    <t>Schoeman</t>
  </si>
  <si>
    <t>Bekfontein Boerdery</t>
  </si>
  <si>
    <t>Mpumalanga</t>
  </si>
  <si>
    <t>andre@laughw.co.za</t>
  </si>
  <si>
    <t>2025-07-21T00:00:00.000Z</t>
  </si>
  <si>
    <t>Vuyokazi Bikwana</t>
  </si>
  <si>
    <t>ZAR 5877.00</t>
  </si>
  <si>
    <t>Jean Visser, Hennie Visser</t>
  </si>
  <si>
    <t>ZAR 5757.90</t>
  </si>
  <si>
    <t>NFIN600882-07231305573162</t>
  </si>
  <si>
    <t>Adult 01 Murray Family, Adult 02 Murray Family, Adult 03 Murray Family, Adult 04 Murray Family</t>
  </si>
  <si>
    <t>New Frontiers</t>
  </si>
  <si>
    <t>2 x Standard King Studio</t>
  </si>
  <si>
    <t>ZAR 35430.00</t>
  </si>
  <si>
    <t>NFIN600882-07231320598364</t>
  </si>
  <si>
    <t>ZAR 23620.00</t>
  </si>
  <si>
    <t>BB25072318169260</t>
  </si>
  <si>
    <t>Gustav GOUWS</t>
  </si>
  <si>
    <t>ZAR 10546.00</t>
  </si>
  <si>
    <t>Gustav</t>
  </si>
  <si>
    <t>GOUWS</t>
  </si>
  <si>
    <t>MEANDER AVENUE 238</t>
  </si>
  <si>
    <t>Gauteng</t>
  </si>
  <si>
    <t>ggouws@hradmin.co.za</t>
  </si>
  <si>
    <t>2025-07-23T00:00:00.000Z</t>
  </si>
  <si>
    <t>Sophia Raw</t>
  </si>
  <si>
    <t>1 x Duplex - Non - refundable - Standalone - Derived</t>
  </si>
  <si>
    <t>ZAR 5070.60</t>
  </si>
  <si>
    <t>Michelle Minnie</t>
  </si>
  <si>
    <t>Thompsons Holidays</t>
  </si>
  <si>
    <t>HOSPITALITYSOLUTIONS</t>
  </si>
  <si>
    <t>1 x Legacy Suite</t>
  </si>
  <si>
    <t>ZAR 16456.00</t>
  </si>
  <si>
    <t>Lisa Stokland</t>
  </si>
  <si>
    <t>Konstantinos Terzis</t>
  </si>
  <si>
    <t>David Sandoval</t>
  </si>
  <si>
    <t>1 x Duplex Suite - General - Breakfast included - Mobile(App) Rate</t>
  </si>
  <si>
    <t>ZAR 14702.40</t>
  </si>
  <si>
    <t>Thom Anderson</t>
  </si>
  <si>
    <t>1 x Duplex Suite - General - Breakfast included</t>
  </si>
  <si>
    <t>ZAR 18150.00</t>
  </si>
  <si>
    <t xml:space="preserve">Frans Cronje, </t>
  </si>
  <si>
    <t>WebBeds FZ_LLC</t>
  </si>
  <si>
    <t>ZAR 4356.00</t>
  </si>
  <si>
    <t xml:space="preserve">Claudio Merlo, </t>
  </si>
  <si>
    <t>ZAR 12325.00</t>
  </si>
  <si>
    <t>Jaspreet Thind</t>
  </si>
  <si>
    <t>A-Expedia</t>
  </si>
  <si>
    <t>1 x Room (Legacy) - Breakfast Included - Standalone - SellRate</t>
  </si>
  <si>
    <t>Letitia Theron</t>
  </si>
  <si>
    <t>ZAR 8685.30</t>
  </si>
  <si>
    <t>Victor Schander</t>
  </si>
  <si>
    <t>ZAR 16870.00</t>
  </si>
  <si>
    <t>Uwe Mosberger</t>
  </si>
  <si>
    <t>ZAR 8880.80</t>
  </si>
  <si>
    <t>BB25072718207304</t>
  </si>
  <si>
    <t>Monika Bolliger</t>
  </si>
  <si>
    <t>ZAR 20827.00</t>
  </si>
  <si>
    <t>Monika</t>
  </si>
  <si>
    <t>Bolliger</t>
  </si>
  <si>
    <t>Zwinglistrasse 40</t>
  </si>
  <si>
    <t>Switzerland</t>
  </si>
  <si>
    <t>monika.bolliger@gmail.com</t>
  </si>
  <si>
    <t>2025-07-27T00:00:00.000Z</t>
  </si>
  <si>
    <t>ZAR 11832.00</t>
  </si>
  <si>
    <t>David Manville</t>
  </si>
  <si>
    <t>Altus Prins</t>
  </si>
  <si>
    <t>TUKELA MTEMBU</t>
  </si>
  <si>
    <t>ZAR 12299.02</t>
  </si>
  <si>
    <t>NFIN601448-07281130426065</t>
  </si>
  <si>
    <t>Adult 01 page, Adult 02 page</t>
  </si>
  <si>
    <t>ZAR 11810.00</t>
  </si>
  <si>
    <t>Meera Anand</t>
  </si>
  <si>
    <t>ZAR 16335.00</t>
  </si>
  <si>
    <t>BB25072818217788</t>
  </si>
  <si>
    <t>DANIELE GIOVANNI GALLI</t>
  </si>
  <si>
    <t>1 x Legacy Room - Best Available Rate</t>
  </si>
  <si>
    <t>Modified</t>
  </si>
  <si>
    <t>ZAR 22776.00</t>
  </si>
  <si>
    <t>DANIELE GIOVANNI</t>
  </si>
  <si>
    <t>GALLI</t>
  </si>
  <si>
    <t>VIA DELLA BIRONA 26</t>
  </si>
  <si>
    <t>Italy</t>
  </si>
  <si>
    <t>danieleg.galli@gmail.com</t>
  </si>
  <si>
    <t>2025-07-28T00:00:00.000Z</t>
  </si>
  <si>
    <t>BB25072818217952</t>
  </si>
  <si>
    <t>ZAR 64108.00</t>
  </si>
  <si>
    <t>Failed</t>
  </si>
  <si>
    <t>Emma Pakenham</t>
  </si>
  <si>
    <t>1 x Legacy Room - General - Breakfast included - United Kingdom</t>
  </si>
  <si>
    <t>ZAR 10038.50</t>
  </si>
  <si>
    <t>Maite Lanzagorta</t>
  </si>
  <si>
    <t>Marie Jund</t>
  </si>
  <si>
    <t>Mlungisi Kwini, Mvandaba Kwini, Noah Kwini</t>
  </si>
  <si>
    <t>2 x Studio - General - Breakfast included - Domestic</t>
  </si>
  <si>
    <t>ZAR 22332.60</t>
  </si>
  <si>
    <t>Mlungisi Kwini, Xolisa Bangazi</t>
  </si>
  <si>
    <t>1 x Suite with Terrace - General - Breakfast included - Domestic</t>
  </si>
  <si>
    <t>ZAR 7402.50</t>
  </si>
  <si>
    <t xml:space="preserve">Tom Walker, </t>
  </si>
  <si>
    <t>ZAR 33586.20</t>
  </si>
  <si>
    <t>BB25073018238614</t>
  </si>
  <si>
    <t>Louise Lubbe</t>
  </si>
  <si>
    <t>Louise</t>
  </si>
  <si>
    <t>Lubbe</t>
  </si>
  <si>
    <t>6 Zimbali Views, Yellowwood drive no 53</t>
  </si>
  <si>
    <t>KZN</t>
  </si>
  <si>
    <t>louise.faith1012@gmail.com</t>
  </si>
  <si>
    <t>2025-07-30T00:00:00.000Z</t>
  </si>
  <si>
    <t>Estelle Louw</t>
  </si>
  <si>
    <t>ZAR 4571.30</t>
  </si>
  <si>
    <t>Diana Iakovenko</t>
  </si>
  <si>
    <t>1 x Studio - General - Breakfast included - Russia</t>
  </si>
  <si>
    <t>ZAR 11166.30</t>
  </si>
  <si>
    <t>Dawn Murphy</t>
  </si>
  <si>
    <t>1 x Studio - General - Breakfast included</t>
  </si>
  <si>
    <t>ZAR 8435.00</t>
  </si>
  <si>
    <t>Bernie Burness</t>
  </si>
  <si>
    <t>ZAR 10970.10</t>
  </si>
  <si>
    <t>Michael Dixon</t>
  </si>
  <si>
    <t>ZAR 10741.94</t>
  </si>
  <si>
    <t>Daniel Turpeinen</t>
  </si>
  <si>
    <t>ZAR 4995.44</t>
  </si>
  <si>
    <t>Federico Trincavelli</t>
  </si>
  <si>
    <t>ZAR 11427.40</t>
  </si>
  <si>
    <t xml:space="preserve">Walter Fleitmann, </t>
  </si>
  <si>
    <t>1 x Duplex Suite - Last Minute NoCC Free Cancellation - Breakfast included - Getaway Deal</t>
  </si>
  <si>
    <t>ZAR 4930.00</t>
  </si>
  <si>
    <t>Heloise Brink, Albe Geldenhuys Leo Geldenhuys, Charl en Heloise Brink, Luca Geldenhuys Marianne Fourie, Leon en Ezanne Reinach, Chris en Yolanda Maree</t>
  </si>
  <si>
    <t xml:space="preserve">4 x Studio - General - Breakfast included - Domestic </t>
  </si>
  <si>
    <t xml:space="preserve"> 1 x Duplex Suite - General - Breakfast included - Domestic"</t>
  </si>
  <si>
    <t>10 - 0 - 0</t>
  </si>
  <si>
    <t>ZAR 29846.70</t>
  </si>
  <si>
    <t>BB25080118262274</t>
  </si>
  <si>
    <t>Michele Pretorius</t>
  </si>
  <si>
    <t>1 x Heritage Suite - Promotion 5: THN15</t>
  </si>
  <si>
    <t>1 - 0 - 2</t>
  </si>
  <si>
    <t>Michele</t>
  </si>
  <si>
    <t>Pretorius</t>
  </si>
  <si>
    <t>21A Louis Botha Ave</t>
  </si>
  <si>
    <t>cvanzyl40@yahoo.com</t>
  </si>
  <si>
    <t>2025-08-01T00:00:00.000Z</t>
  </si>
  <si>
    <t>Katie Morton</t>
  </si>
  <si>
    <t>ZAR 17423.10</t>
  </si>
  <si>
    <t>Cliona Christle</t>
  </si>
  <si>
    <t>ZAR 10876.60</t>
  </si>
  <si>
    <t>BB25080218273455</t>
  </si>
  <si>
    <t>Valeri Mouton</t>
  </si>
  <si>
    <t>Valeri</t>
  </si>
  <si>
    <t>Mouton</t>
  </si>
  <si>
    <t>6 Martingale Pezula</t>
  </si>
  <si>
    <t>valeri.mouton@andbeyond.com</t>
  </si>
  <si>
    <t>2025-08-02T00:00:00.000Z</t>
  </si>
  <si>
    <t>Mlungisi Kwini, Lukhanyo Kwini</t>
  </si>
  <si>
    <t>ZAR 37107.60</t>
  </si>
  <si>
    <t xml:space="preserve">Zillah Schutte-Nel, </t>
  </si>
  <si>
    <t>ZAR 11665.40</t>
  </si>
  <si>
    <t>chipo veremu</t>
  </si>
  <si>
    <t>ZAR 23852.70</t>
  </si>
  <si>
    <t>Oliver Briggs</t>
  </si>
  <si>
    <t>ZAR 20498.40</t>
  </si>
  <si>
    <t>BB25080318284531</t>
  </si>
  <si>
    <t>Sandra Frans</t>
  </si>
  <si>
    <t>ZAR 16500.00</t>
  </si>
  <si>
    <t>Sandra</t>
  </si>
  <si>
    <t>Frans</t>
  </si>
  <si>
    <t>11 Tiemie Street</t>
  </si>
  <si>
    <t>Thyme Gardens</t>
  </si>
  <si>
    <t>heinrichfrans24@gmail.com</t>
  </si>
  <si>
    <t>2025-08-03T00:00:00.000Z</t>
  </si>
  <si>
    <t>ZAR 6149.51</t>
  </si>
  <si>
    <t>Mlungisi Kwini, Zizipho Khweni</t>
  </si>
  <si>
    <t>ZAR 12795.90</t>
  </si>
  <si>
    <t>BB25080418299067</t>
  </si>
  <si>
    <t>Amy Thomas</t>
  </si>
  <si>
    <t>Amy</t>
  </si>
  <si>
    <t>Thomas</t>
  </si>
  <si>
    <t>18 Quiver street, Sandown</t>
  </si>
  <si>
    <t>amykthomas24@gmail.com</t>
  </si>
  <si>
    <t>2025-08-04T00:00:00.000Z</t>
  </si>
  <si>
    <t>Henning Du Toit</t>
  </si>
  <si>
    <t>ZAR 14086.00</t>
  </si>
  <si>
    <t>Mindaugas Vaitekunas</t>
  </si>
  <si>
    <t>ZAR 27623.68</t>
  </si>
  <si>
    <t>Robertas Butkus</t>
  </si>
  <si>
    <t>BB25080518308710</t>
  </si>
  <si>
    <t>Jose Acosta</t>
  </si>
  <si>
    <t>ZAR 20793.00</t>
  </si>
  <si>
    <t>Jose</t>
  </si>
  <si>
    <t>Acosta</t>
  </si>
  <si>
    <t>11731 SW 52nd ST</t>
  </si>
  <si>
    <t>FL</t>
  </si>
  <si>
    <t>United States</t>
  </si>
  <si>
    <t>acostajs@outlook.com</t>
  </si>
  <si>
    <t>2025-08-05T00:00:00.000Z</t>
  </si>
  <si>
    <t>Alexei Rivero</t>
  </si>
  <si>
    <t>ZAR 24462.00</t>
  </si>
  <si>
    <t>Belinda Easterbrook</t>
  </si>
  <si>
    <t>ZAR 16777.80</t>
  </si>
  <si>
    <t>christian kuehnle</t>
  </si>
  <si>
    <t>Daniel Opperman</t>
  </si>
  <si>
    <t>ZAR 4440.40</t>
  </si>
  <si>
    <t>BB25080618317728</t>
  </si>
  <si>
    <t>Mark Chiddy</t>
  </si>
  <si>
    <t>1 x Legacy Room - Promotion 3: THN9</t>
  </si>
  <si>
    <t>ZAR 7676.00</t>
  </si>
  <si>
    <t>Mark</t>
  </si>
  <si>
    <t>Chiddy</t>
  </si>
  <si>
    <t>501 Kay Ann Ct</t>
  </si>
  <si>
    <t>CA</t>
  </si>
  <si>
    <t>mark.chiddy@gmail.com</t>
  </si>
  <si>
    <t>2025-08-06T00:00:00.000Z</t>
  </si>
  <si>
    <t>THN9</t>
  </si>
  <si>
    <t>Trudy Mosterd</t>
  </si>
  <si>
    <t>ZAR 28687.50</t>
  </si>
  <si>
    <t>NFIN601976-08070957430598</t>
  </si>
  <si>
    <t>TBA 3pax Shairp, Joanna Shairp, David Shairp</t>
  </si>
  <si>
    <t>2 x Superior King Suite - Terrace Suite</t>
  </si>
  <si>
    <t>ZAR 49584.00</t>
  </si>
  <si>
    <t>BB25080718333852</t>
  </si>
  <si>
    <t>Morten Sommerfeldt</t>
  </si>
  <si>
    <t>ZAR 25934.00</t>
  </si>
  <si>
    <t>Morten</t>
  </si>
  <si>
    <t>Sommerfeldt</t>
  </si>
  <si>
    <t>Prins Constantins Vej 5</t>
  </si>
  <si>
    <t>Copenhagen</t>
  </si>
  <si>
    <t>Denmark</t>
  </si>
  <si>
    <t>morten.westergaard@gmail.com</t>
  </si>
  <si>
    <t>2025-08-07T00:00:00.000Z</t>
  </si>
  <si>
    <t>BB25080818338530</t>
  </si>
  <si>
    <t>ZAR 7768.00</t>
  </si>
  <si>
    <t>2025-08-08T00:00:00.000Z</t>
  </si>
  <si>
    <t>BB25080818339095</t>
  </si>
  <si>
    <t>Rudolf Philip VAN DEN BELT</t>
  </si>
  <si>
    <t>ZAR 33213.00</t>
  </si>
  <si>
    <t>Rudolf Philip</t>
  </si>
  <si>
    <t>VAN DEN BELT</t>
  </si>
  <si>
    <t>NAssaulaan 17</t>
  </si>
  <si>
    <t>N-Br</t>
  </si>
  <si>
    <t>4651AA</t>
  </si>
  <si>
    <t>beltacom@outlook.com</t>
  </si>
  <si>
    <t>BB25080818339155</t>
  </si>
  <si>
    <t>ROWLAND STANTON</t>
  </si>
  <si>
    <t>ZAR 10353.00</t>
  </si>
  <si>
    <t>ROWLAND</t>
  </si>
  <si>
    <t>STANTON</t>
  </si>
  <si>
    <t>28 League Street</t>
  </si>
  <si>
    <t>rowland@bitek.co.za</t>
  </si>
  <si>
    <t>Patricia Schmid</t>
  </si>
  <si>
    <t>sandy Flint</t>
  </si>
  <si>
    <t>Desire Muller</t>
  </si>
  <si>
    <t>ZAR 5028.60</t>
  </si>
  <si>
    <t>BB25080918346793</t>
  </si>
  <si>
    <t>Justin Howlett</t>
  </si>
  <si>
    <t>Justin</t>
  </si>
  <si>
    <t>Howlett</t>
  </si>
  <si>
    <t>41 Stanford Rd</t>
  </si>
  <si>
    <t>howlettjustin@gmail.com</t>
  </si>
  <si>
    <t>2025-08-09T00:00:00.000Z</t>
  </si>
  <si>
    <t>BB25080918347325</t>
  </si>
  <si>
    <t>David Veale</t>
  </si>
  <si>
    <t>ZAR 37643.00</t>
  </si>
  <si>
    <t>David</t>
  </si>
  <si>
    <t>Veale</t>
  </si>
  <si>
    <t>17 Albion Rod</t>
  </si>
  <si>
    <t>Bryanston</t>
  </si>
  <si>
    <t>david.veale3@gmail.com</t>
  </si>
  <si>
    <t>Xolani Manjo</t>
  </si>
  <si>
    <t>ZAR 9599.90</t>
  </si>
  <si>
    <t>Mark Culley</t>
  </si>
  <si>
    <t>ZAR 61623.00</t>
  </si>
  <si>
    <t>Jackie De Wet</t>
  </si>
  <si>
    <t>Bret matthew Ginesky</t>
  </si>
  <si>
    <t>BB25081018353762</t>
  </si>
  <si>
    <t>Sarah Lightwood</t>
  </si>
  <si>
    <t>Sarah</t>
  </si>
  <si>
    <t>Lightwood</t>
  </si>
  <si>
    <t>19b Los Altos de Marbella, Plaza de Gavilan, Marbella</t>
  </si>
  <si>
    <t>19b Plaza de Gavilan</t>
  </si>
  <si>
    <t>malaga</t>
  </si>
  <si>
    <t>Spain</t>
  </si>
  <si>
    <t>sarah.lightwood@gmail.com</t>
  </si>
  <si>
    <t>2025-08-10T00:00:00.000Z</t>
  </si>
  <si>
    <t>Victoria Moya</t>
  </si>
  <si>
    <t>Agoda</t>
  </si>
  <si>
    <t>Private Sale</t>
  </si>
  <si>
    <t>ZAR 21627.55</t>
  </si>
  <si>
    <t>SIMON RUBIN</t>
  </si>
  <si>
    <t>ZAR 3702.60</t>
  </si>
  <si>
    <t>Martin Bosman</t>
  </si>
  <si>
    <t>ZAR 4437.00</t>
  </si>
  <si>
    <t>Hannelie Potgieter</t>
  </si>
  <si>
    <t>1 x Duplex Suite - Partially refundable - Breakfast included - Flexible 7 days</t>
  </si>
  <si>
    <t>ZAR 6389.41</t>
  </si>
  <si>
    <t xml:space="preserve">Nonhlanhla Ndlovu, </t>
  </si>
  <si>
    <t>ZAR 10052.10</t>
  </si>
  <si>
    <t>Louise Adamson</t>
  </si>
  <si>
    <t>ZAR 19124.10</t>
  </si>
  <si>
    <t>BB25081218375404</t>
  </si>
  <si>
    <t>John Patrick Flanagan</t>
  </si>
  <si>
    <t>ZAR 25711.00</t>
  </si>
  <si>
    <t>John Patrick</t>
  </si>
  <si>
    <t>Flanagan</t>
  </si>
  <si>
    <t>8 Redhill Road</t>
  </si>
  <si>
    <t>Morningside</t>
  </si>
  <si>
    <t>patf@fgprop.com</t>
  </si>
  <si>
    <t>2025-08-12T00:00:00.000Z</t>
  </si>
  <si>
    <t>Adriana Janse van Rensburg</t>
  </si>
  <si>
    <t>1 x Studio - Non-refundable - Breakfast included - Non-refundable</t>
  </si>
  <si>
    <t>ZAR 11683.69</t>
  </si>
  <si>
    <t>Georgina Walters</t>
  </si>
  <si>
    <t>2 x Suite with Terrace - General - Breakfast included - European Economic Area</t>
  </si>
  <si>
    <t>ZAR 51635.88</t>
  </si>
  <si>
    <t>GIUSEPPE TARANTO</t>
  </si>
  <si>
    <t>ILFT283804-08141321197099</t>
  </si>
  <si>
    <t>A Hercher, B Hercher, D Hercher, M Hercher</t>
  </si>
  <si>
    <t>Ilanga Travel</t>
  </si>
  <si>
    <t>ZAR 74376.00</t>
  </si>
  <si>
    <t>Alan Friedlander, , Hillarie Friedlander</t>
  </si>
  <si>
    <t>ZAR 20811.60</t>
  </si>
  <si>
    <t>Phillippa Brendon, Hazel Hunt</t>
  </si>
  <si>
    <t>1 x Studio - Partially refundable - Breakfast included - Flexible 7 days</t>
  </si>
  <si>
    <t>ZAR 10663.22</t>
  </si>
  <si>
    <t>klaus hilz</t>
  </si>
  <si>
    <t>ZAR 10453.86</t>
  </si>
  <si>
    <t>Vladimir Midyushko, Denis Puchkov</t>
  </si>
  <si>
    <t>2 x Studio - Non-refundable - Breakfast included - Non-refundable</t>
  </si>
  <si>
    <t>ZAR 11636.46</t>
  </si>
  <si>
    <t>Feroza Grosso Ciponte</t>
  </si>
  <si>
    <t>1 x Suite, Terrace - Non - refundable - Standalone - Derived</t>
  </si>
  <si>
    <t>ZAR 3070.97</t>
  </si>
  <si>
    <t>Gareth Friedlander</t>
  </si>
  <si>
    <t>ZAR 20853.90</t>
  </si>
  <si>
    <t>Rachael Podbielak</t>
  </si>
  <si>
    <t>1 x Studio - General - Breakfast included - United States</t>
  </si>
  <si>
    <t>ZAR 20907.72</t>
  </si>
  <si>
    <t>241-3074616</t>
  </si>
  <si>
    <t>ANTHONY CARRINGTON, ANTHONY A CARRINGTON A</t>
  </si>
  <si>
    <t>Hotelbeds</t>
  </si>
  <si>
    <t>HBD</t>
  </si>
  <si>
    <t>1 x SUITE Heritage Suite</t>
  </si>
  <si>
    <t>ZAR 4176.00</t>
  </si>
  <si>
    <t>Dmytro Romanenko</t>
  </si>
  <si>
    <t>ZAR 11754.00</t>
  </si>
  <si>
    <t>DAGMAR RASPER</t>
  </si>
  <si>
    <t>Johan Johnsson</t>
  </si>
  <si>
    <t>ZAR 5818.23</t>
  </si>
  <si>
    <t>Felix Hopf</t>
  </si>
  <si>
    <t>American Express Travel</t>
  </si>
  <si>
    <t>ZAR 13885.21</t>
  </si>
  <si>
    <t>Mark Culley, wayne chapman</t>
  </si>
  <si>
    <t>ZAR 23367.38</t>
  </si>
  <si>
    <t>Sophia V√∂lcker</t>
  </si>
  <si>
    <t>ZAR 15680.79</t>
  </si>
  <si>
    <t>Mark Culley, ian Hall</t>
  </si>
  <si>
    <t>ZAR 30131.05</t>
  </si>
  <si>
    <t>Alyssa Cummings</t>
  </si>
  <si>
    <t>ZAR 28686.15</t>
  </si>
  <si>
    <t>Ann Black</t>
  </si>
  <si>
    <t>ZAR 23905.51</t>
  </si>
  <si>
    <t>BB25082018462642</t>
  </si>
  <si>
    <t>Lucas Spinnars</t>
  </si>
  <si>
    <t>ZAR 19668.00</t>
  </si>
  <si>
    <t>Lucas</t>
  </si>
  <si>
    <t>Spinnars</t>
  </si>
  <si>
    <t>Domarv√§gen 5</t>
  </si>
  <si>
    <t>Sweden</t>
  </si>
  <si>
    <t>therese.spinnars@gmail.com</t>
  </si>
  <si>
    <t>2025-08-20T00:00:00.000Z</t>
  </si>
  <si>
    <t>GGGG864158-08211148354360</t>
  </si>
  <si>
    <t>Edgar Thomas Ries, Regine Ries</t>
  </si>
  <si>
    <t>GoVacation</t>
  </si>
  <si>
    <t>ZAR 16528.00</t>
  </si>
  <si>
    <t>241-3075963</t>
  </si>
  <si>
    <t>BRUNO FELDMEIER, Bruno Feldmeier, Francesca Feldmeier</t>
  </si>
  <si>
    <t>1 x SUITE Terrace Suite</t>
  </si>
  <si>
    <t>ZAR 17944.00</t>
  </si>
  <si>
    <t>241-3075966</t>
  </si>
  <si>
    <t>RICCARDO FELDMEIER, Riccardo Feldmeier, Sabine Feldmeier</t>
  </si>
  <si>
    <t>Ulfsson Mikael Froelander</t>
  </si>
  <si>
    <t>1 x Legacy Room - Breakfast Included - Standalone - Derived - 200155717/200875255</t>
  </si>
  <si>
    <t>ZAR 9109.80</t>
  </si>
  <si>
    <t>Ingrid Vanessa Froelander</t>
  </si>
  <si>
    <t>Mahomed Seedat</t>
  </si>
  <si>
    <t>ZAR 13805.07</t>
  </si>
  <si>
    <t>241-3076331</t>
  </si>
  <si>
    <t>ZAR 28332.00</t>
  </si>
  <si>
    <t>241-3076334</t>
  </si>
  <si>
    <t>Karin Strauss</t>
  </si>
  <si>
    <t>Sean Petzer</t>
  </si>
  <si>
    <t>Christopher Apfel</t>
  </si>
  <si>
    <t>ZAR 11068.41</t>
  </si>
  <si>
    <t xml:space="preserve">Yasmina SANSOE, </t>
  </si>
  <si>
    <t>1 x Suite with Terrace - Last Minute NoCC Free Cancellation - Breakfast included - Getaway Deal</t>
  </si>
  <si>
    <t>ZAR 5182.11</t>
  </si>
  <si>
    <t>Patrick Kingsbury</t>
  </si>
  <si>
    <t>1 x Duplex Suite - Non-refundable - Breakfast included - Non-refundable</t>
  </si>
  <si>
    <t>ZAR 20301.20</t>
  </si>
  <si>
    <t xml:space="preserve">Valeska Heydenrych, </t>
  </si>
  <si>
    <t>ZAR 10268.70</t>
  </si>
  <si>
    <t xml:space="preserve">Carolina Gorgulho, </t>
  </si>
  <si>
    <t xml:space="preserve">1 x Duplex Suite - General - Breakfast included </t>
  </si>
  <si>
    <t xml:space="preserve"> 1 x Studio - General - Breakfast included"</t>
  </si>
  <si>
    <t>ZAR 25118.10</t>
  </si>
  <si>
    <t xml:space="preserve">Cyril Lambert, </t>
  </si>
  <si>
    <t>ZAR 7474.68</t>
  </si>
  <si>
    <t>Gunwant Jaga</t>
  </si>
  <si>
    <t>ZAR 5991.84</t>
  </si>
  <si>
    <t>Bhanoo Jaga</t>
  </si>
  <si>
    <t>BB25082518507492</t>
  </si>
  <si>
    <t>MARIO MUELLER</t>
  </si>
  <si>
    <t>1 x Garden Suite - Promotion 2: THN6</t>
  </si>
  <si>
    <t>ZAR 47752.00</t>
  </si>
  <si>
    <t>MARIO</t>
  </si>
  <si>
    <t>MUELLER</t>
  </si>
  <si>
    <t>Vermeerdreef 6</t>
  </si>
  <si>
    <t>Belgium</t>
  </si>
  <si>
    <t>eumariom@hotmail.com</t>
  </si>
  <si>
    <t>2025-08-25T00:00:00.000Z</t>
  </si>
  <si>
    <t>THN6</t>
  </si>
  <si>
    <t>BB25082518508986</t>
  </si>
  <si>
    <t>Angela Rose-Tempelhoff</t>
  </si>
  <si>
    <t>ZAR 7713.00</t>
  </si>
  <si>
    <t>Angela</t>
  </si>
  <si>
    <t>Rose-Tempelhoff</t>
  </si>
  <si>
    <t>51 Tennant Road</t>
  </si>
  <si>
    <t>Kenilworth</t>
  </si>
  <si>
    <t>WC</t>
  </si>
  <si>
    <t>angelarose.t@gmail.com</t>
  </si>
  <si>
    <t>Christopher Clyde</t>
  </si>
  <si>
    <t>ZAR 26646.56</t>
  </si>
  <si>
    <t>Doreen Gapare</t>
  </si>
  <si>
    <t>ZAR 11843.29</t>
  </si>
  <si>
    <t>Claus Byhahn</t>
  </si>
  <si>
    <t>1 x Terrace Suite - General - Breakfast included - European Economic Area</t>
  </si>
  <si>
    <t>ZAR 23572.62</t>
  </si>
  <si>
    <t>Mona Krestin</t>
  </si>
  <si>
    <t>ZAR 5162.41</t>
  </si>
  <si>
    <t>Dalina Nowoczin</t>
  </si>
  <si>
    <t>Rouan Nel</t>
  </si>
  <si>
    <t>BB25082718532042</t>
  </si>
  <si>
    <t>Stebin Horne</t>
  </si>
  <si>
    <t>ZAR 8230.00</t>
  </si>
  <si>
    <t>Stebin</t>
  </si>
  <si>
    <t>Horne</t>
  </si>
  <si>
    <t>305 Treyburne Court</t>
  </si>
  <si>
    <t>GA</t>
  </si>
  <si>
    <t>stebin@eco-x.travel</t>
  </si>
  <si>
    <t>2025-08-27T00:00:00.000Z</t>
  </si>
  <si>
    <t>Dietmar Kurtz</t>
  </si>
  <si>
    <t>ZAR 22107.46</t>
  </si>
  <si>
    <t>BB25082818536593</t>
  </si>
  <si>
    <t>Lizette van Zyl</t>
  </si>
  <si>
    <t>Lizette</t>
  </si>
  <si>
    <t>van Zyl</t>
  </si>
  <si>
    <t>417 Balmy Beach Road</t>
  </si>
  <si>
    <t>Ontario</t>
  </si>
  <si>
    <t>N4K5N4</t>
  </si>
  <si>
    <t>keimouth@rogers.com</t>
  </si>
  <si>
    <t>2025-08-28T00:00:00.000Z</t>
  </si>
  <si>
    <t>Johannes Van Zyl</t>
  </si>
  <si>
    <t>ZAR 4495.91</t>
  </si>
  <si>
    <t xml:space="preserve">EDUARDO MARQUES, </t>
  </si>
  <si>
    <t>ZAR 18518.40</t>
  </si>
  <si>
    <t>BB25082818540842</t>
  </si>
  <si>
    <t>andrea giulio motta</t>
  </si>
  <si>
    <t>andrea giulio</t>
  </si>
  <si>
    <t>motta</t>
  </si>
  <si>
    <t>the residence 8</t>
  </si>
  <si>
    <t>United Arab Emirates</t>
  </si>
  <si>
    <t>motta.andreagiulio@gmail.com</t>
  </si>
  <si>
    <t>Thi Thuy Duong Nguyen, Anh Trong Bui</t>
  </si>
  <si>
    <t>2 x Duplex Suite - Partially refundable - Breakfast included - Flexible 7 days</t>
  </si>
  <si>
    <t>ZAR 137256.00</t>
  </si>
  <si>
    <t>Viktor Sapozhnikov</t>
  </si>
  <si>
    <t>5 x Studio - General - Breakfast included - Domestic</t>
  </si>
  <si>
    <t>ZAR 102485.25</t>
  </si>
  <si>
    <t xml:space="preserve">Stefan Gessner, </t>
  </si>
  <si>
    <t>ZAR 18524.62</t>
  </si>
  <si>
    <t>NFIN604709-09010648208254</t>
  </si>
  <si>
    <t>Adult 01 Roblett, Adult 02 Roblett</t>
  </si>
  <si>
    <t>Patrick L√©vy</t>
  </si>
  <si>
    <t>ZAR 8606.25</t>
  </si>
  <si>
    <t>Zethu Gqola</t>
  </si>
  <si>
    <t>ZAR 8232.84</t>
  </si>
  <si>
    <t xml:space="preserve">QIANE CHEN, </t>
  </si>
  <si>
    <t>Letsfly Limited</t>
  </si>
  <si>
    <t>ZAR 74637.90</t>
  </si>
  <si>
    <t xml:space="preserve">Veronica Morales Miller, </t>
  </si>
  <si>
    <t>ZAR 20841.30</t>
  </si>
  <si>
    <t>Nepaketniki Reservations</t>
  </si>
  <si>
    <t>ZAR 9520.74</t>
  </si>
  <si>
    <t>Kari H. Valentinsen</t>
  </si>
  <si>
    <t>Simon Noach</t>
  </si>
  <si>
    <t>ZAR 16455.60</t>
  </si>
  <si>
    <t>Martyn Nash</t>
  </si>
  <si>
    <t>Sophie Wood</t>
  </si>
  <si>
    <t>BB25090318598207</t>
  </si>
  <si>
    <t>Lisa Falconer</t>
  </si>
  <si>
    <t>1 x Legacy Room - Promotion 4: THN12</t>
  </si>
  <si>
    <t>ZAR 10344.00</t>
  </si>
  <si>
    <t>Lisa</t>
  </si>
  <si>
    <t>Falconer</t>
  </si>
  <si>
    <t>1015 Ironwork Passage</t>
  </si>
  <si>
    <t>BC</t>
  </si>
  <si>
    <t>V6H3R4</t>
  </si>
  <si>
    <t>lisa@jofish.ca</t>
  </si>
  <si>
    <t>2025-09-03T00:00:00.000Z</t>
  </si>
  <si>
    <t>THN12</t>
  </si>
  <si>
    <t>roland drexler</t>
  </si>
  <si>
    <t>ZAR 47144.43</t>
  </si>
  <si>
    <t>Stefanie Knapp</t>
  </si>
  <si>
    <t>ZAR 58219.40</t>
  </si>
  <si>
    <t>BB25090318601936</t>
  </si>
  <si>
    <t>Bruno Villers</t>
  </si>
  <si>
    <t>ZAR 5551.00</t>
  </si>
  <si>
    <t>Bruno</t>
  </si>
  <si>
    <t>Villers</t>
  </si>
  <si>
    <t>10 Companion Lane</t>
  </si>
  <si>
    <t>Klein Leuukop Estate</t>
  </si>
  <si>
    <t>boat.cie@me.com</t>
  </si>
  <si>
    <t>Holly O'Connor</t>
  </si>
  <si>
    <t>1 x Heritage Suite - General - Breakfast included - European Economic Area</t>
  </si>
  <si>
    <t>ZAR 14374.80</t>
  </si>
  <si>
    <t>Mlungisi Kwini, Mbulelo Bikwani Mrs Bikwani</t>
  </si>
  <si>
    <t>1 x Suite with Terrace - Non-refundable - Breakfast included - Non-refundable</t>
  </si>
  <si>
    <t>ZAR 6662.33</t>
  </si>
  <si>
    <t>Moritz Thaler</t>
  </si>
  <si>
    <t>3 x Studio - Non-refundable - Breakfast included - Non-refundable</t>
  </si>
  <si>
    <t>ZAR 27134.10</t>
  </si>
  <si>
    <t>BB25090618629277</t>
  </si>
  <si>
    <t>Du Preez Naude</t>
  </si>
  <si>
    <t>Du Preez</t>
  </si>
  <si>
    <t>Naude</t>
  </si>
  <si>
    <t>253 Foucage Close</t>
  </si>
  <si>
    <t>dupi@mweb.co.za</t>
  </si>
  <si>
    <t>2025-09-06T00:00:00.000Z</t>
  </si>
  <si>
    <t>Hayden Seach</t>
  </si>
  <si>
    <t>ZAR 20484.18</t>
  </si>
  <si>
    <t xml:space="preserve">Fabio Menengoti, </t>
  </si>
  <si>
    <t>ZAR 8356.59</t>
  </si>
  <si>
    <t>James Omond</t>
  </si>
  <si>
    <t>ZAR 5289.30</t>
  </si>
  <si>
    <t>SILVIA NIESERT</t>
  </si>
  <si>
    <t>ZAR 17641.80</t>
  </si>
  <si>
    <t xml:space="preserve">Gabriele Henkel-Langer, </t>
  </si>
  <si>
    <t>ZAR 17211.70</t>
  </si>
  <si>
    <t>Juergen Madl</t>
  </si>
  <si>
    <t>Mlungisi Kwini, Mlamli Mnyengeza</t>
  </si>
  <si>
    <t>BB25091018669695</t>
  </si>
  <si>
    <t>Morten Talgo</t>
  </si>
  <si>
    <t>1 x Legacy Room - Promotion 2: THN6</t>
  </si>
  <si>
    <t>ZAR 19825.00</t>
  </si>
  <si>
    <t>Talgo</t>
  </si>
  <si>
    <t>Snekkerveien 8</t>
  </si>
  <si>
    <t>Norway</t>
  </si>
  <si>
    <t>morten.talgo@capwell.no</t>
  </si>
  <si>
    <t>2025-09-10T00:00:00.000Z</t>
  </si>
  <si>
    <t>Manormoney Shaik</t>
  </si>
  <si>
    <t>ZAR 3322.80</t>
  </si>
  <si>
    <t>Stina Ljungdell</t>
  </si>
  <si>
    <t>ZAR 7591.50</t>
  </si>
  <si>
    <t>BB25091218684437</t>
  </si>
  <si>
    <t>Carol Moorr</t>
  </si>
  <si>
    <t>ZAR 9770.00</t>
  </si>
  <si>
    <t>Carol</t>
  </si>
  <si>
    <t>Moorr</t>
  </si>
  <si>
    <t>11 Eagle Downs</t>
  </si>
  <si>
    <t>27 Reservoir Road , Winston Park</t>
  </si>
  <si>
    <t>moorec@saol.com</t>
  </si>
  <si>
    <t>2025-09-12T00:00:00.000Z</t>
  </si>
  <si>
    <t>BB25091218686062</t>
  </si>
  <si>
    <t>Simon Zimmermann</t>
  </si>
  <si>
    <t>ZAR 13884.00</t>
  </si>
  <si>
    <t>Simon</t>
  </si>
  <si>
    <t>Zimmermann</t>
  </si>
  <si>
    <t>Rodenbergstra√üe 23</t>
  </si>
  <si>
    <t>simon.zimmermann@arc-intelligence.de</t>
  </si>
  <si>
    <t>jacob berkovich</t>
  </si>
  <si>
    <t>ZAR 23390.64</t>
  </si>
  <si>
    <t>Sam Bulbeck</t>
  </si>
  <si>
    <t>Antoinette van Putte</t>
  </si>
  <si>
    <t>ZAR 4760.37</t>
  </si>
  <si>
    <t>Penelope Asher</t>
  </si>
  <si>
    <t>ZAR 5705.09</t>
  </si>
  <si>
    <t>Tulile Vabaza</t>
  </si>
  <si>
    <t>ZAR 3996.36</t>
  </si>
  <si>
    <t>Thomas Seyer</t>
  </si>
  <si>
    <t>ZAR 18447.36</t>
  </si>
  <si>
    <t>Thomas Haartsen</t>
  </si>
  <si>
    <t>ZAR 6832.35</t>
  </si>
  <si>
    <t>Karl Jedele</t>
  </si>
  <si>
    <t>ZAR 15184.00</t>
  </si>
  <si>
    <t>Patrick Hofmann</t>
  </si>
  <si>
    <t>Tobias B√§rtsch</t>
  </si>
  <si>
    <t xml:space="preserve">David Oyens, </t>
  </si>
  <si>
    <t>5 x Suite with Terrace - General - Breakfast included - European Economic Area</t>
  </si>
  <si>
    <t>ZAR 146006.55</t>
  </si>
  <si>
    <t>Arnaud Helsen</t>
  </si>
  <si>
    <t>ZAR 12298.24</t>
  </si>
  <si>
    <t>BB25091518712525</t>
  </si>
  <si>
    <t>Martin Andreasson</t>
  </si>
  <si>
    <t>2 x Legacy Room - Book Direct save 15%</t>
  </si>
  <si>
    <t>Martin</t>
  </si>
  <si>
    <t>Andreasson</t>
  </si>
  <si>
    <t>Makrillgatan 2</t>
  </si>
  <si>
    <t>martin.andreasson@hotmail.com</t>
  </si>
  <si>
    <t>2025-09-15T00:00:00.000Z</t>
  </si>
  <si>
    <t>Harald Fuchs</t>
  </si>
  <si>
    <t>1 x Suite, Terrace - Breakfast Included - Standalone - Derived</t>
  </si>
  <si>
    <t>ZAR 45685.77</t>
  </si>
  <si>
    <t>Christof Wegerle</t>
  </si>
  <si>
    <t>ZAR 18062.09</t>
  </si>
  <si>
    <t>ZAR 8499.59</t>
  </si>
  <si>
    <t>Kirill Zalesnyy</t>
  </si>
  <si>
    <t>1 x Duplex Suite - General - Breakfast included - Russia</t>
  </si>
  <si>
    <t>ZAR 6616.08</t>
  </si>
  <si>
    <t>Carla Reinaerdts</t>
  </si>
  <si>
    <t>ZAR 4181.54</t>
  </si>
  <si>
    <t>Anton Van Wyk</t>
  </si>
  <si>
    <t>ZAR 2986.53</t>
  </si>
  <si>
    <t>APRIL RODEN</t>
  </si>
  <si>
    <t>1 x Studio - General - Breakfast included - Australia</t>
  </si>
  <si>
    <t>ZAR 5465.88</t>
  </si>
  <si>
    <t xml:space="preserve">Don Ekendahl, </t>
  </si>
  <si>
    <t>ZAR 21029.22</t>
  </si>
  <si>
    <t>James Weiland</t>
  </si>
  <si>
    <t>ZAR 35415.00</t>
  </si>
  <si>
    <t>Heather Weiland</t>
  </si>
  <si>
    <t>ZAR 31873.50</t>
  </si>
  <si>
    <t xml:space="preserve">Margaret Weiland, </t>
  </si>
  <si>
    <t xml:space="preserve">Stefanie Heins, </t>
  </si>
  <si>
    <t>ZAR 50191.65</t>
  </si>
  <si>
    <t>Anouk Hamers</t>
  </si>
  <si>
    <t>ZAR 9801.00</t>
  </si>
  <si>
    <t>Karoliina Hienonen</t>
  </si>
  <si>
    <t>ZAR 16603.71</t>
  </si>
  <si>
    <t xml:space="preserve">Aleksandr Dundin, </t>
  </si>
  <si>
    <t>ZAR 33900.47</t>
  </si>
  <si>
    <t>SENKU RAMABULA</t>
  </si>
  <si>
    <t>ZAR 4554.90</t>
  </si>
  <si>
    <t>Anna Burdett</t>
  </si>
  <si>
    <t>ZAR 8992.52</t>
  </si>
  <si>
    <t>simon reeves</t>
  </si>
  <si>
    <t>ZAR 27549.84</t>
  </si>
  <si>
    <t>Manjeet thind</t>
  </si>
  <si>
    <t>Madelon Boom</t>
  </si>
  <si>
    <t>ZAR 15611.10</t>
  </si>
  <si>
    <t>Sara Scherrer</t>
  </si>
  <si>
    <t>ZAR 18168.30</t>
  </si>
  <si>
    <t xml:space="preserve">Dennis Heinemeyer, </t>
  </si>
  <si>
    <t>ZAR 14213.88</t>
  </si>
  <si>
    <t>BB25092218777106</t>
  </si>
  <si>
    <t>Jasper Sabey</t>
  </si>
  <si>
    <t>ZAR 35120.00</t>
  </si>
  <si>
    <t>Jasper</t>
  </si>
  <si>
    <t>Sabey</t>
  </si>
  <si>
    <t>38 Alderbrook Road,</t>
  </si>
  <si>
    <t>Balham</t>
  </si>
  <si>
    <t>SW12 8AE</t>
  </si>
  <si>
    <t>jaspersabey@gmail.com</t>
  </si>
  <si>
    <t>2025-09-22T00:00:00.000Z</t>
  </si>
  <si>
    <t>ZAR 29163.24</t>
  </si>
  <si>
    <t>Lucca Hauert</t>
  </si>
  <si>
    <t>ZAR 16398.72</t>
  </si>
  <si>
    <t>BB25092318786992</t>
  </si>
  <si>
    <t>ZAR 38749.00</t>
  </si>
  <si>
    <t>2025-09-23T00:00:00.000Z</t>
  </si>
  <si>
    <t>Rebecca Burks</t>
  </si>
  <si>
    <t>Zak Agust Zan</t>
  </si>
  <si>
    <t>ZAR 13938.48</t>
  </si>
  <si>
    <t xml:space="preserve">Adam Breedon, </t>
  </si>
  <si>
    <t>1 x Suite with Terrace - General - Breakfast included</t>
  </si>
  <si>
    <t>ZAR 63747.00</t>
  </si>
  <si>
    <t xml:space="preserve">PHOEBE IACOVIDES, </t>
  </si>
  <si>
    <t>1 x Suite with Terrace - Partially refundable - Breakfast included - Flexible 7 days</t>
  </si>
  <si>
    <t>ZAR 77120.64</t>
  </si>
  <si>
    <t>Elizabeth Cook</t>
  </si>
  <si>
    <t>ZAR 20497.05</t>
  </si>
  <si>
    <t>David Kirsch</t>
  </si>
  <si>
    <t>ZAR 18956.86</t>
  </si>
  <si>
    <t>Jan op den Velde</t>
  </si>
  <si>
    <t>ZAR 10651.50</t>
  </si>
  <si>
    <t>Nadine Barz</t>
  </si>
  <si>
    <t>ZAR 33563.18</t>
  </si>
  <si>
    <t xml:space="preserve">Hannah Anderson, </t>
  </si>
  <si>
    <t>ZAR 13231.36</t>
  </si>
  <si>
    <t>Martha Walker</t>
  </si>
  <si>
    <t>ZAR 3526.21</t>
  </si>
  <si>
    <t xml:space="preserve">Charlotte Crooijmans, </t>
  </si>
  <si>
    <t>ZAR 35284.41</t>
  </si>
  <si>
    <t xml:space="preserve">Andreas Kiesewetter, </t>
  </si>
  <si>
    <t>ZAR 16312.68</t>
  </si>
  <si>
    <t>John Moritz Persiehl</t>
  </si>
  <si>
    <t>ZAR 21317.57</t>
  </si>
  <si>
    <t>Carol von Gersdorff</t>
  </si>
  <si>
    <t>Anton Matz Persiehl</t>
  </si>
  <si>
    <t>ZAR 19814.21</t>
  </si>
  <si>
    <t>ZAR 6615.68</t>
  </si>
  <si>
    <t>Anthony Ward</t>
  </si>
  <si>
    <t>ZAR 20582.91</t>
  </si>
  <si>
    <t>241-3088742</t>
  </si>
  <si>
    <t>MATHIAS HOTHUM, Mathias Hothum, Simone Hothum</t>
  </si>
  <si>
    <t>ZAR 37776.00</t>
  </si>
  <si>
    <t>241-3088743</t>
  </si>
  <si>
    <t>Leonie Hothum</t>
  </si>
  <si>
    <t>Petersen Rafiek</t>
  </si>
  <si>
    <t>ZAR 6149.12</t>
  </si>
  <si>
    <t>Rene Beer</t>
  </si>
  <si>
    <t>ZAR 8654.58</t>
  </si>
  <si>
    <t>BB25100118859260</t>
  </si>
  <si>
    <t>John Dobson</t>
  </si>
  <si>
    <t>John</t>
  </si>
  <si>
    <t>Dobson</t>
  </si>
  <si>
    <t>308 Kent Avenue</t>
  </si>
  <si>
    <t>Ferndale</t>
  </si>
  <si>
    <t>jude@heyjudeapp.com</t>
  </si>
  <si>
    <t>2025-10-01T00:00:00.000Z</t>
  </si>
  <si>
    <t>Heloise Brink</t>
  </si>
  <si>
    <t>ZAR 8290.90</t>
  </si>
  <si>
    <t>Arron Banks</t>
  </si>
  <si>
    <t>ZAR 12749.40</t>
  </si>
  <si>
    <t>Lucy Hicks</t>
  </si>
  <si>
    <t>Mlungisi Kwini, Nosiphiwo Kwini</t>
  </si>
  <si>
    <t>1 x Duplex Suite - General - Breakfast included - Domestic</t>
  </si>
  <si>
    <t>ZAR 11409.66</t>
  </si>
  <si>
    <t>fernando cardoso</t>
  </si>
  <si>
    <t>ZAR 20348.50</t>
  </si>
  <si>
    <t>Mlungisi Kwini, Zizipho Kwini</t>
  </si>
  <si>
    <t>ZAR 28870.02</t>
  </si>
  <si>
    <t>BB25100318879386</t>
  </si>
  <si>
    <t>Ferdinand von Thun</t>
  </si>
  <si>
    <t>Ferdinand</t>
  </si>
  <si>
    <t>von Thun</t>
  </si>
  <si>
    <t>9 Carreg Crescent</t>
  </si>
  <si>
    <t>thun@comtedethun.com</t>
  </si>
  <si>
    <t>2025-10-03T00:00:00.000Z</t>
  </si>
  <si>
    <t>Wim Blaaser</t>
  </si>
  <si>
    <t>ZAR 24596.48</t>
  </si>
  <si>
    <t>Nosi Tandwa</t>
  </si>
  <si>
    <t>BB25100418888404</t>
  </si>
  <si>
    <t>Isidoro Celentano</t>
  </si>
  <si>
    <t>ZAR 19359.00</t>
  </si>
  <si>
    <t>Isidoro</t>
  </si>
  <si>
    <t>Celentano</t>
  </si>
  <si>
    <t>Unterlowmatt 1</t>
  </si>
  <si>
    <t>greatswing@bluewin.ch</t>
  </si>
  <si>
    <t>2025-10-04T00:00:00.000Z</t>
  </si>
  <si>
    <t>Arvid Warrenstein</t>
  </si>
  <si>
    <t>2 x Duplex Suite - General - Breakfast included - European Economic Area</t>
  </si>
  <si>
    <t>ZAR 27933.66</t>
  </si>
  <si>
    <t>Dieter Gerhardt</t>
  </si>
  <si>
    <t>2 x Duplex Suite - Last Minute NoCC Free Cancellation - Breakfast included - Domestic</t>
  </si>
  <si>
    <t>BB25100418892454</t>
  </si>
  <si>
    <t>Michael Camons</t>
  </si>
  <si>
    <t>Camons</t>
  </si>
  <si>
    <t>2 Barlinka Avenue</t>
  </si>
  <si>
    <t>Helena Heights</t>
  </si>
  <si>
    <t>mikemodeler@mweb.co.za</t>
  </si>
  <si>
    <t>BB25100518894775</t>
  </si>
  <si>
    <t>Johnathan Lam</t>
  </si>
  <si>
    <t>ZAR 13885.00</t>
  </si>
  <si>
    <t>Johnathan</t>
  </si>
  <si>
    <t>Lam</t>
  </si>
  <si>
    <t>20 Bruyeres Mews, Unit 213</t>
  </si>
  <si>
    <t>M5V 0G8</t>
  </si>
  <si>
    <t>johnathanctlam@gmail.com</t>
  </si>
  <si>
    <t>2025-10-05T00:00:00.000Z</t>
  </si>
  <si>
    <t>BB25100518895888</t>
  </si>
  <si>
    <t>Jop Pollmann</t>
  </si>
  <si>
    <t>Jop</t>
  </si>
  <si>
    <t>Pollmann</t>
  </si>
  <si>
    <t>Planciusstraat 19 H</t>
  </si>
  <si>
    <t>Planciusstraat 19H</t>
  </si>
  <si>
    <t>1013MD</t>
  </si>
  <si>
    <t>jop@katari.nl</t>
  </si>
  <si>
    <t>Johann Le Roux</t>
  </si>
  <si>
    <t>ZAR 10578.63</t>
  </si>
  <si>
    <t>Paul Van de Meeberg</t>
  </si>
  <si>
    <t>ZAR 14701.50</t>
  </si>
  <si>
    <t>BB25100518898557</t>
  </si>
  <si>
    <t>Richard Schmitz</t>
  </si>
  <si>
    <t>ZAR 40091.00</t>
  </si>
  <si>
    <t>Richard</t>
  </si>
  <si>
    <t>Schmitz</t>
  </si>
  <si>
    <t>Erftstra√üe 3</t>
  </si>
  <si>
    <t>R.schmitz@baukunst.com</t>
  </si>
  <si>
    <t>BB25100518901296</t>
  </si>
  <si>
    <t>Florence Moran</t>
  </si>
  <si>
    <t>ZAR 45380.00</t>
  </si>
  <si>
    <t>Florence</t>
  </si>
  <si>
    <t>Moran</t>
  </si>
  <si>
    <t>62 Allerton Road</t>
  </si>
  <si>
    <t>Hackney</t>
  </si>
  <si>
    <t>N16 5UF</t>
  </si>
  <si>
    <t>phillipsflo@gmail.com</t>
  </si>
  <si>
    <t xml:space="preserve">Thomas Moran, </t>
  </si>
  <si>
    <t>ZAR 35284.34</t>
  </si>
  <si>
    <t>ZAR 13209.48</t>
  </si>
  <si>
    <t>Vanessa Emmett</t>
  </si>
  <si>
    <t>Jennifer Teutsch</t>
  </si>
  <si>
    <t>ZAR 12981.87</t>
  </si>
  <si>
    <t>241-3090884</t>
  </si>
  <si>
    <t>241-3090885</t>
  </si>
  <si>
    <t>Gabby greenwood</t>
  </si>
  <si>
    <t>ZAR 37049.24</t>
  </si>
  <si>
    <t xml:space="preserve">Mika Coulson, </t>
  </si>
  <si>
    <t>ZAR 27913.49</t>
  </si>
  <si>
    <t>BB25100818926508</t>
  </si>
  <si>
    <t>Hugo van Vuuren</t>
  </si>
  <si>
    <t>1 x Terrace Suite - Best Available Rate</t>
  </si>
  <si>
    <t>2 - 0 - 1</t>
  </si>
  <si>
    <t>ZAR 25971.00</t>
  </si>
  <si>
    <t>Hugo</t>
  </si>
  <si>
    <t>van Vuuren</t>
  </si>
  <si>
    <t>41 Wagner Street</t>
  </si>
  <si>
    <t>katelynn@vuur.com</t>
  </si>
  <si>
    <t>2025-10-08T00:00:00.000Z</t>
  </si>
  <si>
    <t>Bruce Heyns</t>
  </si>
  <si>
    <t>ZAR 5534.57</t>
  </si>
  <si>
    <t>didier mutsaerts</t>
  </si>
  <si>
    <t>ZAR 13996.28</t>
  </si>
  <si>
    <t>James Parbery</t>
  </si>
  <si>
    <t>ZAR 13046.96</t>
  </si>
  <si>
    <t>Jiacheng Lu</t>
  </si>
  <si>
    <t xml:space="preserve">2 x Suite with Terrace - General - Breakfast included - Domestic </t>
  </si>
  <si>
    <t xml:space="preserve"> 4 x Duplex Suite - General - Breakfast included - Domestic </t>
  </si>
  <si>
    <t xml:space="preserve"> 1 x Studio - General - Breakfast included - Domestic"</t>
  </si>
  <si>
    <t>13 - 0 - 0</t>
  </si>
  <si>
    <t>ZAR 77246.46</t>
  </si>
  <si>
    <t>241-3092125</t>
  </si>
  <si>
    <t>CHRISTOPH BERNHARDSGRUETTER, Christoph Bernhardsgruetter, Sandra Claudia Bernhardsgruetter</t>
  </si>
  <si>
    <t>1 x Room Legacy Room</t>
  </si>
  <si>
    <t>ZAR 13496.00</t>
  </si>
  <si>
    <t>241-3092131</t>
  </si>
  <si>
    <t>ZAR 6748.00</t>
  </si>
  <si>
    <t>SANDRA GAELLE KAMSU</t>
  </si>
  <si>
    <t>ZAR 14480.29</t>
  </si>
  <si>
    <t>ElAoussi AZIZ</t>
  </si>
  <si>
    <t>ZAR 24330.82</t>
  </si>
  <si>
    <t>Martina Pusl Muehleisen</t>
  </si>
  <si>
    <t>ZAR 5954.47</t>
  </si>
  <si>
    <t>Anton Geustyn</t>
  </si>
  <si>
    <t>MAGDELENA MS KLEINHANS</t>
  </si>
  <si>
    <t>ZAR 3205.43</t>
  </si>
  <si>
    <t>MARY MS BOOYSEN</t>
  </si>
  <si>
    <t>Manuela Hormuth</t>
  </si>
  <si>
    <t>Liezel Hanneli Smit</t>
  </si>
  <si>
    <t>BB25101418982318</t>
  </si>
  <si>
    <t>Kerstin Stromberg</t>
  </si>
  <si>
    <t>ZAR 40136.00</t>
  </si>
  <si>
    <t>Kerstin</t>
  </si>
  <si>
    <t>Stromberg</t>
  </si>
  <si>
    <t>Munstermannstrasse5a</t>
  </si>
  <si>
    <t>Niedersachsen</t>
  </si>
  <si>
    <t>ks@sodasan.com</t>
  </si>
  <si>
    <t>2025-10-14T00:00:00.000Z</t>
  </si>
  <si>
    <t>john little</t>
  </si>
  <si>
    <t>Andreas Petereit</t>
  </si>
  <si>
    <t>ZAR 11904.57</t>
  </si>
  <si>
    <t>Maria Beyers</t>
  </si>
  <si>
    <t>Reuben Ichikowitz</t>
  </si>
  <si>
    <t>ZAR 4701.60</t>
  </si>
  <si>
    <t>olivier bornes</t>
  </si>
  <si>
    <t>ZAR 12146.40</t>
  </si>
  <si>
    <t>Kamogelo Radebe</t>
  </si>
  <si>
    <t>ZAR 10476.54</t>
  </si>
  <si>
    <t>ILFT287854-10171015045796</t>
  </si>
  <si>
    <t>Frauke Lisi, A Lisi, B Lisi</t>
  </si>
  <si>
    <t>ZAR 27690.00</t>
  </si>
  <si>
    <t>BB25101719008637</t>
  </si>
  <si>
    <t>Frank Heese</t>
  </si>
  <si>
    <t>ZAR 10776.00</t>
  </si>
  <si>
    <t>Frank</t>
  </si>
  <si>
    <t>Heese</t>
  </si>
  <si>
    <t>Dorian Close</t>
  </si>
  <si>
    <t>fheese@gmail.com</t>
  </si>
  <si>
    <t>2025-10-17T00:00:00.000Z</t>
  </si>
  <si>
    <t>Martin Schmielarz</t>
  </si>
  <si>
    <t>ZAR 3173.58</t>
  </si>
  <si>
    <t>BB25101719012694</t>
  </si>
  <si>
    <t>Desmond Brasington</t>
  </si>
  <si>
    <t>ZAR 5987.00</t>
  </si>
  <si>
    <t>Desmond</t>
  </si>
  <si>
    <t>Brasington</t>
  </si>
  <si>
    <t>Uitkyk farm</t>
  </si>
  <si>
    <t>Po box 44</t>
  </si>
  <si>
    <t>desbras@vodamail.co.za</t>
  </si>
  <si>
    <t>Margeaux Lisa Stolkin</t>
  </si>
  <si>
    <t>ZAR 5924.02</t>
  </si>
  <si>
    <t xml:space="preserve">Yannick H√∂rner, </t>
  </si>
  <si>
    <t>ZAR 19847.43</t>
  </si>
  <si>
    <t xml:space="preserve">Ross Noach, </t>
  </si>
  <si>
    <t>2 x Suite with Terrace - General - Breakfast included - United Kingdom</t>
  </si>
  <si>
    <t>ZAR 29263.68</t>
  </si>
  <si>
    <t>Jonathan plein</t>
  </si>
  <si>
    <t>Angelica Ruth Wekwete</t>
  </si>
  <si>
    <t>ZAR 10225.99</t>
  </si>
  <si>
    <t>Pierre Henrich</t>
  </si>
  <si>
    <t>ZAR 12299.04</t>
  </si>
  <si>
    <t>241-3095709</t>
  </si>
  <si>
    <t>GERD MUELLER, Gerd Mueller, Sylvia Mueller</t>
  </si>
  <si>
    <t>ZAR 12342.40</t>
  </si>
  <si>
    <t>Michelle Meyer</t>
  </si>
  <si>
    <t>Gerrit Hop</t>
  </si>
  <si>
    <t>ZAR 3643.93</t>
  </si>
  <si>
    <t>Emma Andrick</t>
  </si>
  <si>
    <t>ZAR 26418.96</t>
  </si>
  <si>
    <t>Andrew Touchstone</t>
  </si>
  <si>
    <t>ZAR 24502.50</t>
  </si>
  <si>
    <t>BB25102119038884</t>
  </si>
  <si>
    <t>Robert Eldridge</t>
  </si>
  <si>
    <t>ZAR 23249.00</t>
  </si>
  <si>
    <t>Robert</t>
  </si>
  <si>
    <t>Eldridge</t>
  </si>
  <si>
    <t>9 Hut Hill Road</t>
  </si>
  <si>
    <t>Connecticut</t>
  </si>
  <si>
    <t>robert.m.eldridge@gmail.com</t>
  </si>
  <si>
    <t>2025-10-21T00:00:00.000Z</t>
  </si>
  <si>
    <t>ILFT288064-10210818401182</t>
  </si>
  <si>
    <t>Wilfried Eberhard Reinke, Petra Aicham</t>
  </si>
  <si>
    <t>ILFT288064-10210820572682</t>
  </si>
  <si>
    <t>ZAR 55782.00</t>
  </si>
  <si>
    <t>BB25102119040681</t>
  </si>
  <si>
    <t>Alastair Lindsey-Renton</t>
  </si>
  <si>
    <t>Alastair</t>
  </si>
  <si>
    <t>Lindsey-Renton</t>
  </si>
  <si>
    <t>Curtis Brown Group Ltd, 15 Regent Street</t>
  </si>
  <si>
    <t>SW1Y 4LR</t>
  </si>
  <si>
    <t>alastair@curtisbrown.co.uk</t>
  </si>
  <si>
    <t>BB25102119043920</t>
  </si>
  <si>
    <t>Shamus Palmer</t>
  </si>
  <si>
    <t>Shamus</t>
  </si>
  <si>
    <t>Palmer</t>
  </si>
  <si>
    <t>31D Fernhead Road</t>
  </si>
  <si>
    <t>W93EX</t>
  </si>
  <si>
    <t>shamuspalmer@gmail.com</t>
  </si>
  <si>
    <t>BB25102119045052</t>
  </si>
  <si>
    <t>claire hintzen</t>
  </si>
  <si>
    <t>ZAR 20826.00</t>
  </si>
  <si>
    <t>claire</t>
  </si>
  <si>
    <t>hintzen</t>
  </si>
  <si>
    <t>Flat 5</t>
  </si>
  <si>
    <t>London</t>
  </si>
  <si>
    <t>SW7 3LT</t>
  </si>
  <si>
    <t>claireshintzen@gmail.com</t>
  </si>
  <si>
    <t>Oliver Mehl</t>
  </si>
  <si>
    <t>ZAR 29642.76</t>
  </si>
  <si>
    <t>Wifried Reinke</t>
  </si>
  <si>
    <t>A-Expedia Affiliate Network</t>
  </si>
  <si>
    <t>1 x Suite, Terrace - Breakfast Included - Standalone - SellRate</t>
  </si>
  <si>
    <t>ZAR 147683.68</t>
  </si>
  <si>
    <t>Thijs de Wilde</t>
  </si>
  <si>
    <t>Warren Smith</t>
  </si>
  <si>
    <t>ZAR 14660.92</t>
  </si>
  <si>
    <t>Warren Smith, Esther Howley</t>
  </si>
  <si>
    <t>ZAR 13590.01</t>
  </si>
  <si>
    <t>Raymond Du Plessis</t>
  </si>
  <si>
    <t>1 x Studio - Last Minute NoCC Free Cancellation - Breakfast included - Domestic</t>
  </si>
  <si>
    <t>Chris Oosthuizen</t>
  </si>
  <si>
    <t>ZAR 3097.44</t>
  </si>
  <si>
    <t xml:space="preserve">1 x Duplex Suite - Non-refundable - Breakfast included - Non-refundable </t>
  </si>
  <si>
    <t xml:space="preserve"> 1 x Studio - Non-refundable - Breakfast included - Non-refundable"</t>
  </si>
  <si>
    <t>ZAR 27246.80</t>
  </si>
  <si>
    <t>Lucia Moreno</t>
  </si>
  <si>
    <t xml:space="preserve">DAVIDE CLAUDIO GUTTORIELLO, </t>
  </si>
  <si>
    <t>2 x Suite with Terrace - General - Breakfast included</t>
  </si>
  <si>
    <t>ZAR 40158.00</t>
  </si>
  <si>
    <t>BB25102419070117</t>
  </si>
  <si>
    <t>Teresa Pagitz</t>
  </si>
  <si>
    <t>ZAR 7047.00</t>
  </si>
  <si>
    <t>Teresa</t>
  </si>
  <si>
    <t>Pagitz</t>
  </si>
  <si>
    <t>Himmelstra√üe 51</t>
  </si>
  <si>
    <t>Austria</t>
  </si>
  <si>
    <t>teresa@draxler.at</t>
  </si>
  <si>
    <t>2025-10-24T00:00:00.000Z</t>
  </si>
  <si>
    <t>Peter van den Heever</t>
  </si>
  <si>
    <t>ZAR 10108.82</t>
  </si>
  <si>
    <t>Du Plooy Frikkie</t>
  </si>
  <si>
    <t>ZAR 10446.85</t>
  </si>
  <si>
    <t>Norbert Tijssen</t>
  </si>
  <si>
    <t>ZAR 18486.90</t>
  </si>
  <si>
    <t>Mark newton</t>
  </si>
  <si>
    <t>ZAR 12530.70</t>
  </si>
  <si>
    <t>Leah-Helaine Evans</t>
  </si>
  <si>
    <t>Diederick Trampe</t>
  </si>
  <si>
    <t>ZAR 14211.72</t>
  </si>
  <si>
    <t>241-3097887</t>
  </si>
  <si>
    <t>1 x SUITE Garden Suite</t>
  </si>
  <si>
    <t>ZAR 31260.00</t>
  </si>
  <si>
    <t>BB25102719088259</t>
  </si>
  <si>
    <t>David Erixon</t>
  </si>
  <si>
    <t>ZAR 6942.00</t>
  </si>
  <si>
    <t>Erixon</t>
  </si>
  <si>
    <t>33 Pleasants Street</t>
  </si>
  <si>
    <t>Dublin</t>
  </si>
  <si>
    <t>D08 H3C2</t>
  </si>
  <si>
    <t>dexo@me.com</t>
  </si>
  <si>
    <t>2025-10-26T00:00:00.000Z</t>
  </si>
  <si>
    <t>Lucien De Busscher</t>
  </si>
  <si>
    <t>ZAR 16465.68</t>
  </si>
  <si>
    <t xml:space="preserve">Wulz  Wolvaardt Geniv, Wulz Wolvaardt Geniv, </t>
  </si>
  <si>
    <t>ZAR 12639.50</t>
  </si>
  <si>
    <t>Maria Partington</t>
  </si>
  <si>
    <t>ZAR 37750.05</t>
  </si>
  <si>
    <t>UNAI GALIPIENZO SANCHEZ</t>
  </si>
  <si>
    <t>ZAR 17764.11</t>
  </si>
  <si>
    <t>Reinhard Vocke</t>
  </si>
  <si>
    <t>ZAR 33078.40</t>
  </si>
  <si>
    <t>Andreas Heeg</t>
  </si>
  <si>
    <t>ZAR 22752.83</t>
  </si>
  <si>
    <t xml:space="preserve">Alan Stack, </t>
  </si>
  <si>
    <t>2 x Duplex Suite - General - Breakfast included</t>
  </si>
  <si>
    <t>ZAR 34398.00</t>
  </si>
  <si>
    <t>BB25103019118927</t>
  </si>
  <si>
    <t>cathail cannon</t>
  </si>
  <si>
    <t>1 x Heritage Suite - Promotion 2: THN6</t>
  </si>
  <si>
    <t>ZAR 18905.00</t>
  </si>
  <si>
    <t>cathail</t>
  </si>
  <si>
    <t>cannon</t>
  </si>
  <si>
    <t>Rathleigh, Military Road,</t>
  </si>
  <si>
    <t>Killiney</t>
  </si>
  <si>
    <t>A96YX03</t>
  </si>
  <si>
    <t>cannoncp@cannonkirk.com</t>
  </si>
  <si>
    <t>2025-10-30T00:00:00.000Z</t>
  </si>
  <si>
    <t>BB25103019119490</t>
  </si>
  <si>
    <t>ZAR 17451.00</t>
  </si>
  <si>
    <t>woods house cannon street</t>
  </si>
  <si>
    <t>Kells</t>
  </si>
  <si>
    <t>Co. Meath</t>
  </si>
  <si>
    <t>A82 RF86</t>
  </si>
  <si>
    <t>1 x Studio - Last Minute NoCC Free Cancellation - Breakfast included - United States</t>
  </si>
  <si>
    <t>Valeria Rouzanova</t>
  </si>
  <si>
    <t>ZAR 7350.75</t>
  </si>
  <si>
    <t xml:space="preserve">Wolmarans Ryno, </t>
  </si>
  <si>
    <t>1 x Duplex Suite - Last Minute NoCC Free Cancellation - Breakfast included - Domestic</t>
  </si>
  <si>
    <t>ZAR 6851.79</t>
  </si>
  <si>
    <t>1 x Suite with Terrace - Last Minute NoCC Free Cancellation - Breakfast included - Domestic</t>
  </si>
  <si>
    <t>ZAR 17212.50</t>
  </si>
  <si>
    <t>Coen Blanken</t>
  </si>
  <si>
    <t>Wolfgang Koelfen DR</t>
  </si>
  <si>
    <t>ZAR 11069.14</t>
  </si>
  <si>
    <t>Kris Valstar</t>
  </si>
  <si>
    <t>ZAR 36896.31</t>
  </si>
  <si>
    <t>Casper DeJager</t>
  </si>
  <si>
    <t>fritz erhald</t>
  </si>
  <si>
    <t>ZAR 19862.34</t>
  </si>
  <si>
    <t xml:space="preserve">Frank Zwick, </t>
  </si>
  <si>
    <t>ZAR 43595.82</t>
  </si>
  <si>
    <t>BB25110219139633</t>
  </si>
  <si>
    <t>James Garth</t>
  </si>
  <si>
    <t>ZAR 6453.00</t>
  </si>
  <si>
    <t>Garth</t>
  </si>
  <si>
    <t>6 Walpole Place</t>
  </si>
  <si>
    <t>TW11 8PL</t>
  </si>
  <si>
    <t>jamesgarth614@gmail.com</t>
  </si>
  <si>
    <t>2025-11-02T00:00:00.000Z</t>
  </si>
  <si>
    <t>Richard Lux</t>
  </si>
  <si>
    <t>ZAR 12298.23</t>
  </si>
  <si>
    <t>Rhoda Pearman</t>
  </si>
  <si>
    <t>ZAR 19131.39</t>
  </si>
  <si>
    <t>BB25110219143216</t>
  </si>
  <si>
    <t>Franz Mittendorfer</t>
  </si>
  <si>
    <t>ZAR 7170.00</t>
  </si>
  <si>
    <t>Franz</t>
  </si>
  <si>
    <t>Mittendorfer</t>
  </si>
  <si>
    <t>Atlantic Dr. 17</t>
  </si>
  <si>
    <t>SA</t>
  </si>
  <si>
    <t>f.mittendorfer@me.com</t>
  </si>
  <si>
    <t>ZAR 11568.10</t>
  </si>
  <si>
    <t>BB25110319149085</t>
  </si>
  <si>
    <t>Robert Moffat</t>
  </si>
  <si>
    <t>ZAR 8485.00</t>
  </si>
  <si>
    <t>Moffat</t>
  </si>
  <si>
    <t>1 Gullcry Close</t>
  </si>
  <si>
    <t>robert.moffat@gmail.com</t>
  </si>
  <si>
    <t>2025-11-03T00:00:00.000Z</t>
  </si>
  <si>
    <t xml:space="preserve">Theodora Passamonti, </t>
  </si>
  <si>
    <t>ZAR 42498.00</t>
  </si>
  <si>
    <t>Judith Krepper</t>
  </si>
  <si>
    <t>1 x Deluxe Suite - General - Breakfast included</t>
  </si>
  <si>
    <t>ZAR 39852.00</t>
  </si>
  <si>
    <t>Constanze Kuhlmann</t>
  </si>
  <si>
    <t>ZAR 3826.44</t>
  </si>
  <si>
    <t>Verena Alt</t>
  </si>
  <si>
    <t>ZAR 6887.60</t>
  </si>
  <si>
    <t>Terri-Anne Burmingham</t>
  </si>
  <si>
    <t>ZAR 42635.16</t>
  </si>
  <si>
    <t>Klaus Wichmann</t>
  </si>
  <si>
    <t>Eric Bucher</t>
  </si>
  <si>
    <t>ZAR 13664.70</t>
  </si>
  <si>
    <t>Floriane Holzwarth</t>
  </si>
  <si>
    <t>Raissa Bennett</t>
  </si>
  <si>
    <t>ZAR 12981.86</t>
  </si>
  <si>
    <t>william hamilton</t>
  </si>
  <si>
    <t>1 x Heritage Suite - Non-refundable - Breakfast included - Non-refundable</t>
  </si>
  <si>
    <t>ZAR 26462.72</t>
  </si>
  <si>
    <t>michelle de keijzer</t>
  </si>
  <si>
    <t xml:space="preserve">Ivan Moura, </t>
  </si>
  <si>
    <t>6 x Terrace Suite - Non-refundable - Breakfast included - Non-refundable</t>
  </si>
  <si>
    <t>ZAR 191241.00</t>
  </si>
  <si>
    <t>Douglas Brown</t>
  </si>
  <si>
    <t>1 x Legacy Room - Non-refundable - Breakfast included - Non-refundable</t>
  </si>
  <si>
    <t>Victor Fabre Figueiredo</t>
  </si>
  <si>
    <t>ZAR 31842.00</t>
  </si>
  <si>
    <t>Tanya de Villiers</t>
  </si>
  <si>
    <t>1 x Legacy Room - Last Minute NoCC Free Cancellation - Breakfast included - Domestic</t>
  </si>
  <si>
    <t>ZAR 6149.52</t>
  </si>
  <si>
    <t>William Walshe</t>
  </si>
  <si>
    <t>A-American Express Travel</t>
  </si>
  <si>
    <t>ZAR 23686.20</t>
  </si>
  <si>
    <t>St. John Walshe</t>
  </si>
  <si>
    <t>Greally Dylan</t>
  </si>
  <si>
    <t>Martin Aljovin</t>
  </si>
  <si>
    <t>1 x Terrace Suite - General - Breakfast included - United States</t>
  </si>
  <si>
    <t>NFIN618092-11101524545431</t>
  </si>
  <si>
    <t>Adult 01 Diamond, Adult 02 Diamond</t>
  </si>
  <si>
    <t>241-3102844</t>
  </si>
  <si>
    <t>SAMEER JAJU</t>
  </si>
  <si>
    <t>ZAR 20296.00</t>
  </si>
  <si>
    <t>JANE MENEZES</t>
  </si>
  <si>
    <t>1 x Heritage Suite - Last Minute NoCC Free Cancellation - Breakfast included</t>
  </si>
  <si>
    <t>ZAR 7351.20</t>
  </si>
  <si>
    <t>BB25111119217956</t>
  </si>
  <si>
    <t>gdg dsaasdf</t>
  </si>
  <si>
    <t>gdg</t>
  </si>
  <si>
    <t>dsaasdf</t>
  </si>
  <si>
    <t>23 road</t>
  </si>
  <si>
    <t>Aland Islands</t>
  </si>
  <si>
    <t>asdf@gmail.com</t>
  </si>
  <si>
    <t>2025-11-11T00:00:00.000Z</t>
  </si>
  <si>
    <t>Alessandro Pirondini</t>
  </si>
  <si>
    <t>1 x Terrace Suite - Non-refundable - Breakfast included - Non-refundable</t>
  </si>
  <si>
    <t>ZAR 18072.64</t>
  </si>
  <si>
    <t>DENIS BOGOMOLOV</t>
  </si>
  <si>
    <t>1 x Heritage Suite - Breakfast Included - Package - Linked - 200155739/200875312</t>
  </si>
  <si>
    <t>ALEXEY OREKHOV</t>
  </si>
  <si>
    <t>Derica Kotze</t>
  </si>
  <si>
    <t>1 x Legacy Room - General - Breakfast included - Domestic</t>
  </si>
  <si>
    <t>NFIN618294-11121230132493</t>
  </si>
  <si>
    <t>Adult 01 McKee, Adult 02 McKee, Adult 03 McKee, Adult 04 McKee</t>
  </si>
  <si>
    <t>ZAR 82640.00</t>
  </si>
  <si>
    <t>ALISON BROOKS</t>
  </si>
  <si>
    <t>followme2AFRICA</t>
  </si>
  <si>
    <t>1 x Terrace Suite</t>
  </si>
  <si>
    <t>ZAR 24792.00</t>
  </si>
  <si>
    <t>Bethuel Motsileng</t>
  </si>
  <si>
    <t>Matthew Standen</t>
  </si>
  <si>
    <t>Jenny Chattock</t>
  </si>
  <si>
    <t>3 x Terrace Suite - Non-refundable - Breakfast included - Non-refundable</t>
  </si>
  <si>
    <t>6 - 0 - 0</t>
  </si>
  <si>
    <t>ZAR 54217.92</t>
  </si>
  <si>
    <t>Veronika Linz</t>
  </si>
  <si>
    <t>ZAR 25211.73</t>
  </si>
  <si>
    <t>Wendy Turner</t>
  </si>
  <si>
    <t xml:space="preserve">1 x Terrace Suite - General - Breakfast included - United Kingdom </t>
  </si>
  <si>
    <t xml:space="preserve"> 1 x Legacy Room - General - Breakfast included - United Kingdom"</t>
  </si>
  <si>
    <t>ZAR 49183.20</t>
  </si>
  <si>
    <t>ILFT289781-11131503203294</t>
  </si>
  <si>
    <t>A Huwer, B Huwer</t>
  </si>
  <si>
    <t>ZAR 37188.00</t>
  </si>
  <si>
    <t>Jon Diamond</t>
  </si>
  <si>
    <t>Delane Kotze</t>
  </si>
  <si>
    <t>ZAR 8198.82</t>
  </si>
  <si>
    <t>EIRINI THYMIOU</t>
  </si>
  <si>
    <t>1 x Terrace Suite - Breakfast Included - Package - Linked - 200155746/200875332</t>
  </si>
  <si>
    <t>ZAR 38248.20</t>
  </si>
  <si>
    <t>Michael Shelton</t>
  </si>
  <si>
    <t>ZAR 19847.04</t>
  </si>
  <si>
    <t xml:space="preserve">Marine Barut, </t>
  </si>
  <si>
    <t>elaine lockett</t>
  </si>
  <si>
    <t>3 x Legacy Room - General - Breakfast included - Mobile(MDot) Rate</t>
  </si>
  <si>
    <t>ZAR 45300.06</t>
  </si>
  <si>
    <t>Carla Van Schaik</t>
  </si>
  <si>
    <t>1 x Legacy Room - Partially refundable - Breakfast included - Flexible 7 days</t>
  </si>
  <si>
    <t>ZAR 38261.15</t>
  </si>
  <si>
    <t>Achim Steiner</t>
  </si>
  <si>
    <t>Amy Averill</t>
  </si>
  <si>
    <t>1 x Terrace Suite - Breakfast Included - Standalone - Derived - 200155746/200875331</t>
  </si>
  <si>
    <t xml:space="preserve">Conrad Boley, </t>
  </si>
  <si>
    <t xml:space="preserve">1 x Garden Suite - Partially refundable - Breakfast included - Flexible 7 days </t>
  </si>
  <si>
    <t xml:space="preserve"> 1 x Terrace Suite - Partially refundable - Breakfast included - Flexible 7 days"</t>
  </si>
  <si>
    <t>ZAR 47677.40</t>
  </si>
  <si>
    <t>Roland Wettstein</t>
  </si>
  <si>
    <t>ZAR 25507.44</t>
  </si>
  <si>
    <t>Kristina Promet</t>
  </si>
  <si>
    <t>1 x Terrace Suite - General - Breakfast included</t>
  </si>
  <si>
    <t>ZAR 22311.90</t>
  </si>
  <si>
    <t>Margot Laureau</t>
  </si>
  <si>
    <t>2 x Legacy Room - General - Breakfast included - Domestic</t>
  </si>
  <si>
    <t>ZAR 30366.00</t>
  </si>
  <si>
    <t>Jan Wolfram</t>
  </si>
  <si>
    <t>Bianca Fourie</t>
  </si>
  <si>
    <t>, David Benezra, Timoth√©e Levesque</t>
  </si>
  <si>
    <t xml:space="preserve">1 x Terrace Suite - General - Breakfast included - European Economic Area </t>
  </si>
  <si>
    <t xml:space="preserve"> 1 x Legacy Room - General - Breakfast included - European Economic Area"</t>
  </si>
  <si>
    <t>ZAR 109296.00</t>
  </si>
  <si>
    <t>, David Benezra</t>
  </si>
  <si>
    <t>Jolanda lamboo</t>
  </si>
  <si>
    <t>1 x Terrace Suite - Partially refundable - Breakfast included - Flexible 5 days</t>
  </si>
  <si>
    <t>ZAR 44980.80</t>
  </si>
  <si>
    <t>1 x Heritage Suite - General - Breakfast included - Domestic</t>
  </si>
  <si>
    <t>Jane Bacon, Joanne Bacon</t>
  </si>
  <si>
    <t>1 x Legacy Room - Partially refundable - Breakfast included - Flexible 5 days</t>
  </si>
  <si>
    <t>ZAR 7652.23</t>
  </si>
  <si>
    <t>BB25111819274791</t>
  </si>
  <si>
    <t>Lori Carter</t>
  </si>
  <si>
    <t>ZAR 13623.00</t>
  </si>
  <si>
    <t>Lori</t>
  </si>
  <si>
    <t>Carter</t>
  </si>
  <si>
    <t>Blouberg</t>
  </si>
  <si>
    <t>support@roomsonline.co.za</t>
  </si>
  <si>
    <t>2025-11-18T00:00:00.000Z</t>
  </si>
  <si>
    <t>Susanna Orga</t>
  </si>
  <si>
    <t>1 x Legacy Room - Breakfast Included - Package - Linked - 200155717/200875257</t>
  </si>
  <si>
    <t>Fabio Chiocchetti</t>
  </si>
  <si>
    <t>BB25111919282152</t>
  </si>
  <si>
    <t>2025-11-19T00:00:00.000Z</t>
  </si>
  <si>
    <t>BB25111919283200</t>
  </si>
  <si>
    <t>Brae Rod-Gaudreau</t>
  </si>
  <si>
    <t>ZAR 6575.00</t>
  </si>
  <si>
    <t>Brae</t>
  </si>
  <si>
    <t>Rod-Gaudreau</t>
  </si>
  <si>
    <t>66 Noyna Road</t>
  </si>
  <si>
    <t>SW17 7PH</t>
  </si>
  <si>
    <t>braerodgaudreau@gmail.com</t>
  </si>
  <si>
    <t>BB25112019289036</t>
  </si>
  <si>
    <t>Hans-Peter Gebhardt</t>
  </si>
  <si>
    <t>ZAR 12189.00</t>
  </si>
  <si>
    <t>Hans-Peter</t>
  </si>
  <si>
    <t>Gebhardt</t>
  </si>
  <si>
    <t>Merianstra√üe 9</t>
  </si>
  <si>
    <t>gebhardt@buerg-gebhardt.de</t>
  </si>
  <si>
    <t>2025-11-20T00:00:00.000Z</t>
  </si>
  <si>
    <t>Andre Brogli</t>
  </si>
  <si>
    <t>ZAR 43369.79</t>
  </si>
  <si>
    <t>Annette Diaz</t>
  </si>
  <si>
    <t>ZAR 18587.90</t>
  </si>
  <si>
    <t>Jorge Reyes</t>
  </si>
  <si>
    <t>Natalya Velichkina</t>
  </si>
  <si>
    <t>2 x Heritage Suite - Non-refundable - Breakfast included - Non-refundable</t>
  </si>
  <si>
    <t>ZAR 14555.22</t>
  </si>
  <si>
    <t>Jan Anton Deppe</t>
  </si>
  <si>
    <t>2 x Legacy Room - General - Breakfast included - European Economic Area</t>
  </si>
  <si>
    <t>ZAR 33403.40</t>
  </si>
  <si>
    <t>Ilse Sabine Haberland Hoffmann</t>
  </si>
  <si>
    <t>Thompsons Africa (New)</t>
  </si>
  <si>
    <t>Kristoff De La Querra</t>
  </si>
  <si>
    <t>Marcel du Preez</t>
  </si>
  <si>
    <t>Maxim De Roeck</t>
  </si>
  <si>
    <t>Army Mdluli</t>
  </si>
  <si>
    <t>Federico Ling Sanz Cerrada</t>
  </si>
  <si>
    <t>jill baldwin</t>
  </si>
  <si>
    <t>1 x Legacy Room - Non - refundable - Standalone - Derived - 200155717/385505698</t>
  </si>
  <si>
    <t>ZAR 12963.80</t>
  </si>
  <si>
    <t>Wil James</t>
  </si>
  <si>
    <t>1 x Heritage Suite - Breakfast Included - Standalone - Derived - 200155739/200875307</t>
  </si>
  <si>
    <t>Robert Golob</t>
  </si>
  <si>
    <t>1 x Garden Suite - Non-refundable - Breakfast included - Non-refundable</t>
  </si>
  <si>
    <t>ZAR 22795.35</t>
  </si>
  <si>
    <t>Neill Tomlin</t>
  </si>
  <si>
    <t>ZAR 11138.40</t>
  </si>
  <si>
    <t>Isabel Tomlin</t>
  </si>
  <si>
    <t>Kenneth Maribu</t>
  </si>
  <si>
    <t>BB25112419319464</t>
  </si>
  <si>
    <t>John Krumins</t>
  </si>
  <si>
    <t>ZAR 12190.00</t>
  </si>
  <si>
    <t>Krumins</t>
  </si>
  <si>
    <t>139 Gloucester Road</t>
  </si>
  <si>
    <t>SW7 4TH</t>
  </si>
  <si>
    <t>jjkrumins@hotmail.com</t>
  </si>
  <si>
    <t>2025-11-24T00:00:00.000Z</t>
  </si>
  <si>
    <t>GOTTFRIED MAIER</t>
  </si>
  <si>
    <t>Marge McNeill</t>
  </si>
  <si>
    <t>ZAR 21894.30</t>
  </si>
  <si>
    <t>Derrick K Siaw</t>
  </si>
  <si>
    <t>ZAR 19131.37</t>
  </si>
  <si>
    <t>BARNABAS BWALI NDYANABO</t>
  </si>
  <si>
    <t>ZAR 49345.21</t>
  </si>
  <si>
    <t>Reinhard Metzner</t>
  </si>
  <si>
    <t>ZAR 31414.53</t>
  </si>
  <si>
    <t>TDFT290518-11251526039151</t>
  </si>
  <si>
    <t>Adult 01 Smith Family X 5 - ZAR (2), Adult 02 Smith Family X 5 - ZAR (2), Adult 05 Smith Family X 5 - ZAR (2), Adult 03 Smith Family X 5 - ZAR (2), Adult 04 Smith Family X 5 - ZAR (2)</t>
  </si>
  <si>
    <t>3 x Superior King Suite - Terrace Suite</t>
  </si>
  <si>
    <t>Albert Len√©</t>
  </si>
  <si>
    <t>1 x Legacy Room - General - Breakfast included - European Economic Area</t>
  </si>
  <si>
    <t>ZAR 6680.96</t>
  </si>
  <si>
    <t>BB25112519329357</t>
  </si>
  <si>
    <t>Suline Koning</t>
  </si>
  <si>
    <t>ZAR 7929.00</t>
  </si>
  <si>
    <t>Suline</t>
  </si>
  <si>
    <t>Koning</t>
  </si>
  <si>
    <t>121 Ridge Road</t>
  </si>
  <si>
    <t>11 Montresor</t>
  </si>
  <si>
    <t>harriette.koning1973@gmail.com</t>
  </si>
  <si>
    <t>2025-11-25T00:00:00.000Z</t>
  </si>
  <si>
    <t>NFIN620342-11260406536035</t>
  </si>
  <si>
    <t>Adult 01 Whittaker, Adult 02 Whittaker</t>
  </si>
  <si>
    <t>1 x Executive King Room - Luxury Garden suite</t>
  </si>
  <si>
    <t>ZAR 18236.00</t>
  </si>
  <si>
    <t>TDFT290518-11260722466649</t>
  </si>
  <si>
    <t>James York</t>
  </si>
  <si>
    <t>ZAR 13361.04</t>
  </si>
  <si>
    <t>BB25112619334147</t>
  </si>
  <si>
    <t>Richard Cordeschi</t>
  </si>
  <si>
    <t>Cordeschi</t>
  </si>
  <si>
    <t>Tudor Road</t>
  </si>
  <si>
    <t>BR3 6QR</t>
  </si>
  <si>
    <t>richardc0267@gmail.com</t>
  </si>
  <si>
    <t>2025-11-26T00:00:00.000Z</t>
  </si>
  <si>
    <t>Dmitrii Gasilov</t>
  </si>
  <si>
    <t>ZAR 10624.50</t>
  </si>
  <si>
    <t>Irina Gasilova</t>
  </si>
  <si>
    <t xml:space="preserve">JEROME lieury, </t>
  </si>
  <si>
    <t>ZAR 21032.98</t>
  </si>
  <si>
    <t>Benno Andermatt</t>
  </si>
  <si>
    <t>1 x Legacy Room - General - Breakfast included - Mobile(App) Rate</t>
  </si>
  <si>
    <t>ZAR 7515.99</t>
  </si>
  <si>
    <t>Kagisho Mahura</t>
  </si>
  <si>
    <t>1 x Heritage Suite - Last Minute NoCC Free Cancellation - Breakfast included - Domestic</t>
  </si>
  <si>
    <t>kimberley roersma</t>
  </si>
  <si>
    <t>ZAR 26594.58</t>
  </si>
  <si>
    <t>FRANCISCO TOMAS HONRUBIA LUCAS</t>
  </si>
  <si>
    <t>GIACOMO MASTROSIMINI</t>
  </si>
  <si>
    <t>BB25112819348554</t>
  </si>
  <si>
    <t>Elandre Fourie</t>
  </si>
  <si>
    <t>Elandre</t>
  </si>
  <si>
    <t>Fourie</t>
  </si>
  <si>
    <t>6 Beacon Road. Poortview A H</t>
  </si>
  <si>
    <t>House</t>
  </si>
  <si>
    <t>elandref@baobabcptl.co.za</t>
  </si>
  <si>
    <t>2025-11-28T00:00:00.000Z</t>
  </si>
  <si>
    <t>Donald Moore</t>
  </si>
  <si>
    <t>1 x Heritage Suite - Non - refundable - Standalone - Derived - 200155739/385505695</t>
  </si>
  <si>
    <t>ZAR 20615.19</t>
  </si>
  <si>
    <t>Denise Griffiths</t>
  </si>
  <si>
    <t>ZAR 29619.30</t>
  </si>
  <si>
    <t>BB25112919353640</t>
  </si>
  <si>
    <t>Lisa DiNatale</t>
  </si>
  <si>
    <t>ZAR 14274.00</t>
  </si>
  <si>
    <t>DiNatale</t>
  </si>
  <si>
    <t>933 Knollwood Rd</t>
  </si>
  <si>
    <t>NY</t>
  </si>
  <si>
    <t>lisamarie.dinatale@gmail.com</t>
  </si>
  <si>
    <t>Helen Mkhize</t>
  </si>
  <si>
    <t>Janina Z√ºrcher</t>
  </si>
  <si>
    <t>ZAR 18839.79</t>
  </si>
  <si>
    <t>BB25120219379082</t>
  </si>
  <si>
    <t>Theresa Britz</t>
  </si>
  <si>
    <t>Theresa</t>
  </si>
  <si>
    <t>Britz</t>
  </si>
  <si>
    <t>GRANDE ROCHE HOTEL</t>
  </si>
  <si>
    <t>theresa@granderoche.co.za</t>
  </si>
  <si>
    <t>2025-12-02T00:00:00.000Z</t>
  </si>
  <si>
    <t>BB25120219382656</t>
  </si>
  <si>
    <t>Charles Dolan</t>
  </si>
  <si>
    <t>ZAR 7887.00</t>
  </si>
  <si>
    <t>Charles</t>
  </si>
  <si>
    <t>Dolan</t>
  </si>
  <si>
    <t>29 Campden Street</t>
  </si>
  <si>
    <t>W8 7EP</t>
  </si>
  <si>
    <t>charlesdolan@hotmail.fr</t>
  </si>
  <si>
    <t>Andreas Larsson</t>
  </si>
  <si>
    <t>ZAR 19240.61</t>
  </si>
  <si>
    <t>TDFT290985-12022212524153</t>
  </si>
  <si>
    <t>Dmitrii Beliakov, Dmitrii BeliakovAA</t>
  </si>
  <si>
    <t>Lucy Scott</t>
  </si>
  <si>
    <t>ZAR 30745.60</t>
  </si>
  <si>
    <t>Mia s</t>
  </si>
  <si>
    <t>Sonel s</t>
  </si>
  <si>
    <t>Clifford s</t>
  </si>
  <si>
    <t>GRANT s</t>
  </si>
  <si>
    <t>df s</t>
  </si>
  <si>
    <t>Nicholas Rands</t>
  </si>
  <si>
    <t>1 x Legacy Room - General - Breakfast included - United States</t>
  </si>
  <si>
    <t>Lior Adler</t>
  </si>
  <si>
    <t>ZAR 13222.52</t>
  </si>
  <si>
    <t xml:space="preserve">Rachel Lloyd, </t>
  </si>
  <si>
    <t>1 x Heritage Suite - General - Breakfast included - United Kingdom</t>
  </si>
  <si>
    <t>241-3110349</t>
  </si>
  <si>
    <t>KLAUS RABE, Klaus Rabe, Barbara Rabe</t>
  </si>
  <si>
    <t>ZAR 50053.60</t>
  </si>
  <si>
    <t>Claire Bisset</t>
  </si>
  <si>
    <t xml:space="preserve">Roger Beeler, </t>
  </si>
  <si>
    <t>1 x Heritage Suite - General - Breakfast included - Mobile(App) Rate</t>
  </si>
  <si>
    <t>ZAR 26917.92</t>
  </si>
  <si>
    <t>Denise Young</t>
  </si>
  <si>
    <t>2 x Legacy Room - General - Breakfast included - United Kingdom</t>
  </si>
  <si>
    <t>ZAR 30200.04</t>
  </si>
  <si>
    <t>Markus Geyer</t>
  </si>
  <si>
    <t>ZAR 25280.91</t>
  </si>
  <si>
    <t>BB25120719414809</t>
  </si>
  <si>
    <t>Volker Weimar</t>
  </si>
  <si>
    <t>ZAR 10970.00</t>
  </si>
  <si>
    <t>Volker</t>
  </si>
  <si>
    <t>Weimar</t>
  </si>
  <si>
    <t>Angerweg 18</t>
  </si>
  <si>
    <t>Bayern</t>
  </si>
  <si>
    <t>volkerweimar0@gmail.com</t>
  </si>
  <si>
    <t>2025-12-07T00:00:00.000Z</t>
  </si>
  <si>
    <t>Andreas Sauer</t>
  </si>
  <si>
    <t>ZAR 36561.08</t>
  </si>
  <si>
    <t>ZAR 6887.46</t>
  </si>
  <si>
    <t>Shilpi Kaiwani</t>
  </si>
  <si>
    <t>ZAR 24989.33</t>
  </si>
  <si>
    <t>ZAR 29407.74</t>
  </si>
  <si>
    <t>ZAR 77510.42</t>
  </si>
  <si>
    <t>Mario Kunz</t>
  </si>
  <si>
    <t>ZAR 14701.48</t>
  </si>
  <si>
    <t>Christopher Eckler</t>
  </si>
  <si>
    <t>1 x Heritage Suite</t>
  </si>
  <si>
    <t>ZAR 22605.00</t>
  </si>
  <si>
    <t>ZAR 12531.60</t>
  </si>
  <si>
    <t>BB25120919429557</t>
  </si>
  <si>
    <t>Gcina Zondi</t>
  </si>
  <si>
    <t>ZAR 21510.00</t>
  </si>
  <si>
    <t>Gcina</t>
  </si>
  <si>
    <t>Zondi</t>
  </si>
  <si>
    <t>1 Langton Close,</t>
  </si>
  <si>
    <t>Kingwood Village</t>
  </si>
  <si>
    <t>KwaZulu Natal</t>
  </si>
  <si>
    <t>gcina@imbewucapital.co.za</t>
  </si>
  <si>
    <t>2025-12-09T00:00:00.000Z</t>
  </si>
  <si>
    <t>Theodorus Evers</t>
  </si>
  <si>
    <t xml:space="preserve">Martin Lagerblad, </t>
  </si>
  <si>
    <t>1 x Heritage Suite - Partially refundable - Breakfast included - Flexible 5 days</t>
  </si>
  <si>
    <t>ZAR 29186.79</t>
  </si>
  <si>
    <t>BB25121119448151</t>
  </si>
  <si>
    <t>Russell Harrison</t>
  </si>
  <si>
    <t>ZAR 7714.00</t>
  </si>
  <si>
    <t>Russell</t>
  </si>
  <si>
    <t>Harrison</t>
  </si>
  <si>
    <t>C6 The Court</t>
  </si>
  <si>
    <t>St Mary‚Äôs Place</t>
  </si>
  <si>
    <t>Shropshire</t>
  </si>
  <si>
    <t>SY1 1DY</t>
  </si>
  <si>
    <t>lizharrison4@outlook.com</t>
  </si>
  <si>
    <t>2025-12-11T00:00:00.000Z</t>
  </si>
  <si>
    <t>Celine Roos Berntsen</t>
  </si>
  <si>
    <t>ZAR 18037.41</t>
  </si>
  <si>
    <t>BB25121219450031</t>
  </si>
  <si>
    <t>Avigail Rosendorff</t>
  </si>
  <si>
    <t>1 x Heritage Suite - Best Available Rate</t>
  </si>
  <si>
    <t>ZAR 25411.00</t>
  </si>
  <si>
    <t>Avigail</t>
  </si>
  <si>
    <t>Rosendorff</t>
  </si>
  <si>
    <t>333 Central Park West</t>
  </si>
  <si>
    <t>Apartment 83</t>
  </si>
  <si>
    <t>New York</t>
  </si>
  <si>
    <t>daphnerosendorff@gmail.com</t>
  </si>
  <si>
    <t>917-279-7475</t>
  </si>
  <si>
    <t>NFIN622214-12121339280506</t>
  </si>
  <si>
    <t>Adult 01 McKINNON x 2, Adult 02 McKINNON x 2</t>
  </si>
  <si>
    <t>Heinrich Kramer</t>
  </si>
  <si>
    <t>ZAR 36074.82</t>
  </si>
  <si>
    <t>Makus Klamminger</t>
  </si>
  <si>
    <t>ZAR 20468.19</t>
  </si>
  <si>
    <t>241-3112676</t>
  </si>
  <si>
    <t>KARL MIEDLER, Karl Miedler, Susanne Miedler</t>
  </si>
  <si>
    <t>ZAR 20244.00</t>
  </si>
  <si>
    <t>Wolfgang K√ºsters</t>
  </si>
  <si>
    <t>ZAR 6680.52</t>
  </si>
  <si>
    <t>, Sven Heinsohn</t>
  </si>
  <si>
    <t>1 x Legacy Room - Last Minute NoCC Free Cancellation - Breakfast included - European Economic Area</t>
  </si>
  <si>
    <t>ZAR 6012.86</t>
  </si>
  <si>
    <t>Carl Oliver Grebelius</t>
  </si>
  <si>
    <t>ZAR 6452.77</t>
  </si>
  <si>
    <t>Megan McGowen</t>
  </si>
  <si>
    <t>ZAR 11615.76</t>
  </si>
  <si>
    <t>2 x Legacy Room - Last Minute NoCC Free Cancellation - Breakfast included - Domestic</t>
  </si>
  <si>
    <t>Stephanie Warnes</t>
  </si>
  <si>
    <t>ZAR 10709.50</t>
  </si>
  <si>
    <t>BB25121619480268</t>
  </si>
  <si>
    <t>Robert Collins</t>
  </si>
  <si>
    <t>ZAR 35850.00</t>
  </si>
  <si>
    <t>Collins</t>
  </si>
  <si>
    <t>325 Palm Avenue</t>
  </si>
  <si>
    <t>California</t>
  </si>
  <si>
    <t>94904-1036</t>
  </si>
  <si>
    <t>robbiecollins@mac.com</t>
  </si>
  <si>
    <t>2025-12-16T00:00:00.000Z</t>
  </si>
  <si>
    <t>Michael Metgenberg</t>
  </si>
  <si>
    <t>ZAR 15177.36</t>
  </si>
  <si>
    <t>ZAR 18699.12</t>
  </si>
  <si>
    <t>BB25121719483233</t>
  </si>
  <si>
    <t>Andrew Flowers</t>
  </si>
  <si>
    <t>Andrew</t>
  </si>
  <si>
    <t>Flowers</t>
  </si>
  <si>
    <t>Pietarinkatu 10C 22</t>
  </si>
  <si>
    <t>Finland</t>
  </si>
  <si>
    <t>andflowers@gmail.com</t>
  </si>
  <si>
    <t>2025-12-17T00:00:00.000Z</t>
  </si>
  <si>
    <t>Bernadette Mitra-Thakur</t>
  </si>
  <si>
    <t>ZAR 16328.89</t>
  </si>
  <si>
    <t xml:space="preserve">Stevie Post, </t>
  </si>
  <si>
    <t>Till Reiners</t>
  </si>
  <si>
    <t>Christina J√§ger</t>
  </si>
  <si>
    <t xml:space="preserve">1 x Legacy Room - Partially refundable - Breakfast included - Flexible 5 days </t>
  </si>
  <si>
    <t xml:space="preserve"> 1 x Garden Suite - Partially refundable - Breakfast included - Flexible 5 days"</t>
  </si>
  <si>
    <t>ZAR 20319.62</t>
  </si>
  <si>
    <t>BB25121819491279</t>
  </si>
  <si>
    <t>Moya Campbell</t>
  </si>
  <si>
    <t>Moya</t>
  </si>
  <si>
    <t>Campbell</t>
  </si>
  <si>
    <t>7 the avenues</t>
  </si>
  <si>
    <t>Moya@livingexperiences.com</t>
  </si>
  <si>
    <t>2025-12-18T00:00:00.000Z</t>
  </si>
  <si>
    <t>GGGU874988-12181119102349</t>
  </si>
  <si>
    <t>Adult 01 Vanner x 4, Adult 02 Vanner x 4, Adult 03 Vanner x 4, Adult 04 Vanner x 4</t>
  </si>
  <si>
    <t>BB25121819492429</t>
  </si>
  <si>
    <t>ZAR 8430.00</t>
  </si>
  <si>
    <t>The Avenues</t>
  </si>
  <si>
    <t>moyacampbell@gmail.com</t>
  </si>
  <si>
    <t>DD2C875092-12190629021012</t>
  </si>
  <si>
    <t>Horst Espeloer, Ulrike Espeloer, Carsten Parsen, Delia Parsen, Manfred Rogalla, Claudia Rogalla Barwich</t>
  </si>
  <si>
    <t>3 x Standard King Studio</t>
  </si>
  <si>
    <t>ZAR 37842.00</t>
  </si>
  <si>
    <t>DD2C875092-12190629400099</t>
  </si>
  <si>
    <t>Camille Leroy</t>
  </si>
  <si>
    <t>ZAR 28048.68</t>
  </si>
  <si>
    <t>safter salam</t>
  </si>
  <si>
    <t>Lisa Gorham</t>
  </si>
  <si>
    <t>1 x Terrace Suite - Non - refundable - Standalone - Derived - 200155746/385505697</t>
  </si>
  <si>
    <t>ZAR 45154.15</t>
  </si>
  <si>
    <t>Donna Liebenberg</t>
  </si>
  <si>
    <t>BB25122019505744</t>
  </si>
  <si>
    <t>jerome mulliez</t>
  </si>
  <si>
    <t>ZAR 31106.00</t>
  </si>
  <si>
    <t>jerome</t>
  </si>
  <si>
    <t>mulliez</t>
  </si>
  <si>
    <t>FLAT 6 ANGEL WHARF</t>
  </si>
  <si>
    <t>ENGLAND</t>
  </si>
  <si>
    <t>SE16 4TT</t>
  </si>
  <si>
    <t>mulliezjerome@gmail.com</t>
  </si>
  <si>
    <t>2025-12-20T00:00:00.000Z</t>
  </si>
  <si>
    <t>Heinrich Daniels</t>
  </si>
  <si>
    <t>ZAR 18061.66</t>
  </si>
  <si>
    <t xml:space="preserve">Corder Tilney, </t>
  </si>
  <si>
    <t xml:space="preserve">2 x Heritage Suite - Non-refundable - Breakfast included - Non-refundable </t>
  </si>
  <si>
    <t xml:space="preserve"> 1 x Legacy Room - Non-refundable - Breakfast included - Non-refundable"</t>
  </si>
  <si>
    <t>ZAR 24940.24</t>
  </si>
  <si>
    <t>dorine hoogendam</t>
  </si>
  <si>
    <t>ZAR 14964.36</t>
  </si>
  <si>
    <t>Marinda Olivier</t>
  </si>
  <si>
    <t>1 x Legacy Room - Last Minute NoCC Free Cancellation - Breakfast included</t>
  </si>
  <si>
    <t>Klaus Muth</t>
  </si>
  <si>
    <t>ZAR 20041.56</t>
  </si>
  <si>
    <t>Adele Martin</t>
  </si>
  <si>
    <t>BB25122319525181</t>
  </si>
  <si>
    <t>wouter Vandeberg</t>
  </si>
  <si>
    <t>ZAR 41140.00</t>
  </si>
  <si>
    <t>wouter</t>
  </si>
  <si>
    <t>Vandeberg</t>
  </si>
  <si>
    <t>Koningin Astridlaan 50</t>
  </si>
  <si>
    <t>Belgi√´</t>
  </si>
  <si>
    <t>wouter.vandeberg@vdbfinance.be</t>
  </si>
  <si>
    <t>2025-12-23T00:00:00.000Z</t>
  </si>
  <si>
    <t>8 x Terrace Suite - Partially refundable - Breakfast included - Flexible 5 days</t>
  </si>
  <si>
    <t>16 - 0 - 0</t>
  </si>
  <si>
    <t>ZAR 205615.84</t>
  </si>
  <si>
    <t>8 x Terrace Suite - General - Breakfast included</t>
  </si>
  <si>
    <t>ZAR 165225.60</t>
  </si>
  <si>
    <t>5 x Terrace Suite - General - Breakfast included</t>
  </si>
  <si>
    <t>ZAR 120478.50</t>
  </si>
  <si>
    <t>ZAR 183585.60</t>
  </si>
  <si>
    <t>Christelle CIPRIANI</t>
  </si>
  <si>
    <t>ZAR 14845.60</t>
  </si>
  <si>
    <t>Alexey Kharlamov, Herminio Faias</t>
  </si>
  <si>
    <t>1 x Terrace Suite - General - Breakfast included - Domestic</t>
  </si>
  <si>
    <t>ZAR 38833.70</t>
  </si>
  <si>
    <t>CARLO HARRPRECHT</t>
  </si>
  <si>
    <t>1 x Legacy Room - Breakfast Included - Standalone - SellRate - 200155717/200875255A</t>
  </si>
  <si>
    <t>ZAR 12905.54</t>
  </si>
  <si>
    <t>Liban Ahmed</t>
  </si>
  <si>
    <t>2 x Heritage Suite - General - Breakfast included - United Kingdom</t>
  </si>
  <si>
    <t>ZAR 79388.10</t>
  </si>
  <si>
    <t>Robert Kirk</t>
  </si>
  <si>
    <t>ZAR 31106.61</t>
  </si>
  <si>
    <t>Deborah Bill</t>
  </si>
  <si>
    <t>ZAR 16917.66</t>
  </si>
  <si>
    <t>Simon Grint</t>
  </si>
  <si>
    <t>Michael Ferendinos</t>
  </si>
  <si>
    <t>ZAR 7098.43</t>
  </si>
  <si>
    <t>Linn Theres Reksten Nekk√∏y</t>
  </si>
  <si>
    <t>ZAR 14196.88</t>
  </si>
  <si>
    <t>Lord Osei-Ofori</t>
  </si>
  <si>
    <t>ZAR 21295.29</t>
  </si>
  <si>
    <t>Katharina Link</t>
  </si>
  <si>
    <t>Menna Shamseldin</t>
  </si>
  <si>
    <t>ZAR 14196.86</t>
  </si>
  <si>
    <t>Lorena Marxer</t>
  </si>
  <si>
    <t>ZAR 5807.70</t>
  </si>
  <si>
    <t>BB25123119573993</t>
  </si>
  <si>
    <t>Stephen Caradoc-Davies</t>
  </si>
  <si>
    <t>ZAR 12492.00</t>
  </si>
  <si>
    <t>Stephen</t>
  </si>
  <si>
    <t>Caradoc-Davies</t>
  </si>
  <si>
    <t>1 Guardian Crescent</t>
  </si>
  <si>
    <t>steve.cd@harcourts.co.za</t>
  </si>
  <si>
    <t>2025-12-31T00:00:00.000Z</t>
  </si>
  <si>
    <t>BB25123119574048</t>
  </si>
  <si>
    <t>1 Guardi</t>
  </si>
  <si>
    <t>Steve.cd@harcourts.co.za</t>
  </si>
  <si>
    <t>Lisa Wranding</t>
  </si>
  <si>
    <t>Terence Kwok</t>
  </si>
  <si>
    <t>ZAR 21072.35</t>
  </si>
  <si>
    <t>Everard Winters</t>
  </si>
  <si>
    <t>ZAR 12024.94</t>
  </si>
  <si>
    <t>PAVEL BELENETS</t>
  </si>
  <si>
    <t>Carlo Harprecht</t>
  </si>
  <si>
    <t>Gianluca Garavaglia</t>
  </si>
  <si>
    <t>ZAR 7482.18</t>
  </si>
  <si>
    <t>Steve Irwin</t>
  </si>
  <si>
    <t>ZAR 5110.78</t>
  </si>
  <si>
    <t xml:space="preserve">Matthias Brado, </t>
  </si>
  <si>
    <t xml:space="preserve">1 x Heritage Suite - Non-refundable - Breakfast included - Non-refundable </t>
  </si>
  <si>
    <t>ZAR 9338.95</t>
  </si>
  <si>
    <t>BB26010219590105</t>
  </si>
  <si>
    <t>Pavel Rogozhnikov</t>
  </si>
  <si>
    <t>1 x Heritage Suite - Promotion 4: THN12</t>
  </si>
  <si>
    <t>ZAR 7188.00</t>
  </si>
  <si>
    <t>Pavel</t>
  </si>
  <si>
    <t>Rogozhnikov</t>
  </si>
  <si>
    <t>Savushkina 131-148</t>
  </si>
  <si>
    <t>Russian Federation</t>
  </si>
  <si>
    <t>pamiro@gmail.com</t>
  </si>
  <si>
    <t>2026-01-02T00:00:00.000Z</t>
  </si>
  <si>
    <t>Barbara Hennig Marques</t>
  </si>
  <si>
    <t>JONATHAN BATES</t>
  </si>
  <si>
    <t>ZAR 34423.40</t>
  </si>
  <si>
    <t>BB26010319602413</t>
  </si>
  <si>
    <t>Yvan Cassar</t>
  </si>
  <si>
    <t>ZAR 22076.00</t>
  </si>
  <si>
    <t>Yvan</t>
  </si>
  <si>
    <t>Cassar</t>
  </si>
  <si>
    <t>9 cit√© Annibal</t>
  </si>
  <si>
    <t>France</t>
  </si>
  <si>
    <t>yvan.cassar@gmail.com</t>
  </si>
  <si>
    <t>2026-01-03T00:00:00.000Z</t>
  </si>
  <si>
    <t>Qoqanani Mkhwanazi</t>
  </si>
  <si>
    <t>ZAR 5807.49</t>
  </si>
  <si>
    <t>Alain Peers</t>
  </si>
  <si>
    <t>ZAR 23748.72</t>
  </si>
  <si>
    <t>BB26010419608458</t>
  </si>
  <si>
    <t>hans plessers</t>
  </si>
  <si>
    <t>ZAR 26318.00</t>
  </si>
  <si>
    <t>hans</t>
  </si>
  <si>
    <t>plessers</t>
  </si>
  <si>
    <t>fazantendreef 91</t>
  </si>
  <si>
    <t>belgium</t>
  </si>
  <si>
    <t>hans@mtti.be</t>
  </si>
  <si>
    <t>2026-01-04T00:00:00.000Z</t>
  </si>
  <si>
    <t>241-3117704</t>
  </si>
  <si>
    <t>MATTHIAS SCHERLER, Matthias Scherler</t>
  </si>
  <si>
    <t>ZAR 62520.00</t>
  </si>
  <si>
    <t xml:space="preserve">Pieter Beverdam, </t>
  </si>
  <si>
    <t>ZAR 11027.02</t>
  </si>
  <si>
    <t>241-3117796</t>
  </si>
  <si>
    <t>ZAR 10420.00</t>
  </si>
  <si>
    <t>Sithembile Prior</t>
  </si>
  <si>
    <t>ZAR 11676.96</t>
  </si>
  <si>
    <t>Stacy Snook</t>
  </si>
  <si>
    <t>Dr Lindelani Masithi</t>
  </si>
  <si>
    <t>1 x Terrace Suite - General - Breakfast included - Mobile(App) Rate</t>
  </si>
  <si>
    <t>ZAR 20080.71</t>
  </si>
  <si>
    <t>Somikazi George</t>
  </si>
  <si>
    <t>ZAR 13551.21</t>
  </si>
  <si>
    <t>Danene van der Westhuyzen</t>
  </si>
  <si>
    <t>David Clark</t>
  </si>
  <si>
    <t>ZAR 36753.70</t>
  </si>
  <si>
    <t>Shiwa Mansournia</t>
  </si>
  <si>
    <t>ZAR 4209.48</t>
  </si>
  <si>
    <t>Janis Oberbrunner</t>
  </si>
  <si>
    <t>Retail</t>
  </si>
  <si>
    <t>Toutounji Alexandre</t>
  </si>
  <si>
    <t>ZAR 18132.93</t>
  </si>
  <si>
    <t>BB26010719635935</t>
  </si>
  <si>
    <t>Guy Murray</t>
  </si>
  <si>
    <t>ZAR 23142.00</t>
  </si>
  <si>
    <t>Guy</t>
  </si>
  <si>
    <t>Murray</t>
  </si>
  <si>
    <t>15 Sandhurst, Langford Estate</t>
  </si>
  <si>
    <t>33 Oakland Avenue</t>
  </si>
  <si>
    <t>guy@container.co.za</t>
  </si>
  <si>
    <t>+27 83 441 5691</t>
  </si>
  <si>
    <t>2026-01-07T00:00:00.000Z</t>
  </si>
  <si>
    <t>Julia Gillies</t>
  </si>
  <si>
    <t>Vicky langford</t>
  </si>
  <si>
    <t>ZAR 52002.00</t>
  </si>
  <si>
    <t>DD2C872811-01071538346852</t>
  </si>
  <si>
    <t>Delia Meierhofer, xy xy</t>
  </si>
  <si>
    <t>ZAR 5019.00</t>
  </si>
  <si>
    <t xml:space="preserve">1 x Terrace Suite - Non-refundable - Breakfast included - Non-refundable </t>
  </si>
  <si>
    <t xml:space="preserve"> 1 x Heritage Suite - Non-refundable - Breakfast included - Non-refundable"</t>
  </si>
  <si>
    <t>ZAR 51817.36</t>
  </si>
  <si>
    <t>HONGYU SHI</t>
  </si>
  <si>
    <t>ZAR 7169.74</t>
  </si>
  <si>
    <t>Lisa Sade</t>
  </si>
  <si>
    <t xml:space="preserve">Marilena Dakoronia Marina, </t>
  </si>
  <si>
    <t>ZAR 22416.63</t>
  </si>
  <si>
    <t>Ruth Schaefer</t>
  </si>
  <si>
    <t>ZAR 4646.17</t>
  </si>
  <si>
    <t>Khadija Patel</t>
  </si>
  <si>
    <t>ZAR 17201.12</t>
  </si>
  <si>
    <t>Regina Petrenko</t>
  </si>
  <si>
    <t>ZAR 12905.56</t>
  </si>
  <si>
    <t>Sheldon Rupert</t>
  </si>
  <si>
    <t>TDFT292905-01091915204158</t>
  </si>
  <si>
    <t>Sascha Kroeger, Sascha KroegerAA</t>
  </si>
  <si>
    <t>ZAR 12762.00</t>
  </si>
  <si>
    <t>Florian und Jasmin Halemba</t>
  </si>
  <si>
    <t>ZAR 16354.48</t>
  </si>
  <si>
    <t>Polina Paladina</t>
  </si>
  <si>
    <t>1 x Legacy Room - General - Breakfast included - Russia</t>
  </si>
  <si>
    <t>ZAR 4646.16</t>
  </si>
  <si>
    <t xml:space="preserve">James Carter, </t>
  </si>
  <si>
    <t>ZAR 17801.70</t>
  </si>
  <si>
    <t>BB26011119674684</t>
  </si>
  <si>
    <t>Teresa Nel</t>
  </si>
  <si>
    <t>ZAR 15057.00</t>
  </si>
  <si>
    <t>60 Ocean Tides</t>
  </si>
  <si>
    <t>Breakwater Bay Eco Estate</t>
  </si>
  <si>
    <t>nel.teresa@gmail.com</t>
  </si>
  <si>
    <t>2026-01-11T00:00:00.000Z</t>
  </si>
  <si>
    <t>Teshebayeva Orzukhan</t>
  </si>
  <si>
    <t>1 x Legacy Room - General - Breakfast included</t>
  </si>
  <si>
    <t>Lauriane Stehr</t>
  </si>
  <si>
    <t>ZAR 56664.00</t>
  </si>
  <si>
    <t>Hendrikus van Gorkum</t>
  </si>
  <si>
    <t>ZAR 12248.96</t>
  </si>
  <si>
    <t>Johan Cloete</t>
  </si>
  <si>
    <t>1 x Terrace Suite - Last Minute NoCC Free Cancellation - Breakfast included - Domestic</t>
  </si>
  <si>
    <t>ZAR 9030.83</t>
  </si>
  <si>
    <t>Sophie Curran</t>
  </si>
  <si>
    <t>Fridolin Steiner</t>
  </si>
  <si>
    <t>1 x Garden Suite - Partially refundable - Breakfast included - Flexible 5 days</t>
  </si>
  <si>
    <t>ZAR 81928.00</t>
  </si>
  <si>
    <t>Livia Olga Cocian</t>
  </si>
  <si>
    <t>ZAR 22277.70</t>
  </si>
  <si>
    <t>ZAR 9873.09</t>
  </si>
  <si>
    <t>Katelyn Fyvie</t>
  </si>
  <si>
    <t>ZAR 5838.48</t>
  </si>
  <si>
    <t>JANINE MARCUS</t>
  </si>
  <si>
    <t>Mikhail Ruziakov</t>
  </si>
  <si>
    <t>ZAR 7173.36</t>
  </si>
  <si>
    <t>Leslie Sieff, Leslie Sieff Josephine Sieff, David Fine Ethnee Fine</t>
  </si>
  <si>
    <t>2 x Terrace Suite - Partially refundable - Breakfast included - Flexible 5 days</t>
  </si>
  <si>
    <t>ZAR 64257.00</t>
  </si>
  <si>
    <t>Leslie Sieff, David Fine</t>
  </si>
  <si>
    <t>ZAR 66399.80</t>
  </si>
  <si>
    <t>JAMES KIRKLAND</t>
  </si>
  <si>
    <t>ZAR 17422.50</t>
  </si>
  <si>
    <t>Caroline Jessel</t>
  </si>
  <si>
    <t>ZAR 15304.46</t>
  </si>
  <si>
    <t>CHANG LI</t>
  </si>
  <si>
    <t>1 x Garden Suite - Standard - Standalone - Derived - 210046294/220300706</t>
  </si>
  <si>
    <t>ZAR 12895.20</t>
  </si>
  <si>
    <t>Keith Palmer</t>
  </si>
  <si>
    <t>ZAR 30838.89</t>
  </si>
  <si>
    <t>ZAR 4599.70</t>
  </si>
  <si>
    <t>ZAR 6942.38</t>
  </si>
  <si>
    <t>Laurie Roethemeyer</t>
  </si>
  <si>
    <t>ZAR 16067.16</t>
  </si>
  <si>
    <t>BB26011419711709</t>
  </si>
  <si>
    <t>Alan Willcocks</t>
  </si>
  <si>
    <t>Alan</t>
  </si>
  <si>
    <t>Willcocks</t>
  </si>
  <si>
    <t>354 Pebble beach drive</t>
  </si>
  <si>
    <t>Eagle canyon, Honeydew</t>
  </si>
  <si>
    <t>Alan@glynden.com</t>
  </si>
  <si>
    <t>2026-01-14T00:00:00.000Z</t>
  </si>
  <si>
    <t>timothy Green</t>
  </si>
  <si>
    <t>ZAR 20653.40</t>
  </si>
  <si>
    <t>Samantha Green</t>
  </si>
  <si>
    <t>Kerry-Anne Palzewski</t>
  </si>
  <si>
    <t>1 x Legacy Room - General - Breakfast included - Australia</t>
  </si>
  <si>
    <t>ZAR 22958.64</t>
  </si>
  <si>
    <t>DAVIDE CLAUDIO GUTTORIELLO</t>
  </si>
  <si>
    <t xml:space="preserve"> 1 x Terrace Suite - General - Breakfast included"</t>
  </si>
  <si>
    <t>ZAR 40373.10</t>
  </si>
  <si>
    <t>TDFT293287-01150820423349</t>
  </si>
  <si>
    <t>Adult 01 Walters x 2 Q2, Adult 02 Walters x 2 Q2</t>
  </si>
  <si>
    <t>ZAR 13722.00</t>
  </si>
  <si>
    <t>BB26011519724254</t>
  </si>
  <si>
    <t>Valery Borisov</t>
  </si>
  <si>
    <t>ZAR 25338.00</t>
  </si>
  <si>
    <t>Valery</t>
  </si>
  <si>
    <t>Borisov</t>
  </si>
  <si>
    <t>48B Regent‚Äôs Park Road</t>
  </si>
  <si>
    <t>NW17SX</t>
  </si>
  <si>
    <t>borisovvn@yahoo.com</t>
  </si>
  <si>
    <t>2026-01-15T00:00:00.000Z</t>
  </si>
  <si>
    <t>CHUNG WEI LU</t>
  </si>
  <si>
    <t>ZAR 6942.37</t>
  </si>
  <si>
    <t>Dmitry Ryazanov</t>
  </si>
  <si>
    <t>ZAR 11615.40</t>
  </si>
  <si>
    <t>ADRIAN HAVUCHAK</t>
  </si>
  <si>
    <t>1 x Garden Suite</t>
  </si>
  <si>
    <t>ZAR 23247.00</t>
  </si>
  <si>
    <t>Patrick Hoefsmit</t>
  </si>
  <si>
    <t>ZAR 21863.51</t>
  </si>
  <si>
    <t>James Marsh</t>
  </si>
  <si>
    <t>ZAR 20827.11</t>
  </si>
  <si>
    <t>Rosemary Wadsworth</t>
  </si>
  <si>
    <t>ZAR 35401.67</t>
  </si>
  <si>
    <t>Janine Tuck</t>
  </si>
  <si>
    <t>Heidi Sinclair</t>
  </si>
  <si>
    <t>ZAR 7679.84</t>
  </si>
  <si>
    <t>Philip Willsher</t>
  </si>
  <si>
    <t>ZAR 28899.41</t>
  </si>
  <si>
    <t>Scott Hudson</t>
  </si>
  <si>
    <t>ZAR 35682.22</t>
  </si>
  <si>
    <t>Kseniia Valiaeva</t>
  </si>
  <si>
    <t>ZAR 10744.04</t>
  </si>
  <si>
    <t>James Martin</t>
  </si>
  <si>
    <t>BB26011919762188</t>
  </si>
  <si>
    <t>Hendrik Du Toit</t>
  </si>
  <si>
    <t>Hendrik</t>
  </si>
  <si>
    <t>5 Sunset Close</t>
  </si>
  <si>
    <t>Llandudno</t>
  </si>
  <si>
    <t>caron.ranger@ninetyone.com</t>
  </si>
  <si>
    <t>2026-01-19T00:00:00.000Z</t>
  </si>
  <si>
    <t>SAFI117819-01192019322777</t>
  </si>
  <si>
    <t>Adult 01 Rotsche x1</t>
  </si>
  <si>
    <t>jan thore engen</t>
  </si>
  <si>
    <t>ZAR 32670.00</t>
  </si>
  <si>
    <t>SAFI117819-01200640376680</t>
  </si>
  <si>
    <t>Niclas Kjellstr√∂m-Matseke</t>
  </si>
  <si>
    <t>ZAR 7227.11</t>
  </si>
  <si>
    <t>Cristina Ljungberg</t>
  </si>
  <si>
    <t>ZAR 9349.56</t>
  </si>
  <si>
    <t>Howard Parkes</t>
  </si>
  <si>
    <t>ZAR 6452.78</t>
  </si>
  <si>
    <t>Kareem Salman</t>
  </si>
  <si>
    <t>ZAR 7017.19</t>
  </si>
  <si>
    <t>Kevin Sinnott</t>
  </si>
  <si>
    <t>ZAR 43909.40</t>
  </si>
  <si>
    <t>Kate Hersov</t>
  </si>
  <si>
    <t>Reinhold V√∂lkel</t>
  </si>
  <si>
    <t>ZAR 11444.72</t>
  </si>
  <si>
    <t>Natalie Raad</t>
  </si>
  <si>
    <t>DD1E877951-01220640252621</t>
  </si>
  <si>
    <t>Edoardo Ferraresi, Lorenzo Ferraresi, Roberto Ferraresi, Valeria Mancini, Cristiano Galeazzi, Filippo Galeazzi, Matildecarola Galeazzi, Annalisa Serra</t>
  </si>
  <si>
    <t>4 x Deluxe King Duplex - Heritage Suite</t>
  </si>
  <si>
    <t>8 - 0 - 0</t>
  </si>
  <si>
    <t>ZAR 35672.00</t>
  </si>
  <si>
    <t>Kirill Derkovsky</t>
  </si>
  <si>
    <t xml:space="preserve">1 x Legacy Room - General - Breakfast included </t>
  </si>
  <si>
    <t>ZAR 54648.00</t>
  </si>
  <si>
    <t>Klaus Weller</t>
  </si>
  <si>
    <t>2 x Terrace Suite - Non-refundable - Breakfast included - Non-refundable</t>
  </si>
  <si>
    <t>ZAR 50889.66</t>
  </si>
  <si>
    <t>TEST TEST</t>
  </si>
  <si>
    <t>ZAR 8921.80</t>
  </si>
  <si>
    <t>EMANUEL BACHMANN</t>
  </si>
  <si>
    <t>ZAR 5226.93</t>
  </si>
  <si>
    <t>Makram Debbas</t>
  </si>
  <si>
    <t>Brian Stopp</t>
  </si>
  <si>
    <t>ZAR 12593.06</t>
  </si>
  <si>
    <t>Tim Bell</t>
  </si>
  <si>
    <t>BB26012419813857</t>
  </si>
  <si>
    <t>James Stourton</t>
  </si>
  <si>
    <t>ZAR 13614.00</t>
  </si>
  <si>
    <t>Stourton</t>
  </si>
  <si>
    <t>Church lane cottage</t>
  </si>
  <si>
    <t>Church Lane</t>
  </si>
  <si>
    <t>Surrey</t>
  </si>
  <si>
    <t>Gu5 9AH</t>
  </si>
  <si>
    <t>jstourton@hotmail.com</t>
  </si>
  <si>
    <t>2026-01-24T00:00:00.000Z</t>
  </si>
  <si>
    <t>Stephan Baart</t>
  </si>
  <si>
    <t>1 x Terrace Suite - Last Minute NoCC Free Cancellation - Breakfast included - European Economic Area</t>
  </si>
  <si>
    <t>JESUS EDUARDO GARCIA BELTRAN</t>
  </si>
  <si>
    <t>ALEXANDRA STEWART CARTER</t>
  </si>
  <si>
    <t>ZAR 43634.51</t>
  </si>
  <si>
    <t>Daniele Majdalani</t>
  </si>
  <si>
    <t>ZAR 16540.53</t>
  </si>
  <si>
    <t>241-3125461</t>
  </si>
  <si>
    <t>PAUL MALEY, Paul Maley</t>
  </si>
  <si>
    <t>241-3125472</t>
  </si>
  <si>
    <t>Geoff Vickerstaff</t>
  </si>
  <si>
    <t>ZAR 52970.16</t>
  </si>
  <si>
    <t>Khensani NOBANDA</t>
  </si>
  <si>
    <t>DD1E878557-01271046349162</t>
  </si>
  <si>
    <t>LUCA ERCOLANO, CLELIA PASSERINI</t>
  </si>
  <si>
    <t>ZAR 8268.00</t>
  </si>
  <si>
    <t>BB26012719848698</t>
  </si>
  <si>
    <t>Tamara Friedman</t>
  </si>
  <si>
    <t>1 x Legacy Room - Book Direct save 10%</t>
  </si>
  <si>
    <t>Tamara</t>
  </si>
  <si>
    <t>Friedman</t>
  </si>
  <si>
    <t>7 Burdett Mews</t>
  </si>
  <si>
    <t>Bayswater</t>
  </si>
  <si>
    <t>W2 5RQ</t>
  </si>
  <si>
    <t>tamararobyn@hotmail.com</t>
  </si>
  <si>
    <t>2026-01-27T00:00:00.000Z</t>
  </si>
  <si>
    <t>Colin Hutton</t>
  </si>
  <si>
    <t xml:space="preserve">edmund Colville, </t>
  </si>
  <si>
    <t>ZAR 10150.60</t>
  </si>
  <si>
    <t xml:space="preserve">Patrizia Candy, </t>
  </si>
  <si>
    <t>ZAR 16930.62</t>
  </si>
  <si>
    <t>bonan Lin</t>
  </si>
  <si>
    <t>Junxiao Song</t>
  </si>
  <si>
    <t>Junru Niu</t>
  </si>
  <si>
    <t>Lingjie Lin</t>
  </si>
  <si>
    <t>Jiaxie He</t>
  </si>
  <si>
    <t>Yiqi Zhang</t>
  </si>
  <si>
    <t>Xiaochen Wang</t>
  </si>
  <si>
    <t>Tania Wright</t>
  </si>
  <si>
    <t>ZAR 4442.89</t>
  </si>
  <si>
    <t>Steffen Holm</t>
  </si>
  <si>
    <t>ZAR 21154.26</t>
  </si>
  <si>
    <t>Matthew Dolan</t>
  </si>
  <si>
    <t>james liu</t>
  </si>
  <si>
    <t>Chad Dixon</t>
  </si>
  <si>
    <t>ZAR 27995.95</t>
  </si>
  <si>
    <t>03IN118724-01291350439076</t>
  </si>
  <si>
    <t>Wolfram Richard Sigel, Peter Franz Grau</t>
  </si>
  <si>
    <t>Private Safaris</t>
  </si>
  <si>
    <t>ZAR 12614.00</t>
  </si>
  <si>
    <t>03IN118724-01291350542773</t>
  </si>
  <si>
    <t>Peter Leonard Emil Wack, Ursula Siegline Auguste Grau</t>
  </si>
  <si>
    <t>03IN118724-01291351033597</t>
  </si>
  <si>
    <t>Tanja Albrecht, Clemens Frank Albrecht</t>
  </si>
  <si>
    <t>Tania Hough</t>
  </si>
  <si>
    <t>ZAR 13884.76</t>
  </si>
  <si>
    <t>Karen Dixon, Romario Gonsalves</t>
  </si>
  <si>
    <t>DD2C879010-01301022343798</t>
  </si>
  <si>
    <t>Juerg (J√ºrg) Freiburghaus, Renate Eckl, Thomas Mueller, tba Stadler</t>
  </si>
  <si>
    <t>ZAR 25228.00</t>
  </si>
  <si>
    <t>DD2C879010-01301023110491</t>
  </si>
  <si>
    <t>Jaqueline Christener, Adult 05 TBA</t>
  </si>
  <si>
    <t>Nitesh Dullabh</t>
  </si>
  <si>
    <t>ZAR 10414.00</t>
  </si>
  <si>
    <t>Darshan Dullabh</t>
  </si>
  <si>
    <t>BB26013019875904</t>
  </si>
  <si>
    <t>Jan Christe</t>
  </si>
  <si>
    <t>1 x Heritage Suite - Book Direct save 10%</t>
  </si>
  <si>
    <t>ZAR 16336.00</t>
  </si>
  <si>
    <t>Christe</t>
  </si>
  <si>
    <t>Hauptstr 1</t>
  </si>
  <si>
    <t>jan@christe.org</t>
  </si>
  <si>
    <t>2026-01-30T00:00:00.000Z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</si>
</sst>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_ * #,##0_ ;_ * \-#,##0_ ;_ * &quot;-&quot;??_ ;_ @_ "/>
    <numFmt numFmtId="166" formatCode="0.0"/>
    <numFmt numFmtId="167" formatCode="_(* #,##0_);_(* \(#,##0\);_(* &quot;-&quot;??_);_(@_)"/>
    <numFmt numFmtId="168" formatCode="#,##0.0"/>
  </numFmts>
  <fonts count="64" x14ac:knownFonts="1">
    <font>
      <sz val="10"/>
      <color rgb="FF000000"/>
      <name val="Arial"/>
      <scheme val="minor"/>
    </font>
    <font>
      <b/>
      <sz val="10"/>
      <color theme="1"/>
      <name val="Arial"/>
      <family val="2"/>
    </font>
    <font>
      <b/>
      <sz val="16"/>
      <color theme="1"/>
      <name val="Arial"/>
      <family val="2"/>
    </font>
    <font>
      <sz val="10"/>
      <name val="Arial"/>
      <family val="2"/>
    </font>
    <font>
      <sz val="16"/>
      <color theme="1"/>
      <name val="Arial"/>
      <family val="2"/>
    </font>
    <font>
      <b/>
      <sz val="14"/>
      <color theme="1"/>
      <name val="Arial"/>
      <family val="2"/>
    </font>
    <font>
      <sz val="10"/>
      <color theme="1"/>
      <name val="Arial"/>
      <family val="2"/>
    </font>
    <font>
      <b/>
      <sz val="12"/>
      <color theme="1"/>
      <name val="Arial"/>
      <family val="2"/>
    </font>
    <font>
      <b/>
      <sz val="18"/>
      <color theme="1"/>
      <name val="Arial"/>
      <family val="2"/>
    </font>
    <font>
      <sz val="14"/>
      <color theme="1"/>
      <name val="Arial"/>
      <family val="2"/>
    </font>
    <font>
      <sz val="10"/>
      <color theme="1"/>
      <name val="Arial"/>
      <family val="2"/>
      <scheme val="minor"/>
    </font>
    <font>
      <sz val="9"/>
      <color theme="1"/>
      <name val="Arial"/>
      <family val="2"/>
    </font>
    <font>
      <b/>
      <sz val="9"/>
      <color theme="1"/>
      <name val="Arial"/>
      <family val="2"/>
    </font>
    <font>
      <i/>
      <sz val="9"/>
      <color theme="1"/>
      <name val="Arial"/>
      <family val="2"/>
    </font>
    <font>
      <b/>
      <u/>
      <sz val="10"/>
      <color theme="1"/>
      <name val="Arial"/>
      <family val="2"/>
    </font>
    <font>
      <sz val="7"/>
      <color theme="1"/>
      <name val="Arial"/>
      <family val="2"/>
    </font>
    <font>
      <b/>
      <sz val="7"/>
      <color theme="1"/>
      <name val="Arial"/>
      <family val="2"/>
    </font>
    <font>
      <b/>
      <i/>
      <sz val="10"/>
      <color theme="1"/>
      <name val="Arial"/>
      <family val="2"/>
    </font>
    <font>
      <b/>
      <i/>
      <sz val="9"/>
      <color theme="1"/>
      <name val="Arial"/>
      <family val="2"/>
    </font>
    <font>
      <b/>
      <sz val="9"/>
      <color rgb="FF008080"/>
      <name val="Arial"/>
      <family val="2"/>
    </font>
    <font>
      <b/>
      <sz val="9"/>
      <color rgb="FFDD0806"/>
      <name val="Arial"/>
      <family val="2"/>
    </font>
    <font>
      <sz val="9"/>
      <color rgb="FF008080"/>
      <name val="Arial"/>
      <family val="2"/>
    </font>
    <font>
      <sz val="9"/>
      <color rgb="FFDD0806"/>
      <name val="Arial"/>
      <family val="2"/>
    </font>
    <font>
      <b/>
      <sz val="9"/>
      <color theme="0"/>
      <name val="Arial"/>
      <family val="2"/>
    </font>
    <font>
      <sz val="9"/>
      <color rgb="FF76923C"/>
      <name val="Arial"/>
      <family val="2"/>
    </font>
    <font>
      <i/>
      <sz val="10"/>
      <color theme="1"/>
      <name val="Arial"/>
      <family val="2"/>
    </font>
    <font>
      <i/>
      <sz val="9"/>
      <color rgb="FF008080"/>
      <name val="Arial"/>
      <family val="2"/>
    </font>
    <font>
      <i/>
      <sz val="9"/>
      <color rgb="FF76923C"/>
      <name val="Arial"/>
      <family val="2"/>
    </font>
    <font>
      <b/>
      <sz val="10"/>
      <color rgb="FF008080"/>
      <name val="Arial"/>
      <family val="2"/>
    </font>
    <font>
      <sz val="9"/>
      <color rgb="FFD8D8D8"/>
      <name val="Arial"/>
      <family val="2"/>
    </font>
    <font>
      <b/>
      <sz val="9"/>
      <color rgb="FF76923C"/>
      <name val="Arial"/>
      <family val="2"/>
    </font>
    <font>
      <sz val="9"/>
      <color theme="1"/>
      <name val="Helvetica Neue"/>
      <family val="2"/>
    </font>
    <font>
      <sz val="10"/>
      <color rgb="FF008080"/>
      <name val="Arial"/>
      <family val="2"/>
    </font>
    <font>
      <sz val="10"/>
      <color rgb="FFDD0806"/>
      <name val="Arial"/>
      <family val="2"/>
    </font>
    <font>
      <b/>
      <sz val="10"/>
      <color rgb="FFDD0806"/>
      <name val="Arial"/>
      <family val="2"/>
    </font>
    <font>
      <sz val="8"/>
      <color theme="1"/>
      <name val="Arial"/>
      <family val="2"/>
    </font>
    <font>
      <b/>
      <i/>
      <sz val="8"/>
      <color theme="1"/>
      <name val="Arial"/>
      <family val="2"/>
    </font>
    <font>
      <b/>
      <sz val="8"/>
      <color theme="1"/>
      <name val="Arial"/>
      <family val="2"/>
    </font>
    <font>
      <sz val="10"/>
      <color rgb="FFD8D8D8"/>
      <name val="Arial"/>
      <family val="2"/>
    </font>
    <font>
      <sz val="10"/>
      <color rgb="FFBFBFBF"/>
      <name val="Arial"/>
      <family val="2"/>
    </font>
    <font>
      <sz val="10"/>
      <color theme="0"/>
      <name val="Arial"/>
      <family val="2"/>
    </font>
    <font>
      <sz val="10"/>
      <color rgb="FF000000"/>
      <name val="Arial"/>
      <family val="2"/>
      <scheme val="minor"/>
    </font>
    <font>
      <sz val="9"/>
      <color rgb="FFFF0000"/>
      <name val="Arial"/>
      <family val="2"/>
    </font>
    <font>
      <sz val="9"/>
      <color rgb="FF00B050"/>
      <name val="Arial"/>
      <family val="2"/>
    </font>
    <font>
      <sz val="10"/>
      <color rgb="FF00B050"/>
      <name val="Arial"/>
      <family val="2"/>
    </font>
    <font>
      <sz val="10"/>
      <color rgb="FF000000"/>
      <name val="Arial"/>
      <family val="2"/>
      <scheme val="minor"/>
    </font>
    <font>
      <b/>
      <sz val="12"/>
      <color theme="1"/>
      <name val="Arial"/>
      <family val="2"/>
      <scheme val="minor"/>
    </font>
    <font>
      <sz val="9"/>
      <name val="Arial"/>
      <family val="2"/>
    </font>
    <font>
      <sz val="9"/>
      <color rgb="FF00B050"/>
      <name val="Arial"/>
      <family val="2"/>
      <scheme val="major"/>
    </font>
    <font>
      <sz val="9"/>
      <color rgb="FFFF0000"/>
      <name val="Arial"/>
      <family val="2"/>
      <scheme val="major"/>
    </font>
    <font>
      <b/>
      <sz val="9"/>
      <color rgb="FF00B050"/>
      <name val="Arial"/>
      <family val="2"/>
    </font>
    <font>
      <b/>
      <sz val="9"/>
      <name val="Arial"/>
      <family val="2"/>
    </font>
    <font>
      <b/>
      <sz val="9"/>
      <color rgb="FF00B050"/>
      <name val="Arial"/>
      <family val="2"/>
      <scheme val="major"/>
    </font>
    <font>
      <b/>
      <sz val="10"/>
      <color rgb="FF000000"/>
      <name val="Arial"/>
      <family val="2"/>
      <scheme val="minor"/>
    </font>
    <font>
      <sz val="10"/>
      <color rgb="FFFF0000"/>
      <name val="Arial"/>
      <family val="2"/>
      <scheme val="minor"/>
    </font>
    <font>
      <sz val="10"/>
      <color rgb="FF00B050"/>
      <name val="Arial"/>
      <family val="2"/>
      <scheme val="minor"/>
    </font>
    <font>
      <b/>
      <sz val="9"/>
      <color rgb="FFFF0000"/>
      <name val="Arial"/>
      <family val="2"/>
    </font>
    <font>
      <b/>
      <sz val="10"/>
      <color rgb="FFFF0000"/>
      <name val="Arial"/>
      <family val="2"/>
      <scheme val="minor"/>
    </font>
    <font>
      <b/>
      <sz val="10"/>
      <color rgb="FF00B050"/>
      <name val="Arial"/>
      <family val="2"/>
      <scheme val="minor"/>
    </font>
    <font>
      <b/>
      <sz val="12"/>
      <color rgb="FF00B050"/>
      <name val="Arial"/>
      <family val="2"/>
      <scheme val="minor"/>
    </font>
    <font>
      <b/>
      <sz val="12"/>
      <color rgb="FFFF0000"/>
      <name val="Arial"/>
      <family val="2"/>
      <scheme val="minor"/>
    </font>
    <font>
      <b/>
      <sz val="10"/>
      <color theme="1"/>
      <name val="Arial"/>
      <family val="2"/>
      <scheme val="minor"/>
    </font>
    <font>
      <u/>
      <sz val="10"/>
      <name val="Arial"/>
      <family val="2"/>
    </font>
    <font>
      <u/>
      <sz val="12"/>
      <color theme="1"/>
      <name val="Arial"/>
      <family val="2"/>
    </font>
  </fonts>
  <fills count="24">
    <fill>
      <patternFill patternType="none"/>
    </fill>
    <fill>
      <patternFill patternType="gray125"/>
    </fill>
    <fill>
      <patternFill patternType="solid">
        <fgColor rgb="FFC0C0C0"/>
        <bgColor rgb="FFC0C0C0"/>
      </patternFill>
    </fill>
    <fill>
      <patternFill patternType="solid">
        <fgColor rgb="FFFCF305"/>
        <bgColor rgb="FFFCF305"/>
      </patternFill>
    </fill>
    <fill>
      <patternFill patternType="solid">
        <fgColor rgb="FFBFBFBF"/>
        <bgColor rgb="FFBFBFBF"/>
      </patternFill>
    </fill>
    <fill>
      <patternFill patternType="solid">
        <fgColor rgb="FFA5A5A5"/>
        <bgColor rgb="FFA5A5A5"/>
      </patternFill>
    </fill>
    <fill>
      <patternFill patternType="solid">
        <fgColor rgb="FFDAEEF3"/>
        <bgColor rgb="FFDAEEF3"/>
      </patternFill>
    </fill>
    <fill>
      <patternFill patternType="solid">
        <fgColor rgb="FFD8D8D8"/>
        <bgColor rgb="FFD8D8D8"/>
      </patternFill>
    </fill>
    <fill>
      <patternFill patternType="solid">
        <fgColor rgb="FFFDE9D9"/>
        <bgColor rgb="FFFDE9D9"/>
      </patternFill>
    </fill>
    <fill>
      <patternFill patternType="solid">
        <fgColor rgb="FFDBE5F1"/>
        <bgColor rgb="FFDBE5F1"/>
      </patternFill>
    </fill>
    <fill>
      <patternFill patternType="solid">
        <fgColor rgb="FFE5DFEC"/>
        <bgColor rgb="FFE5DFEC"/>
      </patternFill>
    </fill>
    <fill>
      <patternFill patternType="solid">
        <fgColor rgb="FFF2F2F2"/>
        <bgColor rgb="FFF2F2F2"/>
      </patternFill>
    </fill>
    <fill>
      <patternFill patternType="solid">
        <fgColor rgb="FFEEECE1"/>
        <bgColor rgb="FFEEECE1"/>
      </patternFill>
    </fill>
    <fill>
      <patternFill patternType="solid">
        <fgColor rgb="FFC6D9F0"/>
        <bgColor rgb="FFC6D9F0"/>
      </patternFill>
    </fill>
    <fill>
      <patternFill patternType="solid">
        <fgColor rgb="FFDDD9C3"/>
        <bgColor rgb="FFDDD9C3"/>
      </patternFill>
    </fill>
    <fill>
      <patternFill patternType="solid">
        <fgColor rgb="FFEAF1DD"/>
        <bgColor rgb="FFEAF1DD"/>
      </patternFill>
    </fill>
    <fill>
      <patternFill patternType="solid">
        <fgColor rgb="FFB6DDE8"/>
        <bgColor rgb="FFB6DDE8"/>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0" tint="-0.14999847407452621"/>
        <bgColor rgb="FFA5A5A5"/>
      </patternFill>
    </fill>
    <fill>
      <patternFill patternType="solid">
        <fgColor theme="1"/>
        <bgColor indexed="64"/>
      </patternFill>
    </fill>
    <fill>
      <patternFill patternType="solid">
        <fgColor theme="5" tint="0.79998168889431442"/>
        <bgColor indexed="64"/>
      </patternFill>
    </fill>
  </fills>
  <borders count="81">
    <border>
      <left/>
      <right/>
      <top/>
      <bottom/>
      <diagonal/>
    </border>
    <border>
      <left/>
      <right/>
      <top/>
      <bottom/>
      <diagonal/>
    </border>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top/>
      <bottom/>
      <diagonal/>
    </border>
    <border>
      <left/>
      <right/>
      <top/>
      <bottom/>
      <diagonal/>
    </border>
    <border>
      <left/>
      <right style="thin">
        <color rgb="FF000000"/>
      </right>
      <top/>
      <bottom/>
      <diagonal/>
    </border>
    <border>
      <left/>
      <right/>
      <top style="thin">
        <color rgb="FF000000"/>
      </top>
      <bottom style="thin">
        <color rgb="FF000000"/>
      </bottom>
      <diagonal/>
    </border>
    <border>
      <left style="thin">
        <color rgb="FF000000"/>
      </left>
      <right style="thin">
        <color indexed="64"/>
      </right>
      <top/>
      <bottom/>
      <diagonal/>
    </border>
    <border>
      <left/>
      <right style="thin">
        <color indexed="64"/>
      </right>
      <top/>
      <bottom/>
      <diagonal/>
    </border>
    <border>
      <left style="thin">
        <color rgb="FF000000"/>
      </left>
      <right style="thin">
        <color rgb="FF000000"/>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top/>
      <bottom style="thin">
        <color indexed="64"/>
      </bottom>
      <diagonal/>
    </border>
    <border>
      <left/>
      <right style="thin">
        <color rgb="FF000000"/>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top/>
      <bottom style="thin">
        <color indexed="64"/>
      </bottom>
      <diagonal/>
    </border>
    <border>
      <left style="thin">
        <color rgb="FF000000"/>
      </left>
      <right style="thin">
        <color indexed="64"/>
      </right>
      <top/>
      <bottom style="thin">
        <color indexed="64"/>
      </bottom>
      <diagonal/>
    </border>
    <border>
      <left/>
      <right style="thin">
        <color rgb="FF000000"/>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rgb="FF000000"/>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rgb="FF000000"/>
      </right>
      <top/>
      <bottom style="thin">
        <color indexed="64"/>
      </bottom>
      <diagonal/>
    </border>
  </borders>
  <cellStyleXfs count="2">
    <xf numFmtId="0" fontId="0" fillId="0" borderId="0"/>
    <xf numFmtId="9" fontId="45" fillId="0" borderId="0" applyFont="0" applyFill="0" applyBorder="0" applyAlignment="0" applyProtection="0"/>
  </cellStyleXfs>
  <cellXfs count="976">
    <xf numFmtId="0" fontId="0" fillId="0" borderId="0" xfId="0"/>
    <xf numFmtId="0" fontId="1" fillId="0" borderId="0" xfId="0" applyFont="1"/>
    <xf numFmtId="0" fontId="4" fillId="0" borderId="0" xfId="0" applyFont="1"/>
    <xf numFmtId="0" fontId="4" fillId="0" borderId="0" xfId="0" applyFont="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5" fillId="0" borderId="7" xfId="0" applyFont="1" applyBorder="1" applyAlignment="1">
      <alignment horizontal="center"/>
    </xf>
    <xf numFmtId="0" fontId="5" fillId="0" borderId="0" xfId="0" applyFont="1" applyAlignment="1">
      <alignment horizontal="center"/>
    </xf>
    <xf numFmtId="0" fontId="5" fillId="0" borderId="8" xfId="0" applyFont="1" applyBorder="1" applyAlignment="1">
      <alignment horizontal="center"/>
    </xf>
    <xf numFmtId="1" fontId="4" fillId="0" borderId="7" xfId="0" applyNumberFormat="1" applyFont="1" applyBorder="1" applyAlignment="1">
      <alignment horizontal="right"/>
    </xf>
    <xf numFmtId="166" fontId="4" fillId="0" borderId="0" xfId="0" applyNumberFormat="1" applyFont="1"/>
    <xf numFmtId="3" fontId="4" fillId="0" borderId="0" xfId="0" applyNumberFormat="1" applyFont="1"/>
    <xf numFmtId="2" fontId="4" fillId="0" borderId="8" xfId="0" applyNumberFormat="1" applyFont="1" applyBorder="1"/>
    <xf numFmtId="1" fontId="4" fillId="0" borderId="7" xfId="0" applyNumberFormat="1" applyFont="1" applyBorder="1"/>
    <xf numFmtId="0" fontId="6" fillId="0" borderId="0" xfId="0" applyFont="1"/>
    <xf numFmtId="1" fontId="4" fillId="0" borderId="9" xfId="0" applyNumberFormat="1" applyFont="1" applyBorder="1" applyAlignment="1">
      <alignment horizontal="right"/>
    </xf>
    <xf numFmtId="2" fontId="4" fillId="0" borderId="11" xfId="0" applyNumberFormat="1" applyFont="1" applyBorder="1" applyAlignment="1">
      <alignment horizontal="right"/>
    </xf>
    <xf numFmtId="166" fontId="4" fillId="0" borderId="10" xfId="0" applyNumberFormat="1" applyFont="1" applyBorder="1"/>
    <xf numFmtId="3" fontId="4" fillId="0" borderId="10" xfId="0" applyNumberFormat="1" applyFont="1" applyBorder="1"/>
    <xf numFmtId="2" fontId="4" fillId="0" borderId="11" xfId="0" applyNumberFormat="1" applyFont="1" applyBorder="1"/>
    <xf numFmtId="1" fontId="4" fillId="0" borderId="9" xfId="0" applyNumberFormat="1" applyFont="1" applyBorder="1"/>
    <xf numFmtId="3" fontId="4" fillId="0" borderId="7" xfId="0" applyNumberFormat="1" applyFont="1" applyBorder="1"/>
    <xf numFmtId="1" fontId="4" fillId="0" borderId="8" xfId="0" applyNumberFormat="1" applyFont="1" applyBorder="1"/>
    <xf numFmtId="1" fontId="4" fillId="0" borderId="0" xfId="0" applyNumberFormat="1" applyFont="1"/>
    <xf numFmtId="16" fontId="5" fillId="0" borderId="0" xfId="0" applyNumberFormat="1" applyFont="1"/>
    <xf numFmtId="3" fontId="4" fillId="0" borderId="9" xfId="0" applyNumberFormat="1" applyFont="1" applyBorder="1"/>
    <xf numFmtId="1" fontId="4" fillId="0" borderId="11" xfId="0" applyNumberFormat="1" applyFont="1" applyBorder="1"/>
    <xf numFmtId="0" fontId="6" fillId="0" borderId="4" xfId="0" applyFont="1" applyBorder="1"/>
    <xf numFmtId="0" fontId="6" fillId="0" borderId="6" xfId="0" applyFont="1" applyBorder="1"/>
    <xf numFmtId="0" fontId="6" fillId="0" borderId="7" xfId="0" applyFont="1" applyBorder="1"/>
    <xf numFmtId="165" fontId="4" fillId="0" borderId="7" xfId="0" applyNumberFormat="1" applyFont="1" applyBorder="1"/>
    <xf numFmtId="2" fontId="4" fillId="0" borderId="0" xfId="0" applyNumberFormat="1" applyFont="1"/>
    <xf numFmtId="165" fontId="4" fillId="0" borderId="9" xfId="0" applyNumberFormat="1" applyFont="1" applyBorder="1"/>
    <xf numFmtId="2" fontId="4" fillId="0" borderId="10" xfId="0" applyNumberFormat="1" applyFont="1" applyBorder="1"/>
    <xf numFmtId="0" fontId="2" fillId="0" borderId="0" xfId="0" applyFont="1"/>
    <xf numFmtId="16" fontId="2" fillId="0" borderId="7" xfId="0" applyNumberFormat="1" applyFont="1" applyBorder="1"/>
    <xf numFmtId="167" fontId="4" fillId="0" borderId="0" xfId="0" applyNumberFormat="1" applyFont="1" applyAlignment="1">
      <alignment horizontal="center"/>
    </xf>
    <xf numFmtId="16" fontId="2" fillId="0" borderId="9" xfId="0" applyNumberFormat="1" applyFont="1" applyBorder="1"/>
    <xf numFmtId="167" fontId="4" fillId="0" borderId="10" xfId="0" applyNumberFormat="1" applyFont="1" applyBorder="1" applyAlignment="1">
      <alignment horizontal="center"/>
    </xf>
    <xf numFmtId="1" fontId="4" fillId="0" borderId="10" xfId="0" applyNumberFormat="1" applyFont="1" applyBorder="1" applyAlignment="1">
      <alignment horizontal="right"/>
    </xf>
    <xf numFmtId="3" fontId="4" fillId="0" borderId="8" xfId="0" applyNumberFormat="1" applyFont="1" applyBorder="1" applyAlignment="1">
      <alignment horizontal="center"/>
    </xf>
    <xf numFmtId="1" fontId="4" fillId="0" borderId="8" xfId="0" applyNumberFormat="1" applyFont="1" applyBorder="1" applyAlignment="1">
      <alignment horizontal="center"/>
    </xf>
    <xf numFmtId="3" fontId="4" fillId="0" borderId="11" xfId="0" applyNumberFormat="1" applyFont="1" applyBorder="1" applyAlignment="1">
      <alignment horizontal="center"/>
    </xf>
    <xf numFmtId="1" fontId="4" fillId="0" borderId="11" xfId="0" applyNumberFormat="1" applyFont="1" applyBorder="1" applyAlignment="1">
      <alignment horizontal="center"/>
    </xf>
    <xf numFmtId="0" fontId="2" fillId="0" borderId="6" xfId="0" applyFont="1" applyBorder="1" applyAlignment="1">
      <alignment horizontal="center"/>
    </xf>
    <xf numFmtId="0" fontId="5" fillId="0" borderId="10" xfId="0" applyFont="1" applyBorder="1"/>
    <xf numFmtId="0" fontId="9" fillId="0" borderId="0" xfId="0" applyFont="1"/>
    <xf numFmtId="16" fontId="2" fillId="0" borderId="0" xfId="0" applyNumberFormat="1" applyFont="1"/>
    <xf numFmtId="0" fontId="1" fillId="0" borderId="12" xfId="0" applyFont="1" applyBorder="1" applyAlignment="1">
      <alignment horizontal="center"/>
    </xf>
    <xf numFmtId="0" fontId="1" fillId="0" borderId="0" xfId="0" applyFont="1" applyAlignment="1">
      <alignment horizontal="center"/>
    </xf>
    <xf numFmtId="16" fontId="6" fillId="0" borderId="0" xfId="0" applyNumberFormat="1" applyFont="1"/>
    <xf numFmtId="0" fontId="6" fillId="0" borderId="0" xfId="0" applyFont="1" applyAlignment="1">
      <alignment horizontal="center"/>
    </xf>
    <xf numFmtId="16" fontId="6" fillId="3" borderId="13" xfId="0" applyNumberFormat="1" applyFont="1" applyFill="1" applyBorder="1"/>
    <xf numFmtId="0" fontId="6" fillId="3" borderId="13" xfId="0" applyFont="1" applyFill="1" applyBorder="1" applyAlignment="1">
      <alignment horizontal="center"/>
    </xf>
    <xf numFmtId="0" fontId="6" fillId="3" borderId="13" xfId="0" applyFont="1" applyFill="1" applyBorder="1"/>
    <xf numFmtId="0" fontId="1" fillId="0" borderId="14" xfId="0" applyFont="1" applyBorder="1" applyAlignment="1">
      <alignment horizontal="center"/>
    </xf>
    <xf numFmtId="0" fontId="6" fillId="0" borderId="15" xfId="0" applyFont="1" applyBorder="1" applyAlignment="1">
      <alignment horizontal="center"/>
    </xf>
    <xf numFmtId="0" fontId="10" fillId="0" borderId="0" xfId="0" applyFont="1"/>
    <xf numFmtId="0" fontId="6" fillId="0" borderId="16" xfId="0" applyFont="1" applyBorder="1" applyAlignment="1">
      <alignment horizontal="center"/>
    </xf>
    <xf numFmtId="0" fontId="11" fillId="0" borderId="0" xfId="0" applyFont="1" applyAlignment="1">
      <alignment horizontal="center"/>
    </xf>
    <xf numFmtId="0" fontId="12" fillId="0" borderId="17" xfId="0" applyFont="1" applyBorder="1" applyAlignment="1">
      <alignment horizontal="center"/>
    </xf>
    <xf numFmtId="0" fontId="12" fillId="0" borderId="18" xfId="0" applyFont="1" applyBorder="1" applyAlignment="1">
      <alignment horizontal="center"/>
    </xf>
    <xf numFmtId="0" fontId="12" fillId="0" borderId="19" xfId="0" applyFont="1" applyBorder="1" applyAlignment="1">
      <alignment horizontal="center"/>
    </xf>
    <xf numFmtId="0" fontId="11" fillId="0" borderId="20" xfId="0" applyFont="1" applyBorder="1" applyAlignment="1">
      <alignment horizontal="center"/>
    </xf>
    <xf numFmtId="0" fontId="11" fillId="0" borderId="21" xfId="0" applyFont="1" applyBorder="1" applyAlignment="1">
      <alignment horizontal="center"/>
    </xf>
    <xf numFmtId="0" fontId="12" fillId="0" borderId="21" xfId="0" applyFont="1" applyBorder="1" applyAlignment="1">
      <alignment horizontal="center" wrapText="1"/>
    </xf>
    <xf numFmtId="0" fontId="12" fillId="0" borderId="22" xfId="0" applyFont="1" applyBorder="1" applyAlignment="1">
      <alignment horizontal="center" wrapText="1"/>
    </xf>
    <xf numFmtId="0" fontId="12" fillId="0" borderId="22" xfId="0" applyFont="1" applyBorder="1" applyAlignment="1">
      <alignment horizontal="center"/>
    </xf>
    <xf numFmtId="16" fontId="6" fillId="0" borderId="15" xfId="0" applyNumberFormat="1" applyFont="1" applyBorder="1"/>
    <xf numFmtId="167" fontId="6" fillId="0" borderId="21" xfId="0" applyNumberFormat="1" applyFont="1" applyBorder="1" applyAlignment="1">
      <alignment horizontal="center"/>
    </xf>
    <xf numFmtId="3" fontId="6" fillId="0" borderId="0" xfId="0" applyNumberFormat="1" applyFont="1"/>
    <xf numFmtId="166" fontId="6" fillId="0" borderId="0" xfId="0" applyNumberFormat="1" applyFont="1" applyAlignment="1">
      <alignment horizontal="center"/>
    </xf>
    <xf numFmtId="3" fontId="6" fillId="0" borderId="22" xfId="0" applyNumberFormat="1" applyFont="1" applyBorder="1" applyAlignment="1">
      <alignment horizontal="center"/>
    </xf>
    <xf numFmtId="3" fontId="11" fillId="0" borderId="21" xfId="0" applyNumberFormat="1" applyFont="1" applyBorder="1" applyAlignment="1">
      <alignment horizontal="center"/>
    </xf>
    <xf numFmtId="3" fontId="11" fillId="0" borderId="22" xfId="0" applyNumberFormat="1" applyFont="1" applyBorder="1" applyAlignment="1">
      <alignment horizontal="center"/>
    </xf>
    <xf numFmtId="3" fontId="11" fillId="0" borderId="0" xfId="0" applyNumberFormat="1" applyFont="1" applyAlignment="1">
      <alignment horizontal="center"/>
    </xf>
    <xf numFmtId="16" fontId="6" fillId="0" borderId="16" xfId="0" applyNumberFormat="1" applyFont="1" applyBorder="1"/>
    <xf numFmtId="167" fontId="6" fillId="0" borderId="23" xfId="0" applyNumberFormat="1" applyFont="1" applyBorder="1" applyAlignment="1">
      <alignment horizontal="center"/>
    </xf>
    <xf numFmtId="3" fontId="6" fillId="0" borderId="24" xfId="0" applyNumberFormat="1" applyFont="1" applyBorder="1"/>
    <xf numFmtId="166" fontId="6" fillId="0" borderId="24" xfId="0" applyNumberFormat="1" applyFont="1" applyBorder="1" applyAlignment="1">
      <alignment horizontal="center"/>
    </xf>
    <xf numFmtId="3" fontId="6" fillId="0" borderId="25" xfId="0" applyNumberFormat="1" applyFont="1" applyBorder="1" applyAlignment="1">
      <alignment horizontal="center"/>
    </xf>
    <xf numFmtId="3" fontId="11" fillId="0" borderId="23" xfId="0" applyNumberFormat="1" applyFont="1" applyBorder="1" applyAlignment="1">
      <alignment horizontal="center"/>
    </xf>
    <xf numFmtId="3" fontId="11" fillId="0" borderId="25" xfId="0" applyNumberFormat="1" applyFont="1" applyBorder="1" applyAlignment="1">
      <alignment horizontal="center"/>
    </xf>
    <xf numFmtId="0" fontId="12" fillId="0" borderId="21" xfId="0" applyFont="1" applyBorder="1" applyAlignment="1">
      <alignment horizontal="center"/>
    </xf>
    <xf numFmtId="0" fontId="12" fillId="0" borderId="0" xfId="0" applyFont="1" applyAlignment="1">
      <alignment horizontal="center"/>
    </xf>
    <xf numFmtId="0" fontId="12" fillId="0" borderId="15" xfId="0" applyFont="1" applyBorder="1" applyAlignment="1">
      <alignment horizontal="center"/>
    </xf>
    <xf numFmtId="3" fontId="6" fillId="0" borderId="21" xfId="0" applyNumberFormat="1" applyFont="1" applyBorder="1" applyAlignment="1">
      <alignment horizontal="center"/>
    </xf>
    <xf numFmtId="166" fontId="6" fillId="0" borderId="0" xfId="0" applyNumberFormat="1" applyFont="1"/>
    <xf numFmtId="3" fontId="11" fillId="0" borderId="15" xfId="0" applyNumberFormat="1" applyFont="1" applyBorder="1" applyAlignment="1">
      <alignment horizontal="center"/>
    </xf>
    <xf numFmtId="3" fontId="6" fillId="0" borderId="23" xfId="0" applyNumberFormat="1" applyFont="1" applyBorder="1" applyAlignment="1">
      <alignment horizontal="center"/>
    </xf>
    <xf numFmtId="166" fontId="6" fillId="0" borderId="24" xfId="0" applyNumberFormat="1" applyFont="1" applyBorder="1"/>
    <xf numFmtId="3" fontId="11" fillId="0" borderId="16" xfId="0" applyNumberFormat="1" applyFont="1" applyBorder="1" applyAlignment="1">
      <alignment horizontal="center"/>
    </xf>
    <xf numFmtId="0" fontId="12" fillId="0" borderId="20" xfId="0" applyFont="1" applyBorder="1" applyAlignment="1">
      <alignment horizontal="center"/>
    </xf>
    <xf numFmtId="0" fontId="12" fillId="0" borderId="0" xfId="0" applyFont="1" applyAlignment="1">
      <alignment horizontal="left"/>
    </xf>
    <xf numFmtId="0" fontId="11" fillId="0" borderId="15" xfId="0" applyFont="1" applyBorder="1" applyAlignment="1">
      <alignment horizontal="center"/>
    </xf>
    <xf numFmtId="0" fontId="12" fillId="0" borderId="15" xfId="0" applyFont="1" applyBorder="1" applyAlignment="1">
      <alignment horizontal="center" wrapText="1"/>
    </xf>
    <xf numFmtId="0" fontId="12" fillId="0" borderId="0" xfId="0" applyFont="1" applyAlignment="1">
      <alignment horizontal="center" wrapText="1"/>
    </xf>
    <xf numFmtId="3" fontId="6" fillId="0" borderId="22" xfId="0" applyNumberFormat="1" applyFont="1" applyBorder="1"/>
    <xf numFmtId="3" fontId="6" fillId="0" borderId="25" xfId="0" applyNumberFormat="1" applyFont="1" applyBorder="1"/>
    <xf numFmtId="0" fontId="14" fillId="0" borderId="0" xfId="0" applyFont="1"/>
    <xf numFmtId="0" fontId="15" fillId="0" borderId="0" xfId="0" applyFont="1"/>
    <xf numFmtId="0" fontId="12" fillId="0" borderId="23" xfId="0" applyFont="1" applyBorder="1" applyAlignment="1">
      <alignment horizontal="center" wrapText="1"/>
    </xf>
    <xf numFmtId="0" fontId="12" fillId="0" borderId="23" xfId="0" applyFont="1" applyBorder="1" applyAlignment="1">
      <alignment horizontal="center"/>
    </xf>
    <xf numFmtId="0" fontId="12" fillId="0" borderId="16" xfId="0" applyFont="1" applyBorder="1" applyAlignment="1">
      <alignment horizontal="center"/>
    </xf>
    <xf numFmtId="0" fontId="12" fillId="0" borderId="16" xfId="0" applyFont="1" applyBorder="1" applyAlignment="1">
      <alignment horizontal="center" wrapText="1"/>
    </xf>
    <xf numFmtId="0" fontId="16" fillId="3" borderId="12" xfId="0" applyFont="1" applyFill="1" applyBorder="1" applyAlignment="1">
      <alignment horizontal="center" wrapText="1"/>
    </xf>
    <xf numFmtId="0" fontId="16" fillId="3" borderId="32" xfId="0" applyFont="1" applyFill="1" applyBorder="1" applyAlignment="1">
      <alignment horizontal="center" wrapText="1"/>
    </xf>
    <xf numFmtId="0" fontId="12" fillId="6" borderId="12" xfId="0" applyFont="1" applyFill="1" applyBorder="1" applyAlignment="1">
      <alignment horizontal="center" wrapText="1"/>
    </xf>
    <xf numFmtId="0" fontId="12" fillId="6" borderId="33" xfId="0" applyFont="1" applyFill="1" applyBorder="1" applyAlignment="1">
      <alignment horizontal="center" wrapText="1"/>
    </xf>
    <xf numFmtId="0" fontId="12" fillId="0" borderId="12" xfId="0" applyFont="1" applyBorder="1" applyAlignment="1">
      <alignment horizontal="center" wrapText="1"/>
    </xf>
    <xf numFmtId="0" fontId="12" fillId="0" borderId="12" xfId="0" applyFont="1" applyBorder="1" applyAlignment="1">
      <alignment horizontal="center"/>
    </xf>
    <xf numFmtId="3" fontId="11" fillId="7" borderId="34" xfId="0" applyNumberFormat="1" applyFont="1" applyFill="1" applyBorder="1" applyAlignment="1">
      <alignment horizontal="center"/>
    </xf>
    <xf numFmtId="3" fontId="11" fillId="7" borderId="35" xfId="0" applyNumberFormat="1" applyFont="1" applyFill="1" applyBorder="1" applyAlignment="1">
      <alignment horizontal="center"/>
    </xf>
    <xf numFmtId="9" fontId="11" fillId="7" borderId="36" xfId="0" applyNumberFormat="1" applyFont="1" applyFill="1" applyBorder="1" applyAlignment="1">
      <alignment horizontal="center"/>
    </xf>
    <xf numFmtId="164" fontId="11" fillId="7" borderId="36" xfId="0" applyNumberFormat="1" applyFont="1" applyFill="1" applyBorder="1" applyAlignment="1">
      <alignment horizontal="center"/>
    </xf>
    <xf numFmtId="3" fontId="11" fillId="7" borderId="36" xfId="0" applyNumberFormat="1" applyFont="1" applyFill="1" applyBorder="1" applyAlignment="1">
      <alignment horizontal="center"/>
    </xf>
    <xf numFmtId="3" fontId="11" fillId="3" borderId="34" xfId="0" applyNumberFormat="1" applyFont="1" applyFill="1" applyBorder="1" applyAlignment="1">
      <alignment horizontal="center"/>
    </xf>
    <xf numFmtId="0" fontId="15" fillId="3" borderId="13" xfId="0" applyFont="1" applyFill="1" applyBorder="1"/>
    <xf numFmtId="0" fontId="15" fillId="6" borderId="35" xfId="0" applyFont="1" applyFill="1" applyBorder="1"/>
    <xf numFmtId="0" fontId="15" fillId="6" borderId="36" xfId="0" applyFont="1" applyFill="1" applyBorder="1"/>
    <xf numFmtId="0" fontId="11" fillId="0" borderId="0" xfId="0" applyFont="1"/>
    <xf numFmtId="0" fontId="6" fillId="6" borderId="35" xfId="0" applyFont="1" applyFill="1" applyBorder="1"/>
    <xf numFmtId="0" fontId="6" fillId="6" borderId="36" xfId="0" applyFont="1" applyFill="1" applyBorder="1"/>
    <xf numFmtId="0" fontId="6" fillId="3" borderId="34" xfId="0" applyFont="1" applyFill="1" applyBorder="1"/>
    <xf numFmtId="3" fontId="11" fillId="7" borderId="13" xfId="0" applyNumberFormat="1" applyFont="1" applyFill="1" applyBorder="1" applyAlignment="1">
      <alignment horizontal="center"/>
    </xf>
    <xf numFmtId="0" fontId="17" fillId="8" borderId="12" xfId="0" applyFont="1" applyFill="1" applyBorder="1"/>
    <xf numFmtId="3" fontId="18" fillId="8" borderId="12" xfId="0" applyNumberFormat="1" applyFont="1" applyFill="1" applyBorder="1" applyAlignment="1">
      <alignment horizontal="center"/>
    </xf>
    <xf numFmtId="9" fontId="18" fillId="8" borderId="12" xfId="0" applyNumberFormat="1" applyFont="1" applyFill="1" applyBorder="1" applyAlignment="1">
      <alignment horizontal="center"/>
    </xf>
    <xf numFmtId="164" fontId="12" fillId="8" borderId="12" xfId="0" applyNumberFormat="1" applyFont="1" applyFill="1" applyBorder="1" applyAlignment="1">
      <alignment horizontal="center"/>
    </xf>
    <xf numFmtId="3" fontId="12" fillId="8" borderId="12" xfId="0" applyNumberFormat="1" applyFont="1" applyFill="1" applyBorder="1" applyAlignment="1">
      <alignment horizontal="center"/>
    </xf>
    <xf numFmtId="3" fontId="12" fillId="8" borderId="12" xfId="0" applyNumberFormat="1" applyFont="1" applyFill="1" applyBorder="1"/>
    <xf numFmtId="9" fontId="12" fillId="8" borderId="12" xfId="0" applyNumberFormat="1" applyFont="1" applyFill="1" applyBorder="1" applyAlignment="1">
      <alignment horizontal="center"/>
    </xf>
    <xf numFmtId="0" fontId="1" fillId="3" borderId="34" xfId="0" applyFont="1" applyFill="1" applyBorder="1"/>
    <xf numFmtId="0" fontId="1" fillId="3" borderId="13" xfId="0" applyFont="1" applyFill="1" applyBorder="1"/>
    <xf numFmtId="0" fontId="1" fillId="6" borderId="35" xfId="0" applyFont="1" applyFill="1" applyBorder="1"/>
    <xf numFmtId="0" fontId="1" fillId="6" borderId="36" xfId="0" applyFont="1" applyFill="1" applyBorder="1"/>
    <xf numFmtId="0" fontId="12" fillId="0" borderId="0" xfId="0" applyFont="1"/>
    <xf numFmtId="0" fontId="6" fillId="9" borderId="13" xfId="0" applyFont="1" applyFill="1" applyBorder="1"/>
    <xf numFmtId="3" fontId="11" fillId="9" borderId="34" xfId="0" applyNumberFormat="1" applyFont="1" applyFill="1" applyBorder="1" applyAlignment="1">
      <alignment horizontal="center"/>
    </xf>
    <xf numFmtId="3" fontId="11" fillId="9" borderId="35" xfId="0" applyNumberFormat="1" applyFont="1" applyFill="1" applyBorder="1" applyAlignment="1">
      <alignment horizontal="center"/>
    </xf>
    <xf numFmtId="9" fontId="11" fillId="9" borderId="36" xfId="0" applyNumberFormat="1" applyFont="1" applyFill="1" applyBorder="1" applyAlignment="1">
      <alignment horizontal="center"/>
    </xf>
    <xf numFmtId="164" fontId="11" fillId="9" borderId="36" xfId="0" applyNumberFormat="1" applyFont="1" applyFill="1" applyBorder="1" applyAlignment="1">
      <alignment horizontal="center"/>
    </xf>
    <xf numFmtId="3" fontId="11" fillId="9" borderId="13" xfId="0" applyNumberFormat="1" applyFont="1" applyFill="1" applyBorder="1" applyAlignment="1">
      <alignment horizontal="center"/>
    </xf>
    <xf numFmtId="3" fontId="19" fillId="9" borderId="13" xfId="0" applyNumberFormat="1" applyFont="1" applyFill="1" applyBorder="1" applyAlignment="1">
      <alignment horizontal="center"/>
    </xf>
    <xf numFmtId="3" fontId="19" fillId="9" borderId="34" xfId="0" applyNumberFormat="1" applyFont="1" applyFill="1" applyBorder="1" applyAlignment="1">
      <alignment horizontal="center"/>
    </xf>
    <xf numFmtId="3" fontId="20" fillId="9" borderId="34" xfId="0" applyNumberFormat="1" applyFont="1" applyFill="1" applyBorder="1" applyAlignment="1">
      <alignment horizontal="center"/>
    </xf>
    <xf numFmtId="3" fontId="20" fillId="9" borderId="13" xfId="0" applyNumberFormat="1" applyFont="1" applyFill="1" applyBorder="1" applyAlignment="1">
      <alignment horizontal="center"/>
    </xf>
    <xf numFmtId="0" fontId="6" fillId="6" borderId="13" xfId="0" applyFont="1" applyFill="1" applyBorder="1"/>
    <xf numFmtId="3" fontId="11" fillId="6" borderId="34" xfId="0" applyNumberFormat="1" applyFont="1" applyFill="1" applyBorder="1" applyAlignment="1">
      <alignment horizontal="center"/>
    </xf>
    <xf numFmtId="3" fontId="11" fillId="6" borderId="35" xfId="0" applyNumberFormat="1" applyFont="1" applyFill="1" applyBorder="1" applyAlignment="1">
      <alignment horizontal="center"/>
    </xf>
    <xf numFmtId="9" fontId="11" fillId="6" borderId="36" xfId="0" applyNumberFormat="1" applyFont="1" applyFill="1" applyBorder="1" applyAlignment="1">
      <alignment horizontal="center"/>
    </xf>
    <xf numFmtId="164" fontId="11" fillId="6" borderId="36" xfId="0" applyNumberFormat="1" applyFont="1" applyFill="1" applyBorder="1" applyAlignment="1">
      <alignment horizontal="center"/>
    </xf>
    <xf numFmtId="3" fontId="11" fillId="6" borderId="13" xfId="0" applyNumberFormat="1" applyFont="1" applyFill="1" applyBorder="1" applyAlignment="1">
      <alignment horizontal="center"/>
    </xf>
    <xf numFmtId="3" fontId="19" fillId="6" borderId="34" xfId="0" applyNumberFormat="1" applyFont="1" applyFill="1" applyBorder="1" applyAlignment="1">
      <alignment horizontal="center"/>
    </xf>
    <xf numFmtId="3" fontId="21" fillId="6" borderId="13" xfId="0" applyNumberFormat="1" applyFont="1" applyFill="1" applyBorder="1" applyAlignment="1">
      <alignment horizontal="center"/>
    </xf>
    <xf numFmtId="9" fontId="11" fillId="0" borderId="22" xfId="0" applyNumberFormat="1" applyFont="1" applyBorder="1" applyAlignment="1">
      <alignment horizontal="center"/>
    </xf>
    <xf numFmtId="164" fontId="11" fillId="0" borderId="22" xfId="0" applyNumberFormat="1" applyFont="1" applyBorder="1" applyAlignment="1">
      <alignment horizontal="center"/>
    </xf>
    <xf numFmtId="3" fontId="19" fillId="0" borderId="15" xfId="0" applyNumberFormat="1" applyFont="1" applyBorder="1" applyAlignment="1">
      <alignment horizontal="center"/>
    </xf>
    <xf numFmtId="3" fontId="22" fillId="0" borderId="0" xfId="0" applyNumberFormat="1" applyFont="1" applyAlignment="1">
      <alignment horizontal="center"/>
    </xf>
    <xf numFmtId="0" fontId="6" fillId="10" borderId="13" xfId="0" applyFont="1" applyFill="1" applyBorder="1"/>
    <xf numFmtId="3" fontId="11" fillId="10" borderId="34" xfId="0" applyNumberFormat="1" applyFont="1" applyFill="1" applyBorder="1" applyAlignment="1">
      <alignment horizontal="center"/>
    </xf>
    <xf numFmtId="3" fontId="11" fillId="10" borderId="35" xfId="0" applyNumberFormat="1" applyFont="1" applyFill="1" applyBorder="1" applyAlignment="1">
      <alignment horizontal="center"/>
    </xf>
    <xf numFmtId="9" fontId="11" fillId="10" borderId="36" xfId="0" applyNumberFormat="1" applyFont="1" applyFill="1" applyBorder="1" applyAlignment="1">
      <alignment horizontal="center"/>
    </xf>
    <xf numFmtId="164" fontId="11" fillId="10" borderId="36" xfId="0" applyNumberFormat="1" applyFont="1" applyFill="1" applyBorder="1" applyAlignment="1">
      <alignment horizontal="center"/>
    </xf>
    <xf numFmtId="3" fontId="11" fillId="10" borderId="13" xfId="0" applyNumberFormat="1" applyFont="1" applyFill="1" applyBorder="1" applyAlignment="1">
      <alignment horizontal="center"/>
    </xf>
    <xf numFmtId="3" fontId="19" fillId="10" borderId="34" xfId="0" applyNumberFormat="1" applyFont="1" applyFill="1" applyBorder="1" applyAlignment="1">
      <alignment horizontal="center"/>
    </xf>
    <xf numFmtId="3" fontId="21" fillId="10" borderId="13" xfId="0" applyNumberFormat="1" applyFont="1" applyFill="1" applyBorder="1" applyAlignment="1">
      <alignment horizontal="center"/>
    </xf>
    <xf numFmtId="3" fontId="23" fillId="6" borderId="34" xfId="0" applyNumberFormat="1" applyFont="1" applyFill="1" applyBorder="1" applyAlignment="1">
      <alignment horizontal="center"/>
    </xf>
    <xf numFmtId="3" fontId="22" fillId="6" borderId="13" xfId="0" applyNumberFormat="1" applyFont="1" applyFill="1" applyBorder="1" applyAlignment="1">
      <alignment horizontal="center"/>
    </xf>
    <xf numFmtId="3" fontId="22" fillId="0" borderId="21" xfId="0" applyNumberFormat="1" applyFont="1" applyBorder="1" applyAlignment="1">
      <alignment horizontal="center"/>
    </xf>
    <xf numFmtId="3" fontId="22" fillId="0" borderId="15" xfId="0" applyNumberFormat="1" applyFont="1" applyBorder="1" applyAlignment="1">
      <alignment horizontal="center"/>
    </xf>
    <xf numFmtId="3" fontId="22" fillId="6" borderId="35" xfId="0" applyNumberFormat="1" applyFont="1" applyFill="1" applyBorder="1" applyAlignment="1">
      <alignment horizontal="center"/>
    </xf>
    <xf numFmtId="3" fontId="22" fillId="6" borderId="34" xfId="0" applyNumberFormat="1" applyFont="1" applyFill="1" applyBorder="1" applyAlignment="1">
      <alignment horizontal="center"/>
    </xf>
    <xf numFmtId="0" fontId="6" fillId="11" borderId="13" xfId="0" applyFont="1" applyFill="1" applyBorder="1"/>
    <xf numFmtId="3" fontId="11" fillId="11" borderId="34" xfId="0" applyNumberFormat="1" applyFont="1" applyFill="1" applyBorder="1" applyAlignment="1">
      <alignment horizontal="center"/>
    </xf>
    <xf numFmtId="3" fontId="22" fillId="11" borderId="35" xfId="0" applyNumberFormat="1" applyFont="1" applyFill="1" applyBorder="1" applyAlignment="1">
      <alignment horizontal="center"/>
    </xf>
    <xf numFmtId="9" fontId="11" fillId="11" borderId="36" xfId="0" applyNumberFormat="1" applyFont="1" applyFill="1" applyBorder="1" applyAlignment="1">
      <alignment horizontal="center"/>
    </xf>
    <xf numFmtId="3" fontId="11" fillId="11" borderId="35" xfId="0" applyNumberFormat="1" applyFont="1" applyFill="1" applyBorder="1" applyAlignment="1">
      <alignment horizontal="center"/>
    </xf>
    <xf numFmtId="164" fontId="11" fillId="11" borderId="36" xfId="0" applyNumberFormat="1" applyFont="1" applyFill="1" applyBorder="1" applyAlignment="1">
      <alignment horizontal="center"/>
    </xf>
    <xf numFmtId="3" fontId="11" fillId="11" borderId="13" xfId="0" applyNumberFormat="1" applyFont="1" applyFill="1" applyBorder="1" applyAlignment="1">
      <alignment horizontal="center"/>
    </xf>
    <xf numFmtId="3" fontId="19" fillId="11" borderId="34" xfId="0" applyNumberFormat="1" applyFont="1" applyFill="1" applyBorder="1" applyAlignment="1">
      <alignment horizontal="center"/>
    </xf>
    <xf numFmtId="3" fontId="22" fillId="11" borderId="13" xfId="0" applyNumberFormat="1" applyFont="1" applyFill="1" applyBorder="1" applyAlignment="1">
      <alignment horizontal="center"/>
    </xf>
    <xf numFmtId="3" fontId="21" fillId="0" borderId="21" xfId="0" applyNumberFormat="1" applyFont="1" applyBorder="1" applyAlignment="1">
      <alignment horizontal="center"/>
    </xf>
    <xf numFmtId="3" fontId="21" fillId="0" borderId="15" xfId="0" applyNumberFormat="1" applyFont="1" applyBorder="1" applyAlignment="1">
      <alignment horizontal="center"/>
    </xf>
    <xf numFmtId="3" fontId="21" fillId="0" borderId="0" xfId="0" applyNumberFormat="1" applyFont="1" applyAlignment="1">
      <alignment horizontal="center"/>
    </xf>
    <xf numFmtId="9" fontId="19" fillId="0" borderId="22" xfId="0" applyNumberFormat="1" applyFont="1" applyBorder="1" applyAlignment="1">
      <alignment horizontal="center"/>
    </xf>
    <xf numFmtId="3" fontId="11" fillId="0" borderId="20" xfId="0" applyNumberFormat="1" applyFont="1" applyBorder="1" applyAlignment="1">
      <alignment horizontal="center"/>
    </xf>
    <xf numFmtId="3" fontId="22" fillId="0" borderId="20" xfId="0" applyNumberFormat="1" applyFont="1" applyBorder="1" applyAlignment="1">
      <alignment horizontal="center"/>
    </xf>
    <xf numFmtId="0" fontId="6" fillId="12" borderId="13" xfId="0" applyFont="1" applyFill="1" applyBorder="1"/>
    <xf numFmtId="3" fontId="11" fillId="12" borderId="37" xfId="0" applyNumberFormat="1" applyFont="1" applyFill="1" applyBorder="1" applyAlignment="1">
      <alignment horizontal="center"/>
    </xf>
    <xf numFmtId="3" fontId="11" fillId="12" borderId="34" xfId="0" applyNumberFormat="1" applyFont="1" applyFill="1" applyBorder="1" applyAlignment="1">
      <alignment horizontal="center"/>
    </xf>
    <xf numFmtId="3" fontId="22" fillId="12" borderId="35" xfId="0" applyNumberFormat="1" applyFont="1" applyFill="1" applyBorder="1" applyAlignment="1">
      <alignment horizontal="center"/>
    </xf>
    <xf numFmtId="9" fontId="11" fillId="12" borderId="36" xfId="0" applyNumberFormat="1" applyFont="1" applyFill="1" applyBorder="1" applyAlignment="1">
      <alignment horizontal="center"/>
    </xf>
    <xf numFmtId="3" fontId="11" fillId="12" borderId="35" xfId="0" applyNumberFormat="1" applyFont="1" applyFill="1" applyBorder="1" applyAlignment="1">
      <alignment horizontal="center"/>
    </xf>
    <xf numFmtId="164" fontId="11" fillId="12" borderId="36" xfId="0" applyNumberFormat="1" applyFont="1" applyFill="1" applyBorder="1" applyAlignment="1">
      <alignment horizontal="center"/>
    </xf>
    <xf numFmtId="3" fontId="11" fillId="12" borderId="13" xfId="0" applyNumberFormat="1" applyFont="1" applyFill="1" applyBorder="1" applyAlignment="1">
      <alignment horizontal="center"/>
    </xf>
    <xf numFmtId="3" fontId="21" fillId="12" borderId="34" xfId="0" applyNumberFormat="1" applyFont="1" applyFill="1" applyBorder="1" applyAlignment="1">
      <alignment horizontal="center"/>
    </xf>
    <xf numFmtId="3" fontId="22" fillId="12" borderId="34" xfId="0" applyNumberFormat="1" applyFont="1" applyFill="1" applyBorder="1" applyAlignment="1">
      <alignment horizontal="center"/>
    </xf>
    <xf numFmtId="3" fontId="11" fillId="9" borderId="37" xfId="0" applyNumberFormat="1" applyFont="1" applyFill="1" applyBorder="1" applyAlignment="1">
      <alignment horizontal="center"/>
    </xf>
    <xf numFmtId="3" fontId="11" fillId="9" borderId="36" xfId="0" applyNumberFormat="1" applyFont="1" applyFill="1" applyBorder="1" applyAlignment="1">
      <alignment horizontal="center"/>
    </xf>
    <xf numFmtId="3" fontId="21" fillId="9" borderId="35" xfId="0" applyNumberFormat="1" applyFont="1" applyFill="1" applyBorder="1" applyAlignment="1">
      <alignment horizontal="center"/>
    </xf>
    <xf numFmtId="3" fontId="24" fillId="9" borderId="35" xfId="0" applyNumberFormat="1" applyFont="1" applyFill="1" applyBorder="1" applyAlignment="1">
      <alignment horizontal="center"/>
    </xf>
    <xf numFmtId="3" fontId="21" fillId="9" borderId="36" xfId="0" applyNumberFormat="1" applyFont="1" applyFill="1" applyBorder="1" applyAlignment="1">
      <alignment horizontal="center"/>
    </xf>
    <xf numFmtId="3" fontId="24" fillId="0" borderId="21" xfId="0" applyNumberFormat="1" applyFont="1" applyBorder="1" applyAlignment="1">
      <alignment horizontal="center"/>
    </xf>
    <xf numFmtId="3" fontId="21" fillId="0" borderId="22" xfId="0" applyNumberFormat="1" applyFont="1" applyBorder="1" applyAlignment="1">
      <alignment horizontal="center"/>
    </xf>
    <xf numFmtId="3" fontId="21" fillId="9" borderId="13" xfId="0" applyNumberFormat="1" applyFont="1" applyFill="1" applyBorder="1" applyAlignment="1">
      <alignment horizontal="center"/>
    </xf>
    <xf numFmtId="0" fontId="6" fillId="3" borderId="38" xfId="0" applyFont="1" applyFill="1" applyBorder="1"/>
    <xf numFmtId="3" fontId="22" fillId="3" borderId="35" xfId="0" applyNumberFormat="1" applyFont="1" applyFill="1" applyBorder="1"/>
    <xf numFmtId="0" fontId="6" fillId="13" borderId="13" xfId="0" applyFont="1" applyFill="1" applyBorder="1"/>
    <xf numFmtId="3" fontId="11" fillId="13" borderId="37" xfId="0" applyNumberFormat="1" applyFont="1" applyFill="1" applyBorder="1" applyAlignment="1">
      <alignment horizontal="center"/>
    </xf>
    <xf numFmtId="3" fontId="11" fillId="13" borderId="13" xfId="0" applyNumberFormat="1" applyFont="1" applyFill="1" applyBorder="1" applyAlignment="1">
      <alignment horizontal="center"/>
    </xf>
    <xf numFmtId="3" fontId="11" fillId="13" borderId="34" xfId="0" applyNumberFormat="1" applyFont="1" applyFill="1" applyBorder="1" applyAlignment="1">
      <alignment horizontal="center"/>
    </xf>
    <xf numFmtId="3" fontId="22" fillId="13" borderId="13" xfId="0" applyNumberFormat="1" applyFont="1" applyFill="1" applyBorder="1" applyAlignment="1">
      <alignment horizontal="center"/>
    </xf>
    <xf numFmtId="9" fontId="11" fillId="13" borderId="36" xfId="0" applyNumberFormat="1" applyFont="1" applyFill="1" applyBorder="1" applyAlignment="1">
      <alignment horizontal="center"/>
    </xf>
    <xf numFmtId="3" fontId="11" fillId="13" borderId="35" xfId="0" applyNumberFormat="1" applyFont="1" applyFill="1" applyBorder="1" applyAlignment="1">
      <alignment horizontal="center"/>
    </xf>
    <xf numFmtId="164" fontId="11" fillId="13" borderId="36" xfId="0" applyNumberFormat="1" applyFont="1" applyFill="1" applyBorder="1" applyAlignment="1">
      <alignment horizontal="center"/>
    </xf>
    <xf numFmtId="3" fontId="21" fillId="13" borderId="35" xfId="0" applyNumberFormat="1" applyFont="1" applyFill="1" applyBorder="1" applyAlignment="1">
      <alignment horizontal="center"/>
    </xf>
    <xf numFmtId="3" fontId="22" fillId="13" borderId="36" xfId="0" applyNumberFormat="1" applyFont="1" applyFill="1" applyBorder="1" applyAlignment="1">
      <alignment horizontal="center"/>
    </xf>
    <xf numFmtId="3" fontId="22" fillId="13" borderId="35" xfId="0" applyNumberFormat="1" applyFont="1" applyFill="1" applyBorder="1"/>
    <xf numFmtId="0" fontId="11" fillId="13" borderId="13" xfId="0" applyFont="1" applyFill="1" applyBorder="1"/>
    <xf numFmtId="3" fontId="12" fillId="7" borderId="37" xfId="0" applyNumberFormat="1" applyFont="1" applyFill="1" applyBorder="1" applyAlignment="1">
      <alignment horizontal="center"/>
    </xf>
    <xf numFmtId="3" fontId="22" fillId="7" borderId="13" xfId="0" applyNumberFormat="1" applyFont="1" applyFill="1" applyBorder="1" applyAlignment="1">
      <alignment horizontal="center"/>
    </xf>
    <xf numFmtId="3" fontId="21" fillId="7" borderId="35" xfId="0" applyNumberFormat="1" applyFont="1" applyFill="1" applyBorder="1" applyAlignment="1">
      <alignment horizontal="center"/>
    </xf>
    <xf numFmtId="3" fontId="22" fillId="7" borderId="36" xfId="0" applyNumberFormat="1" applyFont="1" applyFill="1" applyBorder="1" applyAlignment="1">
      <alignment horizontal="center"/>
    </xf>
    <xf numFmtId="3" fontId="12" fillId="0" borderId="15" xfId="0" applyNumberFormat="1" applyFont="1" applyBorder="1" applyAlignment="1">
      <alignment horizontal="center"/>
    </xf>
    <xf numFmtId="3" fontId="22" fillId="0" borderId="22" xfId="0" applyNumberFormat="1" applyFont="1" applyBorder="1" applyAlignment="1">
      <alignment horizontal="center"/>
    </xf>
    <xf numFmtId="3" fontId="11" fillId="0" borderId="18" xfId="0" applyNumberFormat="1" applyFont="1" applyBorder="1" applyAlignment="1">
      <alignment horizontal="center"/>
    </xf>
    <xf numFmtId="3" fontId="22" fillId="0" borderId="18" xfId="0" applyNumberFormat="1" applyFont="1" applyBorder="1" applyAlignment="1">
      <alignment horizontal="center"/>
    </xf>
    <xf numFmtId="9" fontId="11" fillId="0" borderId="19" xfId="0" applyNumberFormat="1" applyFont="1" applyBorder="1" applyAlignment="1">
      <alignment horizontal="center"/>
    </xf>
    <xf numFmtId="3" fontId="11" fillId="0" borderId="17" xfId="0" applyNumberFormat="1" applyFont="1" applyBorder="1" applyAlignment="1">
      <alignment horizontal="center"/>
    </xf>
    <xf numFmtId="164" fontId="11" fillId="0" borderId="19" xfId="0" applyNumberFormat="1" applyFont="1" applyBorder="1" applyAlignment="1">
      <alignment horizontal="center"/>
    </xf>
    <xf numFmtId="3" fontId="21" fillId="0" borderId="17" xfId="0" applyNumberFormat="1" applyFont="1" applyBorder="1" applyAlignment="1">
      <alignment horizontal="center"/>
    </xf>
    <xf numFmtId="3" fontId="22" fillId="0" borderId="19" xfId="0" applyNumberFormat="1" applyFont="1" applyBorder="1" applyAlignment="1">
      <alignment horizontal="center"/>
    </xf>
    <xf numFmtId="3" fontId="21" fillId="0" borderId="20" xfId="0" applyNumberFormat="1" applyFont="1" applyBorder="1" applyAlignment="1">
      <alignment horizontal="center"/>
    </xf>
    <xf numFmtId="0" fontId="6" fillId="3" borderId="39" xfId="0" applyFont="1" applyFill="1" applyBorder="1"/>
    <xf numFmtId="0" fontId="6" fillId="3" borderId="40" xfId="0" applyFont="1" applyFill="1" applyBorder="1"/>
    <xf numFmtId="9" fontId="11" fillId="0" borderId="20" xfId="0" applyNumberFormat="1" applyFont="1" applyBorder="1" applyAlignment="1">
      <alignment horizontal="center"/>
    </xf>
    <xf numFmtId="9" fontId="11" fillId="0" borderId="15" xfId="0" applyNumberFormat="1" applyFont="1" applyBorder="1" applyAlignment="1">
      <alignment horizontal="center"/>
    </xf>
    <xf numFmtId="0" fontId="25" fillId="7" borderId="13" xfId="0" applyFont="1" applyFill="1" applyBorder="1"/>
    <xf numFmtId="3" fontId="13" fillId="7" borderId="34" xfId="0" applyNumberFormat="1" applyFont="1" applyFill="1" applyBorder="1" applyAlignment="1">
      <alignment horizontal="center"/>
    </xf>
    <xf numFmtId="3" fontId="13" fillId="7" borderId="35" xfId="0" applyNumberFormat="1" applyFont="1" applyFill="1" applyBorder="1" applyAlignment="1">
      <alignment horizontal="center"/>
    </xf>
    <xf numFmtId="3" fontId="26" fillId="7" borderId="13" xfId="0" applyNumberFormat="1" applyFont="1" applyFill="1" applyBorder="1" applyAlignment="1">
      <alignment horizontal="center"/>
    </xf>
    <xf numFmtId="9" fontId="13" fillId="7" borderId="34" xfId="0" applyNumberFormat="1" applyFont="1" applyFill="1" applyBorder="1" applyAlignment="1">
      <alignment horizontal="center"/>
    </xf>
    <xf numFmtId="164" fontId="13" fillId="7" borderId="36" xfId="0" applyNumberFormat="1" applyFont="1" applyFill="1" applyBorder="1" applyAlignment="1">
      <alignment horizontal="center"/>
    </xf>
    <xf numFmtId="3" fontId="13" fillId="7" borderId="13" xfId="0" applyNumberFormat="1" applyFont="1" applyFill="1" applyBorder="1" applyAlignment="1">
      <alignment horizontal="center"/>
    </xf>
    <xf numFmtId="3" fontId="26" fillId="7" borderId="37" xfId="0" applyNumberFormat="1" applyFont="1" applyFill="1" applyBorder="1" applyAlignment="1">
      <alignment horizontal="center"/>
    </xf>
    <xf numFmtId="3" fontId="26" fillId="7" borderId="36" xfId="0" applyNumberFormat="1" applyFont="1" applyFill="1" applyBorder="1" applyAlignment="1">
      <alignment horizontal="center"/>
    </xf>
    <xf numFmtId="9" fontId="13" fillId="7" borderId="36" xfId="0" applyNumberFormat="1" applyFont="1" applyFill="1" applyBorder="1" applyAlignment="1">
      <alignment horizontal="center"/>
    </xf>
    <xf numFmtId="0" fontId="25" fillId="0" borderId="25" xfId="0" applyFont="1" applyBorder="1"/>
    <xf numFmtId="0" fontId="25" fillId="0" borderId="23" xfId="0" applyFont="1" applyBorder="1"/>
    <xf numFmtId="3" fontId="13" fillId="6" borderId="37" xfId="0" applyNumberFormat="1" applyFont="1" applyFill="1" applyBorder="1" applyAlignment="1">
      <alignment horizontal="center"/>
    </xf>
    <xf numFmtId="3" fontId="27" fillId="6" borderId="37" xfId="0" applyNumberFormat="1" applyFont="1" applyFill="1" applyBorder="1" applyAlignment="1">
      <alignment horizontal="center"/>
    </xf>
    <xf numFmtId="0" fontId="13" fillId="0" borderId="0" xfId="0" applyFont="1"/>
    <xf numFmtId="0" fontId="25" fillId="0" borderId="0" xfId="0" applyFont="1"/>
    <xf numFmtId="0" fontId="6" fillId="3" borderId="41" xfId="0" applyFont="1" applyFill="1" applyBorder="1"/>
    <xf numFmtId="3" fontId="24" fillId="6" borderId="34" xfId="0" applyNumberFormat="1" applyFont="1" applyFill="1" applyBorder="1" applyAlignment="1">
      <alignment horizontal="center"/>
    </xf>
    <xf numFmtId="3" fontId="24" fillId="6" borderId="35" xfId="0" applyNumberFormat="1" applyFont="1" applyFill="1" applyBorder="1" applyAlignment="1">
      <alignment horizontal="center"/>
    </xf>
    <xf numFmtId="0" fontId="11" fillId="0" borderId="20" xfId="0" applyFont="1" applyBorder="1"/>
    <xf numFmtId="0" fontId="6" fillId="3" borderId="36" xfId="0" applyFont="1" applyFill="1" applyBorder="1"/>
    <xf numFmtId="0" fontId="6" fillId="3" borderId="35" xfId="0" applyFont="1" applyFill="1" applyBorder="1"/>
    <xf numFmtId="3" fontId="21" fillId="6" borderId="35" xfId="0" applyNumberFormat="1" applyFont="1" applyFill="1" applyBorder="1" applyAlignment="1">
      <alignment horizontal="center"/>
    </xf>
    <xf numFmtId="3" fontId="21" fillId="0" borderId="16" xfId="0" applyNumberFormat="1" applyFont="1" applyBorder="1" applyAlignment="1">
      <alignment horizontal="center"/>
    </xf>
    <xf numFmtId="0" fontId="28" fillId="0" borderId="29" xfId="0" applyFont="1" applyBorder="1"/>
    <xf numFmtId="3" fontId="12" fillId="0" borderId="12" xfId="0" applyNumberFormat="1" applyFont="1" applyBorder="1" applyAlignment="1">
      <alignment horizontal="center"/>
    </xf>
    <xf numFmtId="9" fontId="12" fillId="0" borderId="12" xfId="0" applyNumberFormat="1" applyFont="1" applyBorder="1" applyAlignment="1">
      <alignment horizontal="center"/>
    </xf>
    <xf numFmtId="164" fontId="12" fillId="0" borderId="12" xfId="0" applyNumberFormat="1" applyFont="1" applyBorder="1" applyAlignment="1">
      <alignment horizontal="center"/>
    </xf>
    <xf numFmtId="3" fontId="21" fillId="0" borderId="12" xfId="0" applyNumberFormat="1" applyFont="1" applyBorder="1" applyAlignment="1">
      <alignment horizontal="center"/>
    </xf>
    <xf numFmtId="3" fontId="22" fillId="0" borderId="12" xfId="0" applyNumberFormat="1" applyFont="1" applyBorder="1" applyAlignment="1">
      <alignment horizontal="center"/>
    </xf>
    <xf numFmtId="9" fontId="11" fillId="0" borderId="31" xfId="0" applyNumberFormat="1" applyFont="1" applyBorder="1" applyAlignment="1">
      <alignment horizontal="center"/>
    </xf>
    <xf numFmtId="0" fontId="6" fillId="3" borderId="12" xfId="0" applyFont="1" applyFill="1" applyBorder="1"/>
    <xf numFmtId="0" fontId="6" fillId="3" borderId="32" xfId="0" applyFont="1" applyFill="1" applyBorder="1"/>
    <xf numFmtId="3" fontId="6" fillId="6" borderId="32" xfId="0" applyNumberFormat="1" applyFont="1" applyFill="1" applyBorder="1" applyAlignment="1">
      <alignment horizontal="center"/>
    </xf>
    <xf numFmtId="3" fontId="11" fillId="6" borderId="12" xfId="0" applyNumberFormat="1" applyFont="1" applyFill="1" applyBorder="1" applyAlignment="1">
      <alignment horizontal="center"/>
    </xf>
    <xf numFmtId="0" fontId="15" fillId="0" borderId="21" xfId="0" applyFont="1" applyBorder="1"/>
    <xf numFmtId="0" fontId="12" fillId="5" borderId="40" xfId="0" applyFont="1" applyFill="1" applyBorder="1" applyAlignment="1">
      <alignment horizontal="center" wrapText="1"/>
    </xf>
    <xf numFmtId="0" fontId="12" fillId="0" borderId="25" xfId="0" applyFont="1" applyBorder="1" applyAlignment="1">
      <alignment horizontal="center"/>
    </xf>
    <xf numFmtId="0" fontId="12" fillId="6" borderId="41" xfId="0" applyFont="1" applyFill="1" applyBorder="1" applyAlignment="1">
      <alignment horizontal="center" wrapText="1"/>
    </xf>
    <xf numFmtId="0" fontId="6" fillId="0" borderId="21" xfId="0" applyFont="1" applyBorder="1"/>
    <xf numFmtId="9" fontId="11" fillId="7" borderId="34" xfId="0" applyNumberFormat="1" applyFont="1" applyFill="1" applyBorder="1" applyAlignment="1">
      <alignment horizontal="center"/>
    </xf>
    <xf numFmtId="1" fontId="29" fillId="5" borderId="34" xfId="0" applyNumberFormat="1" applyFont="1" applyFill="1" applyBorder="1" applyAlignment="1">
      <alignment horizontal="center"/>
    </xf>
    <xf numFmtId="9" fontId="11" fillId="7" borderId="35" xfId="0" applyNumberFormat="1" applyFont="1" applyFill="1" applyBorder="1" applyAlignment="1">
      <alignment horizontal="center"/>
    </xf>
    <xf numFmtId="3" fontId="29" fillId="7" borderId="35" xfId="0" applyNumberFormat="1" applyFont="1" applyFill="1" applyBorder="1" applyAlignment="1">
      <alignment horizontal="center"/>
    </xf>
    <xf numFmtId="1" fontId="11" fillId="7" borderId="34" xfId="0" applyNumberFormat="1" applyFont="1" applyFill="1" applyBorder="1" applyAlignment="1">
      <alignment horizontal="center" wrapText="1"/>
    </xf>
    <xf numFmtId="1" fontId="11" fillId="5" borderId="34" xfId="0" applyNumberFormat="1" applyFont="1" applyFill="1" applyBorder="1" applyAlignment="1">
      <alignment horizontal="center"/>
    </xf>
    <xf numFmtId="9" fontId="11" fillId="7" borderId="34" xfId="0" applyNumberFormat="1" applyFont="1" applyFill="1" applyBorder="1" applyAlignment="1">
      <alignment horizontal="center" wrapText="1"/>
    </xf>
    <xf numFmtId="0" fontId="11" fillId="5" borderId="34" xfId="0" applyFont="1" applyFill="1" applyBorder="1" applyAlignment="1">
      <alignment horizontal="center"/>
    </xf>
    <xf numFmtId="0" fontId="29" fillId="7" borderId="35" xfId="0" applyFont="1" applyFill="1" applyBorder="1" applyAlignment="1">
      <alignment horizontal="center"/>
    </xf>
    <xf numFmtId="0" fontId="11" fillId="7" borderId="36" xfId="0" applyFont="1" applyFill="1" applyBorder="1"/>
    <xf numFmtId="0" fontId="11" fillId="7" borderId="13" xfId="0" applyFont="1" applyFill="1" applyBorder="1"/>
    <xf numFmtId="0" fontId="6" fillId="9" borderId="35" xfId="0" applyFont="1" applyFill="1" applyBorder="1"/>
    <xf numFmtId="9" fontId="11" fillId="9" borderId="34" xfId="0" applyNumberFormat="1" applyFont="1" applyFill="1" applyBorder="1" applyAlignment="1">
      <alignment horizontal="center"/>
    </xf>
    <xf numFmtId="0" fontId="11" fillId="5" borderId="36" xfId="0" applyFont="1" applyFill="1" applyBorder="1" applyAlignment="1">
      <alignment horizontal="center"/>
    </xf>
    <xf numFmtId="9" fontId="11" fillId="9" borderId="35" xfId="0" applyNumberFormat="1" applyFont="1" applyFill="1" applyBorder="1" applyAlignment="1">
      <alignment horizontal="center"/>
    </xf>
    <xf numFmtId="0" fontId="11" fillId="9" borderId="35" xfId="0" applyFont="1" applyFill="1" applyBorder="1" applyAlignment="1">
      <alignment horizontal="center"/>
    </xf>
    <xf numFmtId="0" fontId="11" fillId="9" borderId="36" xfId="0" applyFont="1" applyFill="1" applyBorder="1"/>
    <xf numFmtId="0" fontId="11" fillId="9" borderId="13" xfId="0" applyFont="1" applyFill="1" applyBorder="1"/>
    <xf numFmtId="9" fontId="11" fillId="9" borderId="34" xfId="0" applyNumberFormat="1" applyFont="1" applyFill="1" applyBorder="1" applyAlignment="1">
      <alignment horizontal="center" wrapText="1"/>
    </xf>
    <xf numFmtId="0" fontId="11" fillId="5" borderId="13" xfId="0" applyFont="1" applyFill="1" applyBorder="1" applyAlignment="1">
      <alignment horizontal="center"/>
    </xf>
    <xf numFmtId="9" fontId="19" fillId="9" borderId="34" xfId="0" applyNumberFormat="1" applyFont="1" applyFill="1" applyBorder="1" applyAlignment="1">
      <alignment horizontal="center" wrapText="1"/>
    </xf>
    <xf numFmtId="9" fontId="20" fillId="9" borderId="34" xfId="0" applyNumberFormat="1" applyFont="1" applyFill="1" applyBorder="1" applyAlignment="1">
      <alignment horizontal="center" wrapText="1"/>
    </xf>
    <xf numFmtId="9" fontId="11" fillId="6" borderId="34" xfId="0" applyNumberFormat="1" applyFont="1" applyFill="1" applyBorder="1" applyAlignment="1">
      <alignment horizontal="center"/>
    </xf>
    <xf numFmtId="9" fontId="11" fillId="6" borderId="35" xfId="0" applyNumberFormat="1" applyFont="1" applyFill="1" applyBorder="1" applyAlignment="1">
      <alignment horizontal="center"/>
    </xf>
    <xf numFmtId="0" fontId="11" fillId="6" borderId="35" xfId="0" applyFont="1" applyFill="1" applyBorder="1" applyAlignment="1">
      <alignment horizontal="center"/>
    </xf>
    <xf numFmtId="0" fontId="11" fillId="6" borderId="36" xfId="0" applyFont="1" applyFill="1" applyBorder="1"/>
    <xf numFmtId="0" fontId="11" fillId="6" borderId="13" xfId="0" applyFont="1" applyFill="1" applyBorder="1"/>
    <xf numFmtId="9" fontId="12" fillId="6" borderId="34" xfId="0" applyNumberFormat="1" applyFont="1" applyFill="1" applyBorder="1" applyAlignment="1">
      <alignment horizontal="center" wrapText="1"/>
    </xf>
    <xf numFmtId="164" fontId="11" fillId="0" borderId="15" xfId="0" applyNumberFormat="1" applyFont="1" applyBorder="1" applyAlignment="1">
      <alignment horizontal="center"/>
    </xf>
    <xf numFmtId="164" fontId="11" fillId="0" borderId="21" xfId="0" applyNumberFormat="1" applyFont="1" applyBorder="1" applyAlignment="1">
      <alignment horizontal="center"/>
    </xf>
    <xf numFmtId="0" fontId="11" fillId="0" borderId="22" xfId="0" applyFont="1" applyBorder="1"/>
    <xf numFmtId="9" fontId="30" fillId="0" borderId="15" xfId="0" applyNumberFormat="1" applyFont="1" applyBorder="1" applyAlignment="1">
      <alignment horizontal="center" wrapText="1"/>
    </xf>
    <xf numFmtId="9" fontId="19" fillId="0" borderId="15" xfId="0" applyNumberFormat="1" applyFont="1" applyBorder="1" applyAlignment="1">
      <alignment horizontal="center" wrapText="1"/>
    </xf>
    <xf numFmtId="9" fontId="11" fillId="0" borderId="15" xfId="0" applyNumberFormat="1" applyFont="1" applyBorder="1" applyAlignment="1">
      <alignment horizontal="center" wrapText="1"/>
    </xf>
    <xf numFmtId="0" fontId="6" fillId="10" borderId="35" xfId="0" applyFont="1" applyFill="1" applyBorder="1"/>
    <xf numFmtId="164" fontId="11" fillId="10" borderId="34" xfId="0" applyNumberFormat="1" applyFont="1" applyFill="1" applyBorder="1" applyAlignment="1">
      <alignment horizontal="center"/>
    </xf>
    <xf numFmtId="164" fontId="11" fillId="10" borderId="35" xfId="0" applyNumberFormat="1" applyFont="1" applyFill="1" applyBorder="1" applyAlignment="1">
      <alignment horizontal="center"/>
    </xf>
    <xf numFmtId="0" fontId="11" fillId="10" borderId="35" xfId="0" applyFont="1" applyFill="1" applyBorder="1" applyAlignment="1">
      <alignment horizontal="center"/>
    </xf>
    <xf numFmtId="0" fontId="11" fillId="10" borderId="36" xfId="0" applyFont="1" applyFill="1" applyBorder="1"/>
    <xf numFmtId="0" fontId="11" fillId="10" borderId="13" xfId="0" applyFont="1" applyFill="1" applyBorder="1"/>
    <xf numFmtId="9" fontId="11" fillId="10" borderId="34" xfId="0" applyNumberFormat="1" applyFont="1" applyFill="1" applyBorder="1" applyAlignment="1">
      <alignment horizontal="center" wrapText="1"/>
    </xf>
    <xf numFmtId="164" fontId="11" fillId="6" borderId="34" xfId="0" applyNumberFormat="1" applyFont="1" applyFill="1" applyBorder="1" applyAlignment="1">
      <alignment horizontal="center"/>
    </xf>
    <xf numFmtId="164" fontId="11" fillId="6" borderId="35" xfId="0" applyNumberFormat="1" applyFont="1" applyFill="1" applyBorder="1" applyAlignment="1">
      <alignment horizontal="center"/>
    </xf>
    <xf numFmtId="9" fontId="11" fillId="6" borderId="34" xfId="0" applyNumberFormat="1" applyFont="1" applyFill="1" applyBorder="1" applyAlignment="1">
      <alignment horizontal="center" wrapText="1"/>
    </xf>
    <xf numFmtId="9" fontId="22" fillId="6" borderId="34" xfId="0" applyNumberFormat="1" applyFont="1" applyFill="1" applyBorder="1" applyAlignment="1">
      <alignment horizontal="center" wrapText="1"/>
    </xf>
    <xf numFmtId="0" fontId="6" fillId="11" borderId="35" xfId="0" applyFont="1" applyFill="1" applyBorder="1"/>
    <xf numFmtId="9" fontId="11" fillId="11" borderId="34" xfId="0" applyNumberFormat="1" applyFont="1" applyFill="1" applyBorder="1" applyAlignment="1">
      <alignment horizontal="center"/>
    </xf>
    <xf numFmtId="164" fontId="11" fillId="11" borderId="35" xfId="0" applyNumberFormat="1" applyFont="1" applyFill="1" applyBorder="1" applyAlignment="1">
      <alignment horizontal="center"/>
    </xf>
    <xf numFmtId="0" fontId="11" fillId="11" borderId="35" xfId="0" applyFont="1" applyFill="1" applyBorder="1" applyAlignment="1">
      <alignment horizontal="center"/>
    </xf>
    <xf numFmtId="0" fontId="11" fillId="11" borderId="36" xfId="0" applyFont="1" applyFill="1" applyBorder="1"/>
    <xf numFmtId="0" fontId="11" fillId="11" borderId="13" xfId="0" applyFont="1" applyFill="1" applyBorder="1"/>
    <xf numFmtId="9" fontId="19" fillId="11" borderId="34" xfId="0" applyNumberFormat="1" applyFont="1" applyFill="1" applyBorder="1" applyAlignment="1">
      <alignment horizontal="center" wrapText="1"/>
    </xf>
    <xf numFmtId="9" fontId="21" fillId="0" borderId="15" xfId="0" applyNumberFormat="1" applyFont="1" applyBorder="1" applyAlignment="1">
      <alignment horizontal="center" wrapText="1"/>
    </xf>
    <xf numFmtId="9" fontId="22" fillId="5" borderId="35" xfId="0" applyNumberFormat="1" applyFont="1" applyFill="1" applyBorder="1" applyAlignment="1">
      <alignment horizontal="center"/>
    </xf>
    <xf numFmtId="9" fontId="22" fillId="5" borderId="36" xfId="0" applyNumberFormat="1" applyFont="1" applyFill="1" applyBorder="1" applyAlignment="1">
      <alignment horizontal="center"/>
    </xf>
    <xf numFmtId="0" fontId="6" fillId="12" borderId="35" xfId="0" applyFont="1" applyFill="1" applyBorder="1"/>
    <xf numFmtId="9" fontId="11" fillId="12" borderId="34" xfId="0" applyNumberFormat="1" applyFont="1" applyFill="1" applyBorder="1" applyAlignment="1">
      <alignment horizontal="center"/>
    </xf>
    <xf numFmtId="164" fontId="11" fillId="12" borderId="35" xfId="0" applyNumberFormat="1" applyFont="1" applyFill="1" applyBorder="1" applyAlignment="1">
      <alignment horizontal="center"/>
    </xf>
    <xf numFmtId="0" fontId="11" fillId="12" borderId="35" xfId="0" applyFont="1" applyFill="1" applyBorder="1" applyAlignment="1">
      <alignment horizontal="center"/>
    </xf>
    <xf numFmtId="0" fontId="11" fillId="12" borderId="36" xfId="0" applyFont="1" applyFill="1" applyBorder="1"/>
    <xf numFmtId="0" fontId="11" fillId="12" borderId="13" xfId="0" applyFont="1" applyFill="1" applyBorder="1"/>
    <xf numFmtId="9" fontId="24" fillId="12" borderId="34" xfId="0" applyNumberFormat="1" applyFont="1" applyFill="1" applyBorder="1" applyAlignment="1">
      <alignment horizontal="center" wrapText="1"/>
    </xf>
    <xf numFmtId="0" fontId="11" fillId="5" borderId="37" xfId="0" applyFont="1" applyFill="1" applyBorder="1" applyAlignment="1">
      <alignment horizontal="center"/>
    </xf>
    <xf numFmtId="164" fontId="11" fillId="9" borderId="35" xfId="0" applyNumberFormat="1" applyFont="1" applyFill="1" applyBorder="1" applyAlignment="1">
      <alignment horizontal="center"/>
    </xf>
    <xf numFmtId="9" fontId="21" fillId="9" borderId="35" xfId="0" applyNumberFormat="1" applyFont="1" applyFill="1" applyBorder="1" applyAlignment="1">
      <alignment horizontal="center"/>
    </xf>
    <xf numFmtId="9" fontId="21" fillId="9" borderId="37" xfId="0" applyNumberFormat="1" applyFont="1" applyFill="1" applyBorder="1" applyAlignment="1">
      <alignment horizontal="center" wrapText="1"/>
    </xf>
    <xf numFmtId="9" fontId="11" fillId="0" borderId="21" xfId="0" applyNumberFormat="1" applyFont="1" applyBorder="1" applyAlignment="1">
      <alignment horizontal="center"/>
    </xf>
    <xf numFmtId="9" fontId="21" fillId="0" borderId="21" xfId="0" applyNumberFormat="1" applyFont="1" applyBorder="1" applyAlignment="1">
      <alignment horizontal="center"/>
    </xf>
    <xf numFmtId="9" fontId="21" fillId="0" borderId="20" xfId="0" applyNumberFormat="1" applyFont="1" applyBorder="1" applyAlignment="1">
      <alignment horizontal="center" wrapText="1"/>
    </xf>
    <xf numFmtId="9" fontId="21" fillId="9" borderId="34" xfId="0" applyNumberFormat="1" applyFont="1" applyFill="1" applyBorder="1" applyAlignment="1">
      <alignment horizontal="center" wrapText="1"/>
    </xf>
    <xf numFmtId="9" fontId="22" fillId="0" borderId="21" xfId="0" applyNumberFormat="1" applyFont="1" applyBorder="1" applyAlignment="1">
      <alignment horizontal="center"/>
    </xf>
    <xf numFmtId="0" fontId="6" fillId="13" borderId="35" xfId="0" applyFont="1" applyFill="1" applyBorder="1"/>
    <xf numFmtId="9" fontId="11" fillId="13" borderId="35" xfId="0" applyNumberFormat="1" applyFont="1" applyFill="1" applyBorder="1" applyAlignment="1">
      <alignment horizontal="center"/>
    </xf>
    <xf numFmtId="164" fontId="11" fillId="13" borderId="35" xfId="0" applyNumberFormat="1" applyFont="1" applyFill="1" applyBorder="1" applyAlignment="1">
      <alignment horizontal="center"/>
    </xf>
    <xf numFmtId="9" fontId="22" fillId="13" borderId="35" xfId="0" applyNumberFormat="1" applyFont="1" applyFill="1" applyBorder="1" applyAlignment="1">
      <alignment horizontal="center"/>
    </xf>
    <xf numFmtId="9" fontId="21" fillId="13" borderId="34" xfId="0" applyNumberFormat="1" applyFont="1" applyFill="1" applyBorder="1" applyAlignment="1">
      <alignment horizontal="center" wrapText="1"/>
    </xf>
    <xf numFmtId="0" fontId="11" fillId="5" borderId="35" xfId="0" applyFont="1" applyFill="1" applyBorder="1" applyAlignment="1">
      <alignment horizontal="center"/>
    </xf>
    <xf numFmtId="164" fontId="11" fillId="7" borderId="38" xfId="0" applyNumberFormat="1" applyFont="1" applyFill="1" applyBorder="1" applyAlignment="1">
      <alignment horizontal="center"/>
    </xf>
    <xf numFmtId="9" fontId="22" fillId="7" borderId="38" xfId="0" applyNumberFormat="1" applyFont="1" applyFill="1" applyBorder="1" applyAlignment="1">
      <alignment horizontal="center"/>
    </xf>
    <xf numFmtId="0" fontId="11" fillId="7" borderId="48" xfId="0" applyFont="1" applyFill="1" applyBorder="1"/>
    <xf numFmtId="9" fontId="21" fillId="7" borderId="37" xfId="0" applyNumberFormat="1" applyFont="1" applyFill="1" applyBorder="1" applyAlignment="1">
      <alignment horizontal="center" wrapText="1"/>
    </xf>
    <xf numFmtId="164" fontId="11" fillId="0" borderId="0" xfId="0" applyNumberFormat="1" applyFont="1" applyAlignment="1">
      <alignment horizontal="center"/>
    </xf>
    <xf numFmtId="9" fontId="21" fillId="0" borderId="17" xfId="0" applyNumberFormat="1" applyFont="1" applyBorder="1" applyAlignment="1">
      <alignment horizontal="center"/>
    </xf>
    <xf numFmtId="0" fontId="11" fillId="0" borderId="19" xfId="0" applyFont="1" applyBorder="1"/>
    <xf numFmtId="0" fontId="6" fillId="7" borderId="35" xfId="0" applyFont="1" applyFill="1" applyBorder="1"/>
    <xf numFmtId="164" fontId="11" fillId="7" borderId="35" xfId="0" applyNumberFormat="1" applyFont="1" applyFill="1" applyBorder="1" applyAlignment="1">
      <alignment horizontal="center"/>
    </xf>
    <xf numFmtId="0" fontId="11" fillId="7" borderId="34" xfId="0" applyFont="1" applyFill="1" applyBorder="1" applyAlignment="1">
      <alignment horizontal="center"/>
    </xf>
    <xf numFmtId="164" fontId="11" fillId="7" borderId="13" xfId="0" applyNumberFormat="1" applyFont="1" applyFill="1" applyBorder="1" applyAlignment="1">
      <alignment horizontal="center"/>
    </xf>
    <xf numFmtId="164" fontId="21" fillId="7" borderId="35" xfId="0" applyNumberFormat="1" applyFont="1" applyFill="1" applyBorder="1" applyAlignment="1">
      <alignment horizontal="center"/>
    </xf>
    <xf numFmtId="9" fontId="22" fillId="7" borderId="13" xfId="0" applyNumberFormat="1" applyFont="1" applyFill="1" applyBorder="1" applyAlignment="1">
      <alignment horizontal="center"/>
    </xf>
    <xf numFmtId="164" fontId="21" fillId="7" borderId="34" xfId="0" applyNumberFormat="1" applyFont="1" applyFill="1" applyBorder="1" applyAlignment="1">
      <alignment horizontal="center" wrapText="1"/>
    </xf>
    <xf numFmtId="168" fontId="21" fillId="7" borderId="37" xfId="0" applyNumberFormat="1" applyFont="1" applyFill="1" applyBorder="1" applyAlignment="1">
      <alignment horizontal="center"/>
    </xf>
    <xf numFmtId="164" fontId="11" fillId="6" borderId="37" xfId="0" applyNumberFormat="1" applyFont="1" applyFill="1" applyBorder="1" applyAlignment="1">
      <alignment horizontal="center"/>
    </xf>
    <xf numFmtId="9" fontId="22" fillId="5" borderId="13" xfId="0" applyNumberFormat="1" applyFont="1" applyFill="1" applyBorder="1" applyAlignment="1">
      <alignment horizontal="center"/>
    </xf>
    <xf numFmtId="164" fontId="21" fillId="0" borderId="15" xfId="0" applyNumberFormat="1" applyFont="1" applyBorder="1" applyAlignment="1">
      <alignment horizontal="center" wrapText="1"/>
    </xf>
    <xf numFmtId="168" fontId="21" fillId="0" borderId="15" xfId="0" applyNumberFormat="1" applyFont="1" applyBorder="1" applyAlignment="1">
      <alignment horizontal="center"/>
    </xf>
    <xf numFmtId="168" fontId="22" fillId="0" borderId="15" xfId="0" applyNumberFormat="1" applyFont="1" applyBorder="1" applyAlignment="1">
      <alignment horizontal="center"/>
    </xf>
    <xf numFmtId="164" fontId="22" fillId="0" borderId="15" xfId="0" applyNumberFormat="1" applyFont="1" applyBorder="1" applyAlignment="1">
      <alignment horizontal="center" wrapText="1"/>
    </xf>
    <xf numFmtId="168" fontId="22" fillId="0" borderId="16" xfId="0" applyNumberFormat="1" applyFont="1" applyBorder="1" applyAlignment="1">
      <alignment horizontal="center"/>
    </xf>
    <xf numFmtId="0" fontId="12" fillId="5" borderId="39" xfId="0" applyFont="1" applyFill="1" applyBorder="1" applyAlignment="1">
      <alignment horizontal="center"/>
    </xf>
    <xf numFmtId="0" fontId="12" fillId="5" borderId="40" xfId="0" applyFont="1" applyFill="1" applyBorder="1"/>
    <xf numFmtId="0" fontId="12" fillId="5" borderId="41" xfId="0" applyFont="1" applyFill="1" applyBorder="1"/>
    <xf numFmtId="0" fontId="16" fillId="3" borderId="39" xfId="0" applyFont="1" applyFill="1" applyBorder="1" applyAlignment="1">
      <alignment horizontal="center" wrapText="1"/>
    </xf>
    <xf numFmtId="3" fontId="11" fillId="5" borderId="34" xfId="0" applyNumberFormat="1" applyFont="1" applyFill="1" applyBorder="1" applyAlignment="1">
      <alignment horizontal="center"/>
    </xf>
    <xf numFmtId="1" fontId="11" fillId="7" borderId="35" xfId="0" applyNumberFormat="1" applyFont="1" applyFill="1" applyBorder="1" applyAlignment="1">
      <alignment horizontal="center"/>
    </xf>
    <xf numFmtId="3" fontId="11" fillId="7" borderId="37" xfId="0" applyNumberFormat="1" applyFont="1" applyFill="1" applyBorder="1" applyAlignment="1">
      <alignment horizontal="center"/>
    </xf>
    <xf numFmtId="1" fontId="11" fillId="9" borderId="34" xfId="0" applyNumberFormat="1" applyFont="1" applyFill="1" applyBorder="1" applyAlignment="1">
      <alignment horizontal="center" wrapText="1"/>
    </xf>
    <xf numFmtId="1" fontId="11" fillId="9" borderId="35" xfId="0" applyNumberFormat="1" applyFont="1" applyFill="1" applyBorder="1" applyAlignment="1">
      <alignment horizontal="center"/>
    </xf>
    <xf numFmtId="3" fontId="22" fillId="9" borderId="34" xfId="0" applyNumberFormat="1" applyFont="1" applyFill="1" applyBorder="1" applyAlignment="1">
      <alignment horizontal="center"/>
    </xf>
    <xf numFmtId="2" fontId="11" fillId="0" borderId="15" xfId="0" applyNumberFormat="1" applyFont="1" applyBorder="1" applyAlignment="1">
      <alignment horizontal="center" wrapText="1"/>
    </xf>
    <xf numFmtId="2" fontId="11" fillId="0" borderId="21" xfId="0" applyNumberFormat="1" applyFont="1" applyBorder="1" applyAlignment="1">
      <alignment horizontal="center"/>
    </xf>
    <xf numFmtId="2" fontId="11" fillId="10" borderId="34" xfId="0" applyNumberFormat="1" applyFont="1" applyFill="1" applyBorder="1" applyAlignment="1">
      <alignment horizontal="center" wrapText="1"/>
    </xf>
    <xf numFmtId="2" fontId="11" fillId="10" borderId="35" xfId="0" applyNumberFormat="1" applyFont="1" applyFill="1" applyBorder="1" applyAlignment="1">
      <alignment horizontal="center"/>
    </xf>
    <xf numFmtId="3" fontId="22" fillId="10" borderId="34" xfId="0" applyNumberFormat="1" applyFont="1" applyFill="1" applyBorder="1" applyAlignment="1">
      <alignment horizontal="center"/>
    </xf>
    <xf numFmtId="3" fontId="11" fillId="6" borderId="34" xfId="0" applyNumberFormat="1" applyFont="1" applyFill="1" applyBorder="1" applyAlignment="1">
      <alignment horizontal="center" wrapText="1"/>
    </xf>
    <xf numFmtId="3" fontId="11" fillId="0" borderId="15" xfId="0" applyNumberFormat="1" applyFont="1" applyBorder="1" applyAlignment="1">
      <alignment horizontal="center" wrapText="1"/>
    </xf>
    <xf numFmtId="3" fontId="19" fillId="0" borderId="20" xfId="0" applyNumberFormat="1" applyFont="1" applyBorder="1" applyAlignment="1">
      <alignment horizontal="center"/>
    </xf>
    <xf numFmtId="3" fontId="11" fillId="11" borderId="34" xfId="0" applyNumberFormat="1" applyFont="1" applyFill="1" applyBorder="1" applyAlignment="1">
      <alignment horizontal="center" wrapText="1"/>
    </xf>
    <xf numFmtId="3" fontId="22" fillId="11" borderId="34" xfId="0" applyNumberFormat="1" applyFont="1" applyFill="1" applyBorder="1" applyAlignment="1">
      <alignment horizontal="center"/>
    </xf>
    <xf numFmtId="3" fontId="11" fillId="12" borderId="34" xfId="0" applyNumberFormat="1" applyFont="1" applyFill="1" applyBorder="1" applyAlignment="1">
      <alignment horizontal="center" wrapText="1"/>
    </xf>
    <xf numFmtId="3" fontId="22" fillId="12" borderId="37" xfId="0" applyNumberFormat="1" applyFont="1" applyFill="1" applyBorder="1" applyAlignment="1">
      <alignment horizontal="center"/>
    </xf>
    <xf numFmtId="3" fontId="11" fillId="9" borderId="34" xfId="0" applyNumberFormat="1" applyFont="1" applyFill="1" applyBorder="1" applyAlignment="1">
      <alignment horizontal="center" wrapText="1"/>
    </xf>
    <xf numFmtId="3" fontId="6" fillId="3" borderId="34" xfId="0" applyNumberFormat="1" applyFont="1" applyFill="1" applyBorder="1" applyAlignment="1">
      <alignment horizontal="center" wrapText="1"/>
    </xf>
    <xf numFmtId="3" fontId="6" fillId="3" borderId="37" xfId="0" applyNumberFormat="1" applyFont="1" applyFill="1" applyBorder="1" applyAlignment="1">
      <alignment horizontal="center"/>
    </xf>
    <xf numFmtId="3" fontId="11" fillId="13" borderId="34" xfId="0" applyNumberFormat="1" applyFont="1" applyFill="1" applyBorder="1" applyAlignment="1">
      <alignment horizontal="center" wrapText="1"/>
    </xf>
    <xf numFmtId="3" fontId="21" fillId="13" borderId="34" xfId="0" applyNumberFormat="1" applyFont="1" applyFill="1" applyBorder="1" applyAlignment="1">
      <alignment horizontal="center"/>
    </xf>
    <xf numFmtId="3" fontId="6" fillId="13" borderId="34" xfId="0" applyNumberFormat="1" applyFont="1" applyFill="1" applyBorder="1" applyAlignment="1">
      <alignment horizontal="center" wrapText="1"/>
    </xf>
    <xf numFmtId="3" fontId="6" fillId="13" borderId="34" xfId="0" applyNumberFormat="1" applyFont="1" applyFill="1" applyBorder="1" applyAlignment="1">
      <alignment horizontal="center"/>
    </xf>
    <xf numFmtId="3" fontId="11" fillId="7" borderId="34" xfId="0" applyNumberFormat="1" applyFont="1" applyFill="1" applyBorder="1" applyAlignment="1">
      <alignment horizontal="center" wrapText="1"/>
    </xf>
    <xf numFmtId="3" fontId="22" fillId="7" borderId="34" xfId="0" applyNumberFormat="1" applyFont="1" applyFill="1" applyBorder="1" applyAlignment="1">
      <alignment horizontal="center"/>
    </xf>
    <xf numFmtId="3" fontId="6" fillId="3" borderId="34" xfId="0" applyNumberFormat="1" applyFont="1" applyFill="1" applyBorder="1" applyAlignment="1">
      <alignment horizontal="center"/>
    </xf>
    <xf numFmtId="3" fontId="11" fillId="0" borderId="21" xfId="0" applyNumberFormat="1" applyFont="1" applyBorder="1" applyAlignment="1">
      <alignment horizontal="center" wrapText="1"/>
    </xf>
    <xf numFmtId="3" fontId="11" fillId="5" borderId="35" xfId="0" applyNumberFormat="1" applyFont="1" applyFill="1" applyBorder="1" applyAlignment="1">
      <alignment horizontal="center"/>
    </xf>
    <xf numFmtId="3" fontId="6" fillId="3" borderId="39" xfId="0" applyNumberFormat="1" applyFont="1" applyFill="1" applyBorder="1" applyAlignment="1">
      <alignment horizontal="center" wrapText="1"/>
    </xf>
    <xf numFmtId="3" fontId="6" fillId="3" borderId="39" xfId="0" applyNumberFormat="1" applyFont="1" applyFill="1" applyBorder="1" applyAlignment="1">
      <alignment horizontal="center"/>
    </xf>
    <xf numFmtId="3" fontId="11" fillId="5" borderId="37" xfId="0" applyNumberFormat="1" applyFont="1" applyFill="1" applyBorder="1" applyAlignment="1">
      <alignment horizontal="center"/>
    </xf>
    <xf numFmtId="3" fontId="13" fillId="7" borderId="35" xfId="0" applyNumberFormat="1" applyFont="1" applyFill="1" applyBorder="1" applyAlignment="1">
      <alignment horizontal="center" wrapText="1"/>
    </xf>
    <xf numFmtId="0" fontId="25" fillId="7" borderId="34" xfId="0" applyFont="1" applyFill="1" applyBorder="1"/>
    <xf numFmtId="0" fontId="25" fillId="7" borderId="35" xfId="0" applyFont="1" applyFill="1" applyBorder="1"/>
    <xf numFmtId="0" fontId="25" fillId="7" borderId="36" xfId="0" applyFont="1" applyFill="1" applyBorder="1"/>
    <xf numFmtId="9" fontId="13" fillId="7" borderId="49" xfId="0" applyNumberFormat="1" applyFont="1" applyFill="1" applyBorder="1" applyAlignment="1">
      <alignment horizontal="center"/>
    </xf>
    <xf numFmtId="0" fontId="25" fillId="0" borderId="18" xfId="0" applyFont="1" applyBorder="1"/>
    <xf numFmtId="0" fontId="13" fillId="6" borderId="37" xfId="0" applyFont="1" applyFill="1" applyBorder="1" applyAlignment="1">
      <alignment horizontal="center"/>
    </xf>
    <xf numFmtId="0" fontId="6" fillId="5" borderId="34" xfId="0" applyFont="1" applyFill="1" applyBorder="1"/>
    <xf numFmtId="0" fontId="6" fillId="5" borderId="35" xfId="0" applyFont="1" applyFill="1" applyBorder="1"/>
    <xf numFmtId="0" fontId="6" fillId="5" borderId="36" xfId="0" applyFont="1" applyFill="1" applyBorder="1"/>
    <xf numFmtId="3" fontId="31" fillId="6" borderId="36" xfId="0" applyNumberFormat="1" applyFont="1" applyFill="1" applyBorder="1" applyAlignment="1">
      <alignment horizontal="center"/>
    </xf>
    <xf numFmtId="3" fontId="31" fillId="6" borderId="13" xfId="0" applyNumberFormat="1" applyFont="1" applyFill="1" applyBorder="1" applyAlignment="1">
      <alignment horizontal="center"/>
    </xf>
    <xf numFmtId="0" fontId="31" fillId="6" borderId="13" xfId="0" applyFont="1" applyFill="1" applyBorder="1" applyAlignment="1">
      <alignment horizontal="center"/>
    </xf>
    <xf numFmtId="3" fontId="11" fillId="0" borderId="23" xfId="0" applyNumberFormat="1" applyFont="1" applyBorder="1" applyAlignment="1">
      <alignment horizontal="center" wrapText="1"/>
    </xf>
    <xf numFmtId="0" fontId="6" fillId="5" borderId="39" xfId="0" applyFont="1" applyFill="1" applyBorder="1"/>
    <xf numFmtId="0" fontId="6" fillId="5" borderId="40" xfId="0" applyFont="1" applyFill="1" applyBorder="1"/>
    <xf numFmtId="0" fontId="6" fillId="5" borderId="41" xfId="0" applyFont="1" applyFill="1" applyBorder="1"/>
    <xf numFmtId="0" fontId="6" fillId="0" borderId="24" xfId="0" applyFont="1" applyBorder="1"/>
    <xf numFmtId="9" fontId="11" fillId="0" borderId="25" xfId="0" applyNumberFormat="1" applyFont="1" applyBorder="1" applyAlignment="1">
      <alignment horizontal="center"/>
    </xf>
    <xf numFmtId="3" fontId="31" fillId="6" borderId="41" xfId="0" applyNumberFormat="1" applyFont="1" applyFill="1" applyBorder="1" applyAlignment="1">
      <alignment horizontal="center"/>
    </xf>
    <xf numFmtId="3" fontId="11" fillId="6" borderId="39" xfId="0" applyNumberFormat="1" applyFont="1" applyFill="1" applyBorder="1" applyAlignment="1">
      <alignment horizontal="center"/>
    </xf>
    <xf numFmtId="0" fontId="12" fillId="14" borderId="40" xfId="0" applyFont="1" applyFill="1" applyBorder="1" applyAlignment="1">
      <alignment horizontal="center" wrapText="1"/>
    </xf>
    <xf numFmtId="0" fontId="12" fillId="12" borderId="40" xfId="0" applyFont="1" applyFill="1" applyBorder="1" applyAlignment="1">
      <alignment horizontal="center"/>
    </xf>
    <xf numFmtId="0" fontId="12" fillId="12" borderId="39" xfId="0" applyFont="1" applyFill="1" applyBorder="1" applyAlignment="1">
      <alignment horizontal="center"/>
    </xf>
    <xf numFmtId="0" fontId="12" fillId="12" borderId="40" xfId="0" applyFont="1" applyFill="1" applyBorder="1" applyAlignment="1">
      <alignment horizontal="center" wrapText="1"/>
    </xf>
    <xf numFmtId="0" fontId="12" fillId="15" borderId="12" xfId="0" applyFont="1" applyFill="1" applyBorder="1" applyAlignment="1">
      <alignment horizontal="center" wrapText="1"/>
    </xf>
    <xf numFmtId="0" fontId="12" fillId="15" borderId="41" xfId="0" applyFont="1" applyFill="1" applyBorder="1" applyAlignment="1">
      <alignment horizontal="center"/>
    </xf>
    <xf numFmtId="0" fontId="12" fillId="15" borderId="39" xfId="0" applyFont="1" applyFill="1" applyBorder="1" applyAlignment="1">
      <alignment horizontal="center"/>
    </xf>
    <xf numFmtId="3" fontId="11" fillId="14" borderId="34" xfId="0" applyNumberFormat="1" applyFont="1" applyFill="1" applyBorder="1" applyAlignment="1">
      <alignment horizontal="center"/>
    </xf>
    <xf numFmtId="3" fontId="11" fillId="14" borderId="35" xfId="0" applyNumberFormat="1" applyFont="1" applyFill="1" applyBorder="1" applyAlignment="1">
      <alignment horizontal="center"/>
    </xf>
    <xf numFmtId="3" fontId="11" fillId="12" borderId="36" xfId="0" applyNumberFormat="1" applyFont="1" applyFill="1" applyBorder="1" applyAlignment="1">
      <alignment horizontal="center"/>
    </xf>
    <xf numFmtId="3" fontId="11" fillId="15" borderId="36" xfId="0" applyNumberFormat="1" applyFont="1" applyFill="1" applyBorder="1" applyAlignment="1">
      <alignment horizontal="center"/>
    </xf>
    <xf numFmtId="3" fontId="11" fillId="15" borderId="13" xfId="0" applyNumberFormat="1" applyFont="1" applyFill="1" applyBorder="1" applyAlignment="1">
      <alignment horizontal="center"/>
    </xf>
    <xf numFmtId="3" fontId="18" fillId="14" borderId="12" xfId="0" applyNumberFormat="1" applyFont="1" applyFill="1" applyBorder="1" applyAlignment="1">
      <alignment horizontal="center"/>
    </xf>
    <xf numFmtId="3" fontId="18" fillId="12" borderId="12" xfId="0" applyNumberFormat="1" applyFont="1" applyFill="1" applyBorder="1" applyAlignment="1">
      <alignment horizontal="center"/>
    </xf>
    <xf numFmtId="3" fontId="12" fillId="12" borderId="12" xfId="0" applyNumberFormat="1" applyFont="1" applyFill="1" applyBorder="1" applyAlignment="1">
      <alignment horizontal="center"/>
    </xf>
    <xf numFmtId="3" fontId="12" fillId="12" borderId="12" xfId="0" applyNumberFormat="1" applyFont="1" applyFill="1" applyBorder="1"/>
    <xf numFmtId="3" fontId="18" fillId="15" borderId="12" xfId="0" applyNumberFormat="1" applyFont="1" applyFill="1" applyBorder="1" applyAlignment="1">
      <alignment horizontal="center"/>
    </xf>
    <xf numFmtId="3" fontId="12" fillId="15" borderId="12" xfId="0" applyNumberFormat="1" applyFont="1" applyFill="1" applyBorder="1" applyAlignment="1">
      <alignment horizontal="center"/>
    </xf>
    <xf numFmtId="3" fontId="19" fillId="12" borderId="13" xfId="0" applyNumberFormat="1" applyFont="1" applyFill="1" applyBorder="1" applyAlignment="1">
      <alignment horizontal="center"/>
    </xf>
    <xf numFmtId="3" fontId="20" fillId="12" borderId="13" xfId="0" applyNumberFormat="1" applyFont="1" applyFill="1" applyBorder="1" applyAlignment="1">
      <alignment horizontal="center"/>
    </xf>
    <xf numFmtId="3" fontId="21" fillId="12" borderId="13" xfId="0" applyNumberFormat="1" applyFont="1" applyFill="1" applyBorder="1" applyAlignment="1">
      <alignment horizontal="center"/>
    </xf>
    <xf numFmtId="3" fontId="22" fillId="12" borderId="13" xfId="0" applyNumberFormat="1" applyFont="1" applyFill="1" applyBorder="1" applyAlignment="1">
      <alignment horizontal="center"/>
    </xf>
    <xf numFmtId="3" fontId="22" fillId="14" borderId="35" xfId="0" applyNumberFormat="1" applyFont="1" applyFill="1" applyBorder="1" applyAlignment="1">
      <alignment horizontal="center"/>
    </xf>
    <xf numFmtId="3" fontId="21" fillId="14" borderId="35" xfId="0" applyNumberFormat="1" applyFont="1" applyFill="1" applyBorder="1" applyAlignment="1">
      <alignment horizontal="center"/>
    </xf>
    <xf numFmtId="3" fontId="21" fillId="12" borderId="36" xfId="0" applyNumberFormat="1" applyFont="1" applyFill="1" applyBorder="1" applyAlignment="1">
      <alignment horizontal="center"/>
    </xf>
    <xf numFmtId="3" fontId="24" fillId="14" borderId="35" xfId="0" applyNumberFormat="1" applyFont="1" applyFill="1" applyBorder="1" applyAlignment="1">
      <alignment horizontal="center"/>
    </xf>
    <xf numFmtId="3" fontId="11" fillId="14" borderId="37" xfId="0" applyNumberFormat="1" applyFont="1" applyFill="1" applyBorder="1" applyAlignment="1">
      <alignment horizontal="center"/>
    </xf>
    <xf numFmtId="3" fontId="21" fillId="14" borderId="13" xfId="0" applyNumberFormat="1" applyFont="1" applyFill="1" applyBorder="1" applyAlignment="1">
      <alignment horizontal="center"/>
    </xf>
    <xf numFmtId="3" fontId="22" fillId="14" borderId="13" xfId="0" applyNumberFormat="1" applyFont="1" applyFill="1" applyBorder="1" applyAlignment="1">
      <alignment horizontal="center"/>
    </xf>
    <xf numFmtId="3" fontId="22" fillId="12" borderId="36" xfId="0" applyNumberFormat="1" applyFont="1" applyFill="1" applyBorder="1" applyAlignment="1">
      <alignment horizontal="center"/>
    </xf>
    <xf numFmtId="3" fontId="12" fillId="7" borderId="34" xfId="0" applyNumberFormat="1" applyFont="1" applyFill="1" applyBorder="1" applyAlignment="1">
      <alignment horizontal="center"/>
    </xf>
    <xf numFmtId="3" fontId="22" fillId="14" borderId="48" xfId="0" applyNumberFormat="1" applyFont="1" applyFill="1" applyBorder="1" applyAlignment="1">
      <alignment horizontal="center"/>
    </xf>
    <xf numFmtId="3" fontId="11" fillId="12" borderId="38" xfId="0" applyNumberFormat="1" applyFont="1" applyFill="1" applyBorder="1" applyAlignment="1">
      <alignment horizontal="center"/>
    </xf>
    <xf numFmtId="3" fontId="11" fillId="12" borderId="48" xfId="0" applyNumberFormat="1" applyFont="1" applyFill="1" applyBorder="1" applyAlignment="1">
      <alignment horizontal="center"/>
    </xf>
    <xf numFmtId="3" fontId="22" fillId="12" borderId="49" xfId="0" applyNumberFormat="1" applyFont="1" applyFill="1" applyBorder="1" applyAlignment="1">
      <alignment horizontal="center"/>
    </xf>
    <xf numFmtId="3" fontId="11" fillId="15" borderId="48" xfId="0" applyNumberFormat="1" applyFont="1" applyFill="1" applyBorder="1" applyAlignment="1">
      <alignment horizontal="center"/>
    </xf>
    <xf numFmtId="3" fontId="21" fillId="14" borderId="38" xfId="0" applyNumberFormat="1" applyFont="1" applyFill="1" applyBorder="1" applyAlignment="1">
      <alignment horizontal="center"/>
    </xf>
    <xf numFmtId="3" fontId="13" fillId="14" borderId="34" xfId="0" applyNumberFormat="1" applyFont="1" applyFill="1" applyBorder="1" applyAlignment="1">
      <alignment horizontal="center"/>
    </xf>
    <xf numFmtId="3" fontId="26" fillId="14" borderId="13" xfId="0" applyNumberFormat="1" applyFont="1" applyFill="1" applyBorder="1" applyAlignment="1">
      <alignment horizontal="center"/>
    </xf>
    <xf numFmtId="3" fontId="13" fillId="12" borderId="35" xfId="0" applyNumberFormat="1" applyFont="1" applyFill="1" applyBorder="1" applyAlignment="1">
      <alignment horizontal="center"/>
    </xf>
    <xf numFmtId="3" fontId="13" fillId="12" borderId="13" xfId="0" applyNumberFormat="1" applyFont="1" applyFill="1" applyBorder="1" applyAlignment="1">
      <alignment horizontal="center"/>
    </xf>
    <xf numFmtId="3" fontId="26" fillId="12" borderId="36" xfId="0" applyNumberFormat="1" applyFont="1" applyFill="1" applyBorder="1" applyAlignment="1">
      <alignment horizontal="center"/>
    </xf>
    <xf numFmtId="3" fontId="13" fillId="15" borderId="13" xfId="0" applyNumberFormat="1" applyFont="1" applyFill="1" applyBorder="1" applyAlignment="1">
      <alignment horizontal="center"/>
    </xf>
    <xf numFmtId="3" fontId="24" fillId="14" borderId="13" xfId="0" applyNumberFormat="1" applyFont="1" applyFill="1" applyBorder="1" applyAlignment="1">
      <alignment horizontal="center"/>
    </xf>
    <xf numFmtId="3" fontId="24" fillId="12" borderId="36" xfId="0" applyNumberFormat="1" applyFont="1" applyFill="1" applyBorder="1" applyAlignment="1">
      <alignment horizontal="center"/>
    </xf>
    <xf numFmtId="3" fontId="21" fillId="12" borderId="37" xfId="0" applyNumberFormat="1" applyFont="1" applyFill="1" applyBorder="1" applyAlignment="1">
      <alignment horizontal="center"/>
    </xf>
    <xf numFmtId="3" fontId="21" fillId="15" borderId="34" xfId="0" applyNumberFormat="1" applyFont="1" applyFill="1" applyBorder="1" applyAlignment="1">
      <alignment horizontal="center"/>
    </xf>
    <xf numFmtId="3" fontId="22" fillId="15" borderId="34" xfId="0" applyNumberFormat="1" applyFont="1" applyFill="1" applyBorder="1" applyAlignment="1">
      <alignment horizontal="center"/>
    </xf>
    <xf numFmtId="3" fontId="11" fillId="12" borderId="0" xfId="0" applyNumberFormat="1" applyFont="1" applyFill="1" applyAlignment="1">
      <alignment horizontal="center"/>
    </xf>
    <xf numFmtId="0" fontId="6" fillId="3" borderId="0" xfId="0" applyFont="1" applyFill="1"/>
    <xf numFmtId="3" fontId="11" fillId="6" borderId="0" xfId="0" applyNumberFormat="1" applyFont="1" applyFill="1" applyAlignment="1">
      <alignment horizontal="center"/>
    </xf>
    <xf numFmtId="3" fontId="12" fillId="14" borderId="12" xfId="0" applyNumberFormat="1" applyFont="1" applyFill="1" applyBorder="1" applyAlignment="1">
      <alignment horizontal="center"/>
    </xf>
    <xf numFmtId="3" fontId="22" fillId="12" borderId="12" xfId="0" applyNumberFormat="1" applyFont="1" applyFill="1" applyBorder="1" applyAlignment="1">
      <alignment horizontal="center"/>
    </xf>
    <xf numFmtId="9" fontId="11" fillId="14" borderId="35" xfId="0" applyNumberFormat="1" applyFont="1" applyFill="1" applyBorder="1" applyAlignment="1">
      <alignment horizontal="center"/>
    </xf>
    <xf numFmtId="3" fontId="29" fillId="14" borderId="35" xfId="0" applyNumberFormat="1" applyFont="1" applyFill="1" applyBorder="1" applyAlignment="1">
      <alignment horizontal="center"/>
    </xf>
    <xf numFmtId="9" fontId="11" fillId="12" borderId="38" xfId="0" applyNumberFormat="1" applyFont="1" applyFill="1" applyBorder="1" applyAlignment="1">
      <alignment horizontal="center"/>
    </xf>
    <xf numFmtId="9" fontId="11" fillId="15" borderId="38" xfId="0" applyNumberFormat="1" applyFont="1" applyFill="1" applyBorder="1" applyAlignment="1">
      <alignment horizontal="center"/>
    </xf>
    <xf numFmtId="9" fontId="11" fillId="12" borderId="35" xfId="0" applyNumberFormat="1" applyFont="1" applyFill="1" applyBorder="1" applyAlignment="1">
      <alignment horizontal="center"/>
    </xf>
    <xf numFmtId="9" fontId="11" fillId="15" borderId="35" xfId="0" applyNumberFormat="1" applyFont="1" applyFill="1" applyBorder="1" applyAlignment="1">
      <alignment horizontal="center"/>
    </xf>
    <xf numFmtId="0" fontId="29" fillId="14" borderId="35" xfId="0" applyFont="1" applyFill="1" applyBorder="1" applyAlignment="1">
      <alignment horizontal="center"/>
    </xf>
    <xf numFmtId="0" fontId="11" fillId="15" borderId="13" xfId="0" applyFont="1" applyFill="1" applyBorder="1"/>
    <xf numFmtId="0" fontId="11" fillId="14" borderId="35" xfId="0" applyFont="1" applyFill="1" applyBorder="1" applyAlignment="1">
      <alignment horizontal="center"/>
    </xf>
    <xf numFmtId="164" fontId="11" fillId="14" borderId="35" xfId="0" applyNumberFormat="1" applyFont="1" applyFill="1" applyBorder="1" applyAlignment="1">
      <alignment horizontal="center"/>
    </xf>
    <xf numFmtId="9" fontId="22" fillId="12" borderId="35" xfId="0" applyNumberFormat="1" applyFont="1" applyFill="1" applyBorder="1" applyAlignment="1">
      <alignment horizontal="center"/>
    </xf>
    <xf numFmtId="9" fontId="22" fillId="15" borderId="35" xfId="0" applyNumberFormat="1" applyFont="1" applyFill="1" applyBorder="1" applyAlignment="1">
      <alignment horizontal="center"/>
    </xf>
    <xf numFmtId="9" fontId="11" fillId="11" borderId="35" xfId="0" applyNumberFormat="1" applyFont="1" applyFill="1" applyBorder="1" applyAlignment="1">
      <alignment horizontal="center"/>
    </xf>
    <xf numFmtId="9" fontId="21" fillId="14" borderId="35" xfId="0" applyNumberFormat="1" applyFont="1" applyFill="1" applyBorder="1" applyAlignment="1">
      <alignment horizontal="center"/>
    </xf>
    <xf numFmtId="9" fontId="22" fillId="12" borderId="38" xfId="0" applyNumberFormat="1" applyFont="1" applyFill="1" applyBorder="1" applyAlignment="1">
      <alignment horizontal="center"/>
    </xf>
    <xf numFmtId="9" fontId="22" fillId="15" borderId="38" xfId="0" applyNumberFormat="1" applyFont="1" applyFill="1" applyBorder="1" applyAlignment="1">
      <alignment horizontal="center"/>
    </xf>
    <xf numFmtId="9" fontId="22" fillId="14" borderId="35" xfId="0" applyNumberFormat="1" applyFont="1" applyFill="1" applyBorder="1" applyAlignment="1">
      <alignment horizontal="center"/>
    </xf>
    <xf numFmtId="164" fontId="11" fillId="14" borderId="38" xfId="0" applyNumberFormat="1" applyFont="1" applyFill="1" applyBorder="1" applyAlignment="1">
      <alignment horizontal="center"/>
    </xf>
    <xf numFmtId="9" fontId="22" fillId="14" borderId="38" xfId="0" applyNumberFormat="1" applyFont="1" applyFill="1" applyBorder="1" applyAlignment="1">
      <alignment horizontal="center"/>
    </xf>
    <xf numFmtId="0" fontId="11" fillId="12" borderId="48" xfId="0" applyFont="1" applyFill="1" applyBorder="1"/>
    <xf numFmtId="0" fontId="11" fillId="15" borderId="48" xfId="0" applyFont="1" applyFill="1" applyBorder="1"/>
    <xf numFmtId="9" fontId="11" fillId="0" borderId="0" xfId="0" applyNumberFormat="1" applyFont="1" applyAlignment="1">
      <alignment horizontal="center"/>
    </xf>
    <xf numFmtId="164" fontId="11" fillId="14" borderId="13" xfId="0" applyNumberFormat="1" applyFont="1" applyFill="1" applyBorder="1" applyAlignment="1">
      <alignment horizontal="center"/>
    </xf>
    <xf numFmtId="9" fontId="21" fillId="14" borderId="38" xfId="0" applyNumberFormat="1" applyFont="1" applyFill="1" applyBorder="1" applyAlignment="1">
      <alignment horizontal="center"/>
    </xf>
    <xf numFmtId="9" fontId="22" fillId="12" borderId="13" xfId="0" applyNumberFormat="1" applyFont="1" applyFill="1" applyBorder="1" applyAlignment="1">
      <alignment horizontal="center"/>
    </xf>
    <xf numFmtId="9" fontId="22" fillId="15" borderId="13" xfId="0" applyNumberFormat="1" applyFont="1" applyFill="1" applyBorder="1" applyAlignment="1">
      <alignment horizontal="center"/>
    </xf>
    <xf numFmtId="164" fontId="21" fillId="14" borderId="35" xfId="0" applyNumberFormat="1" applyFont="1" applyFill="1" applyBorder="1" applyAlignment="1">
      <alignment horizontal="center"/>
    </xf>
    <xf numFmtId="168" fontId="21" fillId="12" borderId="37" xfId="0" applyNumberFormat="1" applyFont="1" applyFill="1" applyBorder="1" applyAlignment="1">
      <alignment horizontal="center"/>
    </xf>
    <xf numFmtId="168" fontId="21" fillId="12" borderId="34" xfId="0" applyNumberFormat="1" applyFont="1" applyFill="1" applyBorder="1" applyAlignment="1">
      <alignment horizontal="center"/>
    </xf>
    <xf numFmtId="168" fontId="22" fillId="12" borderId="34" xfId="0" applyNumberFormat="1" applyFont="1" applyFill="1" applyBorder="1" applyAlignment="1">
      <alignment horizontal="center"/>
    </xf>
    <xf numFmtId="9" fontId="24" fillId="14" borderId="35" xfId="0" applyNumberFormat="1" applyFont="1" applyFill="1" applyBorder="1" applyAlignment="1">
      <alignment horizontal="center"/>
    </xf>
    <xf numFmtId="10" fontId="11" fillId="0" borderId="20" xfId="0" applyNumberFormat="1" applyFont="1" applyBorder="1" applyAlignment="1">
      <alignment horizontal="center"/>
    </xf>
    <xf numFmtId="10" fontId="21" fillId="0" borderId="20" xfId="0" applyNumberFormat="1" applyFont="1" applyBorder="1" applyAlignment="1">
      <alignment horizontal="center"/>
    </xf>
    <xf numFmtId="164" fontId="11" fillId="14" borderId="48" xfId="0" applyNumberFormat="1" applyFont="1" applyFill="1" applyBorder="1" applyAlignment="1">
      <alignment horizontal="center"/>
    </xf>
    <xf numFmtId="9" fontId="22" fillId="14" borderId="37" xfId="0" applyNumberFormat="1" applyFont="1" applyFill="1" applyBorder="1" applyAlignment="1">
      <alignment horizontal="center"/>
    </xf>
    <xf numFmtId="10" fontId="11" fillId="12" borderId="48" xfId="0" applyNumberFormat="1" applyFont="1" applyFill="1" applyBorder="1" applyAlignment="1">
      <alignment horizontal="center"/>
    </xf>
    <xf numFmtId="10" fontId="21" fillId="12" borderId="37" xfId="0" applyNumberFormat="1" applyFont="1" applyFill="1" applyBorder="1" applyAlignment="1">
      <alignment horizontal="center"/>
    </xf>
    <xf numFmtId="0" fontId="6" fillId="0" borderId="18" xfId="0" applyFont="1" applyBorder="1"/>
    <xf numFmtId="9" fontId="11" fillId="6" borderId="38" xfId="0" applyNumberFormat="1" applyFont="1" applyFill="1" applyBorder="1" applyAlignment="1">
      <alignment horizontal="center"/>
    </xf>
    <xf numFmtId="10" fontId="11" fillId="15" borderId="49" xfId="0" applyNumberFormat="1" applyFont="1" applyFill="1" applyBorder="1" applyAlignment="1">
      <alignment horizontal="center"/>
    </xf>
    <xf numFmtId="10" fontId="11" fillId="0" borderId="15" xfId="0" applyNumberFormat="1" applyFont="1" applyBorder="1" applyAlignment="1">
      <alignment horizontal="center"/>
    </xf>
    <xf numFmtId="10" fontId="21" fillId="0" borderId="15" xfId="0" applyNumberFormat="1" applyFont="1" applyBorder="1" applyAlignment="1">
      <alignment horizontal="center"/>
    </xf>
    <xf numFmtId="10" fontId="11" fillId="14" borderId="13" xfId="0" applyNumberFormat="1" applyFont="1" applyFill="1" applyBorder="1" applyAlignment="1">
      <alignment horizontal="center"/>
    </xf>
    <xf numFmtId="9" fontId="22" fillId="14" borderId="34" xfId="0" applyNumberFormat="1" applyFont="1" applyFill="1" applyBorder="1" applyAlignment="1">
      <alignment horizontal="center"/>
    </xf>
    <xf numFmtId="10" fontId="11" fillId="12" borderId="13" xfId="0" applyNumberFormat="1" applyFont="1" applyFill="1" applyBorder="1" applyAlignment="1">
      <alignment horizontal="center"/>
    </xf>
    <xf numFmtId="10" fontId="21" fillId="12" borderId="34" xfId="0" applyNumberFormat="1" applyFont="1" applyFill="1" applyBorder="1" applyAlignment="1">
      <alignment horizontal="center"/>
    </xf>
    <xf numFmtId="10" fontId="11" fillId="15" borderId="36" xfId="0" applyNumberFormat="1" applyFont="1" applyFill="1" applyBorder="1" applyAlignment="1">
      <alignment horizontal="center"/>
    </xf>
    <xf numFmtId="10" fontId="22" fillId="0" borderId="15" xfId="0" applyNumberFormat="1" applyFont="1" applyBorder="1" applyAlignment="1">
      <alignment horizontal="center"/>
    </xf>
    <xf numFmtId="10" fontId="22" fillId="12" borderId="34" xfId="0" applyNumberFormat="1" applyFont="1" applyFill="1" applyBorder="1" applyAlignment="1">
      <alignment horizontal="center"/>
    </xf>
    <xf numFmtId="0" fontId="15" fillId="0" borderId="29" xfId="0" applyFont="1" applyBorder="1"/>
    <xf numFmtId="0" fontId="12" fillId="15" borderId="33" xfId="0" applyFont="1" applyFill="1" applyBorder="1" applyAlignment="1">
      <alignment horizontal="center"/>
    </xf>
    <xf numFmtId="0" fontId="12" fillId="15" borderId="12" xfId="0" applyFont="1" applyFill="1" applyBorder="1" applyAlignment="1">
      <alignment horizontal="center"/>
    </xf>
    <xf numFmtId="1" fontId="11" fillId="7" borderId="35" xfId="0" applyNumberFormat="1" applyFont="1" applyFill="1" applyBorder="1" applyAlignment="1">
      <alignment horizontal="center" wrapText="1"/>
    </xf>
    <xf numFmtId="1" fontId="11" fillId="14" borderId="35" xfId="0" applyNumberFormat="1" applyFont="1" applyFill="1" applyBorder="1" applyAlignment="1">
      <alignment horizontal="center"/>
    </xf>
    <xf numFmtId="1" fontId="11" fillId="9" borderId="35" xfId="0" applyNumberFormat="1" applyFont="1" applyFill="1" applyBorder="1" applyAlignment="1">
      <alignment horizontal="center" wrapText="1"/>
    </xf>
    <xf numFmtId="1" fontId="19" fillId="14" borderId="35" xfId="0" applyNumberFormat="1" applyFont="1" applyFill="1" applyBorder="1" applyAlignment="1">
      <alignment horizontal="center"/>
    </xf>
    <xf numFmtId="1" fontId="21" fillId="14" borderId="35" xfId="0" applyNumberFormat="1" applyFont="1" applyFill="1" applyBorder="1" applyAlignment="1">
      <alignment horizontal="center"/>
    </xf>
    <xf numFmtId="2" fontId="11" fillId="0" borderId="21" xfId="0" applyNumberFormat="1" applyFont="1" applyBorder="1" applyAlignment="1">
      <alignment horizontal="center" wrapText="1"/>
    </xf>
    <xf numFmtId="2" fontId="11" fillId="14" borderId="35" xfId="0" applyNumberFormat="1" applyFont="1" applyFill="1" applyBorder="1" applyAlignment="1">
      <alignment horizontal="center"/>
    </xf>
    <xf numFmtId="2" fontId="11" fillId="10" borderId="35" xfId="0" applyNumberFormat="1" applyFont="1" applyFill="1" applyBorder="1" applyAlignment="1">
      <alignment horizontal="center" wrapText="1"/>
    </xf>
    <xf numFmtId="3" fontId="11" fillId="6" borderId="35" xfId="0" applyNumberFormat="1" applyFont="1" applyFill="1" applyBorder="1" applyAlignment="1">
      <alignment horizontal="center" wrapText="1"/>
    </xf>
    <xf numFmtId="1" fontId="22" fillId="14" borderId="35" xfId="0" applyNumberFormat="1" applyFont="1" applyFill="1" applyBorder="1" applyAlignment="1">
      <alignment horizontal="center"/>
    </xf>
    <xf numFmtId="3" fontId="11" fillId="11" borderId="35" xfId="0" applyNumberFormat="1" applyFont="1" applyFill="1" applyBorder="1" applyAlignment="1">
      <alignment horizontal="center" wrapText="1"/>
    </xf>
    <xf numFmtId="3" fontId="11" fillId="12" borderId="35" xfId="0" applyNumberFormat="1" applyFont="1" applyFill="1" applyBorder="1" applyAlignment="1">
      <alignment horizontal="center" wrapText="1"/>
    </xf>
    <xf numFmtId="3" fontId="11" fillId="9" borderId="35" xfId="0" applyNumberFormat="1" applyFont="1" applyFill="1" applyBorder="1" applyAlignment="1">
      <alignment horizontal="center" wrapText="1"/>
    </xf>
    <xf numFmtId="1" fontId="22" fillId="14" borderId="38" xfId="0" applyNumberFormat="1" applyFont="1" applyFill="1" applyBorder="1" applyAlignment="1">
      <alignment horizontal="center"/>
    </xf>
    <xf numFmtId="3" fontId="11" fillId="13" borderId="35" xfId="0" applyNumberFormat="1" applyFont="1" applyFill="1" applyBorder="1" applyAlignment="1">
      <alignment horizontal="center" wrapText="1"/>
    </xf>
    <xf numFmtId="3" fontId="11" fillId="7" borderId="35" xfId="0" applyNumberFormat="1" applyFont="1" applyFill="1" applyBorder="1" applyAlignment="1">
      <alignment horizontal="center" wrapText="1"/>
    </xf>
    <xf numFmtId="3" fontId="13" fillId="14" borderId="35" xfId="0" applyNumberFormat="1" applyFont="1" applyFill="1" applyBorder="1" applyAlignment="1">
      <alignment horizontal="center"/>
    </xf>
    <xf numFmtId="1" fontId="26" fillId="14" borderId="35" xfId="0" applyNumberFormat="1" applyFont="1" applyFill="1" applyBorder="1" applyAlignment="1">
      <alignment horizontal="center"/>
    </xf>
    <xf numFmtId="0" fontId="25" fillId="12" borderId="35" xfId="0" applyFont="1" applyFill="1" applyBorder="1"/>
    <xf numFmtId="0" fontId="25" fillId="12" borderId="13" xfId="0" applyFont="1" applyFill="1" applyBorder="1"/>
    <xf numFmtId="3" fontId="26" fillId="12" borderId="37" xfId="0" applyNumberFormat="1" applyFont="1" applyFill="1" applyBorder="1" applyAlignment="1">
      <alignment horizontal="center"/>
    </xf>
    <xf numFmtId="0" fontId="25" fillId="15" borderId="13" xfId="0" applyFont="1" applyFill="1" applyBorder="1"/>
    <xf numFmtId="0" fontId="6" fillId="15" borderId="13" xfId="0" applyFont="1" applyFill="1" applyBorder="1"/>
    <xf numFmtId="1" fontId="24" fillId="14" borderId="35" xfId="0" applyNumberFormat="1" applyFont="1" applyFill="1" applyBorder="1" applyAlignment="1">
      <alignment horizontal="center"/>
    </xf>
    <xf numFmtId="3" fontId="24" fillId="12" borderId="34" xfId="0" applyNumberFormat="1" applyFont="1" applyFill="1" applyBorder="1" applyAlignment="1">
      <alignment horizontal="center"/>
    </xf>
    <xf numFmtId="3" fontId="22" fillId="0" borderId="21" xfId="0" applyNumberFormat="1" applyFont="1" applyBorder="1" applyAlignment="1">
      <alignment horizontal="center" wrapText="1"/>
    </xf>
    <xf numFmtId="0" fontId="6" fillId="12" borderId="35" xfId="0" applyFont="1" applyFill="1" applyBorder="1" applyAlignment="1">
      <alignment horizontal="center"/>
    </xf>
    <xf numFmtId="3" fontId="21" fillId="0" borderId="21" xfId="0" applyNumberFormat="1" applyFont="1" applyBorder="1" applyAlignment="1">
      <alignment horizontal="center" wrapText="1"/>
    </xf>
    <xf numFmtId="0" fontId="12" fillId="12" borderId="32" xfId="0" applyFont="1" applyFill="1" applyBorder="1" applyAlignment="1">
      <alignment horizontal="center"/>
    </xf>
    <xf numFmtId="0" fontId="12" fillId="12" borderId="12" xfId="0" applyFont="1" applyFill="1" applyBorder="1" applyAlignment="1">
      <alignment horizontal="center"/>
    </xf>
    <xf numFmtId="0" fontId="12" fillId="12" borderId="32" xfId="0" applyFont="1" applyFill="1" applyBorder="1" applyAlignment="1">
      <alignment horizontal="center" wrapText="1"/>
    </xf>
    <xf numFmtId="17" fontId="6" fillId="0" borderId="20" xfId="0" applyNumberFormat="1" applyFont="1" applyBorder="1" applyAlignment="1">
      <alignment horizontal="center"/>
    </xf>
    <xf numFmtId="2" fontId="6" fillId="0" borderId="20" xfId="0" applyNumberFormat="1" applyFont="1" applyBorder="1" applyAlignment="1">
      <alignment horizontal="center"/>
    </xf>
    <xf numFmtId="2" fontId="6" fillId="14" borderId="37" xfId="0" applyNumberFormat="1" applyFont="1" applyFill="1" applyBorder="1" applyAlignment="1">
      <alignment horizontal="center"/>
    </xf>
    <xf numFmtId="2" fontId="33" fillId="14" borderId="37" xfId="0" applyNumberFormat="1" applyFont="1" applyFill="1" applyBorder="1" applyAlignment="1">
      <alignment horizontal="center"/>
    </xf>
    <xf numFmtId="2" fontId="6" fillId="12" borderId="37" xfId="0" applyNumberFormat="1" applyFont="1" applyFill="1" applyBorder="1" applyAlignment="1">
      <alignment horizontal="center"/>
    </xf>
    <xf numFmtId="2" fontId="32" fillId="12" borderId="34" xfId="0" applyNumberFormat="1" applyFont="1" applyFill="1" applyBorder="1" applyAlignment="1">
      <alignment horizontal="center"/>
    </xf>
    <xf numFmtId="2" fontId="6" fillId="15" borderId="37" xfId="0" applyNumberFormat="1" applyFont="1" applyFill="1" applyBorder="1" applyAlignment="1">
      <alignment horizontal="center"/>
    </xf>
    <xf numFmtId="17" fontId="6" fillId="0" borderId="15" xfId="0" applyNumberFormat="1" applyFont="1" applyBorder="1" applyAlignment="1">
      <alignment horizontal="center"/>
    </xf>
    <xf numFmtId="2" fontId="6" fillId="0" borderId="15" xfId="0" applyNumberFormat="1" applyFont="1" applyBorder="1" applyAlignment="1">
      <alignment horizontal="center"/>
    </xf>
    <xf numFmtId="2" fontId="33" fillId="0" borderId="15" xfId="0" applyNumberFormat="1" applyFont="1" applyBorder="1" applyAlignment="1">
      <alignment horizontal="center"/>
    </xf>
    <xf numFmtId="2" fontId="6" fillId="14" borderId="34" xfId="0" applyNumberFormat="1" applyFont="1" applyFill="1" applyBorder="1" applyAlignment="1">
      <alignment horizontal="center"/>
    </xf>
    <xf numFmtId="2" fontId="33" fillId="14" borderId="34" xfId="0" applyNumberFormat="1" applyFont="1" applyFill="1" applyBorder="1" applyAlignment="1">
      <alignment horizontal="center"/>
    </xf>
    <xf numFmtId="2" fontId="6" fillId="12" borderId="34" xfId="0" applyNumberFormat="1" applyFont="1" applyFill="1" applyBorder="1" applyAlignment="1">
      <alignment horizontal="center"/>
    </xf>
    <xf numFmtId="2" fontId="6" fillId="15" borderId="34" xfId="0" applyNumberFormat="1" applyFont="1" applyFill="1" applyBorder="1" applyAlignment="1">
      <alignment horizontal="center"/>
    </xf>
    <xf numFmtId="2" fontId="32" fillId="15" borderId="34" xfId="0" applyNumberFormat="1" applyFont="1" applyFill="1" applyBorder="1" applyAlignment="1">
      <alignment horizontal="center"/>
    </xf>
    <xf numFmtId="2" fontId="33" fillId="15" borderId="34" xfId="0" applyNumberFormat="1" applyFont="1" applyFill="1" applyBorder="1" applyAlignment="1">
      <alignment horizontal="center"/>
    </xf>
    <xf numFmtId="2" fontId="32" fillId="14" borderId="34" xfId="0" applyNumberFormat="1" applyFont="1" applyFill="1" applyBorder="1" applyAlignment="1">
      <alignment horizontal="center"/>
    </xf>
    <xf numFmtId="0" fontId="12" fillId="12" borderId="40" xfId="0" applyFont="1" applyFill="1" applyBorder="1"/>
    <xf numFmtId="0" fontId="12" fillId="15" borderId="40" xfId="0" applyFont="1" applyFill="1" applyBorder="1"/>
    <xf numFmtId="0" fontId="12" fillId="15" borderId="40" xfId="0" applyFont="1" applyFill="1" applyBorder="1" applyAlignment="1">
      <alignment horizontal="center" wrapText="1"/>
    </xf>
    <xf numFmtId="3" fontId="11" fillId="15" borderId="35" xfId="0" applyNumberFormat="1" applyFont="1" applyFill="1" applyBorder="1" applyAlignment="1">
      <alignment horizontal="center"/>
    </xf>
    <xf numFmtId="3" fontId="12" fillId="15" borderId="12" xfId="0" applyNumberFormat="1" applyFont="1" applyFill="1" applyBorder="1"/>
    <xf numFmtId="3" fontId="19" fillId="15" borderId="13" xfId="0" applyNumberFormat="1" applyFont="1" applyFill="1" applyBorder="1" applyAlignment="1">
      <alignment horizontal="center"/>
    </xf>
    <xf numFmtId="3" fontId="20" fillId="15" borderId="13" xfId="0" applyNumberFormat="1" applyFont="1" applyFill="1" applyBorder="1" applyAlignment="1">
      <alignment horizontal="center"/>
    </xf>
    <xf numFmtId="3" fontId="21" fillId="15" borderId="13" xfId="0" applyNumberFormat="1" applyFont="1" applyFill="1" applyBorder="1" applyAlignment="1">
      <alignment horizontal="center"/>
    </xf>
    <xf numFmtId="3" fontId="22" fillId="15" borderId="13" xfId="0" applyNumberFormat="1" applyFont="1" applyFill="1" applyBorder="1" applyAlignment="1">
      <alignment horizontal="center"/>
    </xf>
    <xf numFmtId="3" fontId="22" fillId="15" borderId="37" xfId="0" applyNumberFormat="1" applyFont="1" applyFill="1" applyBorder="1" applyAlignment="1">
      <alignment horizontal="center"/>
    </xf>
    <xf numFmtId="3" fontId="21" fillId="15" borderId="36" xfId="0" applyNumberFormat="1" applyFont="1" applyFill="1" applyBorder="1" applyAlignment="1">
      <alignment horizontal="center"/>
    </xf>
    <xf numFmtId="3" fontId="22" fillId="15" borderId="36" xfId="0" applyNumberFormat="1" applyFont="1" applyFill="1" applyBorder="1" applyAlignment="1">
      <alignment horizontal="center"/>
    </xf>
    <xf numFmtId="3" fontId="11" fillId="15" borderId="38" xfId="0" applyNumberFormat="1" applyFont="1" applyFill="1" applyBorder="1" applyAlignment="1">
      <alignment horizontal="center"/>
    </xf>
    <xf numFmtId="3" fontId="22" fillId="15" borderId="49" xfId="0" applyNumberFormat="1" applyFont="1" applyFill="1" applyBorder="1" applyAlignment="1">
      <alignment horizontal="center"/>
    </xf>
    <xf numFmtId="3" fontId="13" fillId="15" borderId="35" xfId="0" applyNumberFormat="1" applyFont="1" applyFill="1" applyBorder="1" applyAlignment="1">
      <alignment horizontal="center"/>
    </xf>
    <xf numFmtId="3" fontId="26" fillId="15" borderId="36" xfId="0" applyNumberFormat="1" applyFont="1" applyFill="1" applyBorder="1" applyAlignment="1">
      <alignment horizontal="center"/>
    </xf>
    <xf numFmtId="3" fontId="24" fillId="15" borderId="36" xfId="0" applyNumberFormat="1" applyFont="1" applyFill="1" applyBorder="1" applyAlignment="1">
      <alignment horizontal="center"/>
    </xf>
    <xf numFmtId="17" fontId="6" fillId="0" borderId="0" xfId="0" applyNumberFormat="1" applyFont="1" applyAlignment="1">
      <alignment horizontal="center"/>
    </xf>
    <xf numFmtId="3" fontId="21" fillId="15" borderId="37" xfId="0" applyNumberFormat="1" applyFont="1" applyFill="1" applyBorder="1" applyAlignment="1">
      <alignment horizontal="center"/>
    </xf>
    <xf numFmtId="3" fontId="22" fillId="12" borderId="39" xfId="0" applyNumberFormat="1" applyFont="1" applyFill="1" applyBorder="1" applyAlignment="1">
      <alignment horizontal="center"/>
    </xf>
    <xf numFmtId="3" fontId="22" fillId="15" borderId="12" xfId="0" applyNumberFormat="1" applyFont="1" applyFill="1" applyBorder="1" applyAlignment="1">
      <alignment horizontal="center"/>
    </xf>
    <xf numFmtId="0" fontId="12" fillId="12" borderId="41" xfId="0" applyFont="1" applyFill="1" applyBorder="1" applyAlignment="1">
      <alignment horizontal="center"/>
    </xf>
    <xf numFmtId="0" fontId="12" fillId="15" borderId="40" xfId="0" applyFont="1" applyFill="1" applyBorder="1" applyAlignment="1">
      <alignment horizontal="center"/>
    </xf>
    <xf numFmtId="168" fontId="21" fillId="15" borderId="37" xfId="0" applyNumberFormat="1" applyFont="1" applyFill="1" applyBorder="1" applyAlignment="1">
      <alignment horizontal="center"/>
    </xf>
    <xf numFmtId="168" fontId="21" fillId="15" borderId="34" xfId="0" applyNumberFormat="1" applyFont="1" applyFill="1" applyBorder="1" applyAlignment="1">
      <alignment horizontal="center"/>
    </xf>
    <xf numFmtId="168" fontId="22" fillId="15" borderId="34" xfId="0" applyNumberFormat="1" applyFont="1" applyFill="1" applyBorder="1" applyAlignment="1">
      <alignment horizontal="center"/>
    </xf>
    <xf numFmtId="10" fontId="21" fillId="15" borderId="37" xfId="0" applyNumberFormat="1" applyFont="1" applyFill="1" applyBorder="1" applyAlignment="1">
      <alignment horizontal="center"/>
    </xf>
    <xf numFmtId="10" fontId="21" fillId="15" borderId="34" xfId="0" applyNumberFormat="1" applyFont="1" applyFill="1" applyBorder="1" applyAlignment="1">
      <alignment horizontal="center"/>
    </xf>
    <xf numFmtId="10" fontId="22" fillId="15" borderId="34" xfId="0" applyNumberFormat="1" applyFont="1" applyFill="1" applyBorder="1" applyAlignment="1">
      <alignment horizontal="center"/>
    </xf>
    <xf numFmtId="9" fontId="21" fillId="14" borderId="34" xfId="0" applyNumberFormat="1" applyFont="1" applyFill="1" applyBorder="1" applyAlignment="1">
      <alignment horizontal="center"/>
    </xf>
    <xf numFmtId="10" fontId="11" fillId="0" borderId="16" xfId="0" applyNumberFormat="1" applyFont="1" applyBorder="1" applyAlignment="1">
      <alignment horizontal="center"/>
    </xf>
    <xf numFmtId="10" fontId="11" fillId="14" borderId="53" xfId="0" applyNumberFormat="1" applyFont="1" applyFill="1" applyBorder="1" applyAlignment="1">
      <alignment horizontal="center"/>
    </xf>
    <xf numFmtId="10" fontId="11" fillId="12" borderId="53" xfId="0" applyNumberFormat="1" applyFont="1" applyFill="1" applyBorder="1" applyAlignment="1">
      <alignment horizontal="center"/>
    </xf>
    <xf numFmtId="0" fontId="11" fillId="12" borderId="53" xfId="0" applyFont="1" applyFill="1" applyBorder="1"/>
    <xf numFmtId="10" fontId="22" fillId="12" borderId="39" xfId="0" applyNumberFormat="1" applyFont="1" applyFill="1" applyBorder="1" applyAlignment="1">
      <alignment horizontal="center"/>
    </xf>
    <xf numFmtId="9" fontId="11" fillId="6" borderId="40" xfId="0" applyNumberFormat="1" applyFont="1" applyFill="1" applyBorder="1" applyAlignment="1">
      <alignment horizontal="center"/>
    </xf>
    <xf numFmtId="10" fontId="11" fillId="15" borderId="41" xfId="0" applyNumberFormat="1" applyFont="1" applyFill="1" applyBorder="1" applyAlignment="1">
      <alignment horizontal="center"/>
    </xf>
    <xf numFmtId="0" fontId="12" fillId="14" borderId="32" xfId="0" applyFont="1" applyFill="1" applyBorder="1" applyAlignment="1">
      <alignment horizontal="center" wrapText="1"/>
    </xf>
    <xf numFmtId="0" fontId="12" fillId="12" borderId="32" xfId="0" applyFont="1" applyFill="1" applyBorder="1"/>
    <xf numFmtId="0" fontId="12" fillId="12" borderId="33" xfId="0" applyFont="1" applyFill="1" applyBorder="1" applyAlignment="1">
      <alignment horizontal="center"/>
    </xf>
    <xf numFmtId="0" fontId="12" fillId="15" borderId="32" xfId="0" applyFont="1" applyFill="1" applyBorder="1"/>
    <xf numFmtId="0" fontId="25" fillId="15" borderId="35" xfId="0" applyFont="1" applyFill="1" applyBorder="1"/>
    <xf numFmtId="3" fontId="26" fillId="15" borderId="37" xfId="0" applyNumberFormat="1" applyFont="1" applyFill="1" applyBorder="1" applyAlignment="1">
      <alignment horizontal="center"/>
    </xf>
    <xf numFmtId="0" fontId="6" fillId="15" borderId="35" xfId="0" applyFont="1" applyFill="1" applyBorder="1"/>
    <xf numFmtId="3" fontId="24" fillId="15" borderId="34" xfId="0" applyNumberFormat="1" applyFont="1" applyFill="1" applyBorder="1" applyAlignment="1">
      <alignment horizontal="center"/>
    </xf>
    <xf numFmtId="0" fontId="6" fillId="15" borderId="35" xfId="0" applyFont="1" applyFill="1" applyBorder="1" applyAlignment="1">
      <alignment horizontal="center"/>
    </xf>
    <xf numFmtId="0" fontId="12" fillId="12" borderId="12" xfId="0" applyFont="1" applyFill="1" applyBorder="1" applyAlignment="1">
      <alignment horizontal="center" wrapText="1"/>
    </xf>
    <xf numFmtId="0" fontId="16" fillId="3" borderId="33" xfId="0" applyFont="1" applyFill="1" applyBorder="1" applyAlignment="1">
      <alignment horizontal="center" wrapText="1"/>
    </xf>
    <xf numFmtId="0" fontId="12" fillId="15" borderId="32" xfId="0" applyFont="1" applyFill="1" applyBorder="1" applyAlignment="1">
      <alignment horizontal="center"/>
    </xf>
    <xf numFmtId="2" fontId="32" fillId="15" borderId="37" xfId="0" applyNumberFormat="1" applyFont="1" applyFill="1" applyBorder="1" applyAlignment="1">
      <alignment horizontal="center"/>
    </xf>
    <xf numFmtId="17" fontId="6" fillId="0" borderId="16" xfId="0" applyNumberFormat="1" applyFont="1" applyBorder="1" applyAlignment="1">
      <alignment horizontal="center"/>
    </xf>
    <xf numFmtId="2" fontId="6" fillId="0" borderId="16" xfId="0" applyNumberFormat="1" applyFont="1" applyBorder="1" applyAlignment="1">
      <alignment horizontal="center"/>
    </xf>
    <xf numFmtId="2" fontId="6" fillId="14" borderId="39" xfId="0" applyNumberFormat="1" applyFont="1" applyFill="1" applyBorder="1" applyAlignment="1">
      <alignment horizontal="center"/>
    </xf>
    <xf numFmtId="2" fontId="33" fillId="14" borderId="39" xfId="0" applyNumberFormat="1" applyFont="1" applyFill="1" applyBorder="1" applyAlignment="1">
      <alignment horizontal="center"/>
    </xf>
    <xf numFmtId="2" fontId="6" fillId="12" borderId="39" xfId="0" applyNumberFormat="1" applyFont="1" applyFill="1" applyBorder="1" applyAlignment="1">
      <alignment horizontal="center"/>
    </xf>
    <xf numFmtId="2" fontId="6" fillId="15" borderId="39" xfId="0" applyNumberFormat="1" applyFont="1" applyFill="1" applyBorder="1" applyAlignment="1">
      <alignment horizontal="center"/>
    </xf>
    <xf numFmtId="2" fontId="32" fillId="15" borderId="39" xfId="0" applyNumberFormat="1" applyFont="1" applyFill="1" applyBorder="1" applyAlignment="1">
      <alignment horizontal="center"/>
    </xf>
    <xf numFmtId="0" fontId="6" fillId="0" borderId="12" xfId="0" applyFont="1" applyBorder="1" applyAlignment="1">
      <alignment horizontal="center"/>
    </xf>
    <xf numFmtId="0" fontId="11" fillId="0" borderId="12" xfId="0" applyFont="1" applyBorder="1" applyAlignment="1">
      <alignment horizontal="center"/>
    </xf>
    <xf numFmtId="0" fontId="6" fillId="0" borderId="20" xfId="0" applyFont="1" applyBorder="1"/>
    <xf numFmtId="0" fontId="6" fillId="0" borderId="15" xfId="0" applyFont="1" applyBorder="1"/>
    <xf numFmtId="0" fontId="6" fillId="0" borderId="16" xfId="0" applyFont="1" applyBorder="1"/>
    <xf numFmtId="3" fontId="22" fillId="0" borderId="16" xfId="0" applyNumberFormat="1" applyFont="1" applyBorder="1" applyAlignment="1">
      <alignment horizontal="center"/>
    </xf>
    <xf numFmtId="0" fontId="6" fillId="0" borderId="12" xfId="0" applyFont="1" applyBorder="1" applyAlignment="1">
      <alignment horizontal="left"/>
    </xf>
    <xf numFmtId="3" fontId="6" fillId="0" borderId="12" xfId="0" applyNumberFormat="1" applyFont="1" applyBorder="1" applyAlignment="1">
      <alignment horizontal="center"/>
    </xf>
    <xf numFmtId="0" fontId="6" fillId="0" borderId="12" xfId="0" applyFont="1" applyBorder="1"/>
    <xf numFmtId="3" fontId="11" fillId="0" borderId="12" xfId="0" applyNumberFormat="1" applyFont="1" applyBorder="1" applyAlignment="1">
      <alignment horizontal="center"/>
    </xf>
    <xf numFmtId="9" fontId="11" fillId="0" borderId="12" xfId="0" applyNumberFormat="1" applyFont="1" applyBorder="1" applyAlignment="1">
      <alignment horizontal="center"/>
    </xf>
    <xf numFmtId="0" fontId="1" fillId="0" borderId="12" xfId="0" applyFont="1" applyBorder="1" applyAlignment="1">
      <alignment wrapText="1"/>
    </xf>
    <xf numFmtId="0" fontId="1" fillId="0" borderId="12" xfId="0" applyFont="1" applyBorder="1" applyAlignment="1">
      <alignment horizontal="center" wrapText="1"/>
    </xf>
    <xf numFmtId="0" fontId="1" fillId="0" borderId="0" xfId="0" applyFont="1" applyAlignment="1">
      <alignment wrapText="1"/>
    </xf>
    <xf numFmtId="0" fontId="1" fillId="0" borderId="12" xfId="0" applyFont="1" applyBorder="1"/>
    <xf numFmtId="0" fontId="1" fillId="4" borderId="12" xfId="0" applyFont="1" applyFill="1" applyBorder="1" applyAlignment="1">
      <alignment horizontal="center"/>
    </xf>
    <xf numFmtId="0" fontId="6" fillId="4" borderId="12" xfId="0" applyFont="1" applyFill="1" applyBorder="1" applyAlignment="1">
      <alignment horizontal="center"/>
    </xf>
    <xf numFmtId="0" fontId="33" fillId="0" borderId="12" xfId="0" applyFont="1" applyBorder="1" applyAlignment="1">
      <alignment horizontal="center"/>
    </xf>
    <xf numFmtId="2" fontId="6" fillId="0" borderId="12" xfId="0" applyNumberFormat="1" applyFont="1" applyBorder="1" applyAlignment="1">
      <alignment horizontal="center"/>
    </xf>
    <xf numFmtId="2" fontId="6" fillId="4" borderId="12" xfId="0" applyNumberFormat="1" applyFont="1" applyFill="1" applyBorder="1" applyAlignment="1">
      <alignment horizontal="center"/>
    </xf>
    <xf numFmtId="2" fontId="33" fillId="0" borderId="12" xfId="0" applyNumberFormat="1" applyFont="1" applyBorder="1" applyAlignment="1">
      <alignment horizontal="center"/>
    </xf>
    <xf numFmtId="0" fontId="34" fillId="0" borderId="12" xfId="0" applyFont="1" applyBorder="1" applyAlignment="1">
      <alignment horizontal="center"/>
    </xf>
    <xf numFmtId="2" fontId="1" fillId="0" borderId="12" xfId="0" applyNumberFormat="1" applyFont="1" applyBorder="1" applyAlignment="1">
      <alignment horizontal="center"/>
    </xf>
    <xf numFmtId="2" fontId="1" fillId="4" borderId="12" xfId="0" applyNumberFormat="1" applyFont="1" applyFill="1" applyBorder="1" applyAlignment="1">
      <alignment horizontal="center"/>
    </xf>
    <xf numFmtId="1" fontId="6" fillId="0" borderId="0" xfId="0" applyNumberFormat="1" applyFont="1" applyAlignment="1">
      <alignment horizontal="center"/>
    </xf>
    <xf numFmtId="1" fontId="6" fillId="0" borderId="0" xfId="0" applyNumberFormat="1" applyFont="1" applyAlignment="1">
      <alignment horizontal="center" wrapText="1"/>
    </xf>
    <xf numFmtId="9" fontId="6" fillId="0" borderId="0" xfId="0" applyNumberFormat="1" applyFont="1" applyAlignment="1">
      <alignment horizontal="center"/>
    </xf>
    <xf numFmtId="0" fontId="6" fillId="0" borderId="0" xfId="0" applyFont="1" applyAlignment="1">
      <alignment horizontal="left"/>
    </xf>
    <xf numFmtId="2" fontId="6" fillId="0" borderId="0" xfId="0" applyNumberFormat="1" applyFont="1" applyAlignment="1">
      <alignment horizontal="center"/>
    </xf>
    <xf numFmtId="0" fontId="16" fillId="0" borderId="29" xfId="0" applyFont="1" applyBorder="1" applyAlignment="1">
      <alignment horizontal="center" wrapText="1"/>
    </xf>
    <xf numFmtId="0" fontId="16" fillId="0" borderId="12" xfId="0" applyFont="1" applyBorder="1" applyAlignment="1">
      <alignment horizontal="center"/>
    </xf>
    <xf numFmtId="0" fontId="16" fillId="0" borderId="29" xfId="0" applyFont="1" applyBorder="1" applyAlignment="1">
      <alignment horizontal="center"/>
    </xf>
    <xf numFmtId="0" fontId="16" fillId="0" borderId="12" xfId="0" applyFont="1" applyBorder="1" applyAlignment="1">
      <alignment horizontal="center" wrapText="1"/>
    </xf>
    <xf numFmtId="9" fontId="35" fillId="7" borderId="36" xfId="0" applyNumberFormat="1" applyFont="1" applyFill="1" applyBorder="1" applyAlignment="1">
      <alignment horizontal="center"/>
    </xf>
    <xf numFmtId="3" fontId="6" fillId="7" borderId="34" xfId="0" applyNumberFormat="1" applyFont="1" applyFill="1" applyBorder="1" applyAlignment="1">
      <alignment horizontal="center"/>
    </xf>
    <xf numFmtId="3" fontId="15" fillId="0" borderId="0" xfId="0" applyNumberFormat="1" applyFont="1"/>
    <xf numFmtId="9" fontId="36" fillId="8" borderId="12" xfId="0" applyNumberFormat="1" applyFont="1" applyFill="1" applyBorder="1" applyAlignment="1">
      <alignment horizontal="center"/>
    </xf>
    <xf numFmtId="3" fontId="1" fillId="8" borderId="12" xfId="0" applyNumberFormat="1" applyFont="1" applyFill="1" applyBorder="1" applyAlignment="1">
      <alignment horizontal="center"/>
    </xf>
    <xf numFmtId="3" fontId="1" fillId="8" borderId="12" xfId="0" applyNumberFormat="1" applyFont="1" applyFill="1" applyBorder="1"/>
    <xf numFmtId="3" fontId="11" fillId="4" borderId="34" xfId="0" applyNumberFormat="1" applyFont="1" applyFill="1" applyBorder="1" applyAlignment="1">
      <alignment horizontal="center"/>
    </xf>
    <xf numFmtId="3" fontId="11" fillId="4" borderId="35" xfId="0" applyNumberFormat="1" applyFont="1" applyFill="1" applyBorder="1" applyAlignment="1">
      <alignment horizontal="center"/>
    </xf>
    <xf numFmtId="9" fontId="35" fillId="4" borderId="36" xfId="0" applyNumberFormat="1" applyFont="1" applyFill="1" applyBorder="1" applyAlignment="1">
      <alignment horizontal="center"/>
    </xf>
    <xf numFmtId="164" fontId="11" fillId="4" borderId="36" xfId="0" applyNumberFormat="1" applyFont="1" applyFill="1" applyBorder="1" applyAlignment="1">
      <alignment horizontal="center"/>
    </xf>
    <xf numFmtId="3" fontId="11" fillId="4" borderId="13" xfId="0" applyNumberFormat="1" applyFont="1" applyFill="1" applyBorder="1" applyAlignment="1">
      <alignment horizontal="center"/>
    </xf>
    <xf numFmtId="3" fontId="6" fillId="4" borderId="34" xfId="0" applyNumberFormat="1" applyFont="1" applyFill="1" applyBorder="1" applyAlignment="1">
      <alignment horizontal="center"/>
    </xf>
    <xf numFmtId="3" fontId="6" fillId="4" borderId="13" xfId="0" applyNumberFormat="1" applyFont="1" applyFill="1" applyBorder="1" applyAlignment="1">
      <alignment horizontal="center"/>
    </xf>
    <xf numFmtId="9" fontId="11" fillId="4" borderId="36" xfId="0" applyNumberFormat="1" applyFont="1" applyFill="1" applyBorder="1" applyAlignment="1">
      <alignment horizontal="center"/>
    </xf>
    <xf numFmtId="9" fontId="35" fillId="0" borderId="22" xfId="0" applyNumberFormat="1" applyFont="1" applyBorder="1" applyAlignment="1">
      <alignment horizontal="center"/>
    </xf>
    <xf numFmtId="3" fontId="6" fillId="0" borderId="15" xfId="0" applyNumberFormat="1" applyFont="1" applyBorder="1" applyAlignment="1">
      <alignment horizontal="center"/>
    </xf>
    <xf numFmtId="9" fontId="37" fillId="0" borderId="12" xfId="0" applyNumberFormat="1" applyFont="1" applyBorder="1" applyAlignment="1">
      <alignment horizontal="center"/>
    </xf>
    <xf numFmtId="3" fontId="1" fillId="0" borderId="12" xfId="0" applyNumberFormat="1" applyFont="1" applyBorder="1" applyAlignment="1">
      <alignment horizontal="center"/>
    </xf>
    <xf numFmtId="0" fontId="16" fillId="0" borderId="31" xfId="0" applyFont="1" applyBorder="1" applyAlignment="1">
      <alignment horizontal="center"/>
    </xf>
    <xf numFmtId="1" fontId="29" fillId="7" borderId="34" xfId="0" applyNumberFormat="1" applyFont="1" applyFill="1" applyBorder="1" applyAlignment="1">
      <alignment horizontal="center"/>
    </xf>
    <xf numFmtId="1" fontId="6" fillId="7" borderId="34" xfId="0" applyNumberFormat="1" applyFont="1" applyFill="1" applyBorder="1" applyAlignment="1">
      <alignment horizontal="center" wrapText="1"/>
    </xf>
    <xf numFmtId="1" fontId="11" fillId="7" borderId="34" xfId="0" applyNumberFormat="1" applyFont="1" applyFill="1" applyBorder="1" applyAlignment="1">
      <alignment horizontal="center"/>
    </xf>
    <xf numFmtId="9" fontId="6" fillId="7" borderId="34" xfId="0" applyNumberFormat="1" applyFont="1" applyFill="1" applyBorder="1" applyAlignment="1">
      <alignment horizontal="center" wrapText="1"/>
    </xf>
    <xf numFmtId="0" fontId="6" fillId="7" borderId="34" xfId="0" applyFont="1" applyFill="1" applyBorder="1" applyAlignment="1">
      <alignment horizontal="center"/>
    </xf>
    <xf numFmtId="0" fontId="38" fillId="7" borderId="35" xfId="0" applyFont="1" applyFill="1" applyBorder="1" applyAlignment="1">
      <alignment horizontal="center"/>
    </xf>
    <xf numFmtId="0" fontId="6" fillId="7" borderId="36" xfId="0" applyFont="1" applyFill="1" applyBorder="1"/>
    <xf numFmtId="0" fontId="6" fillId="7" borderId="13" xfId="0" applyFont="1" applyFill="1" applyBorder="1"/>
    <xf numFmtId="9" fontId="11" fillId="4" borderId="34" xfId="0" applyNumberFormat="1" applyFont="1" applyFill="1" applyBorder="1" applyAlignment="1">
      <alignment horizontal="center"/>
    </xf>
    <xf numFmtId="0" fontId="6" fillId="4" borderId="34" xfId="0" applyFont="1" applyFill="1" applyBorder="1" applyAlignment="1">
      <alignment horizontal="center"/>
    </xf>
    <xf numFmtId="9" fontId="11" fillId="4" borderId="35" xfId="0" applyNumberFormat="1" applyFont="1" applyFill="1" applyBorder="1" applyAlignment="1">
      <alignment horizontal="center"/>
    </xf>
    <xf numFmtId="0" fontId="39" fillId="4" borderId="35" xfId="0" applyFont="1" applyFill="1" applyBorder="1" applyAlignment="1">
      <alignment horizontal="center"/>
    </xf>
    <xf numFmtId="0" fontId="6" fillId="4" borderId="36" xfId="0" applyFont="1" applyFill="1" applyBorder="1"/>
    <xf numFmtId="0" fontId="6" fillId="4" borderId="13" xfId="0" applyFont="1" applyFill="1" applyBorder="1"/>
    <xf numFmtId="9" fontId="6" fillId="4" borderId="34" xfId="0" applyNumberFormat="1" applyFont="1" applyFill="1" applyBorder="1" applyAlignment="1">
      <alignment horizontal="center" wrapText="1"/>
    </xf>
    <xf numFmtId="0" fontId="40" fillId="0" borderId="21" xfId="0" applyFont="1" applyBorder="1" applyAlignment="1">
      <alignment horizontal="center"/>
    </xf>
    <xf numFmtId="0" fontId="6" fillId="0" borderId="22" xfId="0" applyFont="1" applyBorder="1"/>
    <xf numFmtId="9" fontId="6" fillId="0" borderId="15" xfId="0" applyNumberFormat="1" applyFont="1" applyBorder="1" applyAlignment="1">
      <alignment horizontal="center" wrapText="1"/>
    </xf>
    <xf numFmtId="9" fontId="11" fillId="0" borderId="16" xfId="0" applyNumberFormat="1" applyFont="1" applyBorder="1" applyAlignment="1">
      <alignment horizontal="center"/>
    </xf>
    <xf numFmtId="9" fontId="11" fillId="0" borderId="23" xfId="0" applyNumberFormat="1" applyFont="1" applyBorder="1" applyAlignment="1">
      <alignment horizontal="center"/>
    </xf>
    <xf numFmtId="0" fontId="40" fillId="0" borderId="23" xfId="0" applyFont="1" applyBorder="1" applyAlignment="1">
      <alignment horizontal="center"/>
    </xf>
    <xf numFmtId="0" fontId="6" fillId="0" borderId="25" xfId="0" applyFont="1" applyBorder="1"/>
    <xf numFmtId="9" fontId="6" fillId="0" borderId="16" xfId="0" applyNumberFormat="1" applyFont="1" applyBorder="1" applyAlignment="1">
      <alignment horizontal="center" wrapText="1"/>
    </xf>
    <xf numFmtId="1" fontId="6" fillId="7" borderId="35" xfId="0" applyNumberFormat="1" applyFont="1" applyFill="1" applyBorder="1" applyAlignment="1">
      <alignment horizontal="center" wrapText="1"/>
    </xf>
    <xf numFmtId="1" fontId="6" fillId="7" borderId="35" xfId="0" applyNumberFormat="1" applyFont="1" applyFill="1" applyBorder="1" applyAlignment="1">
      <alignment horizontal="center"/>
    </xf>
    <xf numFmtId="3" fontId="6" fillId="7" borderId="37" xfId="0" applyNumberFormat="1" applyFont="1" applyFill="1" applyBorder="1" applyAlignment="1">
      <alignment horizontal="center"/>
    </xf>
    <xf numFmtId="1" fontId="6" fillId="7" borderId="37" xfId="0" applyNumberFormat="1" applyFont="1" applyFill="1" applyBorder="1" applyAlignment="1">
      <alignment horizontal="center" wrapText="1"/>
    </xf>
    <xf numFmtId="1" fontId="6" fillId="4" borderId="35" xfId="0" applyNumberFormat="1" applyFont="1" applyFill="1" applyBorder="1" applyAlignment="1">
      <alignment horizontal="center" wrapText="1"/>
    </xf>
    <xf numFmtId="1" fontId="6" fillId="4" borderId="35" xfId="0" applyNumberFormat="1" applyFont="1" applyFill="1" applyBorder="1" applyAlignment="1">
      <alignment horizontal="center"/>
    </xf>
    <xf numFmtId="1" fontId="6" fillId="4" borderId="37" xfId="0" applyNumberFormat="1" applyFont="1" applyFill="1" applyBorder="1" applyAlignment="1">
      <alignment horizontal="center" wrapText="1"/>
    </xf>
    <xf numFmtId="1" fontId="6" fillId="0" borderId="21" xfId="0" applyNumberFormat="1" applyFont="1" applyBorder="1" applyAlignment="1">
      <alignment horizontal="center" wrapText="1"/>
    </xf>
    <xf numFmtId="1" fontId="6" fillId="0" borderId="21" xfId="0" applyNumberFormat="1" applyFont="1" applyBorder="1" applyAlignment="1">
      <alignment horizontal="center"/>
    </xf>
    <xf numFmtId="1" fontId="6" fillId="0" borderId="15" xfId="0" applyNumberFormat="1" applyFont="1" applyBorder="1" applyAlignment="1">
      <alignment horizontal="center" wrapText="1"/>
    </xf>
    <xf numFmtId="3" fontId="6" fillId="0" borderId="16" xfId="0" applyNumberFormat="1" applyFont="1" applyBorder="1" applyAlignment="1">
      <alignment horizontal="center"/>
    </xf>
    <xf numFmtId="1" fontId="6" fillId="0" borderId="16" xfId="0" applyNumberFormat="1" applyFont="1" applyBorder="1" applyAlignment="1">
      <alignment horizontal="center" wrapText="1"/>
    </xf>
    <xf numFmtId="3" fontId="12" fillId="0" borderId="16" xfId="0" applyNumberFormat="1" applyFont="1" applyBorder="1" applyAlignment="1">
      <alignment horizontal="center"/>
    </xf>
    <xf numFmtId="1" fontId="6" fillId="0" borderId="0" xfId="0" applyNumberFormat="1" applyFont="1"/>
    <xf numFmtId="0" fontId="6" fillId="0" borderId="12" xfId="0" applyFont="1" applyBorder="1" applyAlignment="1">
      <alignment vertical="center" wrapText="1"/>
    </xf>
    <xf numFmtId="0" fontId="6" fillId="0" borderId="0" xfId="0" applyFont="1" applyAlignment="1">
      <alignment vertical="center"/>
    </xf>
    <xf numFmtId="0" fontId="16" fillId="16" borderId="12" xfId="0" applyFont="1" applyFill="1" applyBorder="1" applyAlignment="1">
      <alignment horizontal="center" wrapText="1"/>
    </xf>
    <xf numFmtId="0" fontId="16" fillId="16" borderId="57" xfId="0" applyFont="1" applyFill="1" applyBorder="1" applyAlignment="1">
      <alignment horizontal="center" wrapText="1"/>
    </xf>
    <xf numFmtId="3" fontId="11" fillId="16" borderId="34" xfId="0" applyNumberFormat="1" applyFont="1" applyFill="1" applyBorder="1" applyAlignment="1">
      <alignment horizontal="center"/>
    </xf>
    <xf numFmtId="3" fontId="11" fillId="16" borderId="35" xfId="0" applyNumberFormat="1" applyFont="1" applyFill="1" applyBorder="1" applyAlignment="1">
      <alignment horizontal="center"/>
    </xf>
    <xf numFmtId="9" fontId="11" fillId="16" borderId="36" xfId="0" applyNumberFormat="1" applyFont="1" applyFill="1" applyBorder="1" applyAlignment="1">
      <alignment horizontal="center"/>
    </xf>
    <xf numFmtId="3" fontId="11" fillId="16" borderId="39" xfId="0" applyNumberFormat="1" applyFont="1" applyFill="1" applyBorder="1" applyAlignment="1">
      <alignment horizontal="center"/>
    </xf>
    <xf numFmtId="9" fontId="35" fillId="0" borderId="25" xfId="0" applyNumberFormat="1" applyFont="1" applyBorder="1" applyAlignment="1">
      <alignment horizontal="center"/>
    </xf>
    <xf numFmtId="3" fontId="11" fillId="16" borderId="40" xfId="0" applyNumberFormat="1" applyFont="1" applyFill="1" applyBorder="1" applyAlignment="1">
      <alignment horizontal="center"/>
    </xf>
    <xf numFmtId="9" fontId="11" fillId="16" borderId="41" xfId="0" applyNumberFormat="1" applyFont="1" applyFill="1" applyBorder="1" applyAlignment="1">
      <alignment horizontal="center"/>
    </xf>
    <xf numFmtId="0" fontId="16" fillId="0" borderId="30" xfId="0" applyFont="1" applyBorder="1" applyAlignment="1">
      <alignment horizontal="center"/>
    </xf>
    <xf numFmtId="3" fontId="11" fillId="0" borderId="24" xfId="0" applyNumberFormat="1" applyFont="1" applyBorder="1" applyAlignment="1">
      <alignment horizontal="center"/>
    </xf>
    <xf numFmtId="9" fontId="6" fillId="16" borderId="36" xfId="0" applyNumberFormat="1" applyFont="1" applyFill="1" applyBorder="1" applyAlignment="1">
      <alignment horizontal="center"/>
    </xf>
    <xf numFmtId="9" fontId="6" fillId="16" borderId="41" xfId="0" applyNumberFormat="1" applyFont="1" applyFill="1" applyBorder="1" applyAlignment="1">
      <alignment horizontal="center"/>
    </xf>
    <xf numFmtId="0" fontId="11" fillId="12" borderId="55" xfId="0" applyFont="1" applyFill="1" applyBorder="1"/>
    <xf numFmtId="9" fontId="11" fillId="6" borderId="55" xfId="0" applyNumberFormat="1" applyFont="1" applyFill="1" applyBorder="1" applyAlignment="1">
      <alignment horizontal="center"/>
    </xf>
    <xf numFmtId="4" fontId="11" fillId="14" borderId="55" xfId="0" applyNumberFormat="1" applyFont="1" applyFill="1" applyBorder="1" applyAlignment="1">
      <alignment horizontal="center"/>
    </xf>
    <xf numFmtId="0" fontId="6" fillId="12" borderId="55" xfId="0" applyFont="1" applyFill="1" applyBorder="1"/>
    <xf numFmtId="3" fontId="31" fillId="6" borderId="55" xfId="0" applyNumberFormat="1" applyFont="1" applyFill="1" applyBorder="1" applyAlignment="1">
      <alignment horizontal="center"/>
    </xf>
    <xf numFmtId="4" fontId="11" fillId="0" borderId="59" xfId="0" applyNumberFormat="1" applyFont="1" applyBorder="1" applyAlignment="1">
      <alignment horizontal="center" wrapText="1"/>
    </xf>
    <xf numFmtId="10" fontId="42" fillId="15" borderId="56" xfId="0" applyNumberFormat="1" applyFont="1" applyFill="1" applyBorder="1" applyAlignment="1">
      <alignment horizontal="center"/>
    </xf>
    <xf numFmtId="3" fontId="11" fillId="12" borderId="61" xfId="0" applyNumberFormat="1" applyFont="1" applyFill="1" applyBorder="1" applyAlignment="1">
      <alignment horizontal="center"/>
    </xf>
    <xf numFmtId="3" fontId="43" fillId="15" borderId="56" xfId="0" applyNumberFormat="1" applyFont="1" applyFill="1" applyBorder="1" applyAlignment="1">
      <alignment horizontal="center"/>
    </xf>
    <xf numFmtId="10" fontId="22" fillId="12" borderId="61" xfId="0" applyNumberFormat="1" applyFont="1" applyFill="1" applyBorder="1" applyAlignment="1">
      <alignment horizontal="center"/>
    </xf>
    <xf numFmtId="0" fontId="6" fillId="0" borderId="55" xfId="0" applyFont="1" applyBorder="1"/>
    <xf numFmtId="4" fontId="44" fillId="15" borderId="54" xfId="0" applyNumberFormat="1" applyFont="1" applyFill="1" applyBorder="1" applyAlignment="1">
      <alignment horizontal="center"/>
    </xf>
    <xf numFmtId="3" fontId="47" fillId="17" borderId="61" xfId="0" applyNumberFormat="1" applyFont="1" applyFill="1" applyBorder="1" applyAlignment="1">
      <alignment horizontal="center"/>
    </xf>
    <xf numFmtId="10" fontId="47" fillId="17" borderId="61" xfId="1" applyNumberFormat="1" applyFont="1" applyFill="1" applyBorder="1" applyAlignment="1">
      <alignment horizontal="center"/>
    </xf>
    <xf numFmtId="10" fontId="47" fillId="17" borderId="62" xfId="1" applyNumberFormat="1" applyFont="1" applyFill="1" applyBorder="1" applyAlignment="1">
      <alignment horizontal="center"/>
    </xf>
    <xf numFmtId="4" fontId="47" fillId="17" borderId="61" xfId="0" applyNumberFormat="1" applyFont="1" applyFill="1" applyBorder="1" applyAlignment="1">
      <alignment horizontal="center" wrapText="1"/>
    </xf>
    <xf numFmtId="4" fontId="47" fillId="17" borderId="62" xfId="0" applyNumberFormat="1" applyFont="1" applyFill="1" applyBorder="1" applyAlignment="1">
      <alignment horizontal="center" wrapText="1"/>
    </xf>
    <xf numFmtId="3" fontId="48" fillId="17" borderId="61" xfId="0" applyNumberFormat="1" applyFont="1" applyFill="1" applyBorder="1" applyAlignment="1">
      <alignment horizontal="center"/>
    </xf>
    <xf numFmtId="10" fontId="48" fillId="17" borderId="61" xfId="1" applyNumberFormat="1" applyFont="1" applyFill="1" applyBorder="1" applyAlignment="1">
      <alignment horizontal="center"/>
    </xf>
    <xf numFmtId="10" fontId="48" fillId="17" borderId="62" xfId="1" applyNumberFormat="1" applyFont="1" applyFill="1" applyBorder="1" applyAlignment="1">
      <alignment horizontal="center"/>
    </xf>
    <xf numFmtId="4" fontId="49" fillId="17" borderId="61" xfId="0" applyNumberFormat="1" applyFont="1" applyFill="1" applyBorder="1" applyAlignment="1">
      <alignment horizontal="center"/>
    </xf>
    <xf numFmtId="4" fontId="49" fillId="17" borderId="62" xfId="0" applyNumberFormat="1" applyFont="1" applyFill="1" applyBorder="1" applyAlignment="1">
      <alignment horizontal="center"/>
    </xf>
    <xf numFmtId="0" fontId="46" fillId="18" borderId="63" xfId="0" applyFont="1" applyFill="1" applyBorder="1"/>
    <xf numFmtId="0" fontId="46" fillId="18" borderId="63" xfId="0" applyFont="1" applyFill="1" applyBorder="1" applyAlignment="1">
      <alignment horizontal="center"/>
    </xf>
    <xf numFmtId="0" fontId="46" fillId="0" borderId="0" xfId="0" applyFont="1"/>
    <xf numFmtId="0" fontId="0" fillId="18" borderId="63" xfId="0" applyFill="1" applyBorder="1"/>
    <xf numFmtId="3" fontId="0" fillId="18" borderId="63" xfId="0" applyNumberFormat="1" applyFill="1" applyBorder="1" applyAlignment="1">
      <alignment horizontal="center"/>
    </xf>
    <xf numFmtId="3" fontId="46" fillId="18" borderId="63" xfId="0" applyNumberFormat="1" applyFont="1" applyFill="1" applyBorder="1" applyAlignment="1">
      <alignment horizontal="center"/>
    </xf>
    <xf numFmtId="0" fontId="46" fillId="19" borderId="63" xfId="0" applyFont="1" applyFill="1" applyBorder="1"/>
    <xf numFmtId="0" fontId="46" fillId="19" borderId="63" xfId="0" applyFont="1" applyFill="1" applyBorder="1" applyAlignment="1">
      <alignment horizontal="center"/>
    </xf>
    <xf numFmtId="0" fontId="0" fillId="19" borderId="63" xfId="0" applyFill="1" applyBorder="1"/>
    <xf numFmtId="10" fontId="0" fillId="19" borderId="63" xfId="0" applyNumberFormat="1" applyFill="1" applyBorder="1" applyAlignment="1">
      <alignment horizontal="center"/>
    </xf>
    <xf numFmtId="0" fontId="0" fillId="19" borderId="63" xfId="0" applyFill="1" applyBorder="1" applyAlignment="1">
      <alignment horizontal="center"/>
    </xf>
    <xf numFmtId="9" fontId="46" fillId="19" borderId="63" xfId="1" applyFont="1" applyFill="1" applyBorder="1" applyAlignment="1">
      <alignment horizontal="center"/>
    </xf>
    <xf numFmtId="0" fontId="46" fillId="17" borderId="63" xfId="0" applyFont="1" applyFill="1" applyBorder="1"/>
    <xf numFmtId="0" fontId="46" fillId="17" borderId="63" xfId="0" applyFont="1" applyFill="1" applyBorder="1" applyAlignment="1">
      <alignment horizontal="center"/>
    </xf>
    <xf numFmtId="0" fontId="0" fillId="17" borderId="63" xfId="0" applyFill="1" applyBorder="1"/>
    <xf numFmtId="0" fontId="0" fillId="17" borderId="63" xfId="0" applyFill="1" applyBorder="1" applyAlignment="1">
      <alignment horizontal="center"/>
    </xf>
    <xf numFmtId="1" fontId="46" fillId="17" borderId="63" xfId="0" applyNumberFormat="1" applyFont="1" applyFill="1" applyBorder="1" applyAlignment="1">
      <alignment horizontal="center"/>
    </xf>
    <xf numFmtId="0" fontId="0" fillId="0" borderId="0" xfId="0" applyAlignment="1">
      <alignment horizontal="center"/>
    </xf>
    <xf numFmtId="3" fontId="11" fillId="0" borderId="56" xfId="0" applyNumberFormat="1" applyFont="1" applyBorder="1" applyAlignment="1">
      <alignment horizontal="center"/>
    </xf>
    <xf numFmtId="3" fontId="43" fillId="0" borderId="50" xfId="0" applyNumberFormat="1" applyFont="1" applyBorder="1" applyAlignment="1">
      <alignment horizontal="center"/>
    </xf>
    <xf numFmtId="0" fontId="0" fillId="22" borderId="0" xfId="0" applyFill="1"/>
    <xf numFmtId="0" fontId="1" fillId="3" borderId="51" xfId="0" applyFont="1" applyFill="1" applyBorder="1"/>
    <xf numFmtId="0" fontId="1" fillId="3" borderId="52" xfId="0" applyFont="1" applyFill="1" applyBorder="1"/>
    <xf numFmtId="3" fontId="12" fillId="6" borderId="16" xfId="0" applyNumberFormat="1" applyFont="1" applyFill="1" applyBorder="1" applyAlignment="1">
      <alignment horizontal="center"/>
    </xf>
    <xf numFmtId="3" fontId="50" fillId="15" borderId="16" xfId="0" applyNumberFormat="1" applyFont="1" applyFill="1" applyBorder="1" applyAlignment="1">
      <alignment horizontal="center"/>
    </xf>
    <xf numFmtId="3" fontId="51" fillId="17" borderId="62" xfId="0" applyNumberFormat="1" applyFont="1" applyFill="1" applyBorder="1" applyAlignment="1">
      <alignment horizontal="center"/>
    </xf>
    <xf numFmtId="3" fontId="52" fillId="17" borderId="62" xfId="0" applyNumberFormat="1" applyFont="1" applyFill="1" applyBorder="1" applyAlignment="1">
      <alignment horizontal="center"/>
    </xf>
    <xf numFmtId="0" fontId="53" fillId="0" borderId="0" xfId="0" applyFont="1"/>
    <xf numFmtId="17" fontId="6" fillId="0" borderId="61" xfId="0" applyNumberFormat="1" applyFont="1" applyBorder="1" applyAlignment="1">
      <alignment horizontal="center"/>
    </xf>
    <xf numFmtId="17" fontId="1" fillId="0" borderId="63" xfId="0" applyNumberFormat="1" applyFont="1" applyBorder="1" applyAlignment="1">
      <alignment horizontal="center"/>
    </xf>
    <xf numFmtId="3" fontId="12" fillId="0" borderId="72" xfId="0" applyNumberFormat="1" applyFont="1" applyBorder="1" applyAlignment="1">
      <alignment horizontal="center"/>
    </xf>
    <xf numFmtId="3" fontId="50" fillId="0" borderId="73" xfId="0" applyNumberFormat="1" applyFont="1" applyBorder="1" applyAlignment="1">
      <alignment horizontal="center"/>
    </xf>
    <xf numFmtId="3" fontId="12" fillId="12" borderId="63" xfId="0" applyNumberFormat="1" applyFont="1" applyFill="1" applyBorder="1" applyAlignment="1">
      <alignment horizontal="center"/>
    </xf>
    <xf numFmtId="3" fontId="12" fillId="12" borderId="74" xfId="0" applyNumberFormat="1" applyFont="1" applyFill="1" applyBorder="1" applyAlignment="1">
      <alignment horizontal="center"/>
    </xf>
    <xf numFmtId="3" fontId="20" fillId="12" borderId="75" xfId="0" applyNumberFormat="1" applyFont="1" applyFill="1" applyBorder="1" applyAlignment="1">
      <alignment horizontal="center"/>
    </xf>
    <xf numFmtId="1" fontId="11" fillId="0" borderId="55" xfId="0" applyNumberFormat="1" applyFont="1" applyBorder="1" applyAlignment="1">
      <alignment horizontal="center"/>
    </xf>
    <xf numFmtId="1" fontId="11" fillId="0" borderId="56" xfId="0" applyNumberFormat="1" applyFont="1" applyBorder="1" applyAlignment="1">
      <alignment horizontal="center"/>
    </xf>
    <xf numFmtId="3" fontId="22" fillId="12" borderId="61" xfId="0" applyNumberFormat="1" applyFont="1" applyFill="1" applyBorder="1" applyAlignment="1">
      <alignment horizontal="center"/>
    </xf>
    <xf numFmtId="3" fontId="22" fillId="12" borderId="62" xfId="0" applyNumberFormat="1" applyFont="1" applyFill="1" applyBorder="1" applyAlignment="1">
      <alignment horizontal="center"/>
    </xf>
    <xf numFmtId="3" fontId="42" fillId="12" borderId="58" xfId="0" applyNumberFormat="1" applyFont="1" applyFill="1" applyBorder="1" applyAlignment="1">
      <alignment horizontal="center"/>
    </xf>
    <xf numFmtId="17" fontId="6" fillId="0" borderId="62" xfId="0" applyNumberFormat="1" applyFont="1" applyBorder="1" applyAlignment="1">
      <alignment horizontal="center"/>
    </xf>
    <xf numFmtId="4" fontId="11" fillId="14" borderId="64" xfId="0" applyNumberFormat="1" applyFont="1" applyFill="1" applyBorder="1" applyAlignment="1">
      <alignment horizontal="center"/>
    </xf>
    <xf numFmtId="0" fontId="6" fillId="12" borderId="70" xfId="0" applyFont="1" applyFill="1" applyBorder="1"/>
    <xf numFmtId="3" fontId="42" fillId="12" borderId="71" xfId="0" applyNumberFormat="1" applyFont="1" applyFill="1" applyBorder="1" applyAlignment="1">
      <alignment horizontal="center"/>
    </xf>
    <xf numFmtId="0" fontId="6" fillId="12" borderId="55" xfId="0" applyFont="1" applyFill="1" applyBorder="1" applyAlignment="1">
      <alignment horizontal="center"/>
    </xf>
    <xf numFmtId="0" fontId="6" fillId="12" borderId="70" xfId="0" applyFont="1" applyFill="1" applyBorder="1" applyAlignment="1">
      <alignment horizontal="center"/>
    </xf>
    <xf numFmtId="4" fontId="43" fillId="14" borderId="61" xfId="0" applyNumberFormat="1" applyFont="1" applyFill="1" applyBorder="1" applyAlignment="1">
      <alignment horizontal="center"/>
    </xf>
    <xf numFmtId="4" fontId="42" fillId="14" borderId="61" xfId="0" applyNumberFormat="1" applyFont="1" applyFill="1" applyBorder="1" applyAlignment="1">
      <alignment horizontal="center"/>
    </xf>
    <xf numFmtId="4" fontId="12" fillId="14" borderId="77" xfId="0" applyNumberFormat="1" applyFont="1" applyFill="1" applyBorder="1" applyAlignment="1">
      <alignment horizontal="center"/>
    </xf>
    <xf numFmtId="164" fontId="11" fillId="0" borderId="61" xfId="0" applyNumberFormat="1" applyFont="1" applyBorder="1" applyAlignment="1">
      <alignment horizontal="center"/>
    </xf>
    <xf numFmtId="164" fontId="43" fillId="0" borderId="50" xfId="0" applyNumberFormat="1" applyFont="1" applyBorder="1" applyAlignment="1">
      <alignment horizontal="center"/>
    </xf>
    <xf numFmtId="164" fontId="11" fillId="14" borderId="55" xfId="0" applyNumberFormat="1" applyFont="1" applyFill="1" applyBorder="1" applyAlignment="1">
      <alignment horizontal="center"/>
    </xf>
    <xf numFmtId="164" fontId="42" fillId="14" borderId="61" xfId="0" applyNumberFormat="1" applyFont="1" applyFill="1" applyBorder="1" applyAlignment="1">
      <alignment horizontal="center"/>
    </xf>
    <xf numFmtId="3" fontId="11" fillId="14" borderId="55" xfId="0" applyNumberFormat="1" applyFont="1" applyFill="1" applyBorder="1" applyAlignment="1">
      <alignment horizontal="center"/>
    </xf>
    <xf numFmtId="0" fontId="15" fillId="0" borderId="69" xfId="0" applyFont="1" applyBorder="1" applyAlignment="1">
      <alignment vertical="center"/>
    </xf>
    <xf numFmtId="0" fontId="12" fillId="0" borderId="62" xfId="0" applyFont="1" applyBorder="1" applyAlignment="1">
      <alignment horizontal="center" vertical="center" wrapText="1"/>
    </xf>
    <xf numFmtId="0" fontId="12" fillId="14" borderId="62" xfId="0" applyFont="1" applyFill="1" applyBorder="1" applyAlignment="1">
      <alignment horizontal="center" vertical="center" wrapText="1"/>
    </xf>
    <xf numFmtId="0" fontId="12" fillId="12" borderId="62" xfId="0" applyFont="1" applyFill="1" applyBorder="1" applyAlignment="1">
      <alignment horizontal="center" vertical="center"/>
    </xf>
    <xf numFmtId="0" fontId="12" fillId="12" borderId="62" xfId="0" applyFont="1" applyFill="1" applyBorder="1" applyAlignment="1">
      <alignment horizontal="center" vertical="center" wrapText="1"/>
    </xf>
    <xf numFmtId="0" fontId="16" fillId="3" borderId="65" xfId="0" applyFont="1" applyFill="1" applyBorder="1" applyAlignment="1">
      <alignment horizontal="center" vertical="center" wrapText="1"/>
    </xf>
    <xf numFmtId="0" fontId="16" fillId="3" borderId="64" xfId="0" applyFont="1" applyFill="1" applyBorder="1" applyAlignment="1">
      <alignment horizontal="center" vertical="center" wrapText="1"/>
    </xf>
    <xf numFmtId="0" fontId="12" fillId="6" borderId="60" xfId="0" applyFont="1" applyFill="1" applyBorder="1" applyAlignment="1">
      <alignment horizontal="center" vertical="center" wrapText="1"/>
    </xf>
    <xf numFmtId="0" fontId="12" fillId="15" borderId="64" xfId="0" applyFont="1" applyFill="1" applyBorder="1" applyAlignment="1">
      <alignment horizontal="center" vertical="center" wrapText="1"/>
    </xf>
    <xf numFmtId="0" fontId="12" fillId="17" borderId="63" xfId="0" applyFont="1" applyFill="1" applyBorder="1" applyAlignment="1">
      <alignment horizontal="center" vertical="center" wrapText="1"/>
    </xf>
    <xf numFmtId="0" fontId="15" fillId="0" borderId="0" xfId="0" applyFont="1" applyAlignment="1">
      <alignment vertical="center"/>
    </xf>
    <xf numFmtId="0" fontId="0" fillId="0" borderId="0" xfId="0" applyAlignment="1">
      <alignment vertical="center"/>
    </xf>
    <xf numFmtId="0" fontId="15" fillId="0" borderId="78" xfId="0" applyFont="1" applyBorder="1" applyAlignment="1">
      <alignment vertical="center"/>
    </xf>
    <xf numFmtId="0" fontId="12" fillId="0" borderId="64" xfId="0" applyFont="1" applyBorder="1" applyAlignment="1">
      <alignment horizontal="center" vertical="center" wrapText="1"/>
    </xf>
    <xf numFmtId="0" fontId="12" fillId="14" borderId="64" xfId="0" applyFont="1" applyFill="1" applyBorder="1" applyAlignment="1">
      <alignment horizontal="center" vertical="center" wrapText="1"/>
    </xf>
    <xf numFmtId="0" fontId="12" fillId="14" borderId="63" xfId="0" applyFont="1" applyFill="1" applyBorder="1" applyAlignment="1">
      <alignment horizontal="center" vertical="center" wrapText="1"/>
    </xf>
    <xf numFmtId="0" fontId="12" fillId="0" borderId="70" xfId="0" applyFont="1" applyBorder="1" applyAlignment="1">
      <alignment horizontal="center" vertical="center"/>
    </xf>
    <xf numFmtId="0" fontId="12" fillId="12" borderId="60" xfId="0" applyFont="1" applyFill="1" applyBorder="1" applyAlignment="1">
      <alignment horizontal="center" vertical="center"/>
    </xf>
    <xf numFmtId="0" fontId="12" fillId="12" borderId="64" xfId="0" applyFont="1" applyFill="1" applyBorder="1" applyAlignment="1">
      <alignment horizontal="center" vertical="center"/>
    </xf>
    <xf numFmtId="0" fontId="12" fillId="12" borderId="70" xfId="0" applyFont="1" applyFill="1" applyBorder="1" applyAlignment="1">
      <alignment horizontal="center" vertical="center"/>
    </xf>
    <xf numFmtId="0" fontId="46" fillId="23" borderId="63" xfId="0" applyFont="1" applyFill="1" applyBorder="1"/>
    <xf numFmtId="3" fontId="54" fillId="23" borderId="63" xfId="0" applyNumberFormat="1" applyFont="1" applyFill="1" applyBorder="1" applyAlignment="1">
      <alignment horizontal="center"/>
    </xf>
    <xf numFmtId="3" fontId="55" fillId="23" borderId="63" xfId="0" applyNumberFormat="1" applyFont="1" applyFill="1" applyBorder="1" applyAlignment="1">
      <alignment horizontal="center"/>
    </xf>
    <xf numFmtId="0" fontId="46" fillId="23" borderId="63" xfId="0" applyFont="1" applyFill="1" applyBorder="1" applyAlignment="1">
      <alignment horizontal="center"/>
    </xf>
    <xf numFmtId="10" fontId="54" fillId="23" borderId="63" xfId="0" applyNumberFormat="1" applyFont="1" applyFill="1" applyBorder="1" applyAlignment="1">
      <alignment horizontal="center"/>
    </xf>
    <xf numFmtId="10" fontId="55" fillId="23" borderId="63" xfId="0" applyNumberFormat="1" applyFont="1" applyFill="1" applyBorder="1" applyAlignment="1">
      <alignment horizontal="center"/>
    </xf>
    <xf numFmtId="0" fontId="55" fillId="23" borderId="63" xfId="0" applyFont="1" applyFill="1" applyBorder="1" applyAlignment="1">
      <alignment horizontal="center"/>
    </xf>
    <xf numFmtId="4" fontId="11" fillId="0" borderId="76" xfId="0" applyNumberFormat="1" applyFont="1" applyBorder="1" applyAlignment="1">
      <alignment horizontal="center" wrapText="1"/>
    </xf>
    <xf numFmtId="4" fontId="43" fillId="0" borderId="56" xfId="0" applyNumberFormat="1" applyFont="1" applyBorder="1" applyAlignment="1">
      <alignment horizontal="center"/>
    </xf>
    <xf numFmtId="3" fontId="42" fillId="14" borderId="61" xfId="0" applyNumberFormat="1" applyFont="1" applyFill="1" applyBorder="1" applyAlignment="1">
      <alignment horizontal="center"/>
    </xf>
    <xf numFmtId="3" fontId="56" fillId="14" borderId="63" xfId="0" applyNumberFormat="1" applyFont="1" applyFill="1" applyBorder="1" applyAlignment="1">
      <alignment horizontal="center"/>
    </xf>
    <xf numFmtId="4" fontId="11" fillId="0" borderId="62" xfId="0" applyNumberFormat="1" applyFont="1" applyBorder="1" applyAlignment="1">
      <alignment horizontal="center" wrapText="1"/>
    </xf>
    <xf numFmtId="10" fontId="0" fillId="19" borderId="63" xfId="1" applyNumberFormat="1" applyFont="1" applyFill="1" applyBorder="1" applyAlignment="1">
      <alignment horizontal="center"/>
    </xf>
    <xf numFmtId="10" fontId="57" fillId="23" borderId="63" xfId="0" applyNumberFormat="1" applyFont="1" applyFill="1" applyBorder="1" applyAlignment="1">
      <alignment horizontal="center"/>
    </xf>
    <xf numFmtId="2" fontId="58" fillId="23" borderId="63" xfId="0" applyNumberFormat="1" applyFont="1" applyFill="1" applyBorder="1" applyAlignment="1">
      <alignment horizontal="center"/>
    </xf>
    <xf numFmtId="0" fontId="54" fillId="23" borderId="63" xfId="0" applyFont="1" applyFill="1" applyBorder="1" applyAlignment="1">
      <alignment horizontal="center"/>
    </xf>
    <xf numFmtId="3" fontId="59" fillId="23" borderId="63" xfId="0" applyNumberFormat="1" applyFont="1" applyFill="1" applyBorder="1" applyAlignment="1">
      <alignment horizontal="center"/>
    </xf>
    <xf numFmtId="3" fontId="60" fillId="23" borderId="63" xfId="0" applyNumberFormat="1" applyFont="1" applyFill="1" applyBorder="1" applyAlignment="1">
      <alignment horizontal="center"/>
    </xf>
    <xf numFmtId="1" fontId="0" fillId="17" borderId="63" xfId="0" applyNumberFormat="1" applyFill="1" applyBorder="1" applyAlignment="1">
      <alignment horizontal="center"/>
    </xf>
    <xf numFmtId="1" fontId="55" fillId="23" borderId="63" xfId="0" applyNumberFormat="1" applyFont="1" applyFill="1" applyBorder="1" applyAlignment="1">
      <alignment horizontal="center"/>
    </xf>
    <xf numFmtId="1" fontId="54" fillId="23" borderId="63" xfId="0" applyNumberFormat="1" applyFont="1" applyFill="1" applyBorder="1" applyAlignment="1">
      <alignment horizontal="center"/>
    </xf>
    <xf numFmtId="1" fontId="57" fillId="23" borderId="63" xfId="0" applyNumberFormat="1" applyFont="1" applyFill="1" applyBorder="1" applyAlignment="1">
      <alignment horizontal="center"/>
    </xf>
    <xf numFmtId="3" fontId="43" fillId="14" borderId="61" xfId="0" applyNumberFormat="1" applyFont="1" applyFill="1" applyBorder="1" applyAlignment="1">
      <alignment horizontal="center"/>
    </xf>
    <xf numFmtId="164" fontId="43" fillId="14" borderId="61" xfId="0" applyNumberFormat="1" applyFont="1" applyFill="1" applyBorder="1" applyAlignment="1">
      <alignment horizontal="center"/>
    </xf>
    <xf numFmtId="164" fontId="0" fillId="0" borderId="0" xfId="1" applyNumberFormat="1" applyFont="1"/>
    <xf numFmtId="9" fontId="0" fillId="0" borderId="0" xfId="1" applyFont="1"/>
    <xf numFmtId="9" fontId="0" fillId="19" borderId="63" xfId="1" applyFont="1" applyFill="1" applyBorder="1" applyAlignment="1">
      <alignment horizontal="center"/>
    </xf>
    <xf numFmtId="3" fontId="42" fillId="14" borderId="62" xfId="0" applyNumberFormat="1" applyFont="1" applyFill="1" applyBorder="1" applyAlignment="1">
      <alignment horizontal="center"/>
    </xf>
    <xf numFmtId="4" fontId="42" fillId="14" borderId="62" xfId="0" applyNumberFormat="1" applyFont="1" applyFill="1" applyBorder="1" applyAlignment="1">
      <alignment horizontal="center"/>
    </xf>
    <xf numFmtId="3" fontId="10" fillId="23" borderId="63" xfId="0" applyNumberFormat="1" applyFont="1" applyFill="1" applyBorder="1" applyAlignment="1">
      <alignment horizontal="center"/>
    </xf>
    <xf numFmtId="3" fontId="46" fillId="23" borderId="63" xfId="0" applyNumberFormat="1" applyFont="1" applyFill="1" applyBorder="1" applyAlignment="1">
      <alignment horizontal="center"/>
    </xf>
    <xf numFmtId="10" fontId="10" fillId="23" borderId="63" xfId="0" applyNumberFormat="1" applyFont="1" applyFill="1" applyBorder="1" applyAlignment="1">
      <alignment horizontal="center"/>
    </xf>
    <xf numFmtId="10" fontId="61" fillId="23" borderId="63" xfId="0" applyNumberFormat="1" applyFont="1" applyFill="1" applyBorder="1" applyAlignment="1">
      <alignment horizontal="center"/>
    </xf>
    <xf numFmtId="1" fontId="10" fillId="23" borderId="63" xfId="0" applyNumberFormat="1" applyFont="1" applyFill="1" applyBorder="1" applyAlignment="1">
      <alignment horizontal="center"/>
    </xf>
    <xf numFmtId="1" fontId="61" fillId="23" borderId="63" xfId="0" applyNumberFormat="1" applyFont="1" applyFill="1" applyBorder="1" applyAlignment="1">
      <alignment horizontal="center"/>
    </xf>
    <xf numFmtId="4" fontId="42" fillId="0" borderId="56" xfId="0" applyNumberFormat="1" applyFont="1" applyBorder="1" applyAlignment="1">
      <alignment horizontal="center"/>
    </xf>
    <xf numFmtId="3" fontId="42" fillId="0" borderId="50" xfId="0" applyNumberFormat="1" applyFont="1" applyBorder="1" applyAlignment="1">
      <alignment horizontal="center"/>
    </xf>
    <xf numFmtId="4" fontId="43" fillId="0" borderId="80" xfId="0" applyNumberFormat="1" applyFont="1" applyBorder="1" applyAlignment="1">
      <alignment horizontal="center"/>
    </xf>
    <xf numFmtId="164" fontId="11" fillId="0" borderId="50" xfId="0" applyNumberFormat="1" applyFont="1" applyBorder="1" applyAlignment="1">
      <alignment horizontal="center"/>
    </xf>
    <xf numFmtId="14" fontId="0" fillId="0" borderId="0" xfId="0" applyNumberFormat="1"/>
    <xf numFmtId="22" fontId="0" fillId="0" borderId="0" xfId="0" applyNumberFormat="1"/>
    <xf numFmtId="3" fontId="0" fillId="0" borderId="0" xfId="0" applyNumberFormat="1"/>
    <xf numFmtId="0" fontId="53" fillId="0" borderId="0" xfId="0" applyFont="1" applyAlignment="1">
      <alignment horizontal="center"/>
    </xf>
    <xf numFmtId="0" fontId="7" fillId="21" borderId="66" xfId="0" applyFont="1" applyFill="1" applyBorder="1" applyAlignment="1">
      <alignment horizontal="center" vertical="center"/>
    </xf>
    <xf numFmtId="0" fontId="3" fillId="20" borderId="67" xfId="0" applyFont="1" applyFill="1" applyBorder="1" applyAlignment="1">
      <alignment horizontal="center" vertical="center"/>
    </xf>
    <xf numFmtId="0" fontId="3" fillId="20" borderId="68" xfId="0" applyFont="1" applyFill="1" applyBorder="1" applyAlignment="1">
      <alignment horizontal="center" vertical="center"/>
    </xf>
    <xf numFmtId="0" fontId="7" fillId="21" borderId="79" xfId="0" applyFont="1" applyFill="1" applyBorder="1" applyAlignment="1">
      <alignment horizontal="center" vertical="center"/>
    </xf>
    <xf numFmtId="0" fontId="3" fillId="20" borderId="74" xfId="0" applyFont="1" applyFill="1" applyBorder="1" applyAlignment="1">
      <alignment vertical="center"/>
    </xf>
    <xf numFmtId="0" fontId="3" fillId="20" borderId="75" xfId="0" applyFont="1" applyFill="1" applyBorder="1" applyAlignment="1">
      <alignment vertical="center"/>
    </xf>
    <xf numFmtId="0" fontId="63" fillId="21" borderId="79" xfId="0" applyFont="1" applyFill="1" applyBorder="1" applyAlignment="1">
      <alignment horizontal="center" vertical="center"/>
    </xf>
    <xf numFmtId="0" fontId="62" fillId="20" borderId="74" xfId="0" applyFont="1" applyFill="1" applyBorder="1" applyAlignment="1">
      <alignment vertical="center"/>
    </xf>
    <xf numFmtId="0" fontId="62" fillId="20" borderId="75" xfId="0" applyFont="1" applyFill="1" applyBorder="1" applyAlignment="1">
      <alignment vertical="center"/>
    </xf>
    <xf numFmtId="0" fontId="8" fillId="2" borderId="1" xfId="0" applyFont="1" applyFill="1" applyBorder="1" applyAlignment="1">
      <alignment horizontal="center"/>
    </xf>
    <xf numFmtId="0" fontId="3" fillId="0" borderId="2" xfId="0" applyFont="1" applyBorder="1"/>
    <xf numFmtId="0" fontId="3" fillId="0" borderId="3" xfId="0" applyFont="1" applyBorder="1"/>
    <xf numFmtId="0" fontId="2" fillId="0" borderId="4" xfId="0" applyFont="1" applyBorder="1" applyAlignment="1">
      <alignment horizontal="center"/>
    </xf>
    <xf numFmtId="0" fontId="3" fillId="0" borderId="5" xfId="0" applyFont="1" applyBorder="1"/>
    <xf numFmtId="0" fontId="3" fillId="0" borderId="6" xfId="0" applyFont="1" applyBorder="1"/>
    <xf numFmtId="0" fontId="2" fillId="0" borderId="5" xfId="0" applyFont="1" applyBorder="1" applyAlignment="1">
      <alignment horizontal="center"/>
    </xf>
    <xf numFmtId="0" fontId="2" fillId="0" borderId="0" xfId="0" applyFont="1" applyAlignment="1">
      <alignment horizontal="center"/>
    </xf>
    <xf numFmtId="0" fontId="0" fillId="0" borderId="0" xfId="0"/>
    <xf numFmtId="0" fontId="5" fillId="0" borderId="7" xfId="0" applyFont="1" applyBorder="1" applyAlignment="1">
      <alignment horizontal="center" wrapText="1"/>
    </xf>
    <xf numFmtId="0" fontId="3" fillId="0" borderId="8" xfId="0" applyFont="1" applyBorder="1"/>
    <xf numFmtId="0" fontId="5" fillId="0" borderId="4" xfId="0" applyFont="1" applyBorder="1" applyAlignment="1">
      <alignment horizontal="center"/>
    </xf>
    <xf numFmtId="0" fontId="13" fillId="0" borderId="0" xfId="0" applyFont="1" applyAlignment="1">
      <alignment horizontal="center"/>
    </xf>
    <xf numFmtId="0" fontId="3" fillId="0" borderId="22" xfId="0" applyFont="1" applyBorder="1"/>
    <xf numFmtId="0" fontId="7" fillId="4" borderId="26" xfId="0" applyFont="1" applyFill="1" applyBorder="1" applyAlignment="1">
      <alignment horizontal="center"/>
    </xf>
    <xf numFmtId="0" fontId="3" fillId="0" borderId="27" xfId="0" applyFont="1" applyBorder="1"/>
    <xf numFmtId="0" fontId="3" fillId="0" borderId="28" xfId="0" applyFont="1" applyBorder="1"/>
    <xf numFmtId="0" fontId="7" fillId="4" borderId="1" xfId="0" applyFont="1" applyFill="1" applyBorder="1" applyAlignment="1">
      <alignment horizontal="center"/>
    </xf>
    <xf numFmtId="0" fontId="12" fillId="0" borderId="17" xfId="0" applyFont="1" applyBorder="1" applyAlignment="1">
      <alignment horizontal="center"/>
    </xf>
    <xf numFmtId="0" fontId="3" fillId="0" borderId="19" xfId="0" applyFont="1" applyBorder="1"/>
    <xf numFmtId="0" fontId="12" fillId="0" borderId="21" xfId="0" applyFont="1" applyBorder="1" applyAlignment="1">
      <alignment horizontal="center"/>
    </xf>
    <xf numFmtId="0" fontId="7" fillId="5" borderId="29" xfId="0" applyFont="1" applyFill="1" applyBorder="1" applyAlignment="1">
      <alignment horizontal="center"/>
    </xf>
    <xf numFmtId="0" fontId="3" fillId="0" borderId="30" xfId="0" applyFont="1" applyBorder="1"/>
    <xf numFmtId="0" fontId="3" fillId="0" borderId="31" xfId="0" applyFont="1" applyBorder="1"/>
    <xf numFmtId="0" fontId="12" fillId="0" borderId="23" xfId="0" applyFont="1" applyBorder="1" applyAlignment="1">
      <alignment horizontal="center" wrapText="1"/>
    </xf>
    <xf numFmtId="0" fontId="3" fillId="0" borderId="25" xfId="0" applyFont="1" applyBorder="1"/>
    <xf numFmtId="0" fontId="12" fillId="0" borderId="23" xfId="0" applyFont="1" applyBorder="1" applyAlignment="1">
      <alignment horizontal="center"/>
    </xf>
    <xf numFmtId="0" fontId="3" fillId="0" borderId="24" xfId="0" applyFont="1" applyBorder="1"/>
    <xf numFmtId="0" fontId="12" fillId="5" borderId="42" xfId="0" applyFont="1" applyFill="1" applyBorder="1" applyAlignment="1">
      <alignment horizontal="center"/>
    </xf>
    <xf numFmtId="0" fontId="3" fillId="0" borderId="43" xfId="0" applyFont="1" applyBorder="1"/>
    <xf numFmtId="9" fontId="11" fillId="5" borderId="44" xfId="0" applyNumberFormat="1" applyFont="1" applyFill="1" applyBorder="1" applyAlignment="1">
      <alignment horizontal="center"/>
    </xf>
    <xf numFmtId="0" fontId="3" fillId="0" borderId="45" xfId="0" applyFont="1" applyBorder="1"/>
    <xf numFmtId="9" fontId="11" fillId="5" borderId="46" xfId="0" applyNumberFormat="1" applyFont="1" applyFill="1" applyBorder="1" applyAlignment="1">
      <alignment horizontal="center"/>
    </xf>
    <xf numFmtId="0" fontId="3" fillId="0" borderId="47" xfId="0" applyFont="1" applyBorder="1"/>
    <xf numFmtId="9" fontId="22" fillId="5" borderId="46" xfId="0" applyNumberFormat="1" applyFont="1" applyFill="1" applyBorder="1" applyAlignment="1">
      <alignment horizontal="center"/>
    </xf>
    <xf numFmtId="9" fontId="22" fillId="5" borderId="44" xfId="0" applyNumberFormat="1" applyFont="1" applyFill="1" applyBorder="1" applyAlignment="1">
      <alignment horizontal="center"/>
    </xf>
    <xf numFmtId="1" fontId="19" fillId="0" borderId="21" xfId="0" applyNumberFormat="1" applyFont="1" applyBorder="1" applyAlignment="1">
      <alignment horizontal="center"/>
    </xf>
    <xf numFmtId="1" fontId="22" fillId="0" borderId="21" xfId="0" applyNumberFormat="1" applyFont="1" applyBorder="1" applyAlignment="1">
      <alignment horizontal="center"/>
    </xf>
    <xf numFmtId="1" fontId="22" fillId="6" borderId="46" xfId="0" applyNumberFormat="1" applyFont="1" applyFill="1" applyBorder="1" applyAlignment="1">
      <alignment horizontal="center"/>
    </xf>
    <xf numFmtId="1" fontId="19" fillId="11" borderId="46" xfId="0" applyNumberFormat="1" applyFont="1" applyFill="1" applyBorder="1" applyAlignment="1">
      <alignment horizontal="center"/>
    </xf>
    <xf numFmtId="1" fontId="21" fillId="0" borderId="21" xfId="0" applyNumberFormat="1" applyFont="1" applyBorder="1" applyAlignment="1">
      <alignment horizontal="center"/>
    </xf>
    <xf numFmtId="1" fontId="19" fillId="9" borderId="46" xfId="0" applyNumberFormat="1" applyFont="1" applyFill="1" applyBorder="1" applyAlignment="1">
      <alignment horizontal="center"/>
    </xf>
    <xf numFmtId="1" fontId="21" fillId="9" borderId="46" xfId="0" applyNumberFormat="1" applyFont="1" applyFill="1" applyBorder="1" applyAlignment="1">
      <alignment horizontal="center"/>
    </xf>
    <xf numFmtId="1" fontId="11" fillId="7" borderId="46" xfId="0" applyNumberFormat="1" applyFont="1" applyFill="1" applyBorder="1" applyAlignment="1">
      <alignment horizontal="center"/>
    </xf>
    <xf numFmtId="1" fontId="19" fillId="12" borderId="46" xfId="0" applyNumberFormat="1" applyFont="1" applyFill="1" applyBorder="1" applyAlignment="1">
      <alignment horizontal="center"/>
    </xf>
    <xf numFmtId="1" fontId="22" fillId="9" borderId="44" xfId="0" applyNumberFormat="1" applyFont="1" applyFill="1" applyBorder="1" applyAlignment="1">
      <alignment horizontal="center"/>
    </xf>
    <xf numFmtId="1" fontId="22" fillId="9" borderId="46" xfId="0" applyNumberFormat="1" applyFont="1" applyFill="1" applyBorder="1" applyAlignment="1">
      <alignment horizontal="center"/>
    </xf>
    <xf numFmtId="1" fontId="21" fillId="0" borderId="23" xfId="0" applyNumberFormat="1" applyFont="1" applyBorder="1" applyAlignment="1">
      <alignment horizontal="center"/>
    </xf>
    <xf numFmtId="1" fontId="22" fillId="0" borderId="17" xfId="0" applyNumberFormat="1" applyFont="1" applyBorder="1" applyAlignment="1">
      <alignment horizontal="center"/>
    </xf>
    <xf numFmtId="1" fontId="26" fillId="7" borderId="46" xfId="0" applyNumberFormat="1" applyFont="1" applyFill="1" applyBorder="1" applyAlignment="1">
      <alignment horizontal="center"/>
    </xf>
    <xf numFmtId="1" fontId="22" fillId="13" borderId="46" xfId="0" applyNumberFormat="1" applyFont="1" applyFill="1" applyBorder="1" applyAlignment="1">
      <alignment horizontal="center"/>
    </xf>
    <xf numFmtId="1" fontId="22" fillId="7" borderId="46" xfId="0" applyNumberFormat="1" applyFont="1" applyFill="1" applyBorder="1" applyAlignment="1">
      <alignment horizontal="center"/>
    </xf>
    <xf numFmtId="9" fontId="22" fillId="5" borderId="1" xfId="0" applyNumberFormat="1" applyFont="1" applyFill="1" applyBorder="1" applyAlignment="1">
      <alignment horizontal="center"/>
    </xf>
    <xf numFmtId="1" fontId="11" fillId="7" borderId="44" xfId="0" applyNumberFormat="1" applyFont="1" applyFill="1" applyBorder="1" applyAlignment="1">
      <alignment horizontal="center"/>
    </xf>
    <xf numFmtId="1" fontId="21" fillId="10" borderId="46" xfId="0" applyNumberFormat="1" applyFont="1" applyFill="1" applyBorder="1" applyAlignment="1">
      <alignment horizontal="center"/>
    </xf>
    <xf numFmtId="0" fontId="7" fillId="5" borderId="46" xfId="0" applyFont="1" applyFill="1" applyBorder="1" applyAlignment="1">
      <alignment horizontal="center"/>
    </xf>
    <xf numFmtId="0" fontId="7" fillId="5" borderId="44" xfId="0" applyFont="1" applyFill="1" applyBorder="1" applyAlignment="1">
      <alignment horizontal="center"/>
    </xf>
    <xf numFmtId="0" fontId="6" fillId="0" borderId="0" xfId="0" applyFont="1" applyAlignment="1">
      <alignment horizontal="center"/>
    </xf>
    <xf numFmtId="0" fontId="1" fillId="0" borderId="29" xfId="0" applyFont="1" applyBorder="1" applyAlignment="1">
      <alignment horizontal="center" wrapText="1"/>
    </xf>
    <xf numFmtId="9" fontId="11" fillId="7" borderId="46" xfId="0" applyNumberFormat="1" applyFont="1" applyFill="1" applyBorder="1" applyAlignment="1">
      <alignment horizontal="center"/>
    </xf>
    <xf numFmtId="1" fontId="6" fillId="0" borderId="21" xfId="0" applyNumberFormat="1" applyFont="1" applyBorder="1" applyAlignment="1">
      <alignment horizontal="center"/>
    </xf>
    <xf numFmtId="1" fontId="1" fillId="0" borderId="29" xfId="0" applyNumberFormat="1" applyFont="1" applyBorder="1" applyAlignment="1">
      <alignment horizontal="center"/>
    </xf>
    <xf numFmtId="9" fontId="11" fillId="0" borderId="21" xfId="0" applyNumberFormat="1" applyFont="1" applyBorder="1" applyAlignment="1">
      <alignment horizontal="center"/>
    </xf>
    <xf numFmtId="9" fontId="11" fillId="0" borderId="23" xfId="0" applyNumberFormat="1" applyFont="1" applyBorder="1" applyAlignment="1">
      <alignment horizontal="center"/>
    </xf>
    <xf numFmtId="0" fontId="7" fillId="0" borderId="0" xfId="0" applyFont="1" applyAlignment="1">
      <alignment horizontal="center"/>
    </xf>
    <xf numFmtId="0" fontId="16" fillId="0" borderId="29" xfId="0" applyFont="1" applyBorder="1" applyAlignment="1">
      <alignment horizontal="center"/>
    </xf>
    <xf numFmtId="0" fontId="12" fillId="0" borderId="29" xfId="0" applyFont="1" applyBorder="1" applyAlignment="1">
      <alignment horizontal="center" wrapText="1"/>
    </xf>
    <xf numFmtId="9" fontId="11" fillId="7" borderId="44" xfId="0" applyNumberFormat="1" applyFont="1" applyFill="1" applyBorder="1" applyAlignment="1">
      <alignment horizontal="center"/>
    </xf>
    <xf numFmtId="9" fontId="6" fillId="7" borderId="46" xfId="0" applyNumberFormat="1" applyFont="1" applyFill="1" applyBorder="1" applyAlignment="1">
      <alignment horizontal="center"/>
    </xf>
    <xf numFmtId="9" fontId="6" fillId="4" borderId="46" xfId="0" applyNumberFormat="1" applyFont="1" applyFill="1" applyBorder="1" applyAlignment="1">
      <alignment horizontal="center"/>
    </xf>
    <xf numFmtId="9" fontId="6" fillId="0" borderId="21" xfId="0" applyNumberFormat="1" applyFont="1" applyBorder="1" applyAlignment="1">
      <alignment horizontal="center"/>
    </xf>
    <xf numFmtId="9" fontId="6" fillId="0" borderId="23" xfId="0" applyNumberFormat="1" applyFont="1" applyBorder="1" applyAlignment="1">
      <alignment horizontal="center"/>
    </xf>
    <xf numFmtId="0" fontId="7" fillId="0" borderId="24" xfId="0" applyFont="1" applyBorder="1" applyAlignment="1">
      <alignment horizontal="center"/>
    </xf>
    <xf numFmtId="1" fontId="6" fillId="7" borderId="44" xfId="0" applyNumberFormat="1" applyFont="1" applyFill="1" applyBorder="1" applyAlignment="1">
      <alignment horizontal="center"/>
    </xf>
    <xf numFmtId="1" fontId="6" fillId="7" borderId="46" xfId="0" applyNumberFormat="1" applyFont="1" applyFill="1" applyBorder="1" applyAlignment="1">
      <alignment horizontal="center"/>
    </xf>
    <xf numFmtId="1" fontId="6" fillId="4" borderId="46" xfId="0" applyNumberFormat="1" applyFont="1" applyFill="1" applyBorder="1" applyAlignment="1">
      <alignment horizontal="center"/>
    </xf>
    <xf numFmtId="9" fontId="11" fillId="4" borderId="46" xfId="0" applyNumberFormat="1" applyFont="1" applyFill="1" applyBorder="1" applyAlignment="1">
      <alignment horizontal="center"/>
    </xf>
    <xf numFmtId="0" fontId="16" fillId="16" borderId="29" xfId="0" applyFont="1" applyFill="1" applyBorder="1" applyAlignment="1">
      <alignment horizontal="center"/>
    </xf>
    <xf numFmtId="0" fontId="1" fillId="0" borderId="0" xfId="0" applyFont="1" applyAlignment="1">
      <alignment horizontal="center"/>
    </xf>
  </cellXfs>
  <cellStyles count="2">
    <cellStyle name="Normal" xfId="0" builtinId="0"/>
    <cellStyle name="Per cent" xfId="1" builtinId="5"/>
  </cellStyles>
  <dxfs count="2">
    <dxf>
      <font>
        <color rgb="FF00B050"/>
      </font>
    </dxf>
    <dxf>
      <font>
        <color rgb="FFFF0000"/>
      </font>
    </dxf>
  </dxfs>
  <tableStyles count="0" defaultTableStyle="TableStyleMedium2" defaultPivotStyle="PivotStyleLight16"/>
  <colors>
    <mruColors>
      <color rgb="FFF77FDB"/>
      <color rgb="FFFFBC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customschemas.google.com/relationships/workbookmetadata" Target="meta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Grande</a:t>
            </a:r>
            <a:r>
              <a:rPr lang="en-US" baseline="0"/>
              <a:t> Roche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Revenue!$B$3</c:f>
              <c:strCache>
                <c:ptCount val="1"/>
                <c:pt idx="0">
                  <c:v>OTB 14.08.26</c:v>
                </c:pt>
              </c:strCache>
            </c:strRef>
          </c:tx>
          <c:spPr>
            <a:solidFill>
              <a:srgbClr val="FFBCFA"/>
            </a:solidFill>
            <a:ln>
              <a:noFill/>
            </a:ln>
            <a:effectLst/>
          </c:spPr>
          <c:invertIfNegative val="0"/>
          <c:cat>
            <c:numRef>
              <c:f>Revenue!$A$4:$A$10</c:f>
              <c:numCache>
                <c:formatCode>mmm\-yy</c:formatCode>
                <c:ptCount val="7"/>
                <c:pt idx="0">
                  <c:v>46204</c:v>
                </c:pt>
                <c:pt idx="1">
                  <c:v>46235</c:v>
                </c:pt>
                <c:pt idx="2">
                  <c:v>46266</c:v>
                </c:pt>
                <c:pt idx="3">
                  <c:v>46296</c:v>
                </c:pt>
                <c:pt idx="4">
                  <c:v>46327</c:v>
                </c:pt>
                <c:pt idx="5">
                  <c:v>46357</c:v>
                </c:pt>
                <c:pt idx="6">
                  <c:v>46388</c:v>
                </c:pt>
              </c:numCache>
            </c:numRef>
          </c:cat>
          <c:val>
            <c:numRef>
              <c:f>Revenue!$B$4:$B$10</c:f>
              <c:numCache>
                <c:formatCode>#,##0</c:formatCode>
                <c:ptCount val="7"/>
                <c:pt idx="0">
                  <c:v>435432.82608695398</c:v>
                </c:pt>
                <c:pt idx="1">
                  <c:v>351047.54782609298</c:v>
                </c:pt>
                <c:pt idx="2">
                  <c:v>1769805.7739131299</c:v>
                </c:pt>
                <c:pt idx="3">
                  <c:v>1145575.61739138</c:v>
                </c:pt>
                <c:pt idx="4">
                  <c:v>2324453.1826087702</c:v>
                </c:pt>
                <c:pt idx="5">
                  <c:v>1371059.3130435201</c:v>
                </c:pt>
                <c:pt idx="6">
                  <c:v>1956805</c:v>
                </c:pt>
              </c:numCache>
            </c:numRef>
          </c:val>
          <c:extLst>
            <c:ext xmlns:c16="http://schemas.microsoft.com/office/drawing/2014/chart" uri="{C3380CC4-5D6E-409C-BE32-E72D297353CC}">
              <c16:uniqueId val="{00000000-13B6-6A43-8C84-DB8DBE288A94}"/>
            </c:ext>
          </c:extLst>
        </c:ser>
        <c:ser>
          <c:idx val="1"/>
          <c:order val="1"/>
          <c:tx>
            <c:strRef>
              <c:f>Revenue!$C$3</c:f>
              <c:strCache>
                <c:ptCount val="1"/>
                <c:pt idx="0">
                  <c:v>OTB 29.07.26</c:v>
                </c:pt>
              </c:strCache>
            </c:strRef>
          </c:tx>
          <c:spPr>
            <a:solidFill>
              <a:srgbClr val="F77FDB"/>
            </a:solidFill>
            <a:ln>
              <a:noFill/>
            </a:ln>
            <a:effectLst/>
          </c:spPr>
          <c:invertIfNegative val="0"/>
          <c:cat>
            <c:numRef>
              <c:f>Revenue!$A$4:$A$10</c:f>
              <c:numCache>
                <c:formatCode>mmm\-yy</c:formatCode>
                <c:ptCount val="7"/>
                <c:pt idx="0">
                  <c:v>46204</c:v>
                </c:pt>
                <c:pt idx="1">
                  <c:v>46235</c:v>
                </c:pt>
                <c:pt idx="2">
                  <c:v>46266</c:v>
                </c:pt>
                <c:pt idx="3">
                  <c:v>46296</c:v>
                </c:pt>
                <c:pt idx="4">
                  <c:v>46327</c:v>
                </c:pt>
                <c:pt idx="5">
                  <c:v>46357</c:v>
                </c:pt>
                <c:pt idx="6">
                  <c:v>46388</c:v>
                </c:pt>
              </c:numCache>
            </c:numRef>
          </c:cat>
          <c:val>
            <c:numRef>
              <c:f>Revenue!$C$4:$C$10</c:f>
              <c:numCache>
                <c:formatCode>#,##0</c:formatCode>
                <c:ptCount val="7"/>
                <c:pt idx="0">
                  <c:v>432236.30434782302</c:v>
                </c:pt>
                <c:pt idx="1">
                  <c:v>325201.40000000899</c:v>
                </c:pt>
                <c:pt idx="2">
                  <c:v>1772264.2956522601</c:v>
                </c:pt>
                <c:pt idx="3">
                  <c:v>1123059.7739131199</c:v>
                </c:pt>
                <c:pt idx="4">
                  <c:v>1920241.7043479099</c:v>
                </c:pt>
                <c:pt idx="5">
                  <c:v>1224549.6782609101</c:v>
                </c:pt>
              </c:numCache>
            </c:numRef>
          </c:val>
          <c:extLst>
            <c:ext xmlns:c16="http://schemas.microsoft.com/office/drawing/2014/chart" uri="{C3380CC4-5D6E-409C-BE32-E72D297353CC}">
              <c16:uniqueId val="{00000001-13B6-6A43-8C84-DB8DBE288A94}"/>
            </c:ext>
          </c:extLst>
        </c:ser>
        <c:ser>
          <c:idx val="2"/>
          <c:order val="2"/>
          <c:tx>
            <c:strRef>
              <c:f>Revenue!$D$3</c:f>
              <c:strCache>
                <c:ptCount val="1"/>
                <c:pt idx="0">
                  <c:v>Variance</c:v>
                </c:pt>
              </c:strCache>
            </c:strRef>
          </c:tx>
          <c:spPr>
            <a:solidFill>
              <a:srgbClr val="92D050"/>
            </a:solidFill>
            <a:ln>
              <a:noFill/>
            </a:ln>
            <a:effectLst/>
          </c:spPr>
          <c:invertIfNegative val="0"/>
          <c:cat>
            <c:numRef>
              <c:f>Revenue!$A$4:$A$10</c:f>
              <c:numCache>
                <c:formatCode>mmm\-yy</c:formatCode>
                <c:ptCount val="7"/>
                <c:pt idx="0">
                  <c:v>46204</c:v>
                </c:pt>
                <c:pt idx="1">
                  <c:v>46235</c:v>
                </c:pt>
                <c:pt idx="2">
                  <c:v>46266</c:v>
                </c:pt>
                <c:pt idx="3">
                  <c:v>46296</c:v>
                </c:pt>
                <c:pt idx="4">
                  <c:v>46327</c:v>
                </c:pt>
                <c:pt idx="5">
                  <c:v>46357</c:v>
                </c:pt>
                <c:pt idx="6">
                  <c:v>46388</c:v>
                </c:pt>
              </c:numCache>
            </c:numRef>
          </c:cat>
          <c:val>
            <c:numRef>
              <c:f>Revenue!$D$4:$D$10</c:f>
              <c:numCache>
                <c:formatCode>#,##0</c:formatCode>
                <c:ptCount val="7"/>
                <c:pt idx="0">
                  <c:v>3196.5217391309561</c:v>
                </c:pt>
                <c:pt idx="1">
                  <c:v>25846.147826083994</c:v>
                </c:pt>
                <c:pt idx="2">
                  <c:v>-2458.5217391301412</c:v>
                </c:pt>
                <c:pt idx="3">
                  <c:v>22515.843478260096</c:v>
                </c:pt>
                <c:pt idx="4">
                  <c:v>404211.47826086031</c:v>
                </c:pt>
                <c:pt idx="5">
                  <c:v>146509.63478261</c:v>
                </c:pt>
              </c:numCache>
            </c:numRef>
          </c:val>
          <c:extLst>
            <c:ext xmlns:c16="http://schemas.microsoft.com/office/drawing/2014/chart" uri="{C3380CC4-5D6E-409C-BE32-E72D297353CC}">
              <c16:uniqueId val="{00000002-13B6-6A43-8C84-DB8DBE288A94}"/>
            </c:ext>
          </c:extLst>
        </c:ser>
        <c:ser>
          <c:idx val="3"/>
          <c:order val="3"/>
          <c:tx>
            <c:strRef>
              <c:f>Revenue!$E$3</c:f>
              <c:strCache>
                <c:ptCount val="1"/>
                <c:pt idx="0">
                  <c:v>Last Year Actual</c:v>
                </c:pt>
              </c:strCache>
            </c:strRef>
          </c:tx>
          <c:spPr>
            <a:solidFill>
              <a:schemeClr val="bg1">
                <a:lumMod val="50000"/>
              </a:schemeClr>
            </a:solidFill>
            <a:ln>
              <a:noFill/>
            </a:ln>
            <a:effectLst/>
          </c:spPr>
          <c:invertIfNegative val="0"/>
          <c:cat>
            <c:numRef>
              <c:f>Revenue!$A$4:$A$10</c:f>
              <c:numCache>
                <c:formatCode>mmm\-yy</c:formatCode>
                <c:ptCount val="7"/>
                <c:pt idx="0">
                  <c:v>46204</c:v>
                </c:pt>
                <c:pt idx="1">
                  <c:v>46235</c:v>
                </c:pt>
                <c:pt idx="2">
                  <c:v>46266</c:v>
                </c:pt>
                <c:pt idx="3">
                  <c:v>46296</c:v>
                </c:pt>
                <c:pt idx="4">
                  <c:v>46327</c:v>
                </c:pt>
                <c:pt idx="5">
                  <c:v>46357</c:v>
                </c:pt>
                <c:pt idx="6">
                  <c:v>46388</c:v>
                </c:pt>
              </c:numCache>
            </c:numRef>
          </c:cat>
          <c:val>
            <c:numRef>
              <c:f>Revenue!$E$4:$E$10</c:f>
              <c:numCache>
                <c:formatCode>#,##0</c:formatCode>
                <c:ptCount val="7"/>
                <c:pt idx="0">
                  <c:v>863725.25217390305</c:v>
                </c:pt>
                <c:pt idx="1">
                  <c:v>727787.78260864306</c:v>
                </c:pt>
                <c:pt idx="2">
                  <c:v>740532.12173909997</c:v>
                </c:pt>
                <c:pt idx="3">
                  <c:v>1689533.895652178</c:v>
                </c:pt>
                <c:pt idx="4">
                  <c:v>2489720.7478259932</c:v>
                </c:pt>
                <c:pt idx="5">
                  <c:v>2575263.1217390429</c:v>
                </c:pt>
                <c:pt idx="6">
                  <c:v>3549116.2782607502</c:v>
                </c:pt>
              </c:numCache>
            </c:numRef>
          </c:val>
          <c:extLst>
            <c:ext xmlns:c16="http://schemas.microsoft.com/office/drawing/2014/chart" uri="{C3380CC4-5D6E-409C-BE32-E72D297353CC}">
              <c16:uniqueId val="{00000003-13B6-6A43-8C84-DB8DBE288A94}"/>
            </c:ext>
          </c:extLst>
        </c:ser>
        <c:ser>
          <c:idx val="4"/>
          <c:order val="4"/>
          <c:tx>
            <c:strRef>
              <c:f>Revenue!$F$3</c:f>
              <c:strCache>
                <c:ptCount val="1"/>
                <c:pt idx="0">
                  <c:v>OTB vs LY Actual</c:v>
                </c:pt>
              </c:strCache>
            </c:strRef>
          </c:tx>
          <c:spPr>
            <a:solidFill>
              <a:schemeClr val="bg1">
                <a:lumMod val="75000"/>
              </a:schemeClr>
            </a:solidFill>
            <a:ln>
              <a:noFill/>
            </a:ln>
            <a:effectLst/>
          </c:spPr>
          <c:invertIfNegative val="0"/>
          <c:cat>
            <c:numRef>
              <c:f>Revenue!$A$4:$A$10</c:f>
              <c:numCache>
                <c:formatCode>mmm\-yy</c:formatCode>
                <c:ptCount val="7"/>
                <c:pt idx="0">
                  <c:v>46204</c:v>
                </c:pt>
                <c:pt idx="1">
                  <c:v>46235</c:v>
                </c:pt>
                <c:pt idx="2">
                  <c:v>46266</c:v>
                </c:pt>
                <c:pt idx="3">
                  <c:v>46296</c:v>
                </c:pt>
                <c:pt idx="4">
                  <c:v>46327</c:v>
                </c:pt>
                <c:pt idx="5">
                  <c:v>46357</c:v>
                </c:pt>
                <c:pt idx="6">
                  <c:v>46388</c:v>
                </c:pt>
              </c:numCache>
            </c:numRef>
          </c:cat>
          <c:val>
            <c:numRef>
              <c:f>Revenue!$F$4:$F$10</c:f>
              <c:numCache>
                <c:formatCode>#,##0</c:formatCode>
                <c:ptCount val="7"/>
                <c:pt idx="0">
                  <c:v>-428292.42608694907</c:v>
                </c:pt>
                <c:pt idx="1">
                  <c:v>-376740.23478255008</c:v>
                </c:pt>
                <c:pt idx="2">
                  <c:v>119243.89565220999</c:v>
                </c:pt>
                <c:pt idx="3">
                  <c:v>-543958.27826079796</c:v>
                </c:pt>
                <c:pt idx="4">
                  <c:v>-165267.56521722302</c:v>
                </c:pt>
                <c:pt idx="5">
                  <c:v>-1204203.8086955228</c:v>
                </c:pt>
                <c:pt idx="6">
                  <c:v>-1592311.2782607502</c:v>
                </c:pt>
              </c:numCache>
            </c:numRef>
          </c:val>
          <c:extLst>
            <c:ext xmlns:c16="http://schemas.microsoft.com/office/drawing/2014/chart" uri="{C3380CC4-5D6E-409C-BE32-E72D297353CC}">
              <c16:uniqueId val="{00000004-13B6-6A43-8C84-DB8DBE288A94}"/>
            </c:ext>
          </c:extLst>
        </c:ser>
        <c:dLbls>
          <c:showLegendKey val="0"/>
          <c:showVal val="0"/>
          <c:showCatName val="0"/>
          <c:showSerName val="0"/>
          <c:showPercent val="0"/>
          <c:showBubbleSize val="0"/>
        </c:dLbls>
        <c:gapWidth val="219"/>
        <c:overlap val="-27"/>
        <c:axId val="2010853088"/>
        <c:axId val="2010844896"/>
      </c:barChart>
      <c:dateAx>
        <c:axId val="201085308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844896"/>
        <c:crosses val="autoZero"/>
        <c:auto val="1"/>
        <c:lblOffset val="100"/>
        <c:baseTimeUnit val="months"/>
      </c:dateAx>
      <c:valAx>
        <c:axId val="20108448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853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Grande Roche Occupancy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Revenue!$B$13</c:f>
              <c:strCache>
                <c:ptCount val="1"/>
                <c:pt idx="0">
                  <c:v>OTB 14.08.26</c:v>
                </c:pt>
              </c:strCache>
            </c:strRef>
          </c:tx>
          <c:spPr>
            <a:solidFill>
              <a:srgbClr val="FFBCFA"/>
            </a:solidFill>
            <a:ln>
              <a:noFill/>
            </a:ln>
            <a:effectLst/>
          </c:spPr>
          <c:invertIfNegative val="0"/>
          <c:cat>
            <c:numRef>
              <c:f>Revenue!$A$14:$A$20</c:f>
              <c:numCache>
                <c:formatCode>mmm\-yy</c:formatCode>
                <c:ptCount val="7"/>
                <c:pt idx="0">
                  <c:v>46204</c:v>
                </c:pt>
                <c:pt idx="1">
                  <c:v>46235</c:v>
                </c:pt>
                <c:pt idx="2">
                  <c:v>46266</c:v>
                </c:pt>
                <c:pt idx="3">
                  <c:v>46296</c:v>
                </c:pt>
                <c:pt idx="4">
                  <c:v>46327</c:v>
                </c:pt>
                <c:pt idx="5">
                  <c:v>46357</c:v>
                </c:pt>
                <c:pt idx="6">
                  <c:v>46388</c:v>
                </c:pt>
              </c:numCache>
            </c:numRef>
          </c:cat>
          <c:val>
            <c:numRef>
              <c:f>Revenue!#REF!</c:f>
              <c:numCache>
                <c:formatCode>General</c:formatCode>
                <c:ptCount val="1"/>
                <c:pt idx="0">
                  <c:v>1</c:v>
                </c:pt>
              </c:numCache>
            </c:numRef>
          </c:val>
          <c:extLst>
            <c:ext xmlns:c16="http://schemas.microsoft.com/office/drawing/2014/chart" uri="{C3380CC4-5D6E-409C-BE32-E72D297353CC}">
              <c16:uniqueId val="{00000000-FF1A-404F-A95D-B07BED799455}"/>
            </c:ext>
          </c:extLst>
        </c:ser>
        <c:ser>
          <c:idx val="1"/>
          <c:order val="1"/>
          <c:tx>
            <c:strRef>
              <c:f>Revenue!$C$13</c:f>
              <c:strCache>
                <c:ptCount val="1"/>
                <c:pt idx="0">
                  <c:v>OTB 29.07.26</c:v>
                </c:pt>
              </c:strCache>
            </c:strRef>
          </c:tx>
          <c:spPr>
            <a:solidFill>
              <a:srgbClr val="F77FDB"/>
            </a:solidFill>
            <a:ln>
              <a:noFill/>
            </a:ln>
            <a:effectLst/>
          </c:spPr>
          <c:invertIfNegative val="0"/>
          <c:cat>
            <c:numRef>
              <c:f>Revenue!$A$14:$A$20</c:f>
              <c:numCache>
                <c:formatCode>mmm\-yy</c:formatCode>
                <c:ptCount val="7"/>
                <c:pt idx="0">
                  <c:v>46204</c:v>
                </c:pt>
                <c:pt idx="1">
                  <c:v>46235</c:v>
                </c:pt>
                <c:pt idx="2">
                  <c:v>46266</c:v>
                </c:pt>
                <c:pt idx="3">
                  <c:v>46296</c:v>
                </c:pt>
                <c:pt idx="4">
                  <c:v>46327</c:v>
                </c:pt>
                <c:pt idx="5">
                  <c:v>46357</c:v>
                </c:pt>
                <c:pt idx="6">
                  <c:v>46388</c:v>
                </c:pt>
              </c:numCache>
            </c:numRef>
          </c:cat>
          <c:val>
            <c:numRef>
              <c:f>Revenue!$C$14:$C$20</c:f>
              <c:numCache>
                <c:formatCode>0.0%</c:formatCode>
                <c:ptCount val="7"/>
                <c:pt idx="0">
                  <c:v>0.12379999999999999</c:v>
                </c:pt>
                <c:pt idx="1">
                  <c:v>9.1999999999999998E-2</c:v>
                </c:pt>
                <c:pt idx="2">
                  <c:v>0.34799999999999998</c:v>
                </c:pt>
                <c:pt idx="3">
                  <c:v>0.28399999999999997</c:v>
                </c:pt>
                <c:pt idx="4">
                  <c:v>0.36499999999999999</c:v>
                </c:pt>
                <c:pt idx="5">
                  <c:v>0.22900000000000001</c:v>
                </c:pt>
              </c:numCache>
            </c:numRef>
          </c:val>
          <c:extLst>
            <c:ext xmlns:c16="http://schemas.microsoft.com/office/drawing/2014/chart" uri="{C3380CC4-5D6E-409C-BE32-E72D297353CC}">
              <c16:uniqueId val="{00000001-FF1A-404F-A95D-B07BED799455}"/>
            </c:ext>
          </c:extLst>
        </c:ser>
        <c:ser>
          <c:idx val="2"/>
          <c:order val="2"/>
          <c:tx>
            <c:strRef>
              <c:f>Revenue!$D$13</c:f>
              <c:strCache>
                <c:ptCount val="1"/>
                <c:pt idx="0">
                  <c:v>Variance</c:v>
                </c:pt>
              </c:strCache>
            </c:strRef>
          </c:tx>
          <c:spPr>
            <a:solidFill>
              <a:srgbClr val="92D050"/>
            </a:solidFill>
            <a:ln>
              <a:noFill/>
            </a:ln>
            <a:effectLst/>
          </c:spPr>
          <c:invertIfNegative val="0"/>
          <c:cat>
            <c:numRef>
              <c:f>Revenue!$A$14:$A$20</c:f>
              <c:numCache>
                <c:formatCode>mmm\-yy</c:formatCode>
                <c:ptCount val="7"/>
                <c:pt idx="0">
                  <c:v>46204</c:v>
                </c:pt>
                <c:pt idx="1">
                  <c:v>46235</c:v>
                </c:pt>
                <c:pt idx="2">
                  <c:v>46266</c:v>
                </c:pt>
                <c:pt idx="3">
                  <c:v>46296</c:v>
                </c:pt>
                <c:pt idx="4">
                  <c:v>46327</c:v>
                </c:pt>
                <c:pt idx="5">
                  <c:v>46357</c:v>
                </c:pt>
                <c:pt idx="6">
                  <c:v>46388</c:v>
                </c:pt>
              </c:numCache>
            </c:numRef>
          </c:cat>
          <c:val>
            <c:numRef>
              <c:f>Revenue!$D$14:$D$20</c:f>
              <c:numCache>
                <c:formatCode>0.0%</c:formatCode>
                <c:ptCount val="7"/>
                <c:pt idx="0">
                  <c:v>0</c:v>
                </c:pt>
                <c:pt idx="1">
                  <c:v>9.000000000000008E-3</c:v>
                </c:pt>
                <c:pt idx="2">
                  <c:v>8.0000000000000071E-3</c:v>
                </c:pt>
                <c:pt idx="3">
                  <c:v>4.3000000000000038E-2</c:v>
                </c:pt>
                <c:pt idx="4">
                  <c:v>5.7999999999999996E-2</c:v>
                </c:pt>
                <c:pt idx="5">
                  <c:v>2.4999999999999994E-2</c:v>
                </c:pt>
              </c:numCache>
            </c:numRef>
          </c:val>
          <c:extLst>
            <c:ext xmlns:c16="http://schemas.microsoft.com/office/drawing/2014/chart" uri="{C3380CC4-5D6E-409C-BE32-E72D297353CC}">
              <c16:uniqueId val="{00000002-FF1A-404F-A95D-B07BED799455}"/>
            </c:ext>
          </c:extLst>
        </c:ser>
        <c:ser>
          <c:idx val="3"/>
          <c:order val="3"/>
          <c:tx>
            <c:strRef>
              <c:f>Revenue!$E$13</c:f>
              <c:strCache>
                <c:ptCount val="1"/>
                <c:pt idx="0">
                  <c:v>Last Year Actual</c:v>
                </c:pt>
              </c:strCache>
            </c:strRef>
          </c:tx>
          <c:spPr>
            <a:solidFill>
              <a:schemeClr val="bg1">
                <a:lumMod val="50000"/>
              </a:schemeClr>
            </a:solidFill>
            <a:ln>
              <a:noFill/>
            </a:ln>
            <a:effectLst/>
          </c:spPr>
          <c:invertIfNegative val="0"/>
          <c:cat>
            <c:numRef>
              <c:f>Revenue!$A$14:$A$20</c:f>
              <c:numCache>
                <c:formatCode>mmm\-yy</c:formatCode>
                <c:ptCount val="7"/>
                <c:pt idx="0">
                  <c:v>46204</c:v>
                </c:pt>
                <c:pt idx="1">
                  <c:v>46235</c:v>
                </c:pt>
                <c:pt idx="2">
                  <c:v>46266</c:v>
                </c:pt>
                <c:pt idx="3">
                  <c:v>46296</c:v>
                </c:pt>
                <c:pt idx="4">
                  <c:v>46327</c:v>
                </c:pt>
                <c:pt idx="5">
                  <c:v>46357</c:v>
                </c:pt>
                <c:pt idx="6">
                  <c:v>46388</c:v>
                </c:pt>
              </c:numCache>
            </c:numRef>
          </c:cat>
          <c:val>
            <c:numRef>
              <c:f>Revenue!$E$14:$E$20</c:f>
              <c:numCache>
                <c:formatCode>0.0%</c:formatCode>
                <c:ptCount val="7"/>
                <c:pt idx="0">
                  <c:v>0.252</c:v>
                </c:pt>
                <c:pt idx="1">
                  <c:v>0.25409999999999999</c:v>
                </c:pt>
                <c:pt idx="2">
                  <c:v>0.23899999999999999</c:v>
                </c:pt>
                <c:pt idx="3">
                  <c:v>0.27700000000000002</c:v>
                </c:pt>
                <c:pt idx="4">
                  <c:v>0.499</c:v>
                </c:pt>
                <c:pt idx="5">
                  <c:v>0.46300000000000002</c:v>
                </c:pt>
                <c:pt idx="6">
                  <c:v>0.66300000000000003</c:v>
                </c:pt>
              </c:numCache>
            </c:numRef>
          </c:val>
          <c:extLst>
            <c:ext xmlns:c16="http://schemas.microsoft.com/office/drawing/2014/chart" uri="{C3380CC4-5D6E-409C-BE32-E72D297353CC}">
              <c16:uniqueId val="{00000003-FF1A-404F-A95D-B07BED799455}"/>
            </c:ext>
          </c:extLst>
        </c:ser>
        <c:ser>
          <c:idx val="4"/>
          <c:order val="4"/>
          <c:tx>
            <c:strRef>
              <c:f>Revenue!$F$13</c:f>
              <c:strCache>
                <c:ptCount val="1"/>
                <c:pt idx="0">
                  <c:v>OTB vs LY Actual</c:v>
                </c:pt>
              </c:strCache>
            </c:strRef>
          </c:tx>
          <c:spPr>
            <a:solidFill>
              <a:schemeClr val="bg1">
                <a:lumMod val="75000"/>
              </a:schemeClr>
            </a:solidFill>
            <a:ln>
              <a:noFill/>
            </a:ln>
            <a:effectLst/>
          </c:spPr>
          <c:invertIfNegative val="0"/>
          <c:cat>
            <c:numRef>
              <c:f>Revenue!$A$14:$A$20</c:f>
              <c:numCache>
                <c:formatCode>mmm\-yy</c:formatCode>
                <c:ptCount val="7"/>
                <c:pt idx="0">
                  <c:v>46204</c:v>
                </c:pt>
                <c:pt idx="1">
                  <c:v>46235</c:v>
                </c:pt>
                <c:pt idx="2">
                  <c:v>46266</c:v>
                </c:pt>
                <c:pt idx="3">
                  <c:v>46296</c:v>
                </c:pt>
                <c:pt idx="4">
                  <c:v>46327</c:v>
                </c:pt>
                <c:pt idx="5">
                  <c:v>46357</c:v>
                </c:pt>
                <c:pt idx="6">
                  <c:v>46388</c:v>
                </c:pt>
              </c:numCache>
            </c:numRef>
          </c:cat>
          <c:val>
            <c:numRef>
              <c:f>Revenue!$F$14:$F$20</c:f>
              <c:numCache>
                <c:formatCode>0.0%</c:formatCode>
                <c:ptCount val="7"/>
                <c:pt idx="0">
                  <c:v>-0.12820000000000001</c:v>
                </c:pt>
                <c:pt idx="1">
                  <c:v>-0.15309999999999999</c:v>
                </c:pt>
                <c:pt idx="2">
                  <c:v>0.11699999999999999</c:v>
                </c:pt>
                <c:pt idx="3">
                  <c:v>4.9999999999999989E-2</c:v>
                </c:pt>
                <c:pt idx="4">
                  <c:v>-7.6000000000000012E-2</c:v>
                </c:pt>
                <c:pt idx="5">
                  <c:v>-0.20900000000000002</c:v>
                </c:pt>
                <c:pt idx="6">
                  <c:v>-0.28600000000000003</c:v>
                </c:pt>
              </c:numCache>
            </c:numRef>
          </c:val>
          <c:extLst>
            <c:ext xmlns:c16="http://schemas.microsoft.com/office/drawing/2014/chart" uri="{C3380CC4-5D6E-409C-BE32-E72D297353CC}">
              <c16:uniqueId val="{00000004-FF1A-404F-A95D-B07BED799455}"/>
            </c:ext>
          </c:extLst>
        </c:ser>
        <c:dLbls>
          <c:showLegendKey val="0"/>
          <c:showVal val="0"/>
          <c:showCatName val="0"/>
          <c:showSerName val="0"/>
          <c:showPercent val="0"/>
          <c:showBubbleSize val="0"/>
        </c:dLbls>
        <c:gapWidth val="219"/>
        <c:overlap val="-27"/>
        <c:axId val="2010621664"/>
        <c:axId val="2010939824"/>
      </c:barChart>
      <c:dateAx>
        <c:axId val="201062166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939824"/>
        <c:crosses val="autoZero"/>
        <c:auto val="1"/>
        <c:lblOffset val="100"/>
        <c:baseTimeUnit val="months"/>
      </c:dateAx>
      <c:valAx>
        <c:axId val="2010939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621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Grande Roche Average</a:t>
            </a:r>
            <a:r>
              <a:rPr lang="en-US" baseline="0"/>
              <a:t> Room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Revenue!$B$22</c:f>
              <c:strCache>
                <c:ptCount val="1"/>
                <c:pt idx="0">
                  <c:v>OTB 14.08.26</c:v>
                </c:pt>
              </c:strCache>
            </c:strRef>
          </c:tx>
          <c:spPr>
            <a:solidFill>
              <a:srgbClr val="FFBCFA"/>
            </a:solidFill>
            <a:ln>
              <a:noFill/>
            </a:ln>
            <a:effectLst/>
          </c:spPr>
          <c:invertIfNegative val="0"/>
          <c:cat>
            <c:numRef>
              <c:f>Revenue!$A$23:$A$29</c:f>
              <c:numCache>
                <c:formatCode>mmm\-yy</c:formatCode>
                <c:ptCount val="7"/>
                <c:pt idx="0">
                  <c:v>46204</c:v>
                </c:pt>
                <c:pt idx="1">
                  <c:v>46235</c:v>
                </c:pt>
                <c:pt idx="2">
                  <c:v>46266</c:v>
                </c:pt>
                <c:pt idx="3">
                  <c:v>46296</c:v>
                </c:pt>
                <c:pt idx="4">
                  <c:v>46327</c:v>
                </c:pt>
                <c:pt idx="5">
                  <c:v>46357</c:v>
                </c:pt>
                <c:pt idx="6">
                  <c:v>46388</c:v>
                </c:pt>
              </c:numCache>
            </c:numRef>
          </c:cat>
          <c:val>
            <c:numRef>
              <c:f>Revenue!$B$23:$B$29</c:f>
              <c:numCache>
                <c:formatCode>#,##0.00</c:formatCode>
                <c:ptCount val="7"/>
                <c:pt idx="0">
                  <c:v>3690.1086956521499</c:v>
                </c:pt>
                <c:pt idx="1">
                  <c:v>3734.5483811286499</c:v>
                </c:pt>
                <c:pt idx="2">
                  <c:v>5346.8452384082402</c:v>
                </c:pt>
                <c:pt idx="3">
                  <c:v>3648.3299916923102</c:v>
                </c:pt>
                <c:pt idx="4">
                  <c:v>5914.6391414981499</c:v>
                </c:pt>
                <c:pt idx="5">
                  <c:v>5619.0955452603203</c:v>
                </c:pt>
                <c:pt idx="6">
                  <c:v>5406</c:v>
                </c:pt>
              </c:numCache>
            </c:numRef>
          </c:val>
          <c:extLst>
            <c:ext xmlns:c16="http://schemas.microsoft.com/office/drawing/2014/chart" uri="{C3380CC4-5D6E-409C-BE32-E72D297353CC}">
              <c16:uniqueId val="{00000000-6793-7D4A-A7FF-25B3C10DA1BC}"/>
            </c:ext>
          </c:extLst>
        </c:ser>
        <c:ser>
          <c:idx val="1"/>
          <c:order val="1"/>
          <c:tx>
            <c:strRef>
              <c:f>Revenue!$C$22</c:f>
              <c:strCache>
                <c:ptCount val="1"/>
                <c:pt idx="0">
                  <c:v>OTB 29.07.26</c:v>
                </c:pt>
              </c:strCache>
            </c:strRef>
          </c:tx>
          <c:spPr>
            <a:solidFill>
              <a:srgbClr val="F77FDB"/>
            </a:solidFill>
            <a:ln>
              <a:noFill/>
            </a:ln>
            <a:effectLst/>
          </c:spPr>
          <c:invertIfNegative val="0"/>
          <c:cat>
            <c:numRef>
              <c:f>Revenue!$A$23:$A$29</c:f>
              <c:numCache>
                <c:formatCode>mmm\-yy</c:formatCode>
                <c:ptCount val="7"/>
                <c:pt idx="0">
                  <c:v>46204</c:v>
                </c:pt>
                <c:pt idx="1">
                  <c:v>46235</c:v>
                </c:pt>
                <c:pt idx="2">
                  <c:v>46266</c:v>
                </c:pt>
                <c:pt idx="3">
                  <c:v>46296</c:v>
                </c:pt>
                <c:pt idx="4">
                  <c:v>46327</c:v>
                </c:pt>
                <c:pt idx="5">
                  <c:v>46357</c:v>
                </c:pt>
                <c:pt idx="6">
                  <c:v>46388</c:v>
                </c:pt>
              </c:numCache>
            </c:numRef>
          </c:cat>
          <c:val>
            <c:numRef>
              <c:f>Revenue!$C$23:$C$29</c:f>
              <c:numCache>
                <c:formatCode>#,##0.00</c:formatCode>
                <c:ptCount val="7"/>
                <c:pt idx="0">
                  <c:v>3663.0195283713801</c:v>
                </c:pt>
                <c:pt idx="1">
                  <c:v>3737.9471264368799</c:v>
                </c:pt>
                <c:pt idx="2">
                  <c:v>5469.9515297909302</c:v>
                </c:pt>
                <c:pt idx="3">
                  <c:v>4113.7720656158399</c:v>
                </c:pt>
                <c:pt idx="4">
                  <c:v>5664.4298063360102</c:v>
                </c:pt>
                <c:pt idx="5">
                  <c:v>5566.1349011859702</c:v>
                </c:pt>
              </c:numCache>
            </c:numRef>
          </c:val>
          <c:extLst>
            <c:ext xmlns:c16="http://schemas.microsoft.com/office/drawing/2014/chart" uri="{C3380CC4-5D6E-409C-BE32-E72D297353CC}">
              <c16:uniqueId val="{00000001-6793-7D4A-A7FF-25B3C10DA1BC}"/>
            </c:ext>
          </c:extLst>
        </c:ser>
        <c:ser>
          <c:idx val="2"/>
          <c:order val="2"/>
          <c:tx>
            <c:strRef>
              <c:f>Revenue!$D$22</c:f>
              <c:strCache>
                <c:ptCount val="1"/>
                <c:pt idx="0">
                  <c:v>Variance</c:v>
                </c:pt>
              </c:strCache>
            </c:strRef>
          </c:tx>
          <c:spPr>
            <a:solidFill>
              <a:srgbClr val="92D050"/>
            </a:solidFill>
            <a:ln>
              <a:noFill/>
            </a:ln>
            <a:effectLst/>
          </c:spPr>
          <c:invertIfNegative val="0"/>
          <c:cat>
            <c:numRef>
              <c:f>Revenue!$A$23:$A$29</c:f>
              <c:numCache>
                <c:formatCode>mmm\-yy</c:formatCode>
                <c:ptCount val="7"/>
                <c:pt idx="0">
                  <c:v>46204</c:v>
                </c:pt>
                <c:pt idx="1">
                  <c:v>46235</c:v>
                </c:pt>
                <c:pt idx="2">
                  <c:v>46266</c:v>
                </c:pt>
                <c:pt idx="3">
                  <c:v>46296</c:v>
                </c:pt>
                <c:pt idx="4">
                  <c:v>46327</c:v>
                </c:pt>
                <c:pt idx="5">
                  <c:v>46357</c:v>
                </c:pt>
                <c:pt idx="6">
                  <c:v>46388</c:v>
                </c:pt>
              </c:numCache>
            </c:numRef>
          </c:cat>
          <c:val>
            <c:numRef>
              <c:f>Revenue!$D$23:$D$29</c:f>
              <c:numCache>
                <c:formatCode>#,##0.00</c:formatCode>
                <c:ptCount val="7"/>
                <c:pt idx="0">
                  <c:v>27.089167280769743</c:v>
                </c:pt>
                <c:pt idx="1">
                  <c:v>-3.3987453082299908</c:v>
                </c:pt>
                <c:pt idx="2">
                  <c:v>-123.10629138268996</c:v>
                </c:pt>
                <c:pt idx="3">
                  <c:v>-465.44207392352973</c:v>
                </c:pt>
                <c:pt idx="4">
                  <c:v>250.20933516213972</c:v>
                </c:pt>
                <c:pt idx="5">
                  <c:v>52.960644074350057</c:v>
                </c:pt>
              </c:numCache>
            </c:numRef>
          </c:val>
          <c:extLst>
            <c:ext xmlns:c16="http://schemas.microsoft.com/office/drawing/2014/chart" uri="{C3380CC4-5D6E-409C-BE32-E72D297353CC}">
              <c16:uniqueId val="{00000002-6793-7D4A-A7FF-25B3C10DA1BC}"/>
            </c:ext>
          </c:extLst>
        </c:ser>
        <c:ser>
          <c:idx val="3"/>
          <c:order val="3"/>
          <c:tx>
            <c:strRef>
              <c:f>Revenue!$E$22</c:f>
              <c:strCache>
                <c:ptCount val="1"/>
                <c:pt idx="0">
                  <c:v>Last Year Actual</c:v>
                </c:pt>
              </c:strCache>
            </c:strRef>
          </c:tx>
          <c:spPr>
            <a:solidFill>
              <a:schemeClr val="bg1">
                <a:lumMod val="50000"/>
              </a:schemeClr>
            </a:solidFill>
            <a:ln>
              <a:noFill/>
            </a:ln>
            <a:effectLst/>
          </c:spPr>
          <c:invertIfNegative val="0"/>
          <c:cat>
            <c:numRef>
              <c:f>Revenue!$A$23:$A$29</c:f>
              <c:numCache>
                <c:formatCode>mmm\-yy</c:formatCode>
                <c:ptCount val="7"/>
                <c:pt idx="0">
                  <c:v>46204</c:v>
                </c:pt>
                <c:pt idx="1">
                  <c:v>46235</c:v>
                </c:pt>
                <c:pt idx="2">
                  <c:v>46266</c:v>
                </c:pt>
                <c:pt idx="3">
                  <c:v>46296</c:v>
                </c:pt>
                <c:pt idx="4">
                  <c:v>46327</c:v>
                </c:pt>
                <c:pt idx="5">
                  <c:v>46357</c:v>
                </c:pt>
                <c:pt idx="6">
                  <c:v>46388</c:v>
                </c:pt>
              </c:numCache>
            </c:numRef>
          </c:cat>
          <c:val>
            <c:numRef>
              <c:f>Revenue!$E$23:$E$29</c:f>
              <c:numCache>
                <c:formatCode>#,##0.00</c:formatCode>
                <c:ptCount val="7"/>
                <c:pt idx="0">
                  <c:v>3855.9163043477815</c:v>
                </c:pt>
                <c:pt idx="1">
                  <c:v>3465.6561076602052</c:v>
                </c:pt>
                <c:pt idx="2">
                  <c:v>3509.6309087161135</c:v>
                </c:pt>
                <c:pt idx="3">
                  <c:v>4100.8104263402374</c:v>
                </c:pt>
                <c:pt idx="4">
                  <c:v>5483.9664049030689</c:v>
                </c:pt>
                <c:pt idx="5">
                  <c:v>5852.8707312250972</c:v>
                </c:pt>
                <c:pt idx="6">
                  <c:v>5780.3196714344504</c:v>
                </c:pt>
              </c:numCache>
            </c:numRef>
          </c:val>
          <c:extLst>
            <c:ext xmlns:c16="http://schemas.microsoft.com/office/drawing/2014/chart" uri="{C3380CC4-5D6E-409C-BE32-E72D297353CC}">
              <c16:uniqueId val="{00000003-6793-7D4A-A7FF-25B3C10DA1BC}"/>
            </c:ext>
          </c:extLst>
        </c:ser>
        <c:ser>
          <c:idx val="4"/>
          <c:order val="4"/>
          <c:tx>
            <c:strRef>
              <c:f>Revenue!$F$22</c:f>
              <c:strCache>
                <c:ptCount val="1"/>
                <c:pt idx="0">
                  <c:v>OTB vs LY Actual</c:v>
                </c:pt>
              </c:strCache>
            </c:strRef>
          </c:tx>
          <c:spPr>
            <a:solidFill>
              <a:schemeClr val="bg1">
                <a:lumMod val="75000"/>
              </a:schemeClr>
            </a:solidFill>
            <a:ln>
              <a:noFill/>
            </a:ln>
            <a:effectLst/>
          </c:spPr>
          <c:invertIfNegative val="0"/>
          <c:cat>
            <c:numRef>
              <c:f>Revenue!$A$23:$A$29</c:f>
              <c:numCache>
                <c:formatCode>mmm\-yy</c:formatCode>
                <c:ptCount val="7"/>
                <c:pt idx="0">
                  <c:v>46204</c:v>
                </c:pt>
                <c:pt idx="1">
                  <c:v>46235</c:v>
                </c:pt>
                <c:pt idx="2">
                  <c:v>46266</c:v>
                </c:pt>
                <c:pt idx="3">
                  <c:v>46296</c:v>
                </c:pt>
                <c:pt idx="4">
                  <c:v>46327</c:v>
                </c:pt>
                <c:pt idx="5">
                  <c:v>46357</c:v>
                </c:pt>
                <c:pt idx="6">
                  <c:v>46388</c:v>
                </c:pt>
              </c:numCache>
            </c:numRef>
          </c:cat>
          <c:val>
            <c:numRef>
              <c:f>Revenue!$F$23:$F$29</c:f>
              <c:numCache>
                <c:formatCode>#,##0.00</c:formatCode>
                <c:ptCount val="7"/>
                <c:pt idx="0">
                  <c:v>-165.80760869563164</c:v>
                </c:pt>
                <c:pt idx="1">
                  <c:v>268.89227346844473</c:v>
                </c:pt>
                <c:pt idx="2">
                  <c:v>1837.2143296921267</c:v>
                </c:pt>
                <c:pt idx="3">
                  <c:v>-452.48043464792727</c:v>
                </c:pt>
                <c:pt idx="4">
                  <c:v>430.67273659508101</c:v>
                </c:pt>
                <c:pt idx="5">
                  <c:v>-233.77518596477694</c:v>
                </c:pt>
                <c:pt idx="6">
                  <c:v>-374.31967143445036</c:v>
                </c:pt>
              </c:numCache>
            </c:numRef>
          </c:val>
          <c:extLst>
            <c:ext xmlns:c16="http://schemas.microsoft.com/office/drawing/2014/chart" uri="{C3380CC4-5D6E-409C-BE32-E72D297353CC}">
              <c16:uniqueId val="{00000004-6793-7D4A-A7FF-25B3C10DA1BC}"/>
            </c:ext>
          </c:extLst>
        </c:ser>
        <c:dLbls>
          <c:showLegendKey val="0"/>
          <c:showVal val="0"/>
          <c:showCatName val="0"/>
          <c:showSerName val="0"/>
          <c:showPercent val="0"/>
          <c:showBubbleSize val="0"/>
        </c:dLbls>
        <c:gapWidth val="219"/>
        <c:overlap val="-27"/>
        <c:axId val="1507467600"/>
        <c:axId val="1578489840"/>
      </c:barChart>
      <c:dateAx>
        <c:axId val="150746760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489840"/>
        <c:crosses val="autoZero"/>
        <c:auto val="1"/>
        <c:lblOffset val="100"/>
        <c:baseTimeUnit val="months"/>
      </c:dateAx>
      <c:valAx>
        <c:axId val="15784898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467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2</xdr:col>
      <xdr:colOff>513799</xdr:colOff>
      <xdr:row>0</xdr:row>
      <xdr:rowOff>16465</xdr:rowOff>
    </xdr:from>
    <xdr:to>
      <xdr:col>3</xdr:col>
      <xdr:colOff>826767</xdr:colOff>
      <xdr:row>0</xdr:row>
      <xdr:rowOff>468744</xdr:rowOff>
    </xdr:to>
    <xdr:pic>
      <xdr:nvPicPr>
        <xdr:cNvPr id="3" name="Picture 2">
          <a:extLst>
            <a:ext uri="{FF2B5EF4-FFF2-40B4-BE49-F238E27FC236}">
              <a16:creationId xmlns:a16="http://schemas.microsoft.com/office/drawing/2014/main" id="{EE4E74D5-129C-9CDC-9020-72AD7939911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90400" y="16465"/>
          <a:ext cx="1294981" cy="452279"/>
        </a:xfrm>
        <a:prstGeom prst="rect">
          <a:avLst/>
        </a:prstGeom>
      </xdr:spPr>
    </xdr:pic>
    <xdr:clientData/>
  </xdr:twoCellAnchor>
  <xdr:twoCellAnchor>
    <xdr:from>
      <xdr:col>0</xdr:col>
      <xdr:colOff>146047</xdr:colOff>
      <xdr:row>39</xdr:row>
      <xdr:rowOff>76200</xdr:rowOff>
    </xdr:from>
    <xdr:to>
      <xdr:col>16</xdr:col>
      <xdr:colOff>0</xdr:colOff>
      <xdr:row>56</xdr:row>
      <xdr:rowOff>100898</xdr:rowOff>
    </xdr:to>
    <xdr:graphicFrame macro="">
      <xdr:nvGraphicFramePr>
        <xdr:cNvPr id="2" name="Chart 1">
          <a:extLst>
            <a:ext uri="{FF2B5EF4-FFF2-40B4-BE49-F238E27FC236}">
              <a16:creationId xmlns:a16="http://schemas.microsoft.com/office/drawing/2014/main" id="{19F19ABC-D8C0-E96C-D620-C5BE361174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86783</xdr:colOff>
      <xdr:row>39</xdr:row>
      <xdr:rowOff>76200</xdr:rowOff>
    </xdr:from>
    <xdr:to>
      <xdr:col>22</xdr:col>
      <xdr:colOff>558228</xdr:colOff>
      <xdr:row>56</xdr:row>
      <xdr:rowOff>100898</xdr:rowOff>
    </xdr:to>
    <xdr:graphicFrame macro="">
      <xdr:nvGraphicFramePr>
        <xdr:cNvPr id="4" name="Chart 3">
          <a:extLst>
            <a:ext uri="{FF2B5EF4-FFF2-40B4-BE49-F238E27FC236}">
              <a16:creationId xmlns:a16="http://schemas.microsoft.com/office/drawing/2014/main" id="{3C19A0FE-A8D8-B29C-A8D2-203FBE004F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719666</xdr:colOff>
      <xdr:row>39</xdr:row>
      <xdr:rowOff>46566</xdr:rowOff>
    </xdr:from>
    <xdr:to>
      <xdr:col>28</xdr:col>
      <xdr:colOff>684588</xdr:colOff>
      <xdr:row>56</xdr:row>
      <xdr:rowOff>71264</xdr:rowOff>
    </xdr:to>
    <xdr:graphicFrame macro="">
      <xdr:nvGraphicFramePr>
        <xdr:cNvPr id="5" name="Chart 4">
          <a:extLst>
            <a:ext uri="{FF2B5EF4-FFF2-40B4-BE49-F238E27FC236}">
              <a16:creationId xmlns:a16="http://schemas.microsoft.com/office/drawing/2014/main" id="{E491010A-D15C-9AD4-D749-F45A28B0E4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2</xdr:col>
      <xdr:colOff>513799</xdr:colOff>
      <xdr:row>0</xdr:row>
      <xdr:rowOff>16465</xdr:rowOff>
    </xdr:from>
    <xdr:ext cx="1292489" cy="452279"/>
    <xdr:pic>
      <xdr:nvPicPr>
        <xdr:cNvPr id="7" name="Picture 6">
          <a:extLst>
            <a:ext uri="{FF2B5EF4-FFF2-40B4-BE49-F238E27FC236}">
              <a16:creationId xmlns:a16="http://schemas.microsoft.com/office/drawing/2014/main" id="{346035AB-92CB-EC49-8C8E-8DFEF32273F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87876" y="16465"/>
          <a:ext cx="1292489" cy="452279"/>
        </a:xfrm>
        <a:prstGeom prst="rect">
          <a:avLst/>
        </a:prstGeom>
      </xdr:spPr>
    </xdr:pic>
    <xdr:clientData/>
  </xdr:one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reservations_summary_report (15)" connectionId="1" xr16:uid="{AEE303E4-018B-364E-A080-7633BDD42965}" autoFormatId="16" applyNumberFormats="0" applyBorderFormats="0" applyFontFormats="1" applyPatternFormats="1" applyAlignmentFormats="0" applyWidthHeightFormats="0"/>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heetViews>
  <sheetFormatPr baseColWidth="10" defaultColWidth="12.6640625" defaultRowHeight="15" customHeight="1" x14ac:dyDescent="0.15"/>
  <cols>
    <col min="1" max="1" width="20.6640625" customWidth="1"/>
    <col min="2" max="2" width="20" customWidth="1"/>
    <col min="3" max="3" width="17.33203125" customWidth="1"/>
    <col min="4" max="4" width="18.5" customWidth="1"/>
    <col min="5" max="5" width="17.5" customWidth="1"/>
    <col min="6" max="6" width="17.1640625" customWidth="1"/>
    <col min="7" max="7" width="15" customWidth="1"/>
    <col min="8" max="8" width="17.1640625" customWidth="1"/>
    <col min="9" max="9" width="16.5" customWidth="1"/>
    <col min="10" max="10" width="17" customWidth="1"/>
    <col min="11" max="11" width="15.1640625" customWidth="1"/>
    <col min="12" max="12" width="15.6640625" customWidth="1"/>
    <col min="13" max="13" width="13.1640625" customWidth="1"/>
    <col min="14" max="14" width="16.5" customWidth="1"/>
    <col min="15" max="15" width="13.6640625" customWidth="1"/>
    <col min="16" max="16" width="15.33203125" customWidth="1"/>
    <col min="17" max="17" width="14.83203125" customWidth="1"/>
    <col min="18" max="18" width="17.6640625" customWidth="1"/>
    <col min="19" max="19" width="12.5" customWidth="1"/>
    <col min="20" max="26" width="10" customWidth="1"/>
  </cols>
  <sheetData>
    <row r="1" spans="1:26" ht="12.75" customHeight="1" x14ac:dyDescent="0.15">
      <c r="A1" s="1" t="s">
        <v>15</v>
      </c>
      <c r="C1" s="1"/>
    </row>
    <row r="2" spans="1:26" ht="20.25" customHeight="1" x14ac:dyDescent="0.25">
      <c r="A2" s="897" t="s">
        <v>16</v>
      </c>
      <c r="B2" s="898"/>
      <c r="C2" s="898"/>
      <c r="D2" s="898"/>
      <c r="E2" s="898"/>
      <c r="F2" s="898"/>
      <c r="G2" s="898"/>
      <c r="H2" s="898"/>
      <c r="I2" s="898"/>
      <c r="J2" s="898"/>
      <c r="K2" s="898"/>
      <c r="L2" s="898"/>
      <c r="M2" s="898"/>
      <c r="N2" s="898"/>
      <c r="O2" s="898"/>
      <c r="P2" s="898"/>
      <c r="Q2" s="899"/>
    </row>
    <row r="3" spans="1:26" ht="19.5" customHeight="1" x14ac:dyDescent="0.2">
      <c r="A3" s="4">
        <v>2011</v>
      </c>
      <c r="B3" s="900" t="s">
        <v>0</v>
      </c>
      <c r="C3" s="901"/>
      <c r="D3" s="901"/>
      <c r="E3" s="902"/>
      <c r="F3" s="4"/>
      <c r="G3" s="903" t="s">
        <v>1</v>
      </c>
      <c r="H3" s="901"/>
      <c r="I3" s="902"/>
      <c r="J3" s="904"/>
      <c r="K3" s="905"/>
      <c r="L3" s="905"/>
      <c r="M3" s="905"/>
      <c r="N3" s="904"/>
      <c r="O3" s="905"/>
      <c r="P3" s="905"/>
      <c r="Q3" s="905"/>
    </row>
    <row r="4" spans="1:26" ht="19.5" customHeight="1" x14ac:dyDescent="0.2">
      <c r="A4" s="35" t="s">
        <v>17</v>
      </c>
      <c r="B4" s="9">
        <v>2331</v>
      </c>
      <c r="C4" s="10">
        <f>(B4/2914)*100</f>
        <v>79.99313658201784</v>
      </c>
      <c r="D4" s="36">
        <v>3030300</v>
      </c>
      <c r="E4" s="12">
        <f t="shared" ref="E4:E10" si="0">D4/B4</f>
        <v>1300</v>
      </c>
      <c r="F4" s="9" t="e">
        <f>SUM(#REF!-(QV!F6+DH!F6))</f>
        <v>#REF!</v>
      </c>
      <c r="G4" s="10" t="e">
        <f>(F4/2914)*100</f>
        <v>#REF!</v>
      </c>
      <c r="H4" s="11" t="e">
        <f>SUM(#REF!-(QV!H6+DH!H6))</f>
        <v>#REF!</v>
      </c>
      <c r="I4" s="12" t="e">
        <f t="shared" ref="I4:I10" si="1">H4/F4</f>
        <v>#REF!</v>
      </c>
      <c r="J4" s="23"/>
      <c r="K4" s="10"/>
      <c r="L4" s="11"/>
      <c r="M4" s="31"/>
      <c r="N4" s="23"/>
      <c r="O4" s="10"/>
      <c r="P4" s="11"/>
      <c r="Q4" s="31"/>
    </row>
    <row r="5" spans="1:26" ht="19.5" customHeight="1" x14ac:dyDescent="0.2">
      <c r="A5" s="35" t="s">
        <v>7</v>
      </c>
      <c r="B5" s="9">
        <v>2035</v>
      </c>
      <c r="C5" s="10">
        <f>(B5/2820)*100</f>
        <v>72.163120567375884</v>
      </c>
      <c r="D5" s="36">
        <v>3376065</v>
      </c>
      <c r="E5" s="12">
        <f t="shared" si="0"/>
        <v>1659</v>
      </c>
      <c r="F5" s="9" t="e">
        <f>SUM(#REF!-(QV!F7+DH!F7))</f>
        <v>#REF!</v>
      </c>
      <c r="G5" s="10" t="e">
        <f>(F5/2820)*100</f>
        <v>#REF!</v>
      </c>
      <c r="H5" s="11" t="e">
        <f>SUM(#REF!-(QV!H7+DH!H7))</f>
        <v>#REF!</v>
      </c>
      <c r="I5" s="12" t="e">
        <f t="shared" si="1"/>
        <v>#REF!</v>
      </c>
      <c r="J5" s="23"/>
      <c r="K5" s="10"/>
      <c r="L5" s="11"/>
      <c r="M5" s="31"/>
      <c r="N5" s="23"/>
      <c r="O5" s="10"/>
      <c r="P5" s="11"/>
      <c r="Q5" s="31"/>
    </row>
    <row r="6" spans="1:26" ht="19.5" customHeight="1" x14ac:dyDescent="0.2">
      <c r="A6" s="35" t="s">
        <v>8</v>
      </c>
      <c r="B6" s="9">
        <v>2374</v>
      </c>
      <c r="C6" s="10">
        <f>(B6/2914)*100</f>
        <v>81.468771448181201</v>
      </c>
      <c r="D6" s="36">
        <v>4118671</v>
      </c>
      <c r="E6" s="12">
        <f t="shared" si="0"/>
        <v>1734.9077506318449</v>
      </c>
      <c r="F6" s="9" t="e">
        <f>SUM(#REF!-(QV!F8+DH!F8))</f>
        <v>#REF!</v>
      </c>
      <c r="G6" s="10" t="e">
        <f>(F6/2914)*100</f>
        <v>#REF!</v>
      </c>
      <c r="H6" s="11" t="e">
        <f>SUM(#REF!-(QV!H8+DH!H8))</f>
        <v>#REF!</v>
      </c>
      <c r="I6" s="12" t="e">
        <f t="shared" si="1"/>
        <v>#REF!</v>
      </c>
      <c r="J6" s="23"/>
      <c r="K6" s="10"/>
      <c r="L6" s="11"/>
      <c r="M6" s="31"/>
      <c r="N6" s="23"/>
      <c r="O6" s="10"/>
      <c r="P6" s="11"/>
      <c r="Q6" s="31"/>
    </row>
    <row r="7" spans="1:26" ht="19.5" customHeight="1" x14ac:dyDescent="0.2">
      <c r="A7" s="35" t="s">
        <v>9</v>
      </c>
      <c r="B7" s="9">
        <v>2369</v>
      </c>
      <c r="C7" s="10">
        <f>(B7/2820)*100</f>
        <v>84.00709219858156</v>
      </c>
      <c r="D7" s="36">
        <v>4492365</v>
      </c>
      <c r="E7" s="12">
        <f t="shared" si="0"/>
        <v>1896.3127902068384</v>
      </c>
      <c r="F7" s="9" t="e">
        <f>SUM(#REF!-(QV!F9+DH!F9))</f>
        <v>#REF!</v>
      </c>
      <c r="G7" s="10" t="e">
        <f>(F7/2820)*100</f>
        <v>#REF!</v>
      </c>
      <c r="H7" s="11" t="e">
        <f>SUM(#REF!-(QV!H9+DH!H9))</f>
        <v>#REF!</v>
      </c>
      <c r="I7" s="12" t="e">
        <f t="shared" si="1"/>
        <v>#REF!</v>
      </c>
      <c r="J7" s="23"/>
      <c r="K7" s="10"/>
      <c r="L7" s="11"/>
      <c r="M7" s="31"/>
      <c r="N7" s="23"/>
      <c r="O7" s="10"/>
      <c r="P7" s="11"/>
      <c r="Q7" s="31"/>
    </row>
    <row r="8" spans="1:26" ht="19.5" customHeight="1" x14ac:dyDescent="0.2">
      <c r="A8" s="35" t="s">
        <v>10</v>
      </c>
      <c r="B8" s="9">
        <v>2040</v>
      </c>
      <c r="C8" s="10">
        <f t="shared" ref="C8:C9" si="2">(B8/2914)*100</f>
        <v>70.00686341798216</v>
      </c>
      <c r="D8" s="36">
        <v>4006414</v>
      </c>
      <c r="E8" s="12">
        <f t="shared" si="0"/>
        <v>1963.9284313725491</v>
      </c>
      <c r="F8" s="9" t="e">
        <f>SUM(#REF!-(QV!F10+DH!F10))</f>
        <v>#REF!</v>
      </c>
      <c r="G8" s="10" t="e">
        <f t="shared" ref="G8:G9" si="3">(F8/2914)*100</f>
        <v>#REF!</v>
      </c>
      <c r="H8" s="11" t="e">
        <f>SUM(#REF!-(QV!H10+DH!H10))</f>
        <v>#REF!</v>
      </c>
      <c r="I8" s="12" t="e">
        <f t="shared" si="1"/>
        <v>#REF!</v>
      </c>
      <c r="J8" s="23"/>
      <c r="K8" s="10"/>
      <c r="L8" s="11"/>
      <c r="M8" s="31"/>
      <c r="N8" s="23"/>
      <c r="O8" s="10"/>
      <c r="P8" s="11"/>
      <c r="Q8" s="31"/>
    </row>
    <row r="9" spans="1:26" ht="21" customHeight="1" x14ac:dyDescent="0.2">
      <c r="A9" s="37" t="s">
        <v>14</v>
      </c>
      <c r="B9" s="15">
        <v>2001</v>
      </c>
      <c r="C9" s="17">
        <f t="shared" si="2"/>
        <v>68.668496911461901</v>
      </c>
      <c r="D9" s="38">
        <v>3694124</v>
      </c>
      <c r="E9" s="19">
        <f t="shared" si="0"/>
        <v>1846.1389305347327</v>
      </c>
      <c r="F9" s="15" t="e">
        <f>SUM(#REF!-(QV!F11+DH!F11))</f>
        <v>#REF!</v>
      </c>
      <c r="G9" s="17" t="e">
        <f t="shared" si="3"/>
        <v>#REF!</v>
      </c>
      <c r="H9" s="18" t="e">
        <f>SUM(#REF!-(QV!H11+DH!H11))</f>
        <v>#REF!</v>
      </c>
      <c r="I9" s="19" t="e">
        <f t="shared" si="1"/>
        <v>#REF!</v>
      </c>
      <c r="J9" s="23"/>
      <c r="K9" s="10"/>
      <c r="L9" s="11"/>
      <c r="M9" s="31"/>
      <c r="N9" s="23"/>
      <c r="O9" s="10"/>
      <c r="P9" s="11"/>
      <c r="Q9" s="31"/>
    </row>
    <row r="10" spans="1:26" ht="21" hidden="1" customHeight="1" x14ac:dyDescent="0.2">
      <c r="A10" s="37" t="s">
        <v>14</v>
      </c>
      <c r="B10" s="15">
        <v>1984</v>
      </c>
      <c r="C10" s="17">
        <f>(B10/3100)*100</f>
        <v>64</v>
      </c>
      <c r="D10" s="38">
        <v>4130004</v>
      </c>
      <c r="E10" s="16">
        <f t="shared" si="0"/>
        <v>2081.6552419354839</v>
      </c>
      <c r="F10" s="39">
        <f>1268-1</f>
        <v>1267</v>
      </c>
      <c r="G10" s="17">
        <f>(F10/3100)*100</f>
        <v>40.87096774193548</v>
      </c>
      <c r="H10" s="18">
        <v>2229977</v>
      </c>
      <c r="I10" s="33">
        <f t="shared" si="1"/>
        <v>1760.0449881610102</v>
      </c>
      <c r="J10" s="20">
        <v>2253</v>
      </c>
      <c r="K10" s="17">
        <f>(J10/3100)*100</f>
        <v>72.677419354838719</v>
      </c>
      <c r="L10" s="18">
        <v>4153012</v>
      </c>
      <c r="M10" s="33">
        <f>L10/J10</f>
        <v>1843.3253439857967</v>
      </c>
      <c r="N10" s="20">
        <f>1890-39</f>
        <v>1851</v>
      </c>
      <c r="O10" s="17">
        <f>(N10/3100)*100</f>
        <v>59.709677419354833</v>
      </c>
      <c r="P10" s="18">
        <v>3697397.3</v>
      </c>
      <c r="Q10" s="19">
        <f>P10/N10</f>
        <v>1997.513398163155</v>
      </c>
    </row>
    <row r="11" spans="1:26" ht="19.5" customHeight="1" x14ac:dyDescent="0.2">
      <c r="A11" s="4">
        <v>2011</v>
      </c>
      <c r="B11" s="900" t="s">
        <v>12</v>
      </c>
      <c r="C11" s="902"/>
      <c r="D11" s="900" t="s">
        <v>13</v>
      </c>
      <c r="E11" s="902"/>
      <c r="F11" s="23"/>
      <c r="G11" s="24"/>
      <c r="H11" s="11"/>
      <c r="I11" s="11"/>
      <c r="J11" s="11"/>
      <c r="K11" s="11"/>
      <c r="L11" s="31"/>
      <c r="M11" s="23"/>
      <c r="N11" s="10"/>
      <c r="O11" s="11"/>
      <c r="P11" s="31"/>
    </row>
    <row r="12" spans="1:26" ht="36.75" customHeight="1" x14ac:dyDescent="0.2">
      <c r="A12" s="6"/>
      <c r="B12" s="906" t="s">
        <v>18</v>
      </c>
      <c r="C12" s="907"/>
      <c r="D12" s="906" t="s">
        <v>18</v>
      </c>
      <c r="E12" s="907"/>
      <c r="F12" s="23"/>
      <c r="G12" s="24"/>
      <c r="H12" s="11"/>
      <c r="I12" s="11"/>
      <c r="J12" s="11"/>
      <c r="K12" s="11"/>
      <c r="L12" s="31"/>
      <c r="M12" s="23"/>
      <c r="N12" s="10"/>
      <c r="O12" s="11"/>
      <c r="P12" s="31"/>
    </row>
    <row r="13" spans="1:26" ht="19.5" customHeight="1" x14ac:dyDescent="0.2">
      <c r="A13" s="35" t="s">
        <v>17</v>
      </c>
      <c r="B13" s="21"/>
      <c r="C13" s="40" t="e">
        <f t="shared" ref="C13:C18" si="4">H4-D4</f>
        <v>#REF!</v>
      </c>
      <c r="D13" s="13"/>
      <c r="E13" s="41" t="e">
        <f t="shared" ref="E13:E18" si="5">F4-B4</f>
        <v>#REF!</v>
      </c>
      <c r="F13" s="10"/>
      <c r="G13" s="11"/>
      <c r="H13" s="31"/>
      <c r="I13" s="23"/>
      <c r="J13" s="10"/>
      <c r="K13" s="11"/>
      <c r="L13" s="31"/>
      <c r="M13" s="23"/>
      <c r="N13" s="10"/>
      <c r="O13" s="11"/>
      <c r="P13" s="31"/>
      <c r="Q13" s="14"/>
      <c r="R13" s="14"/>
      <c r="S13" s="14"/>
      <c r="T13" s="14"/>
      <c r="U13" s="14"/>
      <c r="V13" s="14"/>
      <c r="W13" s="14"/>
      <c r="X13" s="14"/>
      <c r="Y13" s="14"/>
      <c r="Z13" s="14"/>
    </row>
    <row r="14" spans="1:26" ht="19.5" customHeight="1" x14ac:dyDescent="0.2">
      <c r="A14" s="35" t="s">
        <v>7</v>
      </c>
      <c r="B14" s="21"/>
      <c r="C14" s="40" t="e">
        <f t="shared" si="4"/>
        <v>#REF!</v>
      </c>
      <c r="D14" s="13"/>
      <c r="E14" s="41" t="e">
        <f t="shared" si="5"/>
        <v>#REF!</v>
      </c>
      <c r="F14" s="10"/>
      <c r="G14" s="11"/>
      <c r="H14" s="31"/>
      <c r="I14" s="23"/>
      <c r="J14" s="10"/>
      <c r="K14" s="11"/>
      <c r="L14" s="31"/>
      <c r="M14" s="23"/>
      <c r="N14" s="10"/>
      <c r="O14" s="11"/>
      <c r="P14" s="31"/>
      <c r="Q14" s="14"/>
      <c r="R14" s="14"/>
      <c r="S14" s="14"/>
      <c r="T14" s="14"/>
      <c r="U14" s="14"/>
      <c r="V14" s="14"/>
      <c r="W14" s="14"/>
      <c r="X14" s="14"/>
      <c r="Y14" s="14"/>
      <c r="Z14" s="14"/>
    </row>
    <row r="15" spans="1:26" ht="19.5" customHeight="1" x14ac:dyDescent="0.2">
      <c r="A15" s="35" t="s">
        <v>8</v>
      </c>
      <c r="B15" s="21"/>
      <c r="C15" s="40" t="e">
        <f t="shared" si="4"/>
        <v>#REF!</v>
      </c>
      <c r="D15" s="13"/>
      <c r="E15" s="41" t="e">
        <f t="shared" si="5"/>
        <v>#REF!</v>
      </c>
      <c r="F15" s="10"/>
      <c r="G15" s="11"/>
      <c r="H15" s="31"/>
      <c r="I15" s="23"/>
      <c r="J15" s="10"/>
      <c r="K15" s="11"/>
      <c r="L15" s="31"/>
      <c r="M15" s="23"/>
      <c r="N15" s="10"/>
      <c r="O15" s="11"/>
      <c r="P15" s="31"/>
      <c r="Q15" s="14"/>
      <c r="R15" s="14"/>
      <c r="S15" s="14"/>
      <c r="T15" s="14"/>
      <c r="U15" s="14"/>
      <c r="V15" s="14"/>
      <c r="W15" s="14"/>
      <c r="X15" s="14"/>
      <c r="Y15" s="14"/>
      <c r="Z15" s="14"/>
    </row>
    <row r="16" spans="1:26" ht="19.5" customHeight="1" x14ac:dyDescent="0.2">
      <c r="A16" s="35" t="s">
        <v>9</v>
      </c>
      <c r="B16" s="21"/>
      <c r="C16" s="40" t="e">
        <f t="shared" si="4"/>
        <v>#REF!</v>
      </c>
      <c r="D16" s="13"/>
      <c r="E16" s="41" t="e">
        <f t="shared" si="5"/>
        <v>#REF!</v>
      </c>
      <c r="F16" s="10"/>
      <c r="G16" s="11"/>
      <c r="H16" s="31"/>
      <c r="I16" s="23"/>
      <c r="J16" s="10"/>
      <c r="K16" s="11"/>
      <c r="L16" s="31"/>
      <c r="M16" s="23"/>
      <c r="N16" s="10"/>
      <c r="O16" s="11"/>
      <c r="P16" s="31"/>
      <c r="Q16" s="14"/>
      <c r="R16" s="14"/>
      <c r="S16" s="14"/>
      <c r="T16" s="14"/>
      <c r="U16" s="14"/>
      <c r="V16" s="14"/>
      <c r="W16" s="14"/>
      <c r="X16" s="14"/>
      <c r="Y16" s="14"/>
      <c r="Z16" s="14"/>
    </row>
    <row r="17" spans="1:26" ht="19.5" customHeight="1" x14ac:dyDescent="0.2">
      <c r="A17" s="35" t="s">
        <v>10</v>
      </c>
      <c r="B17" s="21"/>
      <c r="C17" s="40" t="e">
        <f t="shared" si="4"/>
        <v>#REF!</v>
      </c>
      <c r="D17" s="13"/>
      <c r="E17" s="41" t="e">
        <f t="shared" si="5"/>
        <v>#REF!</v>
      </c>
      <c r="F17" s="10"/>
      <c r="G17" s="11"/>
      <c r="H17" s="31"/>
      <c r="I17" s="23"/>
      <c r="J17" s="10"/>
      <c r="K17" s="11"/>
      <c r="L17" s="31"/>
      <c r="M17" s="23"/>
      <c r="N17" s="10"/>
      <c r="O17" s="11"/>
      <c r="P17" s="31"/>
      <c r="Q17" s="14"/>
      <c r="R17" s="14"/>
      <c r="S17" s="14"/>
      <c r="T17" s="14"/>
      <c r="U17" s="14"/>
      <c r="V17" s="14"/>
      <c r="W17" s="14"/>
      <c r="X17" s="14"/>
      <c r="Y17" s="14"/>
      <c r="Z17" s="14"/>
    </row>
    <row r="18" spans="1:26" ht="21" customHeight="1" x14ac:dyDescent="0.2">
      <c r="A18" s="37" t="s">
        <v>14</v>
      </c>
      <c r="B18" s="25"/>
      <c r="C18" s="42" t="e">
        <f t="shared" si="4"/>
        <v>#REF!</v>
      </c>
      <c r="D18" s="20"/>
      <c r="E18" s="43" t="e">
        <f t="shared" si="5"/>
        <v>#REF!</v>
      </c>
      <c r="F18" s="10"/>
      <c r="G18" s="11"/>
      <c r="H18" s="31"/>
      <c r="I18" s="23"/>
      <c r="J18" s="10"/>
      <c r="K18" s="11"/>
      <c r="L18" s="31"/>
      <c r="M18" s="23"/>
      <c r="N18" s="10"/>
      <c r="O18" s="11"/>
      <c r="P18" s="31"/>
      <c r="Q18" s="14"/>
      <c r="R18" s="14"/>
      <c r="S18" s="14"/>
      <c r="T18" s="14"/>
      <c r="U18" s="14"/>
      <c r="V18" s="14"/>
      <c r="W18" s="14"/>
      <c r="X18" s="14"/>
      <c r="Y18" s="14"/>
      <c r="Z18" s="14"/>
    </row>
    <row r="19" spans="1:26" ht="20.25" customHeight="1" x14ac:dyDescent="0.2">
      <c r="A19" s="4">
        <v>2011</v>
      </c>
      <c r="B19" s="27" t="s">
        <v>19</v>
      </c>
      <c r="C19" s="5" t="s">
        <v>1</v>
      </c>
      <c r="D19" s="5"/>
      <c r="E19" s="44"/>
      <c r="F19" s="27" t="s">
        <v>20</v>
      </c>
      <c r="G19" s="903" t="s">
        <v>1</v>
      </c>
      <c r="H19" s="901"/>
      <c r="I19" s="902"/>
      <c r="J19" s="27" t="s">
        <v>20</v>
      </c>
      <c r="K19" s="903" t="s">
        <v>1</v>
      </c>
      <c r="L19" s="901"/>
      <c r="M19" s="902"/>
      <c r="N19" s="908" t="s">
        <v>21</v>
      </c>
      <c r="O19" s="901"/>
      <c r="P19" s="28"/>
      <c r="Q19" s="908" t="s">
        <v>22</v>
      </c>
      <c r="R19" s="901"/>
      <c r="S19" s="28"/>
    </row>
    <row r="20" spans="1:26" ht="18" customHeight="1" x14ac:dyDescent="0.2">
      <c r="A20" s="29"/>
      <c r="B20" s="6"/>
      <c r="C20" s="7"/>
      <c r="D20" s="7" t="s">
        <v>5</v>
      </c>
      <c r="E20" s="8"/>
      <c r="F20" s="6" t="s">
        <v>3</v>
      </c>
      <c r="G20" s="7" t="s">
        <v>4</v>
      </c>
      <c r="H20" s="7" t="s">
        <v>5</v>
      </c>
      <c r="I20" s="8" t="s">
        <v>6</v>
      </c>
      <c r="J20" s="6" t="s">
        <v>3</v>
      </c>
      <c r="K20" s="7" t="s">
        <v>4</v>
      </c>
      <c r="L20" s="7" t="s">
        <v>5</v>
      </c>
      <c r="M20" s="8" t="s">
        <v>6</v>
      </c>
      <c r="N20" s="6" t="s">
        <v>12</v>
      </c>
      <c r="O20" s="7"/>
      <c r="P20" s="8"/>
      <c r="Q20" s="6" t="s">
        <v>12</v>
      </c>
      <c r="R20" s="7"/>
      <c r="S20" s="8"/>
    </row>
    <row r="21" spans="1:26" ht="21" customHeight="1" x14ac:dyDescent="0.2">
      <c r="A21" s="35" t="s">
        <v>17</v>
      </c>
      <c r="B21" s="9"/>
      <c r="C21" s="10"/>
      <c r="D21" s="11">
        <v>2478432</v>
      </c>
      <c r="E21" s="12"/>
      <c r="F21" s="9" t="e">
        <f>SUM(#REF!-(QV!F25+DH!F25))</f>
        <v>#REF!</v>
      </c>
      <c r="G21" s="10" t="e">
        <f>(F21/2914)*100</f>
        <v>#REF!</v>
      </c>
      <c r="H21" s="11" t="e">
        <f>SUM(#REF!-(QV!H25+DH!H25))</f>
        <v>#REF!</v>
      </c>
      <c r="I21" s="12" t="e">
        <f t="shared" ref="I21:I26" si="6">H21/F21</f>
        <v>#REF!</v>
      </c>
      <c r="J21" s="9" t="e">
        <f>SUM(#REF!-(QV!J25+DH!J25))</f>
        <v>#REF!</v>
      </c>
      <c r="K21" s="10" t="e">
        <f>(J21/2914)*100</f>
        <v>#REF!</v>
      </c>
      <c r="L21" s="11" t="e">
        <f>SUM(#REF!-(QV!L25+DH!L25))</f>
        <v>#REF!</v>
      </c>
      <c r="M21" s="12" t="e">
        <f t="shared" ref="M21:M26" si="7">L21/J21</f>
        <v>#REF!</v>
      </c>
      <c r="N21" s="30" t="e">
        <f t="shared" ref="N21:N26" si="8">L21-H21</f>
        <v>#REF!</v>
      </c>
      <c r="O21" s="31"/>
      <c r="P21" s="22" t="e">
        <f t="shared" ref="P21:P26" si="9">J21-F21</f>
        <v>#REF!</v>
      </c>
      <c r="Q21" s="30" t="e">
        <f t="shared" ref="Q21:Q26" si="10">O21-K21</f>
        <v>#REF!</v>
      </c>
      <c r="R21" s="31"/>
      <c r="S21" s="22"/>
    </row>
    <row r="22" spans="1:26" ht="21" customHeight="1" x14ac:dyDescent="0.2">
      <c r="A22" s="35" t="s">
        <v>7</v>
      </c>
      <c r="B22" s="9"/>
      <c r="C22" s="10"/>
      <c r="D22" s="11">
        <v>2297652</v>
      </c>
      <c r="E22" s="12"/>
      <c r="F22" s="9" t="e">
        <f>SUM(#REF!-(QV!F26+DH!F26))</f>
        <v>#REF!</v>
      </c>
      <c r="G22" s="10" t="e">
        <f>(F22/2820)*100</f>
        <v>#REF!</v>
      </c>
      <c r="H22" s="11" t="e">
        <f>SUM(#REF!-(QV!H26+DH!H26))</f>
        <v>#REF!</v>
      </c>
      <c r="I22" s="12" t="e">
        <f t="shared" si="6"/>
        <v>#REF!</v>
      </c>
      <c r="J22" s="9" t="e">
        <f>SUM(#REF!-(QV!J26+DH!J26))</f>
        <v>#REF!</v>
      </c>
      <c r="K22" s="10" t="e">
        <f>(J22/2820)*100</f>
        <v>#REF!</v>
      </c>
      <c r="L22" s="11" t="e">
        <f>SUM(#REF!-(QV!L26+DH!L26))</f>
        <v>#REF!</v>
      </c>
      <c r="M22" s="12" t="e">
        <f t="shared" si="7"/>
        <v>#REF!</v>
      </c>
      <c r="N22" s="30" t="e">
        <f t="shared" si="8"/>
        <v>#REF!</v>
      </c>
      <c r="O22" s="31"/>
      <c r="P22" s="22" t="e">
        <f t="shared" si="9"/>
        <v>#REF!</v>
      </c>
      <c r="Q22" s="30" t="e">
        <f t="shared" si="10"/>
        <v>#REF!</v>
      </c>
      <c r="R22" s="31"/>
      <c r="S22" s="22"/>
    </row>
    <row r="23" spans="1:26" ht="21" customHeight="1" x14ac:dyDescent="0.2">
      <c r="A23" s="35" t="s">
        <v>8</v>
      </c>
      <c r="B23" s="9"/>
      <c r="C23" s="10"/>
      <c r="D23" s="11">
        <v>3064307</v>
      </c>
      <c r="E23" s="12"/>
      <c r="F23" s="9" t="e">
        <f>SUM(#REF!-(QV!F27+DH!F27))</f>
        <v>#REF!</v>
      </c>
      <c r="G23" s="10" t="e">
        <f>(F23/2914)*100</f>
        <v>#REF!</v>
      </c>
      <c r="H23" s="11" t="e">
        <f>SUM(#REF!-(QV!H27+DH!H27))</f>
        <v>#REF!</v>
      </c>
      <c r="I23" s="12" t="e">
        <f t="shared" si="6"/>
        <v>#REF!</v>
      </c>
      <c r="J23" s="9" t="e">
        <f>SUM(#REF!-(QV!J27+DH!J27))</f>
        <v>#REF!</v>
      </c>
      <c r="K23" s="10" t="e">
        <f>(J23/2914)*100</f>
        <v>#REF!</v>
      </c>
      <c r="L23" s="11" t="e">
        <f>SUM(#REF!-(QV!L27+DH!L27))</f>
        <v>#REF!</v>
      </c>
      <c r="M23" s="12" t="e">
        <f t="shared" si="7"/>
        <v>#REF!</v>
      </c>
      <c r="N23" s="30" t="e">
        <f t="shared" si="8"/>
        <v>#REF!</v>
      </c>
      <c r="O23" s="31"/>
      <c r="P23" s="22" t="e">
        <f t="shared" si="9"/>
        <v>#REF!</v>
      </c>
      <c r="Q23" s="30" t="e">
        <f t="shared" si="10"/>
        <v>#REF!</v>
      </c>
      <c r="R23" s="31"/>
      <c r="S23" s="22"/>
    </row>
    <row r="24" spans="1:26" ht="21" customHeight="1" x14ac:dyDescent="0.2">
      <c r="A24" s="35" t="s">
        <v>9</v>
      </c>
      <c r="B24" s="9"/>
      <c r="C24" s="10"/>
      <c r="D24" s="11">
        <v>3585143</v>
      </c>
      <c r="E24" s="12"/>
      <c r="F24" s="9" t="e">
        <f>SUM(#REF!-(QV!F28+DH!F28))</f>
        <v>#REF!</v>
      </c>
      <c r="G24" s="10" t="e">
        <f>(F24/2820)*100</f>
        <v>#REF!</v>
      </c>
      <c r="H24" s="11" t="e">
        <f>SUM(#REF!-(QV!H28+DH!H28))</f>
        <v>#REF!</v>
      </c>
      <c r="I24" s="12" t="e">
        <f t="shared" si="6"/>
        <v>#REF!</v>
      </c>
      <c r="J24" s="9" t="e">
        <f>SUM(#REF!-(QV!J28+DH!J28))</f>
        <v>#REF!</v>
      </c>
      <c r="K24" s="10" t="e">
        <f>(J24/2820)*100</f>
        <v>#REF!</v>
      </c>
      <c r="L24" s="11" t="e">
        <f>SUM(#REF!-(QV!L28+DH!L28))</f>
        <v>#REF!</v>
      </c>
      <c r="M24" s="12" t="e">
        <f t="shared" si="7"/>
        <v>#REF!</v>
      </c>
      <c r="N24" s="30" t="e">
        <f t="shared" si="8"/>
        <v>#REF!</v>
      </c>
      <c r="O24" s="31"/>
      <c r="P24" s="22" t="e">
        <f t="shared" si="9"/>
        <v>#REF!</v>
      </c>
      <c r="Q24" s="30" t="e">
        <f t="shared" si="10"/>
        <v>#REF!</v>
      </c>
      <c r="R24" s="31"/>
      <c r="S24" s="22"/>
    </row>
    <row r="25" spans="1:26" ht="21" customHeight="1" x14ac:dyDescent="0.2">
      <c r="A25" s="35" t="s">
        <v>10</v>
      </c>
      <c r="B25" s="9"/>
      <c r="C25" s="10"/>
      <c r="D25" s="11">
        <v>3659400</v>
      </c>
      <c r="E25" s="12"/>
      <c r="F25" s="9" t="e">
        <f>SUM(#REF!-(QV!F29+DH!F29))</f>
        <v>#REF!</v>
      </c>
      <c r="G25" s="10" t="e">
        <f t="shared" ref="G25:G26" si="11">(F25/2914)*100</f>
        <v>#REF!</v>
      </c>
      <c r="H25" s="11" t="e">
        <f>SUM(#REF!-(QV!H29+DH!H29))</f>
        <v>#REF!</v>
      </c>
      <c r="I25" s="12" t="e">
        <f t="shared" si="6"/>
        <v>#REF!</v>
      </c>
      <c r="J25" s="9" t="e">
        <f>SUM(#REF!-(QV!J29+DH!J29))</f>
        <v>#REF!</v>
      </c>
      <c r="K25" s="10" t="e">
        <f t="shared" ref="K25:K26" si="12">(J25/2914)*100</f>
        <v>#REF!</v>
      </c>
      <c r="L25" s="11" t="e">
        <f>SUM(#REF!-(QV!L29+DH!L29))</f>
        <v>#REF!</v>
      </c>
      <c r="M25" s="12" t="e">
        <f t="shared" si="7"/>
        <v>#REF!</v>
      </c>
      <c r="N25" s="30" t="e">
        <f t="shared" si="8"/>
        <v>#REF!</v>
      </c>
      <c r="O25" s="31"/>
      <c r="P25" s="22" t="e">
        <f t="shared" si="9"/>
        <v>#REF!</v>
      </c>
      <c r="Q25" s="30" t="e">
        <f t="shared" si="10"/>
        <v>#REF!</v>
      </c>
      <c r="R25" s="31"/>
      <c r="S25" s="22"/>
    </row>
    <row r="26" spans="1:26" ht="21" customHeight="1" x14ac:dyDescent="0.2">
      <c r="A26" s="37" t="s">
        <v>14</v>
      </c>
      <c r="B26" s="15"/>
      <c r="C26" s="17"/>
      <c r="D26" s="18">
        <v>2613748</v>
      </c>
      <c r="E26" s="19"/>
      <c r="F26" s="15" t="e">
        <f>SUM(#REF!-(QV!F30+DH!F30))</f>
        <v>#REF!</v>
      </c>
      <c r="G26" s="17" t="e">
        <f t="shared" si="11"/>
        <v>#REF!</v>
      </c>
      <c r="H26" s="18" t="e">
        <f>SUM(#REF!-(QV!H30+DH!H30))</f>
        <v>#REF!</v>
      </c>
      <c r="I26" s="19" t="e">
        <f t="shared" si="6"/>
        <v>#REF!</v>
      </c>
      <c r="J26" s="15" t="e">
        <f>SUM(#REF!-(QV!J30+DH!J30))</f>
        <v>#REF!</v>
      </c>
      <c r="K26" s="17" t="e">
        <f t="shared" si="12"/>
        <v>#REF!</v>
      </c>
      <c r="L26" s="18" t="e">
        <f>SUM(#REF!-(QV!L30+DH!L30))</f>
        <v>#REF!</v>
      </c>
      <c r="M26" s="19" t="e">
        <f t="shared" si="7"/>
        <v>#REF!</v>
      </c>
      <c r="N26" s="32" t="e">
        <f t="shared" si="8"/>
        <v>#REF!</v>
      </c>
      <c r="O26" s="33"/>
      <c r="P26" s="26" t="e">
        <f t="shared" si="9"/>
        <v>#REF!</v>
      </c>
      <c r="Q26" s="32" t="e">
        <f t="shared" si="10"/>
        <v>#REF!</v>
      </c>
      <c r="R26" s="33"/>
      <c r="S26" s="26"/>
    </row>
    <row r="27" spans="1:26" ht="24" customHeight="1" x14ac:dyDescent="0.25">
      <c r="A27" s="897" t="s">
        <v>23</v>
      </c>
      <c r="B27" s="898"/>
      <c r="C27" s="898"/>
      <c r="D27" s="898"/>
      <c r="E27" s="898"/>
      <c r="F27" s="898"/>
      <c r="G27" s="898"/>
      <c r="H27" s="898"/>
      <c r="I27" s="898"/>
      <c r="J27" s="898"/>
      <c r="K27" s="898"/>
      <c r="L27" s="898"/>
      <c r="M27" s="898"/>
      <c r="N27" s="898"/>
      <c r="O27" s="898"/>
      <c r="P27" s="898"/>
      <c r="Q27" s="899"/>
    </row>
    <row r="28" spans="1:26" ht="20.25" customHeight="1" x14ac:dyDescent="0.2">
      <c r="A28" s="4">
        <v>2011</v>
      </c>
      <c r="B28" s="900" t="s">
        <v>0</v>
      </c>
      <c r="C28" s="901"/>
      <c r="D28" s="901"/>
      <c r="E28" s="902"/>
      <c r="F28" s="4"/>
      <c r="G28" s="903" t="s">
        <v>1</v>
      </c>
      <c r="H28" s="901"/>
      <c r="I28" s="902"/>
      <c r="J28" s="904"/>
      <c r="K28" s="905"/>
      <c r="L28" s="905"/>
      <c r="M28" s="905"/>
      <c r="N28" s="904"/>
      <c r="O28" s="905"/>
      <c r="P28" s="905"/>
      <c r="Q28" s="905"/>
    </row>
    <row r="29" spans="1:26" ht="19.5" customHeight="1" x14ac:dyDescent="0.2">
      <c r="A29" s="35" t="s">
        <v>17</v>
      </c>
      <c r="B29" s="9">
        <v>565</v>
      </c>
      <c r="C29" s="10">
        <f>(B29/1085)*100</f>
        <v>52.073732718894007</v>
      </c>
      <c r="D29" s="36">
        <v>847500</v>
      </c>
      <c r="E29" s="12">
        <f t="shared" ref="E29:E34" si="13">D29/B29</f>
        <v>1500</v>
      </c>
      <c r="F29" s="9">
        <v>531</v>
      </c>
      <c r="G29" s="10">
        <f>(F29/1085)*100</f>
        <v>48.940092165898619</v>
      </c>
      <c r="H29" s="11">
        <v>556849</v>
      </c>
      <c r="I29" s="12">
        <f t="shared" ref="I29:I34" si="14">H29/F29</f>
        <v>1048.6798493408662</v>
      </c>
      <c r="J29" s="23"/>
      <c r="K29" s="10"/>
      <c r="L29" s="11"/>
      <c r="M29" s="31"/>
      <c r="N29" s="23"/>
      <c r="O29" s="10"/>
      <c r="P29" s="11"/>
      <c r="Q29" s="31"/>
    </row>
    <row r="30" spans="1:26" ht="19.5" customHeight="1" x14ac:dyDescent="0.2">
      <c r="A30" s="35" t="s">
        <v>7</v>
      </c>
      <c r="B30" s="9">
        <v>688</v>
      </c>
      <c r="C30" s="10">
        <f>(B30/1050)*100</f>
        <v>65.523809523809533</v>
      </c>
      <c r="D30" s="36">
        <v>1344286</v>
      </c>
      <c r="E30" s="12">
        <f t="shared" si="13"/>
        <v>1953.9040697674418</v>
      </c>
      <c r="F30" s="9">
        <v>347</v>
      </c>
      <c r="G30" s="10">
        <f>(F30/1050)*100</f>
        <v>33.047619047619051</v>
      </c>
      <c r="H30" s="11">
        <v>725946</v>
      </c>
      <c r="I30" s="12">
        <f t="shared" si="14"/>
        <v>2092.0634005763691</v>
      </c>
      <c r="J30" s="23"/>
      <c r="K30" s="10"/>
      <c r="L30" s="11"/>
      <c r="M30" s="31"/>
      <c r="N30" s="23"/>
      <c r="O30" s="10"/>
      <c r="P30" s="11"/>
      <c r="Q30" s="31"/>
    </row>
    <row r="31" spans="1:26" ht="19.5" customHeight="1" x14ac:dyDescent="0.2">
      <c r="A31" s="35" t="s">
        <v>8</v>
      </c>
      <c r="B31" s="9">
        <v>821</v>
      </c>
      <c r="C31" s="10">
        <f>(B31/1085)*100</f>
        <v>75.668202764976954</v>
      </c>
      <c r="D31" s="36">
        <v>1623204</v>
      </c>
      <c r="E31" s="12">
        <f t="shared" si="13"/>
        <v>1977.1059683313033</v>
      </c>
      <c r="F31" s="9">
        <v>202</v>
      </c>
      <c r="G31" s="10">
        <f>(F31/1085)*100</f>
        <v>18.617511520737327</v>
      </c>
      <c r="H31" s="11">
        <v>396659</v>
      </c>
      <c r="I31" s="12">
        <f t="shared" si="14"/>
        <v>1963.6584158415842</v>
      </c>
      <c r="J31" s="23"/>
      <c r="K31" s="10"/>
      <c r="L31" s="11"/>
      <c r="M31" s="31"/>
      <c r="N31" s="23"/>
      <c r="O31" s="10"/>
      <c r="P31" s="11"/>
      <c r="Q31" s="31"/>
    </row>
    <row r="32" spans="1:26" ht="20.25" customHeight="1" x14ac:dyDescent="0.2">
      <c r="A32" s="35" t="s">
        <v>9</v>
      </c>
      <c r="B32" s="9">
        <v>850</v>
      </c>
      <c r="C32" s="10">
        <f>(B32/1050)*100</f>
        <v>80.952380952380949</v>
      </c>
      <c r="D32" s="36">
        <v>1602112</v>
      </c>
      <c r="E32" s="12">
        <f t="shared" si="13"/>
        <v>1884.8376470588234</v>
      </c>
      <c r="F32" s="9">
        <v>511</v>
      </c>
      <c r="G32" s="10">
        <f>(F32/1050)*100</f>
        <v>48.666666666666671</v>
      </c>
      <c r="H32" s="11">
        <v>974081</v>
      </c>
      <c r="I32" s="12">
        <f t="shared" si="14"/>
        <v>1906.225048923679</v>
      </c>
      <c r="J32" s="23"/>
      <c r="K32" s="10"/>
      <c r="L32" s="11"/>
      <c r="M32" s="31"/>
      <c r="N32" s="23"/>
      <c r="O32" s="10"/>
      <c r="P32" s="11"/>
      <c r="Q32" s="31"/>
    </row>
    <row r="33" spans="1:19" ht="19.5" customHeight="1" x14ac:dyDescent="0.2">
      <c r="A33" s="35" t="s">
        <v>10</v>
      </c>
      <c r="B33" s="9">
        <v>705</v>
      </c>
      <c r="C33" s="10">
        <f t="shared" ref="C33:C34" si="15">(B33/1085)*100</f>
        <v>64.976958525345623</v>
      </c>
      <c r="D33" s="36">
        <v>1618503</v>
      </c>
      <c r="E33" s="12">
        <f t="shared" si="13"/>
        <v>2295.7489361702128</v>
      </c>
      <c r="F33" s="9">
        <v>517</v>
      </c>
      <c r="G33" s="10">
        <f t="shared" ref="G33:G34" si="16">(F33/1085)*100</f>
        <v>47.649769585253452</v>
      </c>
      <c r="H33" s="11">
        <v>916435</v>
      </c>
      <c r="I33" s="12">
        <f t="shared" si="14"/>
        <v>1772.6015473887815</v>
      </c>
      <c r="J33" s="23"/>
      <c r="K33" s="10"/>
      <c r="L33" s="11"/>
      <c r="M33" s="31"/>
      <c r="N33" s="23"/>
      <c r="O33" s="10"/>
      <c r="P33" s="11"/>
      <c r="Q33" s="31"/>
    </row>
    <row r="34" spans="1:19" ht="21" customHeight="1" x14ac:dyDescent="0.2">
      <c r="A34" s="37" t="s">
        <v>14</v>
      </c>
      <c r="B34" s="15">
        <v>762</v>
      </c>
      <c r="C34" s="17">
        <f t="shared" si="15"/>
        <v>70.230414746543772</v>
      </c>
      <c r="D34" s="38">
        <v>1493506</v>
      </c>
      <c r="E34" s="19">
        <f t="shared" si="13"/>
        <v>1959.9816272965879</v>
      </c>
      <c r="F34" s="15">
        <v>317</v>
      </c>
      <c r="G34" s="17">
        <f t="shared" si="16"/>
        <v>29.216589861751153</v>
      </c>
      <c r="H34" s="18">
        <v>455018</v>
      </c>
      <c r="I34" s="19">
        <f t="shared" si="14"/>
        <v>1435.3880126182964</v>
      </c>
      <c r="J34" s="23"/>
      <c r="K34" s="10"/>
      <c r="L34" s="11"/>
      <c r="M34" s="31"/>
      <c r="N34" s="23"/>
      <c r="O34" s="10"/>
      <c r="P34" s="11"/>
      <c r="Q34" s="31"/>
    </row>
    <row r="35" spans="1:19" ht="19.5" customHeight="1" x14ac:dyDescent="0.2">
      <c r="A35" s="4">
        <v>2011</v>
      </c>
      <c r="B35" s="900" t="s">
        <v>12</v>
      </c>
      <c r="C35" s="902"/>
      <c r="D35" s="900" t="s">
        <v>13</v>
      </c>
      <c r="E35" s="902"/>
      <c r="F35" s="23"/>
      <c r="G35" s="24"/>
      <c r="H35" s="11"/>
      <c r="I35" s="11"/>
      <c r="J35" s="11"/>
      <c r="K35" s="11"/>
      <c r="L35" s="31"/>
      <c r="M35" s="23"/>
      <c r="N35" s="10"/>
      <c r="O35" s="11"/>
      <c r="P35" s="31"/>
    </row>
    <row r="36" spans="1:19" ht="19.5" customHeight="1" x14ac:dyDescent="0.2">
      <c r="A36" s="6"/>
      <c r="B36" s="906" t="s">
        <v>18</v>
      </c>
      <c r="C36" s="907"/>
      <c r="D36" s="906" t="s">
        <v>18</v>
      </c>
      <c r="E36" s="907"/>
      <c r="F36" s="23"/>
      <c r="G36" s="24"/>
      <c r="H36" s="11"/>
      <c r="I36" s="11"/>
      <c r="J36" s="11"/>
      <c r="K36" s="11"/>
      <c r="L36" s="31"/>
      <c r="M36" s="23"/>
      <c r="N36" s="10"/>
      <c r="O36" s="11"/>
      <c r="P36" s="31"/>
    </row>
    <row r="37" spans="1:19" ht="19.5" customHeight="1" x14ac:dyDescent="0.2">
      <c r="A37" s="35" t="s">
        <v>17</v>
      </c>
      <c r="B37" s="21"/>
      <c r="C37" s="40">
        <f t="shared" ref="C37:C42" si="17">H29-D29</f>
        <v>-290651</v>
      </c>
      <c r="D37" s="13"/>
      <c r="E37" s="41">
        <f t="shared" ref="E37:E42" si="18">F29-B29</f>
        <v>-34</v>
      </c>
      <c r="F37" s="10"/>
      <c r="G37" s="11"/>
      <c r="H37" s="31"/>
      <c r="I37" s="23"/>
      <c r="J37" s="10"/>
      <c r="K37" s="11"/>
      <c r="L37" s="31"/>
      <c r="M37" s="23"/>
      <c r="N37" s="10"/>
      <c r="O37" s="11"/>
      <c r="P37" s="31"/>
      <c r="Q37" s="14"/>
      <c r="R37" s="14"/>
      <c r="S37" s="14"/>
    </row>
    <row r="38" spans="1:19" ht="19.5" customHeight="1" x14ac:dyDescent="0.2">
      <c r="A38" s="35" t="s">
        <v>7</v>
      </c>
      <c r="B38" s="21"/>
      <c r="C38" s="40">
        <f t="shared" si="17"/>
        <v>-618340</v>
      </c>
      <c r="D38" s="13"/>
      <c r="E38" s="41">
        <f t="shared" si="18"/>
        <v>-341</v>
      </c>
      <c r="F38" s="10"/>
      <c r="G38" s="11"/>
      <c r="H38" s="31"/>
      <c r="I38" s="23"/>
      <c r="J38" s="10"/>
      <c r="K38" s="11"/>
      <c r="L38" s="31"/>
      <c r="M38" s="23"/>
      <c r="N38" s="10"/>
      <c r="O38" s="11"/>
      <c r="P38" s="31"/>
      <c r="Q38" s="14"/>
      <c r="R38" s="14"/>
      <c r="S38" s="14"/>
    </row>
    <row r="39" spans="1:19" ht="19.5" customHeight="1" x14ac:dyDescent="0.2">
      <c r="A39" s="35" t="s">
        <v>8</v>
      </c>
      <c r="B39" s="21"/>
      <c r="C39" s="40">
        <f t="shared" si="17"/>
        <v>-1226545</v>
      </c>
      <c r="D39" s="13"/>
      <c r="E39" s="41">
        <f t="shared" si="18"/>
        <v>-619</v>
      </c>
      <c r="F39" s="10"/>
      <c r="G39" s="11"/>
      <c r="H39" s="31"/>
      <c r="I39" s="23"/>
      <c r="J39" s="10"/>
      <c r="K39" s="11"/>
      <c r="L39" s="31"/>
      <c r="M39" s="23"/>
      <c r="N39" s="10"/>
      <c r="O39" s="11"/>
      <c r="P39" s="31"/>
      <c r="Q39" s="14"/>
      <c r="R39" s="14"/>
      <c r="S39" s="14"/>
    </row>
    <row r="40" spans="1:19" ht="19.5" customHeight="1" x14ac:dyDescent="0.2">
      <c r="A40" s="35" t="s">
        <v>9</v>
      </c>
      <c r="B40" s="21"/>
      <c r="C40" s="40">
        <f t="shared" si="17"/>
        <v>-628031</v>
      </c>
      <c r="D40" s="13"/>
      <c r="E40" s="41">
        <f t="shared" si="18"/>
        <v>-339</v>
      </c>
      <c r="F40" s="10"/>
      <c r="G40" s="11"/>
      <c r="H40" s="31"/>
      <c r="I40" s="23"/>
      <c r="J40" s="10"/>
      <c r="K40" s="11"/>
      <c r="L40" s="31"/>
      <c r="M40" s="23"/>
      <c r="N40" s="10"/>
      <c r="O40" s="11"/>
      <c r="P40" s="31"/>
      <c r="Q40" s="14"/>
      <c r="R40" s="14"/>
      <c r="S40" s="14"/>
    </row>
    <row r="41" spans="1:19" ht="19.5" customHeight="1" x14ac:dyDescent="0.2">
      <c r="A41" s="35" t="s">
        <v>10</v>
      </c>
      <c r="B41" s="21"/>
      <c r="C41" s="40">
        <f t="shared" si="17"/>
        <v>-702068</v>
      </c>
      <c r="D41" s="13"/>
      <c r="E41" s="41">
        <f t="shared" si="18"/>
        <v>-188</v>
      </c>
      <c r="F41" s="10"/>
      <c r="G41" s="11"/>
      <c r="H41" s="31"/>
      <c r="I41" s="23"/>
      <c r="J41" s="10"/>
      <c r="K41" s="11"/>
      <c r="L41" s="31"/>
      <c r="M41" s="23"/>
      <c r="N41" s="10"/>
      <c r="O41" s="11"/>
      <c r="P41" s="31"/>
      <c r="Q41" s="14"/>
      <c r="R41" s="14"/>
      <c r="S41" s="14"/>
    </row>
    <row r="42" spans="1:19" ht="21" customHeight="1" x14ac:dyDescent="0.2">
      <c r="A42" s="37" t="s">
        <v>14</v>
      </c>
      <c r="B42" s="25"/>
      <c r="C42" s="42">
        <f t="shared" si="17"/>
        <v>-1038488</v>
      </c>
      <c r="D42" s="20"/>
      <c r="E42" s="43">
        <f t="shared" si="18"/>
        <v>-445</v>
      </c>
      <c r="F42" s="10"/>
      <c r="G42" s="11"/>
      <c r="H42" s="31"/>
      <c r="I42" s="23"/>
      <c r="J42" s="10"/>
      <c r="K42" s="11"/>
      <c r="L42" s="31"/>
      <c r="M42" s="23"/>
      <c r="N42" s="10"/>
      <c r="O42" s="11"/>
      <c r="P42" s="31"/>
      <c r="Q42" s="14"/>
      <c r="R42" s="14"/>
      <c r="S42" s="14"/>
    </row>
    <row r="43" spans="1:19" ht="19.5" customHeight="1" x14ac:dyDescent="0.2">
      <c r="A43" s="4">
        <v>2011</v>
      </c>
      <c r="B43" s="27" t="s">
        <v>19</v>
      </c>
      <c r="C43" s="5" t="s">
        <v>1</v>
      </c>
      <c r="D43" s="5"/>
      <c r="E43" s="44"/>
      <c r="F43" s="27" t="s">
        <v>20</v>
      </c>
      <c r="G43" s="903" t="s">
        <v>1</v>
      </c>
      <c r="H43" s="901"/>
      <c r="I43" s="902"/>
      <c r="J43" s="27" t="s">
        <v>20</v>
      </c>
      <c r="K43" s="903" t="s">
        <v>1</v>
      </c>
      <c r="L43" s="901"/>
      <c r="M43" s="902"/>
      <c r="N43" s="908" t="s">
        <v>21</v>
      </c>
      <c r="O43" s="901"/>
      <c r="P43" s="28"/>
      <c r="Q43" s="908" t="s">
        <v>22</v>
      </c>
      <c r="R43" s="901"/>
      <c r="S43" s="28"/>
    </row>
    <row r="44" spans="1:19" ht="18" customHeight="1" x14ac:dyDescent="0.2">
      <c r="A44" s="29"/>
      <c r="B44" s="6"/>
      <c r="C44" s="7"/>
      <c r="D44" s="7" t="s">
        <v>5</v>
      </c>
      <c r="E44" s="8"/>
      <c r="F44" s="6" t="s">
        <v>3</v>
      </c>
      <c r="G44" s="7" t="s">
        <v>4</v>
      </c>
      <c r="H44" s="7" t="s">
        <v>5</v>
      </c>
      <c r="I44" s="8" t="s">
        <v>6</v>
      </c>
      <c r="J44" s="6" t="s">
        <v>3</v>
      </c>
      <c r="K44" s="7" t="s">
        <v>4</v>
      </c>
      <c r="L44" s="7" t="s">
        <v>5</v>
      </c>
      <c r="M44" s="8" t="s">
        <v>6</v>
      </c>
      <c r="N44" s="6" t="s">
        <v>12</v>
      </c>
      <c r="O44" s="7"/>
      <c r="P44" s="8"/>
      <c r="Q44" s="6" t="s">
        <v>12</v>
      </c>
      <c r="R44" s="7"/>
      <c r="S44" s="8"/>
    </row>
    <row r="45" spans="1:19" ht="19.5" customHeight="1" x14ac:dyDescent="0.2">
      <c r="A45" s="35" t="s">
        <v>17</v>
      </c>
      <c r="B45" s="9"/>
      <c r="C45" s="10"/>
      <c r="D45" s="11">
        <v>236039</v>
      </c>
      <c r="E45" s="12"/>
      <c r="F45" s="9">
        <v>531</v>
      </c>
      <c r="G45" s="10">
        <f>(F45/1085)*100</f>
        <v>48.940092165898619</v>
      </c>
      <c r="H45" s="11">
        <v>556849</v>
      </c>
      <c r="I45" s="12">
        <f t="shared" ref="I45:I50" si="19">H45/F45</f>
        <v>1048.6798493408662</v>
      </c>
      <c r="J45" s="9">
        <v>531</v>
      </c>
      <c r="K45" s="10">
        <f>(J45/1085)*100</f>
        <v>48.940092165898619</v>
      </c>
      <c r="L45" s="11">
        <v>556849</v>
      </c>
      <c r="M45" s="12">
        <f t="shared" ref="M45:M50" si="20">L45/J45</f>
        <v>1048.6798493408662</v>
      </c>
      <c r="N45" s="30">
        <f t="shared" ref="N45:N50" si="21">L45-H45</f>
        <v>0</v>
      </c>
      <c r="O45" s="31"/>
      <c r="P45" s="22">
        <f t="shared" ref="P45:P50" si="22">J45-F45</f>
        <v>0</v>
      </c>
      <c r="Q45" s="30">
        <f t="shared" ref="Q45:Q50" si="23">O45-K45</f>
        <v>-48.940092165898619</v>
      </c>
      <c r="R45" s="31"/>
      <c r="S45" s="22"/>
    </row>
    <row r="46" spans="1:19" ht="19.5" customHeight="1" x14ac:dyDescent="0.2">
      <c r="A46" s="35" t="s">
        <v>7</v>
      </c>
      <c r="B46" s="9"/>
      <c r="C46" s="10"/>
      <c r="D46" s="11">
        <v>544244</v>
      </c>
      <c r="E46" s="12"/>
      <c r="F46" s="9">
        <v>347</v>
      </c>
      <c r="G46" s="10">
        <f>(F46/1050)*100</f>
        <v>33.047619047619051</v>
      </c>
      <c r="H46" s="11">
        <v>725946</v>
      </c>
      <c r="I46" s="12">
        <f t="shared" si="19"/>
        <v>2092.0634005763691</v>
      </c>
      <c r="J46" s="9">
        <v>347</v>
      </c>
      <c r="K46" s="10">
        <f>(J46/1050)*100</f>
        <v>33.047619047619051</v>
      </c>
      <c r="L46" s="11">
        <v>725946</v>
      </c>
      <c r="M46" s="12">
        <f t="shared" si="20"/>
        <v>2092.0634005763691</v>
      </c>
      <c r="N46" s="30">
        <f t="shared" si="21"/>
        <v>0</v>
      </c>
      <c r="O46" s="31"/>
      <c r="P46" s="22">
        <f t="shared" si="22"/>
        <v>0</v>
      </c>
      <c r="Q46" s="30">
        <f t="shared" si="23"/>
        <v>-33.047619047619051</v>
      </c>
      <c r="R46" s="31"/>
      <c r="S46" s="22"/>
    </row>
    <row r="47" spans="1:19" ht="19.5" customHeight="1" x14ac:dyDescent="0.2">
      <c r="A47" s="35" t="s">
        <v>8</v>
      </c>
      <c r="B47" s="9"/>
      <c r="C47" s="10"/>
      <c r="D47" s="11">
        <v>301903</v>
      </c>
      <c r="E47" s="12"/>
      <c r="F47" s="9">
        <v>202</v>
      </c>
      <c r="G47" s="10">
        <f>(F47/1085)*100</f>
        <v>18.617511520737327</v>
      </c>
      <c r="H47" s="11">
        <v>396659</v>
      </c>
      <c r="I47" s="12">
        <f t="shared" si="19"/>
        <v>1963.6584158415842</v>
      </c>
      <c r="J47" s="9">
        <v>202</v>
      </c>
      <c r="K47" s="10">
        <f>(J47/1085)*100</f>
        <v>18.617511520737327</v>
      </c>
      <c r="L47" s="11">
        <v>396659</v>
      </c>
      <c r="M47" s="12">
        <f t="shared" si="20"/>
        <v>1963.6584158415842</v>
      </c>
      <c r="N47" s="30">
        <f t="shared" si="21"/>
        <v>0</v>
      </c>
      <c r="O47" s="31"/>
      <c r="P47" s="22">
        <f t="shared" si="22"/>
        <v>0</v>
      </c>
      <c r="Q47" s="30">
        <f t="shared" si="23"/>
        <v>-18.617511520737327</v>
      </c>
      <c r="R47" s="31"/>
      <c r="S47" s="22"/>
    </row>
    <row r="48" spans="1:19" ht="19.5" customHeight="1" x14ac:dyDescent="0.2">
      <c r="A48" s="35" t="s">
        <v>9</v>
      </c>
      <c r="B48" s="9"/>
      <c r="C48" s="10"/>
      <c r="D48" s="11">
        <v>713164</v>
      </c>
      <c r="E48" s="12"/>
      <c r="F48" s="9">
        <v>511</v>
      </c>
      <c r="G48" s="10">
        <f>(F48/1050)*100</f>
        <v>48.666666666666671</v>
      </c>
      <c r="H48" s="11">
        <v>974081</v>
      </c>
      <c r="I48" s="12">
        <f t="shared" si="19"/>
        <v>1906.225048923679</v>
      </c>
      <c r="J48" s="9">
        <v>511</v>
      </c>
      <c r="K48" s="10">
        <f>(J48/1050)*100</f>
        <v>48.666666666666671</v>
      </c>
      <c r="L48" s="11">
        <v>974081</v>
      </c>
      <c r="M48" s="12">
        <f t="shared" si="20"/>
        <v>1906.225048923679</v>
      </c>
      <c r="N48" s="30">
        <f t="shared" si="21"/>
        <v>0</v>
      </c>
      <c r="O48" s="31"/>
      <c r="P48" s="22">
        <f t="shared" si="22"/>
        <v>0</v>
      </c>
      <c r="Q48" s="30">
        <f t="shared" si="23"/>
        <v>-48.666666666666671</v>
      </c>
      <c r="R48" s="31"/>
      <c r="S48" s="22"/>
    </row>
    <row r="49" spans="1:19" ht="19.5" customHeight="1" x14ac:dyDescent="0.2">
      <c r="A49" s="35" t="s">
        <v>10</v>
      </c>
      <c r="B49" s="9"/>
      <c r="C49" s="10"/>
      <c r="D49" s="11">
        <v>898118</v>
      </c>
      <c r="E49" s="12"/>
      <c r="F49" s="9">
        <v>517</v>
      </c>
      <c r="G49" s="10">
        <f t="shared" ref="G49:G50" si="24">(F49/1085)*100</f>
        <v>47.649769585253452</v>
      </c>
      <c r="H49" s="11">
        <v>916435</v>
      </c>
      <c r="I49" s="12">
        <f t="shared" si="19"/>
        <v>1772.6015473887815</v>
      </c>
      <c r="J49" s="9">
        <v>517</v>
      </c>
      <c r="K49" s="10">
        <f t="shared" ref="K49:K50" si="25">(J49/1085)*100</f>
        <v>47.649769585253452</v>
      </c>
      <c r="L49" s="11">
        <v>916435</v>
      </c>
      <c r="M49" s="12">
        <f t="shared" si="20"/>
        <v>1772.6015473887815</v>
      </c>
      <c r="N49" s="30">
        <f t="shared" si="21"/>
        <v>0</v>
      </c>
      <c r="O49" s="31"/>
      <c r="P49" s="22">
        <f t="shared" si="22"/>
        <v>0</v>
      </c>
      <c r="Q49" s="30">
        <f t="shared" si="23"/>
        <v>-47.649769585253452</v>
      </c>
      <c r="R49" s="31"/>
      <c r="S49" s="22"/>
    </row>
    <row r="50" spans="1:19" ht="21" customHeight="1" x14ac:dyDescent="0.2">
      <c r="A50" s="37" t="s">
        <v>14</v>
      </c>
      <c r="B50" s="15"/>
      <c r="C50" s="17"/>
      <c r="D50" s="18">
        <v>441440</v>
      </c>
      <c r="E50" s="19"/>
      <c r="F50" s="15">
        <v>317</v>
      </c>
      <c r="G50" s="17">
        <f t="shared" si="24"/>
        <v>29.216589861751153</v>
      </c>
      <c r="H50" s="18">
        <v>455018</v>
      </c>
      <c r="I50" s="19">
        <f t="shared" si="19"/>
        <v>1435.3880126182964</v>
      </c>
      <c r="J50" s="15">
        <v>317</v>
      </c>
      <c r="K50" s="17">
        <f t="shared" si="25"/>
        <v>29.216589861751153</v>
      </c>
      <c r="L50" s="18">
        <v>455018</v>
      </c>
      <c r="M50" s="19">
        <f t="shared" si="20"/>
        <v>1435.3880126182964</v>
      </c>
      <c r="N50" s="32">
        <f t="shared" si="21"/>
        <v>0</v>
      </c>
      <c r="O50" s="33"/>
      <c r="P50" s="26">
        <f t="shared" si="22"/>
        <v>0</v>
      </c>
      <c r="Q50" s="32">
        <f t="shared" si="23"/>
        <v>-29.216589861751153</v>
      </c>
      <c r="R50" s="33"/>
      <c r="S50" s="26"/>
    </row>
    <row r="51" spans="1:19" ht="24" customHeight="1" x14ac:dyDescent="0.25">
      <c r="A51" s="897" t="s">
        <v>24</v>
      </c>
      <c r="B51" s="898"/>
      <c r="C51" s="898"/>
      <c r="D51" s="898"/>
      <c r="E51" s="898"/>
      <c r="F51" s="898"/>
      <c r="G51" s="898"/>
      <c r="H51" s="898"/>
      <c r="I51" s="898"/>
      <c r="J51" s="898"/>
      <c r="K51" s="898"/>
      <c r="L51" s="898"/>
      <c r="M51" s="898"/>
      <c r="N51" s="898"/>
      <c r="O51" s="898"/>
      <c r="P51" s="898"/>
      <c r="Q51" s="899"/>
    </row>
    <row r="52" spans="1:19" ht="19.5" customHeight="1" x14ac:dyDescent="0.2">
      <c r="A52" s="4">
        <v>2011</v>
      </c>
      <c r="B52" s="900" t="s">
        <v>0</v>
      </c>
      <c r="C52" s="901"/>
      <c r="D52" s="901"/>
      <c r="E52" s="902"/>
      <c r="F52" s="4"/>
      <c r="G52" s="903" t="s">
        <v>1</v>
      </c>
      <c r="H52" s="901"/>
      <c r="I52" s="902"/>
      <c r="J52" s="904"/>
      <c r="K52" s="905"/>
      <c r="L52" s="905"/>
      <c r="M52" s="905"/>
      <c r="N52" s="904"/>
      <c r="O52" s="905"/>
      <c r="P52" s="905"/>
      <c r="Q52" s="905"/>
    </row>
    <row r="53" spans="1:19" ht="19.5" customHeight="1" x14ac:dyDescent="0.2">
      <c r="A53" s="35" t="s">
        <v>17</v>
      </c>
      <c r="B53" s="9">
        <v>127.5</v>
      </c>
      <c r="C53" s="10">
        <f>(B53/186)*100</f>
        <v>68.548387096774192</v>
      </c>
      <c r="D53" s="36">
        <v>225293</v>
      </c>
      <c r="E53" s="12">
        <f t="shared" ref="E53:E58" si="26">D53/B53</f>
        <v>1767.0039215686274</v>
      </c>
      <c r="F53" s="9">
        <v>104</v>
      </c>
      <c r="G53" s="10">
        <f>(F53/186)*100</f>
        <v>55.913978494623649</v>
      </c>
      <c r="H53" s="11">
        <v>142701</v>
      </c>
      <c r="I53" s="12">
        <f t="shared" ref="I53:I58" si="27">H53/F53</f>
        <v>1372.125</v>
      </c>
      <c r="J53" s="23"/>
      <c r="K53" s="10"/>
      <c r="L53" s="11"/>
      <c r="M53" s="31"/>
      <c r="N53" s="23"/>
      <c r="O53" s="10"/>
      <c r="P53" s="11"/>
      <c r="Q53" s="31"/>
    </row>
    <row r="54" spans="1:19" ht="19.5" customHeight="1" x14ac:dyDescent="0.2">
      <c r="A54" s="35" t="s">
        <v>7</v>
      </c>
      <c r="B54" s="9">
        <v>135</v>
      </c>
      <c r="C54" s="10">
        <f>(B54/180)*100</f>
        <v>75</v>
      </c>
      <c r="D54" s="36">
        <v>329721</v>
      </c>
      <c r="E54" s="12">
        <f t="shared" si="26"/>
        <v>2442.3777777777777</v>
      </c>
      <c r="F54" s="9">
        <v>76</v>
      </c>
      <c r="G54" s="10">
        <f>(F54/180)*100</f>
        <v>42.222222222222221</v>
      </c>
      <c r="H54" s="11">
        <v>165081</v>
      </c>
      <c r="I54" s="12">
        <f t="shared" si="27"/>
        <v>2172.1184210526317</v>
      </c>
      <c r="J54" s="23"/>
      <c r="K54" s="10"/>
      <c r="L54" s="11"/>
      <c r="M54" s="31"/>
      <c r="N54" s="23"/>
      <c r="O54" s="10"/>
      <c r="P54" s="11"/>
      <c r="Q54" s="31"/>
    </row>
    <row r="55" spans="1:19" ht="19.5" customHeight="1" x14ac:dyDescent="0.2">
      <c r="A55" s="35" t="s">
        <v>8</v>
      </c>
      <c r="B55" s="9">
        <v>151.30000000000001</v>
      </c>
      <c r="C55" s="10">
        <f>(B55/186)*100</f>
        <v>81.344086021505376</v>
      </c>
      <c r="D55" s="36">
        <v>373888</v>
      </c>
      <c r="E55" s="12">
        <f t="shared" si="26"/>
        <v>2471.1698612029081</v>
      </c>
      <c r="F55" s="9">
        <v>71</v>
      </c>
      <c r="G55" s="10">
        <f>(F55/186)*100</f>
        <v>38.172043010752688</v>
      </c>
      <c r="H55" s="11">
        <v>206440</v>
      </c>
      <c r="I55" s="12">
        <f t="shared" si="27"/>
        <v>2907.605633802817</v>
      </c>
      <c r="J55" s="23"/>
      <c r="K55" s="10"/>
      <c r="L55" s="11"/>
      <c r="M55" s="31"/>
      <c r="N55" s="23"/>
      <c r="O55" s="10"/>
      <c r="P55" s="11"/>
      <c r="Q55" s="31"/>
    </row>
    <row r="56" spans="1:19" ht="19.5" customHeight="1" x14ac:dyDescent="0.2">
      <c r="A56" s="35" t="s">
        <v>9</v>
      </c>
      <c r="B56" s="9">
        <v>135</v>
      </c>
      <c r="C56" s="10">
        <f>(B56/180)*100</f>
        <v>75</v>
      </c>
      <c r="D56" s="36">
        <v>318066</v>
      </c>
      <c r="E56" s="12">
        <f t="shared" si="26"/>
        <v>2356.0444444444443</v>
      </c>
      <c r="F56" s="9">
        <v>71</v>
      </c>
      <c r="G56" s="10">
        <f>(F56/180)*100</f>
        <v>39.444444444444443</v>
      </c>
      <c r="H56" s="11">
        <v>159019</v>
      </c>
      <c r="I56" s="12">
        <f t="shared" si="27"/>
        <v>2239.7042253521126</v>
      </c>
      <c r="J56" s="23"/>
      <c r="K56" s="10"/>
      <c r="L56" s="11"/>
      <c r="M56" s="31"/>
      <c r="N56" s="23"/>
      <c r="O56" s="10"/>
      <c r="P56" s="11"/>
      <c r="Q56" s="31"/>
    </row>
    <row r="57" spans="1:19" ht="19.5" customHeight="1" x14ac:dyDescent="0.2">
      <c r="A57" s="35" t="s">
        <v>10</v>
      </c>
      <c r="B57" s="9">
        <v>151.19999999999999</v>
      </c>
      <c r="C57" s="10">
        <f t="shared" ref="C57:C58" si="28">(B57/186)*100</f>
        <v>81.290322580645153</v>
      </c>
      <c r="D57" s="36">
        <v>434040</v>
      </c>
      <c r="E57" s="12">
        <f t="shared" si="26"/>
        <v>2870.6349206349209</v>
      </c>
      <c r="F57" s="9">
        <v>56</v>
      </c>
      <c r="G57" s="10">
        <f t="shared" ref="G57:G58" si="29">(F57/186)*100</f>
        <v>30.107526881720432</v>
      </c>
      <c r="H57" s="11">
        <v>195885</v>
      </c>
      <c r="I57" s="12">
        <f t="shared" si="27"/>
        <v>3497.9464285714284</v>
      </c>
      <c r="J57" s="23"/>
      <c r="K57" s="10"/>
      <c r="L57" s="11"/>
      <c r="M57" s="31"/>
      <c r="N57" s="23"/>
      <c r="O57" s="10"/>
      <c r="P57" s="11"/>
      <c r="Q57" s="31"/>
    </row>
    <row r="58" spans="1:19" ht="21" customHeight="1" x14ac:dyDescent="0.2">
      <c r="A58" s="37" t="s">
        <v>14</v>
      </c>
      <c r="B58" s="15">
        <v>140</v>
      </c>
      <c r="C58" s="17">
        <f t="shared" si="28"/>
        <v>75.268817204301072</v>
      </c>
      <c r="D58" s="38">
        <v>342997</v>
      </c>
      <c r="E58" s="19">
        <f t="shared" si="26"/>
        <v>2449.9785714285713</v>
      </c>
      <c r="F58" s="15">
        <v>46</v>
      </c>
      <c r="G58" s="17">
        <f t="shared" si="29"/>
        <v>24.731182795698924</v>
      </c>
      <c r="H58" s="18">
        <v>159918</v>
      </c>
      <c r="I58" s="19">
        <f t="shared" si="27"/>
        <v>3476.478260869565</v>
      </c>
      <c r="J58" s="23"/>
      <c r="K58" s="10"/>
      <c r="L58" s="11"/>
      <c r="M58" s="31"/>
      <c r="N58" s="23"/>
      <c r="O58" s="10"/>
      <c r="P58" s="11"/>
      <c r="Q58" s="31"/>
    </row>
    <row r="59" spans="1:19" ht="19.5" customHeight="1" x14ac:dyDescent="0.2">
      <c r="A59" s="4">
        <v>2011</v>
      </c>
      <c r="B59" s="900" t="s">
        <v>12</v>
      </c>
      <c r="C59" s="902"/>
      <c r="D59" s="900" t="s">
        <v>13</v>
      </c>
      <c r="E59" s="902"/>
      <c r="F59" s="23"/>
      <c r="G59" s="24"/>
      <c r="H59" s="11"/>
      <c r="I59" s="11"/>
      <c r="J59" s="11"/>
      <c r="K59" s="11"/>
      <c r="L59" s="31"/>
      <c r="M59" s="23"/>
      <c r="N59" s="10"/>
      <c r="O59" s="11"/>
      <c r="P59" s="31"/>
    </row>
    <row r="60" spans="1:19" ht="19.5" customHeight="1" x14ac:dyDescent="0.2">
      <c r="A60" s="6"/>
      <c r="B60" s="906" t="s">
        <v>18</v>
      </c>
      <c r="C60" s="907"/>
      <c r="D60" s="906" t="s">
        <v>18</v>
      </c>
      <c r="E60" s="907"/>
      <c r="F60" s="23"/>
      <c r="G60" s="24"/>
      <c r="H60" s="11"/>
      <c r="I60" s="11"/>
      <c r="J60" s="11"/>
      <c r="K60" s="11"/>
      <c r="L60" s="31"/>
      <c r="M60" s="23"/>
      <c r="N60" s="10"/>
      <c r="O60" s="11"/>
      <c r="P60" s="31"/>
    </row>
    <row r="61" spans="1:19" ht="19.5" customHeight="1" x14ac:dyDescent="0.2">
      <c r="A61" s="35" t="s">
        <v>17</v>
      </c>
      <c r="B61" s="21"/>
      <c r="C61" s="40">
        <f t="shared" ref="C61:C66" si="30">H53-D53</f>
        <v>-82592</v>
      </c>
      <c r="D61" s="13"/>
      <c r="E61" s="41">
        <f t="shared" ref="E61:E66" si="31">F53-B53</f>
        <v>-23.5</v>
      </c>
      <c r="F61" s="10"/>
      <c r="G61" s="11"/>
      <c r="H61" s="31"/>
      <c r="I61" s="23"/>
      <c r="J61" s="10"/>
      <c r="K61" s="11"/>
      <c r="L61" s="31"/>
      <c r="M61" s="23"/>
      <c r="N61" s="10"/>
      <c r="O61" s="11"/>
      <c r="P61" s="31"/>
      <c r="Q61" s="14"/>
      <c r="R61" s="14"/>
      <c r="S61" s="14"/>
    </row>
    <row r="62" spans="1:19" ht="19.5" customHeight="1" x14ac:dyDescent="0.2">
      <c r="A62" s="35" t="s">
        <v>7</v>
      </c>
      <c r="B62" s="21"/>
      <c r="C62" s="40">
        <f t="shared" si="30"/>
        <v>-164640</v>
      </c>
      <c r="D62" s="13"/>
      <c r="E62" s="41">
        <f t="shared" si="31"/>
        <v>-59</v>
      </c>
      <c r="F62" s="10"/>
      <c r="G62" s="11"/>
      <c r="H62" s="31"/>
      <c r="I62" s="23"/>
      <c r="J62" s="10"/>
      <c r="K62" s="11"/>
      <c r="L62" s="31"/>
      <c r="M62" s="23"/>
      <c r="N62" s="10"/>
      <c r="O62" s="11"/>
      <c r="P62" s="31"/>
      <c r="Q62" s="14"/>
      <c r="R62" s="14"/>
      <c r="S62" s="14"/>
    </row>
    <row r="63" spans="1:19" ht="19.5" customHeight="1" x14ac:dyDescent="0.2">
      <c r="A63" s="35" t="s">
        <v>8</v>
      </c>
      <c r="B63" s="21"/>
      <c r="C63" s="40">
        <f t="shared" si="30"/>
        <v>-167448</v>
      </c>
      <c r="D63" s="13"/>
      <c r="E63" s="41">
        <f t="shared" si="31"/>
        <v>-80.300000000000011</v>
      </c>
      <c r="F63" s="10"/>
      <c r="G63" s="11"/>
      <c r="H63" s="31"/>
      <c r="I63" s="23"/>
      <c r="J63" s="10"/>
      <c r="K63" s="11"/>
      <c r="L63" s="31"/>
      <c r="M63" s="23"/>
      <c r="N63" s="10"/>
      <c r="O63" s="11"/>
      <c r="P63" s="31"/>
      <c r="Q63" s="14"/>
      <c r="R63" s="14"/>
      <c r="S63" s="14"/>
    </row>
    <row r="64" spans="1:19" ht="19.5" customHeight="1" x14ac:dyDescent="0.2">
      <c r="A64" s="35" t="s">
        <v>9</v>
      </c>
      <c r="B64" s="21"/>
      <c r="C64" s="40">
        <f t="shared" si="30"/>
        <v>-159047</v>
      </c>
      <c r="D64" s="13"/>
      <c r="E64" s="41">
        <f t="shared" si="31"/>
        <v>-64</v>
      </c>
      <c r="F64" s="10"/>
      <c r="G64" s="11"/>
      <c r="H64" s="31"/>
      <c r="I64" s="23"/>
      <c r="J64" s="10"/>
      <c r="K64" s="11"/>
      <c r="L64" s="31"/>
      <c r="M64" s="23"/>
      <c r="N64" s="10"/>
      <c r="O64" s="11"/>
      <c r="P64" s="31"/>
      <c r="Q64" s="14"/>
      <c r="R64" s="14"/>
      <c r="S64" s="14"/>
    </row>
    <row r="65" spans="1:19" ht="19.5" customHeight="1" x14ac:dyDescent="0.2">
      <c r="A65" s="35" t="s">
        <v>10</v>
      </c>
      <c r="B65" s="21"/>
      <c r="C65" s="40">
        <f t="shared" si="30"/>
        <v>-238155</v>
      </c>
      <c r="D65" s="13"/>
      <c r="E65" s="41">
        <f t="shared" si="31"/>
        <v>-95.199999999999989</v>
      </c>
      <c r="F65" s="10"/>
      <c r="G65" s="11"/>
      <c r="H65" s="31"/>
      <c r="I65" s="23"/>
      <c r="J65" s="10"/>
      <c r="K65" s="11"/>
      <c r="L65" s="31"/>
      <c r="M65" s="23"/>
      <c r="N65" s="10"/>
      <c r="O65" s="11"/>
      <c r="P65" s="31"/>
      <c r="Q65" s="14"/>
      <c r="R65" s="14"/>
      <c r="S65" s="14"/>
    </row>
    <row r="66" spans="1:19" ht="21" customHeight="1" x14ac:dyDescent="0.2">
      <c r="A66" s="37" t="s">
        <v>14</v>
      </c>
      <c r="B66" s="25"/>
      <c r="C66" s="42">
        <f t="shared" si="30"/>
        <v>-183079</v>
      </c>
      <c r="D66" s="20"/>
      <c r="E66" s="43">
        <f t="shared" si="31"/>
        <v>-94</v>
      </c>
      <c r="F66" s="10"/>
      <c r="G66" s="11"/>
      <c r="H66" s="31"/>
      <c r="I66" s="23"/>
      <c r="J66" s="10"/>
      <c r="K66" s="11"/>
      <c r="L66" s="31"/>
      <c r="M66" s="23"/>
      <c r="N66" s="10"/>
      <c r="O66" s="11"/>
      <c r="P66" s="31"/>
      <c r="Q66" s="14"/>
      <c r="R66" s="14"/>
      <c r="S66" s="14"/>
    </row>
    <row r="67" spans="1:19" ht="19.5" customHeight="1" x14ac:dyDescent="0.2">
      <c r="A67" s="4">
        <v>2011</v>
      </c>
      <c r="B67" s="27" t="s">
        <v>19</v>
      </c>
      <c r="C67" s="5" t="s">
        <v>1</v>
      </c>
      <c r="D67" s="5"/>
      <c r="E67" s="44"/>
      <c r="F67" s="27" t="s">
        <v>20</v>
      </c>
      <c r="G67" s="903" t="s">
        <v>1</v>
      </c>
      <c r="H67" s="901"/>
      <c r="I67" s="902"/>
      <c r="J67" s="27" t="s">
        <v>20</v>
      </c>
      <c r="K67" s="903" t="s">
        <v>1</v>
      </c>
      <c r="L67" s="901"/>
      <c r="M67" s="902"/>
      <c r="N67" s="908" t="s">
        <v>21</v>
      </c>
      <c r="O67" s="901"/>
      <c r="P67" s="28"/>
      <c r="Q67" s="908" t="s">
        <v>22</v>
      </c>
      <c r="R67" s="901"/>
      <c r="S67" s="28"/>
    </row>
    <row r="68" spans="1:19" ht="18" customHeight="1" x14ac:dyDescent="0.2">
      <c r="A68" s="29"/>
      <c r="B68" s="6"/>
      <c r="C68" s="7"/>
      <c r="D68" s="7" t="s">
        <v>5</v>
      </c>
      <c r="E68" s="8"/>
      <c r="F68" s="6" t="s">
        <v>3</v>
      </c>
      <c r="G68" s="7" t="s">
        <v>4</v>
      </c>
      <c r="H68" s="7" t="s">
        <v>5</v>
      </c>
      <c r="I68" s="8" t="s">
        <v>6</v>
      </c>
      <c r="J68" s="6" t="s">
        <v>3</v>
      </c>
      <c r="K68" s="7" t="s">
        <v>4</v>
      </c>
      <c r="L68" s="7" t="s">
        <v>5</v>
      </c>
      <c r="M68" s="8" t="s">
        <v>6</v>
      </c>
      <c r="N68" s="6" t="s">
        <v>12</v>
      </c>
      <c r="O68" s="7"/>
      <c r="P68" s="8"/>
      <c r="Q68" s="6" t="s">
        <v>12</v>
      </c>
      <c r="R68" s="7"/>
      <c r="S68" s="8"/>
    </row>
    <row r="69" spans="1:19" ht="19.5" customHeight="1" x14ac:dyDescent="0.2">
      <c r="A69" s="35" t="s">
        <v>17</v>
      </c>
      <c r="B69" s="9"/>
      <c r="C69" s="10"/>
      <c r="D69" s="11">
        <v>103623</v>
      </c>
      <c r="E69" s="12"/>
      <c r="F69" s="9">
        <v>104</v>
      </c>
      <c r="G69" s="10">
        <f>(F69/186)*100</f>
        <v>55.913978494623649</v>
      </c>
      <c r="H69" s="11">
        <v>142701</v>
      </c>
      <c r="I69" s="12">
        <f t="shared" ref="I69:I74" si="32">H69/F69</f>
        <v>1372.125</v>
      </c>
      <c r="J69" s="9">
        <v>104</v>
      </c>
      <c r="K69" s="10">
        <f>(J69/186)*100</f>
        <v>55.913978494623649</v>
      </c>
      <c r="L69" s="11">
        <v>142701</v>
      </c>
      <c r="M69" s="12">
        <f t="shared" ref="M69:M74" si="33">L69/J69</f>
        <v>1372.125</v>
      </c>
      <c r="N69" s="30">
        <f t="shared" ref="N69:N74" si="34">L69-H69</f>
        <v>0</v>
      </c>
      <c r="O69" s="31"/>
      <c r="P69" s="22">
        <f t="shared" ref="P69:P74" si="35">J69-F69</f>
        <v>0</v>
      </c>
      <c r="Q69" s="30">
        <f t="shared" ref="Q69:Q74" si="36">O69-K69</f>
        <v>-55.913978494623649</v>
      </c>
      <c r="R69" s="31"/>
      <c r="S69" s="22"/>
    </row>
    <row r="70" spans="1:19" ht="19.5" customHeight="1" x14ac:dyDescent="0.2">
      <c r="A70" s="35" t="s">
        <v>7</v>
      </c>
      <c r="B70" s="9"/>
      <c r="C70" s="10"/>
      <c r="D70" s="11">
        <v>149866</v>
      </c>
      <c r="E70" s="12"/>
      <c r="F70" s="9">
        <v>76</v>
      </c>
      <c r="G70" s="10">
        <f>(F70/180)*100</f>
        <v>42.222222222222221</v>
      </c>
      <c r="H70" s="11">
        <v>165081</v>
      </c>
      <c r="I70" s="12">
        <f t="shared" si="32"/>
        <v>2172.1184210526317</v>
      </c>
      <c r="J70" s="9">
        <v>76</v>
      </c>
      <c r="K70" s="10">
        <f>(J70/180)*100</f>
        <v>42.222222222222221</v>
      </c>
      <c r="L70" s="11">
        <v>165081</v>
      </c>
      <c r="M70" s="12">
        <f t="shared" si="33"/>
        <v>2172.1184210526317</v>
      </c>
      <c r="N70" s="30">
        <f t="shared" si="34"/>
        <v>0</v>
      </c>
      <c r="O70" s="31"/>
      <c r="P70" s="22">
        <f t="shared" si="35"/>
        <v>0</v>
      </c>
      <c r="Q70" s="30">
        <f t="shared" si="36"/>
        <v>-42.222222222222221</v>
      </c>
      <c r="R70" s="31"/>
      <c r="S70" s="22"/>
    </row>
    <row r="71" spans="1:19" ht="19.5" customHeight="1" x14ac:dyDescent="0.2">
      <c r="A71" s="35" t="s">
        <v>8</v>
      </c>
      <c r="B71" s="9"/>
      <c r="C71" s="10"/>
      <c r="D71" s="11">
        <v>187725</v>
      </c>
      <c r="E71" s="12"/>
      <c r="F71" s="9">
        <v>71</v>
      </c>
      <c r="G71" s="10">
        <f>(F71/186)*100</f>
        <v>38.172043010752688</v>
      </c>
      <c r="H71" s="11">
        <v>206440</v>
      </c>
      <c r="I71" s="12">
        <f t="shared" si="32"/>
        <v>2907.605633802817</v>
      </c>
      <c r="J71" s="9">
        <v>71</v>
      </c>
      <c r="K71" s="10">
        <f>(J71/186)*100</f>
        <v>38.172043010752688</v>
      </c>
      <c r="L71" s="11">
        <v>206440</v>
      </c>
      <c r="M71" s="12">
        <f t="shared" si="33"/>
        <v>2907.605633802817</v>
      </c>
      <c r="N71" s="30">
        <f t="shared" si="34"/>
        <v>0</v>
      </c>
      <c r="O71" s="31"/>
      <c r="P71" s="22">
        <f t="shared" si="35"/>
        <v>0</v>
      </c>
      <c r="Q71" s="30">
        <f t="shared" si="36"/>
        <v>-38.172043010752688</v>
      </c>
      <c r="R71" s="31"/>
      <c r="S71" s="22"/>
    </row>
    <row r="72" spans="1:19" ht="19.5" customHeight="1" x14ac:dyDescent="0.2">
      <c r="A72" s="35" t="s">
        <v>9</v>
      </c>
      <c r="B72" s="9"/>
      <c r="C72" s="10"/>
      <c r="D72" s="11">
        <v>244345</v>
      </c>
      <c r="E72" s="12"/>
      <c r="F72" s="9">
        <v>71</v>
      </c>
      <c r="G72" s="10">
        <f>(F72/180)*100</f>
        <v>39.444444444444443</v>
      </c>
      <c r="H72" s="11">
        <v>159019</v>
      </c>
      <c r="I72" s="12">
        <f t="shared" si="32"/>
        <v>2239.7042253521126</v>
      </c>
      <c r="J72" s="9">
        <v>71</v>
      </c>
      <c r="K72" s="10">
        <f>(J72/180)*100</f>
        <v>39.444444444444443</v>
      </c>
      <c r="L72" s="11">
        <v>159019</v>
      </c>
      <c r="M72" s="12">
        <f t="shared" si="33"/>
        <v>2239.7042253521126</v>
      </c>
      <c r="N72" s="30">
        <f t="shared" si="34"/>
        <v>0</v>
      </c>
      <c r="O72" s="31"/>
      <c r="P72" s="22">
        <f t="shared" si="35"/>
        <v>0</v>
      </c>
      <c r="Q72" s="30">
        <f t="shared" si="36"/>
        <v>-39.444444444444443</v>
      </c>
      <c r="R72" s="31"/>
      <c r="S72" s="22"/>
    </row>
    <row r="73" spans="1:19" ht="19.5" customHeight="1" x14ac:dyDescent="0.2">
      <c r="A73" s="35" t="s">
        <v>10</v>
      </c>
      <c r="B73" s="9"/>
      <c r="C73" s="10"/>
      <c r="D73" s="11">
        <v>276122</v>
      </c>
      <c r="E73" s="12"/>
      <c r="F73" s="9">
        <v>56</v>
      </c>
      <c r="G73" s="10">
        <f t="shared" ref="G73:G74" si="37">(F73/186)*100</f>
        <v>30.107526881720432</v>
      </c>
      <c r="H73" s="11">
        <v>195885</v>
      </c>
      <c r="I73" s="12">
        <f t="shared" si="32"/>
        <v>3497.9464285714284</v>
      </c>
      <c r="J73" s="9">
        <v>56</v>
      </c>
      <c r="K73" s="10">
        <f t="shared" ref="K73:K74" si="38">(J73/186)*100</f>
        <v>30.107526881720432</v>
      </c>
      <c r="L73" s="11">
        <v>195885</v>
      </c>
      <c r="M73" s="12">
        <f t="shared" si="33"/>
        <v>3497.9464285714284</v>
      </c>
      <c r="N73" s="30">
        <f t="shared" si="34"/>
        <v>0</v>
      </c>
      <c r="O73" s="31"/>
      <c r="P73" s="22">
        <f t="shared" si="35"/>
        <v>0</v>
      </c>
      <c r="Q73" s="30">
        <f t="shared" si="36"/>
        <v>-30.107526881720432</v>
      </c>
      <c r="R73" s="31"/>
      <c r="S73" s="22"/>
    </row>
    <row r="74" spans="1:19" ht="21" customHeight="1" x14ac:dyDescent="0.2">
      <c r="A74" s="37" t="s">
        <v>14</v>
      </c>
      <c r="B74" s="15"/>
      <c r="C74" s="17"/>
      <c r="D74" s="18">
        <v>70050</v>
      </c>
      <c r="E74" s="19"/>
      <c r="F74" s="15">
        <v>46</v>
      </c>
      <c r="G74" s="17">
        <f t="shared" si="37"/>
        <v>24.731182795698924</v>
      </c>
      <c r="H74" s="18">
        <v>159918</v>
      </c>
      <c r="I74" s="19">
        <f t="shared" si="32"/>
        <v>3476.478260869565</v>
      </c>
      <c r="J74" s="15">
        <v>46</v>
      </c>
      <c r="K74" s="17">
        <f t="shared" si="38"/>
        <v>24.731182795698924</v>
      </c>
      <c r="L74" s="18">
        <v>159918</v>
      </c>
      <c r="M74" s="19">
        <f t="shared" si="33"/>
        <v>3476.478260869565</v>
      </c>
      <c r="N74" s="32">
        <f t="shared" si="34"/>
        <v>0</v>
      </c>
      <c r="O74" s="33"/>
      <c r="P74" s="26">
        <f t="shared" si="35"/>
        <v>0</v>
      </c>
      <c r="Q74" s="32">
        <f t="shared" si="36"/>
        <v>-24.731182795698924</v>
      </c>
      <c r="R74" s="33"/>
      <c r="S74" s="26"/>
    </row>
    <row r="75" spans="1:19" ht="12.75" customHeight="1" x14ac:dyDescent="0.15"/>
    <row r="76" spans="1:19" ht="12.75" customHeight="1" x14ac:dyDescent="0.15"/>
    <row r="77" spans="1:19" ht="12.75" customHeight="1" x14ac:dyDescent="0.15"/>
    <row r="78" spans="1:19" ht="12.75" customHeight="1" x14ac:dyDescent="0.15"/>
    <row r="79" spans="1:19" ht="12.75" customHeight="1" x14ac:dyDescent="0.15"/>
    <row r="80" spans="1:19"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mergeCells count="39">
    <mergeCell ref="B52:E52"/>
    <mergeCell ref="N52:Q52"/>
    <mergeCell ref="K67:M67"/>
    <mergeCell ref="N67:O67"/>
    <mergeCell ref="Q67:R67"/>
    <mergeCell ref="G52:I52"/>
    <mergeCell ref="J52:M52"/>
    <mergeCell ref="B59:C59"/>
    <mergeCell ref="D59:E59"/>
    <mergeCell ref="B60:C60"/>
    <mergeCell ref="D60:E60"/>
    <mergeCell ref="G67:I67"/>
    <mergeCell ref="G43:I43"/>
    <mergeCell ref="K43:M43"/>
    <mergeCell ref="N43:O43"/>
    <mergeCell ref="Q43:R43"/>
    <mergeCell ref="A51:Q51"/>
    <mergeCell ref="B35:C35"/>
    <mergeCell ref="D35:E35"/>
    <mergeCell ref="B36:C36"/>
    <mergeCell ref="D36:E36"/>
    <mergeCell ref="G28:I28"/>
    <mergeCell ref="K19:M19"/>
    <mergeCell ref="N19:O19"/>
    <mergeCell ref="Q19:R19"/>
    <mergeCell ref="A27:Q27"/>
    <mergeCell ref="B28:E28"/>
    <mergeCell ref="J28:M28"/>
    <mergeCell ref="N28:Q28"/>
    <mergeCell ref="B11:C11"/>
    <mergeCell ref="D11:E11"/>
    <mergeCell ref="B12:C12"/>
    <mergeCell ref="D12:E12"/>
    <mergeCell ref="G19:I19"/>
    <mergeCell ref="A2:Q2"/>
    <mergeCell ref="B3:E3"/>
    <mergeCell ref="G3:I3"/>
    <mergeCell ref="J3:M3"/>
    <mergeCell ref="N3:Q3"/>
  </mergeCells>
  <pageMargins left="0.7" right="0.7" top="0.75" bottom="0.75" header="0" footer="0"/>
  <pageSetup orientation="landscape"/>
  <headerFooter>
    <oddHeader>&amp;L&amp;D&amp;T</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workbookViewId="0"/>
  </sheetViews>
  <sheetFormatPr baseColWidth="10" defaultColWidth="12.6640625" defaultRowHeight="15" customHeight="1" x14ac:dyDescent="0.15"/>
  <cols>
    <col min="1" max="1" width="20.6640625" customWidth="1"/>
    <col min="2" max="2" width="20" customWidth="1"/>
    <col min="3" max="3" width="17.33203125" customWidth="1"/>
    <col min="4" max="4" width="18.5" customWidth="1"/>
    <col min="5" max="5" width="17.5" customWidth="1"/>
    <col min="6" max="6" width="17.1640625" customWidth="1"/>
    <col min="7" max="7" width="15" customWidth="1"/>
    <col min="8" max="8" width="17.1640625" customWidth="1"/>
    <col min="9" max="9" width="16.5" customWidth="1"/>
    <col min="10" max="10" width="17" customWidth="1"/>
    <col min="11" max="11" width="15.1640625" customWidth="1"/>
    <col min="12" max="12" width="15.6640625" customWidth="1"/>
    <col min="13" max="13" width="13.1640625" customWidth="1"/>
    <col min="14" max="14" width="16.5" customWidth="1"/>
    <col min="15" max="15" width="13.6640625" customWidth="1"/>
    <col min="16" max="16" width="15.33203125" customWidth="1"/>
    <col min="17" max="17" width="14.83203125" customWidth="1"/>
    <col min="18" max="18" width="17.6640625" customWidth="1"/>
    <col min="19" max="19" width="12.5" customWidth="1"/>
    <col min="20" max="26" width="10" customWidth="1"/>
  </cols>
  <sheetData>
    <row r="1" spans="1:26" ht="12.75" customHeight="1" x14ac:dyDescent="0.15">
      <c r="A1" s="1" t="s">
        <v>15</v>
      </c>
      <c r="C1" s="1"/>
    </row>
    <row r="2" spans="1:26" ht="12.75" customHeight="1" x14ac:dyDescent="0.15">
      <c r="A2" s="1"/>
    </row>
    <row r="3" spans="1:26" ht="20.25" customHeight="1" x14ac:dyDescent="0.25">
      <c r="A3" s="897" t="s">
        <v>23</v>
      </c>
      <c r="B3" s="898"/>
      <c r="C3" s="898"/>
      <c r="D3" s="898"/>
      <c r="E3" s="898"/>
      <c r="F3" s="898"/>
      <c r="G3" s="898"/>
      <c r="H3" s="898"/>
      <c r="I3" s="898"/>
      <c r="J3" s="898"/>
      <c r="K3" s="898"/>
      <c r="L3" s="898"/>
      <c r="M3" s="898"/>
      <c r="N3" s="898"/>
      <c r="O3" s="898"/>
      <c r="P3" s="898"/>
      <c r="Q3" s="899"/>
    </row>
    <row r="4" spans="1:26" ht="18.75" customHeight="1" x14ac:dyDescent="0.2">
      <c r="C4" s="45"/>
      <c r="D4" s="45"/>
      <c r="E4" s="7"/>
      <c r="F4" s="7"/>
    </row>
    <row r="5" spans="1:26" ht="19.5" customHeight="1" x14ac:dyDescent="0.2">
      <c r="A5" s="4">
        <v>2011</v>
      </c>
      <c r="B5" s="900" t="s">
        <v>0</v>
      </c>
      <c r="C5" s="901"/>
      <c r="D5" s="901"/>
      <c r="E5" s="902"/>
      <c r="F5" s="4"/>
      <c r="G5" s="903" t="s">
        <v>1</v>
      </c>
      <c r="H5" s="901"/>
      <c r="I5" s="902"/>
      <c r="J5" s="904"/>
      <c r="K5" s="905"/>
      <c r="L5" s="905"/>
      <c r="M5" s="905"/>
      <c r="N5" s="904"/>
      <c r="O5" s="905"/>
      <c r="P5" s="905"/>
      <c r="Q5" s="905"/>
    </row>
    <row r="6" spans="1:26" ht="19.5" customHeight="1" x14ac:dyDescent="0.2">
      <c r="A6" s="35" t="s">
        <v>17</v>
      </c>
      <c r="B6" s="9">
        <v>565</v>
      </c>
      <c r="C6" s="10">
        <f>(B6/1085)*100</f>
        <v>52.073732718894007</v>
      </c>
      <c r="D6" s="36">
        <v>847500</v>
      </c>
      <c r="E6" s="12">
        <f t="shared" ref="E6:E12" si="0">D6/B6</f>
        <v>1500</v>
      </c>
      <c r="F6" s="9">
        <v>531</v>
      </c>
      <c r="G6" s="10">
        <f>(F6/1085)*100</f>
        <v>48.940092165898619</v>
      </c>
      <c r="H6" s="11">
        <v>556849</v>
      </c>
      <c r="I6" s="12">
        <f t="shared" ref="I6:I12" si="1">H6/F6</f>
        <v>1048.6798493408662</v>
      </c>
      <c r="J6" s="23"/>
      <c r="K6" s="10"/>
      <c r="L6" s="11"/>
      <c r="M6" s="31"/>
      <c r="N6" s="23"/>
      <c r="O6" s="10"/>
      <c r="P6" s="11"/>
      <c r="Q6" s="31"/>
    </row>
    <row r="7" spans="1:26" ht="19.5" customHeight="1" x14ac:dyDescent="0.2">
      <c r="A7" s="35" t="s">
        <v>7</v>
      </c>
      <c r="B7" s="9">
        <v>688</v>
      </c>
      <c r="C7" s="10">
        <f>(B7/1050)*100</f>
        <v>65.523809523809533</v>
      </c>
      <c r="D7" s="36">
        <v>1344286</v>
      </c>
      <c r="E7" s="12">
        <f t="shared" si="0"/>
        <v>1953.9040697674418</v>
      </c>
      <c r="F7" s="9">
        <v>347</v>
      </c>
      <c r="G7" s="10">
        <f>(F7/1050)*100</f>
        <v>33.047619047619051</v>
      </c>
      <c r="H7" s="11">
        <v>725946</v>
      </c>
      <c r="I7" s="12">
        <f t="shared" si="1"/>
        <v>2092.0634005763691</v>
      </c>
      <c r="J7" s="23"/>
      <c r="K7" s="10"/>
      <c r="L7" s="11"/>
      <c r="M7" s="31"/>
      <c r="N7" s="23"/>
      <c r="O7" s="10"/>
      <c r="P7" s="11"/>
      <c r="Q7" s="31"/>
    </row>
    <row r="8" spans="1:26" ht="19.5" customHeight="1" x14ac:dyDescent="0.2">
      <c r="A8" s="35" t="s">
        <v>8</v>
      </c>
      <c r="B8" s="9">
        <v>821</v>
      </c>
      <c r="C8" s="10">
        <f>(B8/1085)*100</f>
        <v>75.668202764976954</v>
      </c>
      <c r="D8" s="36">
        <v>1623204</v>
      </c>
      <c r="E8" s="12">
        <f t="shared" si="0"/>
        <v>1977.1059683313033</v>
      </c>
      <c r="F8" s="9">
        <v>202</v>
      </c>
      <c r="G8" s="10">
        <f>(F8/1085)*100</f>
        <v>18.617511520737327</v>
      </c>
      <c r="H8" s="11">
        <v>396659</v>
      </c>
      <c r="I8" s="12">
        <f t="shared" si="1"/>
        <v>1963.6584158415842</v>
      </c>
      <c r="J8" s="23"/>
      <c r="K8" s="10"/>
      <c r="L8" s="11"/>
      <c r="M8" s="31"/>
      <c r="N8" s="23"/>
      <c r="O8" s="10"/>
      <c r="P8" s="11"/>
      <c r="Q8" s="31"/>
    </row>
    <row r="9" spans="1:26" ht="19.5" customHeight="1" x14ac:dyDescent="0.2">
      <c r="A9" s="35" t="s">
        <v>9</v>
      </c>
      <c r="B9" s="9">
        <v>850</v>
      </c>
      <c r="C9" s="10">
        <f>(B9/1050)*100</f>
        <v>80.952380952380949</v>
      </c>
      <c r="D9" s="36">
        <v>1602112</v>
      </c>
      <c r="E9" s="12">
        <f t="shared" si="0"/>
        <v>1884.8376470588234</v>
      </c>
      <c r="F9" s="9">
        <v>511</v>
      </c>
      <c r="G9" s="10">
        <f>(F9/1050)*100</f>
        <v>48.666666666666671</v>
      </c>
      <c r="H9" s="11">
        <v>974081</v>
      </c>
      <c r="I9" s="12">
        <f t="shared" si="1"/>
        <v>1906.225048923679</v>
      </c>
      <c r="J9" s="23"/>
      <c r="K9" s="10"/>
      <c r="L9" s="11"/>
      <c r="M9" s="31"/>
      <c r="N9" s="23"/>
      <c r="O9" s="10"/>
      <c r="P9" s="11"/>
      <c r="Q9" s="31"/>
    </row>
    <row r="10" spans="1:26" ht="19.5" customHeight="1" x14ac:dyDescent="0.2">
      <c r="A10" s="35" t="s">
        <v>10</v>
      </c>
      <c r="B10" s="9">
        <v>705</v>
      </c>
      <c r="C10" s="10">
        <f t="shared" ref="C10:C11" si="2">(B10/1085)*100</f>
        <v>64.976958525345623</v>
      </c>
      <c r="D10" s="36">
        <v>1618503</v>
      </c>
      <c r="E10" s="12">
        <f t="shared" si="0"/>
        <v>2295.7489361702128</v>
      </c>
      <c r="F10" s="9">
        <v>517</v>
      </c>
      <c r="G10" s="10">
        <f t="shared" ref="G10:G11" si="3">(F10/1085)*100</f>
        <v>47.649769585253452</v>
      </c>
      <c r="H10" s="11">
        <v>916435</v>
      </c>
      <c r="I10" s="12">
        <f t="shared" si="1"/>
        <v>1772.6015473887815</v>
      </c>
      <c r="J10" s="23"/>
      <c r="K10" s="10"/>
      <c r="L10" s="11"/>
      <c r="M10" s="31"/>
      <c r="N10" s="23"/>
      <c r="O10" s="10"/>
      <c r="P10" s="11"/>
      <c r="Q10" s="31"/>
    </row>
    <row r="11" spans="1:26" ht="21" customHeight="1" x14ac:dyDescent="0.2">
      <c r="A11" s="37" t="s">
        <v>14</v>
      </c>
      <c r="B11" s="15">
        <v>762</v>
      </c>
      <c r="C11" s="17">
        <f t="shared" si="2"/>
        <v>70.230414746543772</v>
      </c>
      <c r="D11" s="38">
        <v>1493506</v>
      </c>
      <c r="E11" s="19">
        <f t="shared" si="0"/>
        <v>1959.9816272965879</v>
      </c>
      <c r="F11" s="15">
        <v>317</v>
      </c>
      <c r="G11" s="17">
        <f t="shared" si="3"/>
        <v>29.216589861751153</v>
      </c>
      <c r="H11" s="18">
        <v>455018</v>
      </c>
      <c r="I11" s="19">
        <f t="shared" si="1"/>
        <v>1435.3880126182964</v>
      </c>
      <c r="J11" s="23"/>
      <c r="K11" s="10"/>
      <c r="L11" s="11"/>
      <c r="M11" s="31"/>
      <c r="N11" s="23"/>
      <c r="O11" s="10"/>
      <c r="P11" s="11"/>
      <c r="Q11" s="31"/>
    </row>
    <row r="12" spans="1:26" ht="21" hidden="1" customHeight="1" x14ac:dyDescent="0.2">
      <c r="A12" s="37" t="s">
        <v>14</v>
      </c>
      <c r="B12" s="15">
        <v>1984</v>
      </c>
      <c r="C12" s="17">
        <f>(B12/3100)*100</f>
        <v>64</v>
      </c>
      <c r="D12" s="38">
        <v>4130004</v>
      </c>
      <c r="E12" s="16">
        <f t="shared" si="0"/>
        <v>2081.6552419354839</v>
      </c>
      <c r="F12" s="39">
        <f>1268-1</f>
        <v>1267</v>
      </c>
      <c r="G12" s="17">
        <f>(F12/3100)*100</f>
        <v>40.87096774193548</v>
      </c>
      <c r="H12" s="18">
        <v>2229977</v>
      </c>
      <c r="I12" s="33">
        <f t="shared" si="1"/>
        <v>1760.0449881610102</v>
      </c>
      <c r="J12" s="20">
        <v>2253</v>
      </c>
      <c r="K12" s="17">
        <f>(J12/3100)*100</f>
        <v>72.677419354838719</v>
      </c>
      <c r="L12" s="18">
        <v>4153012</v>
      </c>
      <c r="M12" s="33">
        <f>L12/J12</f>
        <v>1843.3253439857967</v>
      </c>
      <c r="N12" s="20">
        <f>1890-39</f>
        <v>1851</v>
      </c>
      <c r="O12" s="17">
        <f>(N12/3100)*100</f>
        <v>59.709677419354833</v>
      </c>
      <c r="P12" s="18">
        <v>3697397.3</v>
      </c>
      <c r="Q12" s="19">
        <f>P12/N12</f>
        <v>1997.513398163155</v>
      </c>
    </row>
    <row r="13" spans="1:26" ht="21" customHeight="1" x14ac:dyDescent="0.2">
      <c r="G13" s="3"/>
      <c r="H13" s="46"/>
      <c r="I13" s="7"/>
      <c r="J13" s="7"/>
      <c r="K13" s="7"/>
      <c r="L13" s="7"/>
      <c r="M13" s="31"/>
      <c r="N13" s="23"/>
      <c r="O13" s="10"/>
      <c r="P13" s="11"/>
      <c r="Q13" s="31"/>
    </row>
    <row r="14" spans="1:26" ht="19.5" customHeight="1" x14ac:dyDescent="0.2">
      <c r="A14" s="4">
        <v>2011</v>
      </c>
      <c r="B14" s="900" t="s">
        <v>12</v>
      </c>
      <c r="C14" s="902"/>
      <c r="D14" s="900" t="s">
        <v>13</v>
      </c>
      <c r="E14" s="902"/>
      <c r="F14" s="23"/>
      <c r="G14" s="24"/>
      <c r="H14" s="11"/>
      <c r="I14" s="11"/>
      <c r="J14" s="11"/>
      <c r="K14" s="11"/>
      <c r="L14" s="31"/>
      <c r="M14" s="23"/>
      <c r="N14" s="10"/>
      <c r="O14" s="11"/>
      <c r="P14" s="31"/>
    </row>
    <row r="15" spans="1:26" ht="36.75" customHeight="1" x14ac:dyDescent="0.2">
      <c r="A15" s="6"/>
      <c r="B15" s="906" t="s">
        <v>18</v>
      </c>
      <c r="C15" s="907"/>
      <c r="D15" s="906" t="s">
        <v>18</v>
      </c>
      <c r="E15" s="907"/>
      <c r="F15" s="23"/>
      <c r="G15" s="24"/>
      <c r="H15" s="11"/>
      <c r="I15" s="11"/>
      <c r="J15" s="11"/>
      <c r="K15" s="11"/>
      <c r="L15" s="31"/>
      <c r="M15" s="23"/>
      <c r="N15" s="10"/>
      <c r="O15" s="11"/>
      <c r="P15" s="31"/>
    </row>
    <row r="16" spans="1:26" ht="19.5" customHeight="1" x14ac:dyDescent="0.2">
      <c r="A16" s="35" t="s">
        <v>17</v>
      </c>
      <c r="B16" s="21"/>
      <c r="C16" s="40">
        <f t="shared" ref="C16:C21" si="4">H6-D6</f>
        <v>-290651</v>
      </c>
      <c r="D16" s="13"/>
      <c r="E16" s="41">
        <f t="shared" ref="E16:E21" si="5">F6-B6</f>
        <v>-34</v>
      </c>
      <c r="F16" s="10"/>
      <c r="G16" s="11"/>
      <c r="H16" s="31"/>
      <c r="I16" s="23"/>
      <c r="J16" s="10"/>
      <c r="K16" s="11"/>
      <c r="L16" s="31"/>
      <c r="M16" s="23"/>
      <c r="N16" s="10"/>
      <c r="O16" s="11"/>
      <c r="P16" s="31"/>
      <c r="Q16" s="14"/>
      <c r="R16" s="14"/>
      <c r="S16" s="14"/>
      <c r="T16" s="14"/>
      <c r="U16" s="14"/>
      <c r="V16" s="14"/>
      <c r="W16" s="14"/>
      <c r="X16" s="14"/>
      <c r="Y16" s="14"/>
      <c r="Z16" s="14"/>
    </row>
    <row r="17" spans="1:26" ht="19.5" customHeight="1" x14ac:dyDescent="0.2">
      <c r="A17" s="35" t="s">
        <v>7</v>
      </c>
      <c r="B17" s="21"/>
      <c r="C17" s="40">
        <f t="shared" si="4"/>
        <v>-618340</v>
      </c>
      <c r="D17" s="13"/>
      <c r="E17" s="41">
        <f t="shared" si="5"/>
        <v>-341</v>
      </c>
      <c r="F17" s="10"/>
      <c r="G17" s="11"/>
      <c r="H17" s="31"/>
      <c r="I17" s="23"/>
      <c r="J17" s="10"/>
      <c r="K17" s="11"/>
      <c r="L17" s="31"/>
      <c r="M17" s="23"/>
      <c r="N17" s="10"/>
      <c r="O17" s="11"/>
      <c r="P17" s="31"/>
      <c r="Q17" s="14"/>
      <c r="R17" s="14"/>
      <c r="S17" s="14"/>
      <c r="T17" s="14"/>
      <c r="U17" s="14"/>
      <c r="V17" s="14"/>
      <c r="W17" s="14"/>
      <c r="X17" s="14"/>
      <c r="Y17" s="14"/>
      <c r="Z17" s="14"/>
    </row>
    <row r="18" spans="1:26" ht="19.5" customHeight="1" x14ac:dyDescent="0.2">
      <c r="A18" s="35" t="s">
        <v>8</v>
      </c>
      <c r="B18" s="21"/>
      <c r="C18" s="40">
        <f t="shared" si="4"/>
        <v>-1226545</v>
      </c>
      <c r="D18" s="13"/>
      <c r="E18" s="41">
        <f t="shared" si="5"/>
        <v>-619</v>
      </c>
      <c r="F18" s="10"/>
      <c r="G18" s="11"/>
      <c r="H18" s="31"/>
      <c r="I18" s="23"/>
      <c r="J18" s="10"/>
      <c r="K18" s="11"/>
      <c r="L18" s="31"/>
      <c r="M18" s="23"/>
      <c r="N18" s="10"/>
      <c r="O18" s="11"/>
      <c r="P18" s="31"/>
      <c r="Q18" s="14"/>
      <c r="R18" s="14"/>
      <c r="S18" s="14"/>
      <c r="T18" s="14"/>
      <c r="U18" s="14"/>
      <c r="V18" s="14"/>
      <c r="W18" s="14"/>
      <c r="X18" s="14"/>
      <c r="Y18" s="14"/>
      <c r="Z18" s="14"/>
    </row>
    <row r="19" spans="1:26" ht="19.5" customHeight="1" x14ac:dyDescent="0.2">
      <c r="A19" s="35" t="s">
        <v>9</v>
      </c>
      <c r="B19" s="21"/>
      <c r="C19" s="40">
        <f t="shared" si="4"/>
        <v>-628031</v>
      </c>
      <c r="D19" s="13"/>
      <c r="E19" s="41">
        <f t="shared" si="5"/>
        <v>-339</v>
      </c>
      <c r="F19" s="10"/>
      <c r="G19" s="11"/>
      <c r="H19" s="31"/>
      <c r="I19" s="23"/>
      <c r="J19" s="10"/>
      <c r="K19" s="11"/>
      <c r="L19" s="31"/>
      <c r="M19" s="23"/>
      <c r="N19" s="10"/>
      <c r="O19" s="11"/>
      <c r="P19" s="31"/>
      <c r="Q19" s="14"/>
      <c r="R19" s="14"/>
      <c r="S19" s="14"/>
      <c r="T19" s="14"/>
      <c r="U19" s="14"/>
      <c r="V19" s="14"/>
      <c r="W19" s="14"/>
      <c r="X19" s="14"/>
      <c r="Y19" s="14"/>
      <c r="Z19" s="14"/>
    </row>
    <row r="20" spans="1:26" ht="19.5" customHeight="1" x14ac:dyDescent="0.2">
      <c r="A20" s="35" t="s">
        <v>10</v>
      </c>
      <c r="B20" s="21"/>
      <c r="C20" s="40">
        <f t="shared" si="4"/>
        <v>-702068</v>
      </c>
      <c r="D20" s="13"/>
      <c r="E20" s="41">
        <f t="shared" si="5"/>
        <v>-188</v>
      </c>
      <c r="F20" s="10"/>
      <c r="G20" s="11"/>
      <c r="H20" s="31"/>
      <c r="I20" s="23"/>
      <c r="J20" s="10"/>
      <c r="K20" s="11"/>
      <c r="L20" s="31"/>
      <c r="M20" s="23"/>
      <c r="N20" s="10"/>
      <c r="O20" s="11"/>
      <c r="P20" s="31"/>
      <c r="Q20" s="14"/>
      <c r="R20" s="14"/>
      <c r="S20" s="14"/>
      <c r="T20" s="14"/>
      <c r="U20" s="14"/>
      <c r="V20" s="14"/>
      <c r="W20" s="14"/>
      <c r="X20" s="14"/>
      <c r="Y20" s="14"/>
      <c r="Z20" s="14"/>
    </row>
    <row r="21" spans="1:26" ht="21" customHeight="1" x14ac:dyDescent="0.2">
      <c r="A21" s="37" t="s">
        <v>14</v>
      </c>
      <c r="B21" s="25"/>
      <c r="C21" s="42">
        <f t="shared" si="4"/>
        <v>-1038488</v>
      </c>
      <c r="D21" s="20"/>
      <c r="E21" s="43">
        <f t="shared" si="5"/>
        <v>-445</v>
      </c>
      <c r="F21" s="10"/>
      <c r="G21" s="11"/>
      <c r="H21" s="31"/>
      <c r="I21" s="23"/>
      <c r="J21" s="10"/>
      <c r="K21" s="11"/>
      <c r="L21" s="31"/>
      <c r="M21" s="23"/>
      <c r="N21" s="10"/>
      <c r="O21" s="11"/>
      <c r="P21" s="31"/>
      <c r="Q21" s="14"/>
      <c r="R21" s="14"/>
      <c r="S21" s="14"/>
      <c r="T21" s="14"/>
      <c r="U21" s="14"/>
      <c r="V21" s="14"/>
      <c r="W21" s="14"/>
      <c r="X21" s="14"/>
      <c r="Y21" s="14"/>
      <c r="Z21" s="14"/>
    </row>
    <row r="22" spans="1:26" ht="13.5" customHeight="1" x14ac:dyDescent="0.15"/>
    <row r="23" spans="1:26" ht="20.25" customHeight="1" x14ac:dyDescent="0.2">
      <c r="A23" s="4">
        <v>2011</v>
      </c>
      <c r="B23" s="27" t="s">
        <v>19</v>
      </c>
      <c r="C23" s="5" t="s">
        <v>1</v>
      </c>
      <c r="D23" s="5"/>
      <c r="E23" s="44"/>
      <c r="F23" s="27" t="s">
        <v>20</v>
      </c>
      <c r="G23" s="903" t="s">
        <v>1</v>
      </c>
      <c r="H23" s="901"/>
      <c r="I23" s="902"/>
      <c r="J23" s="27" t="s">
        <v>20</v>
      </c>
      <c r="K23" s="903" t="s">
        <v>1</v>
      </c>
      <c r="L23" s="901"/>
      <c r="M23" s="902"/>
      <c r="N23" s="908" t="s">
        <v>21</v>
      </c>
      <c r="O23" s="901"/>
      <c r="P23" s="28"/>
      <c r="Q23" s="908" t="s">
        <v>22</v>
      </c>
      <c r="R23" s="901"/>
      <c r="S23" s="28"/>
    </row>
    <row r="24" spans="1:26" ht="18" customHeight="1" x14ac:dyDescent="0.2">
      <c r="A24" s="29"/>
      <c r="B24" s="6"/>
      <c r="C24" s="7"/>
      <c r="D24" s="7" t="s">
        <v>5</v>
      </c>
      <c r="E24" s="8"/>
      <c r="F24" s="6" t="s">
        <v>3</v>
      </c>
      <c r="G24" s="7" t="s">
        <v>4</v>
      </c>
      <c r="H24" s="7" t="s">
        <v>5</v>
      </c>
      <c r="I24" s="8" t="s">
        <v>6</v>
      </c>
      <c r="J24" s="6" t="s">
        <v>3</v>
      </c>
      <c r="K24" s="7" t="s">
        <v>4</v>
      </c>
      <c r="L24" s="7" t="s">
        <v>5</v>
      </c>
      <c r="M24" s="8" t="s">
        <v>6</v>
      </c>
      <c r="N24" s="6" t="s">
        <v>12</v>
      </c>
      <c r="O24" s="7"/>
      <c r="P24" s="8"/>
      <c r="Q24" s="6" t="s">
        <v>12</v>
      </c>
      <c r="R24" s="7"/>
      <c r="S24" s="8"/>
    </row>
    <row r="25" spans="1:26" ht="21" customHeight="1" x14ac:dyDescent="0.2">
      <c r="A25" s="35" t="s">
        <v>17</v>
      </c>
      <c r="B25" s="9"/>
      <c r="C25" s="10"/>
      <c r="D25" s="11">
        <v>236039</v>
      </c>
      <c r="E25" s="12"/>
      <c r="F25" s="9">
        <v>531</v>
      </c>
      <c r="G25" s="10">
        <f>(F25/1085)*100</f>
        <v>48.940092165898619</v>
      </c>
      <c r="H25" s="11">
        <v>556849</v>
      </c>
      <c r="I25" s="12">
        <f t="shared" ref="I25:I30" si="6">H25/F25</f>
        <v>1048.6798493408662</v>
      </c>
      <c r="J25" s="9">
        <v>531</v>
      </c>
      <c r="K25" s="10">
        <f>(J25/1085)*100</f>
        <v>48.940092165898619</v>
      </c>
      <c r="L25" s="11">
        <v>556849</v>
      </c>
      <c r="M25" s="12">
        <f t="shared" ref="M25:M30" si="7">L25/J25</f>
        <v>1048.6798493408662</v>
      </c>
      <c r="N25" s="30">
        <f t="shared" ref="N25:N30" si="8">L25-H25</f>
        <v>0</v>
      </c>
      <c r="O25" s="31"/>
      <c r="P25" s="22">
        <f t="shared" ref="P25:P30" si="9">J25-F25</f>
        <v>0</v>
      </c>
      <c r="Q25" s="30">
        <f t="shared" ref="Q25:Q30" si="10">O25-K25</f>
        <v>-48.940092165898619</v>
      </c>
      <c r="R25" s="31"/>
      <c r="S25" s="22"/>
    </row>
    <row r="26" spans="1:26" ht="21" customHeight="1" x14ac:dyDescent="0.2">
      <c r="A26" s="35" t="s">
        <v>7</v>
      </c>
      <c r="B26" s="9"/>
      <c r="C26" s="10"/>
      <c r="D26" s="11">
        <v>544244</v>
      </c>
      <c r="E26" s="12"/>
      <c r="F26" s="9">
        <v>347</v>
      </c>
      <c r="G26" s="10">
        <f>(F26/1050)*100</f>
        <v>33.047619047619051</v>
      </c>
      <c r="H26" s="11">
        <v>725946</v>
      </c>
      <c r="I26" s="12">
        <f t="shared" si="6"/>
        <v>2092.0634005763691</v>
      </c>
      <c r="J26" s="9">
        <v>347</v>
      </c>
      <c r="K26" s="10">
        <f>(J26/1050)*100</f>
        <v>33.047619047619051</v>
      </c>
      <c r="L26" s="11">
        <v>725946</v>
      </c>
      <c r="M26" s="12">
        <f t="shared" si="7"/>
        <v>2092.0634005763691</v>
      </c>
      <c r="N26" s="30">
        <f t="shared" si="8"/>
        <v>0</v>
      </c>
      <c r="O26" s="31"/>
      <c r="P26" s="22">
        <f t="shared" si="9"/>
        <v>0</v>
      </c>
      <c r="Q26" s="30">
        <f t="shared" si="10"/>
        <v>-33.047619047619051</v>
      </c>
      <c r="R26" s="31"/>
      <c r="S26" s="22"/>
    </row>
    <row r="27" spans="1:26" ht="21" customHeight="1" x14ac:dyDescent="0.2">
      <c r="A27" s="35" t="s">
        <v>8</v>
      </c>
      <c r="B27" s="9"/>
      <c r="C27" s="10"/>
      <c r="D27" s="11">
        <v>301903</v>
      </c>
      <c r="E27" s="12"/>
      <c r="F27" s="9">
        <v>202</v>
      </c>
      <c r="G27" s="10">
        <f>(F27/1085)*100</f>
        <v>18.617511520737327</v>
      </c>
      <c r="H27" s="11">
        <v>396659</v>
      </c>
      <c r="I27" s="12">
        <f t="shared" si="6"/>
        <v>1963.6584158415842</v>
      </c>
      <c r="J27" s="9">
        <v>202</v>
      </c>
      <c r="K27" s="10">
        <f>(J27/1085)*100</f>
        <v>18.617511520737327</v>
      </c>
      <c r="L27" s="11">
        <v>396659</v>
      </c>
      <c r="M27" s="12">
        <f t="shared" si="7"/>
        <v>1963.6584158415842</v>
      </c>
      <c r="N27" s="30">
        <f t="shared" si="8"/>
        <v>0</v>
      </c>
      <c r="O27" s="31"/>
      <c r="P27" s="22">
        <f t="shared" si="9"/>
        <v>0</v>
      </c>
      <c r="Q27" s="30">
        <f t="shared" si="10"/>
        <v>-18.617511520737327</v>
      </c>
      <c r="R27" s="31"/>
      <c r="S27" s="22"/>
    </row>
    <row r="28" spans="1:26" ht="21" customHeight="1" x14ac:dyDescent="0.2">
      <c r="A28" s="35" t="s">
        <v>9</v>
      </c>
      <c r="B28" s="9"/>
      <c r="C28" s="10"/>
      <c r="D28" s="11">
        <v>713164</v>
      </c>
      <c r="E28" s="12"/>
      <c r="F28" s="9">
        <v>511</v>
      </c>
      <c r="G28" s="10">
        <f>(F28/1050)*100</f>
        <v>48.666666666666671</v>
      </c>
      <c r="H28" s="11">
        <v>974081</v>
      </c>
      <c r="I28" s="12">
        <f t="shared" si="6"/>
        <v>1906.225048923679</v>
      </c>
      <c r="J28" s="9">
        <v>511</v>
      </c>
      <c r="K28" s="10">
        <f>(J28/1050)*100</f>
        <v>48.666666666666671</v>
      </c>
      <c r="L28" s="11">
        <v>974081</v>
      </c>
      <c r="M28" s="12">
        <f t="shared" si="7"/>
        <v>1906.225048923679</v>
      </c>
      <c r="N28" s="30">
        <f t="shared" si="8"/>
        <v>0</v>
      </c>
      <c r="O28" s="31"/>
      <c r="P28" s="22">
        <f t="shared" si="9"/>
        <v>0</v>
      </c>
      <c r="Q28" s="30">
        <f t="shared" si="10"/>
        <v>-48.666666666666671</v>
      </c>
      <c r="R28" s="31"/>
      <c r="S28" s="22"/>
    </row>
    <row r="29" spans="1:26" ht="21" customHeight="1" x14ac:dyDescent="0.2">
      <c r="A29" s="35" t="s">
        <v>10</v>
      </c>
      <c r="B29" s="9"/>
      <c r="C29" s="10"/>
      <c r="D29" s="11">
        <v>898118</v>
      </c>
      <c r="E29" s="12"/>
      <c r="F29" s="9">
        <v>517</v>
      </c>
      <c r="G29" s="10">
        <f t="shared" ref="G29:G30" si="11">(F29/1085)*100</f>
        <v>47.649769585253452</v>
      </c>
      <c r="H29" s="11">
        <v>916435</v>
      </c>
      <c r="I29" s="12">
        <f t="shared" si="6"/>
        <v>1772.6015473887815</v>
      </c>
      <c r="J29" s="9">
        <v>517</v>
      </c>
      <c r="K29" s="10">
        <f t="shared" ref="K29:K30" si="12">(J29/1085)*100</f>
        <v>47.649769585253452</v>
      </c>
      <c r="L29" s="11">
        <v>916435</v>
      </c>
      <c r="M29" s="12">
        <f t="shared" si="7"/>
        <v>1772.6015473887815</v>
      </c>
      <c r="N29" s="30">
        <f t="shared" si="8"/>
        <v>0</v>
      </c>
      <c r="O29" s="31"/>
      <c r="P29" s="22">
        <f t="shared" si="9"/>
        <v>0</v>
      </c>
      <c r="Q29" s="30">
        <f t="shared" si="10"/>
        <v>-47.649769585253452</v>
      </c>
      <c r="R29" s="31"/>
      <c r="S29" s="22"/>
    </row>
    <row r="30" spans="1:26" ht="21" customHeight="1" x14ac:dyDescent="0.2">
      <c r="A30" s="37" t="s">
        <v>14</v>
      </c>
      <c r="B30" s="15"/>
      <c r="C30" s="17"/>
      <c r="D30" s="18">
        <v>441440</v>
      </c>
      <c r="E30" s="19"/>
      <c r="F30" s="15">
        <v>317</v>
      </c>
      <c r="G30" s="17">
        <f t="shared" si="11"/>
        <v>29.216589861751153</v>
      </c>
      <c r="H30" s="18">
        <v>455018</v>
      </c>
      <c r="I30" s="19">
        <f t="shared" si="6"/>
        <v>1435.3880126182964</v>
      </c>
      <c r="J30" s="15">
        <v>317</v>
      </c>
      <c r="K30" s="17">
        <f t="shared" si="12"/>
        <v>29.216589861751153</v>
      </c>
      <c r="L30" s="18">
        <v>455018</v>
      </c>
      <c r="M30" s="19">
        <f t="shared" si="7"/>
        <v>1435.3880126182964</v>
      </c>
      <c r="N30" s="32">
        <f t="shared" si="8"/>
        <v>0</v>
      </c>
      <c r="O30" s="33"/>
      <c r="P30" s="26">
        <f t="shared" si="9"/>
        <v>0</v>
      </c>
      <c r="Q30" s="32">
        <f t="shared" si="10"/>
        <v>-29.216589861751153</v>
      </c>
      <c r="R30" s="33"/>
      <c r="S30" s="26"/>
    </row>
    <row r="31" spans="1:26" ht="12.75" customHeight="1" x14ac:dyDescent="0.15"/>
    <row r="32" spans="1:26" ht="19.5" customHeight="1" x14ac:dyDescent="0.2">
      <c r="A32" s="34"/>
      <c r="B32" s="2"/>
    </row>
    <row r="33" spans="1:10" ht="20.25" customHeight="1" x14ac:dyDescent="0.2">
      <c r="A33" s="47"/>
      <c r="B33" s="2"/>
    </row>
    <row r="34" spans="1:10" ht="19.5" customHeight="1" x14ac:dyDescent="0.2">
      <c r="A34" s="34"/>
      <c r="B34" s="2"/>
      <c r="C34" s="2"/>
      <c r="D34" s="2"/>
      <c r="E34" s="2"/>
      <c r="F34" s="2"/>
      <c r="G34" s="2"/>
      <c r="H34" s="2"/>
    </row>
    <row r="35" spans="1:10" ht="19.5" customHeight="1" x14ac:dyDescent="0.2">
      <c r="A35" s="34"/>
      <c r="B35" s="34"/>
      <c r="C35" s="2"/>
      <c r="F35" s="2"/>
      <c r="G35" s="2"/>
      <c r="H35" s="2"/>
    </row>
    <row r="36" spans="1:10" ht="19.5" customHeight="1" x14ac:dyDescent="0.2">
      <c r="A36" s="34"/>
      <c r="B36" s="34"/>
      <c r="C36" s="2"/>
      <c r="G36" s="2"/>
      <c r="H36" s="2"/>
    </row>
    <row r="37" spans="1:10" ht="20.25" customHeight="1" x14ac:dyDescent="0.2">
      <c r="A37" s="2"/>
      <c r="B37" s="2"/>
      <c r="G37" s="2"/>
      <c r="H37" s="2"/>
    </row>
    <row r="38" spans="1:10" ht="19.5" customHeight="1" x14ac:dyDescent="0.2">
      <c r="A38" s="2"/>
      <c r="B38" s="34"/>
      <c r="C38" s="34"/>
      <c r="F38" s="2"/>
      <c r="G38" s="34"/>
      <c r="J38" s="2"/>
    </row>
    <row r="39" spans="1:10" ht="19.5" customHeight="1" x14ac:dyDescent="0.2">
      <c r="B39" s="34"/>
      <c r="C39" s="2"/>
      <c r="D39" s="2"/>
      <c r="E39" s="2"/>
      <c r="F39" s="2"/>
      <c r="G39" s="2"/>
      <c r="H39" s="2"/>
    </row>
    <row r="40" spans="1:10" ht="19.5" customHeight="1" x14ac:dyDescent="0.2">
      <c r="B40" s="34"/>
      <c r="C40" s="2"/>
      <c r="D40" s="2"/>
      <c r="E40" s="2"/>
      <c r="F40" s="2"/>
      <c r="G40" s="2"/>
      <c r="H40" s="2"/>
    </row>
    <row r="41" spans="1:10" ht="12.75" customHeight="1" x14ac:dyDescent="0.15"/>
    <row r="42" spans="1:10" ht="19.5" customHeight="1" x14ac:dyDescent="0.2">
      <c r="B42" s="2"/>
    </row>
    <row r="43" spans="1:10" ht="19.5" customHeight="1" x14ac:dyDescent="0.2">
      <c r="A43" s="2"/>
      <c r="B43" s="34"/>
      <c r="C43" s="2"/>
      <c r="D43" s="2"/>
      <c r="E43" s="2"/>
      <c r="F43" s="2"/>
      <c r="G43" s="2"/>
      <c r="H43" s="2"/>
    </row>
    <row r="44" spans="1:10" ht="19.5" customHeight="1" x14ac:dyDescent="0.2">
      <c r="A44" s="2"/>
      <c r="B44" s="2"/>
      <c r="C44" s="2"/>
      <c r="D44" s="2"/>
      <c r="E44" s="2"/>
      <c r="F44" s="2"/>
      <c r="G44" s="2"/>
      <c r="H44" s="2"/>
    </row>
    <row r="45" spans="1:10" ht="19.5" customHeight="1" x14ac:dyDescent="0.2">
      <c r="B45" s="34"/>
      <c r="C45" s="2"/>
      <c r="D45" s="2"/>
      <c r="E45" s="2"/>
      <c r="F45" s="2"/>
      <c r="G45" s="2"/>
      <c r="H45" s="2"/>
    </row>
    <row r="46" spans="1:10" ht="19.5" customHeight="1" x14ac:dyDescent="0.2">
      <c r="B46" s="34"/>
      <c r="C46" s="2"/>
      <c r="D46" s="2"/>
      <c r="E46" s="2"/>
      <c r="F46" s="2"/>
      <c r="G46" s="2"/>
      <c r="H46" s="2"/>
    </row>
    <row r="47" spans="1:10" ht="12.75" customHeight="1" x14ac:dyDescent="0.15"/>
    <row r="48" spans="1:10" ht="19.5" customHeight="1" x14ac:dyDescent="0.2">
      <c r="B48" s="2"/>
    </row>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mergeCells count="13">
    <mergeCell ref="Q23:R23"/>
    <mergeCell ref="A3:Q3"/>
    <mergeCell ref="B5:E5"/>
    <mergeCell ref="G5:I5"/>
    <mergeCell ref="J5:M5"/>
    <mergeCell ref="N5:Q5"/>
    <mergeCell ref="B14:C14"/>
    <mergeCell ref="D14:E14"/>
    <mergeCell ref="B15:C15"/>
    <mergeCell ref="D15:E15"/>
    <mergeCell ref="G23:I23"/>
    <mergeCell ref="K23:M23"/>
    <mergeCell ref="N23:O23"/>
  </mergeCells>
  <pageMargins left="0.7" right="0.7" top="0.75" bottom="0.75" header="0" footer="0"/>
  <pageSetup orientation="landscape"/>
  <headerFooter>
    <oddHeader>&amp;L&amp;D&amp;T</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sheetViews>
  <sheetFormatPr baseColWidth="10" defaultColWidth="12.6640625" defaultRowHeight="15" customHeight="1" x14ac:dyDescent="0.15"/>
  <cols>
    <col min="1" max="1" width="20.6640625" customWidth="1"/>
    <col min="2" max="2" width="20" customWidth="1"/>
    <col min="3" max="3" width="17.33203125" customWidth="1"/>
    <col min="4" max="4" width="18.5" customWidth="1"/>
    <col min="5" max="5" width="17.5" customWidth="1"/>
    <col min="6" max="6" width="17.1640625" customWidth="1"/>
    <col min="7" max="7" width="15" customWidth="1"/>
    <col min="8" max="8" width="17.1640625" customWidth="1"/>
    <col min="9" max="9" width="16.5" customWidth="1"/>
    <col min="10" max="10" width="17" customWidth="1"/>
    <col min="11" max="11" width="15.1640625" customWidth="1"/>
    <col min="12" max="12" width="15.6640625" customWidth="1"/>
    <col min="13" max="13" width="13.1640625" customWidth="1"/>
    <col min="14" max="14" width="16.5" customWidth="1"/>
    <col min="15" max="15" width="13.6640625" customWidth="1"/>
    <col min="16" max="16" width="15.33203125" customWidth="1"/>
    <col min="17" max="17" width="14.83203125" customWidth="1"/>
    <col min="18" max="18" width="17.6640625" customWidth="1"/>
    <col min="19" max="19" width="12.5" customWidth="1"/>
    <col min="20" max="26" width="10" customWidth="1"/>
  </cols>
  <sheetData>
    <row r="1" spans="1:26" ht="12.75" customHeight="1" x14ac:dyDescent="0.15">
      <c r="A1" s="1" t="s">
        <v>15</v>
      </c>
      <c r="C1" s="1"/>
    </row>
    <row r="2" spans="1:26" ht="12.75" customHeight="1" x14ac:dyDescent="0.15">
      <c r="A2" s="1"/>
    </row>
    <row r="3" spans="1:26" ht="20.25" customHeight="1" x14ac:dyDescent="0.25">
      <c r="A3" s="897" t="s">
        <v>24</v>
      </c>
      <c r="B3" s="898"/>
      <c r="C3" s="898"/>
      <c r="D3" s="898"/>
      <c r="E3" s="898"/>
      <c r="F3" s="898"/>
      <c r="G3" s="898"/>
      <c r="H3" s="898"/>
      <c r="I3" s="898"/>
      <c r="J3" s="898"/>
      <c r="K3" s="898"/>
      <c r="L3" s="898"/>
      <c r="M3" s="898"/>
      <c r="N3" s="898"/>
      <c r="O3" s="898"/>
      <c r="P3" s="898"/>
      <c r="Q3" s="899"/>
    </row>
    <row r="4" spans="1:26" ht="18.75" customHeight="1" x14ac:dyDescent="0.2">
      <c r="C4" s="45"/>
      <c r="D4" s="45"/>
      <c r="E4" s="7"/>
      <c r="F4" s="7"/>
    </row>
    <row r="5" spans="1:26" ht="19.5" customHeight="1" x14ac:dyDescent="0.2">
      <c r="A5" s="4">
        <v>2011</v>
      </c>
      <c r="B5" s="900" t="s">
        <v>0</v>
      </c>
      <c r="C5" s="901"/>
      <c r="D5" s="901"/>
      <c r="E5" s="902"/>
      <c r="F5" s="4"/>
      <c r="G5" s="903" t="s">
        <v>1</v>
      </c>
      <c r="H5" s="901"/>
      <c r="I5" s="902"/>
      <c r="J5" s="904"/>
      <c r="K5" s="905"/>
      <c r="L5" s="905"/>
      <c r="M5" s="905"/>
      <c r="N5" s="904"/>
      <c r="O5" s="905"/>
      <c r="P5" s="905"/>
      <c r="Q5" s="905"/>
    </row>
    <row r="6" spans="1:26" ht="19.5" customHeight="1" x14ac:dyDescent="0.2">
      <c r="A6" s="35" t="s">
        <v>17</v>
      </c>
      <c r="B6" s="9">
        <v>127.5</v>
      </c>
      <c r="C6" s="10">
        <f>(B6/186)*100</f>
        <v>68.548387096774192</v>
      </c>
      <c r="D6" s="36">
        <v>225293</v>
      </c>
      <c r="E6" s="12">
        <f t="shared" ref="E6:E12" si="0">D6/B6</f>
        <v>1767.0039215686274</v>
      </c>
      <c r="F6" s="9">
        <v>104</v>
      </c>
      <c r="G6" s="10">
        <f>(F6/186)*100</f>
        <v>55.913978494623649</v>
      </c>
      <c r="H6" s="11">
        <v>142701</v>
      </c>
      <c r="I6" s="12">
        <f t="shared" ref="I6:I12" si="1">H6/F6</f>
        <v>1372.125</v>
      </c>
      <c r="J6" s="23"/>
      <c r="K6" s="10"/>
      <c r="L6" s="11"/>
      <c r="M6" s="31"/>
      <c r="N6" s="23"/>
      <c r="O6" s="10"/>
      <c r="P6" s="11"/>
      <c r="Q6" s="31"/>
    </row>
    <row r="7" spans="1:26" ht="19.5" customHeight="1" x14ac:dyDescent="0.2">
      <c r="A7" s="35" t="s">
        <v>7</v>
      </c>
      <c r="B7" s="9">
        <v>135</v>
      </c>
      <c r="C7" s="10">
        <f>(B7/180)*100</f>
        <v>75</v>
      </c>
      <c r="D7" s="36">
        <v>329721</v>
      </c>
      <c r="E7" s="12">
        <f t="shared" si="0"/>
        <v>2442.3777777777777</v>
      </c>
      <c r="F7" s="9">
        <v>76</v>
      </c>
      <c r="G7" s="10">
        <f>(F7/180)*100</f>
        <v>42.222222222222221</v>
      </c>
      <c r="H7" s="11">
        <v>165081</v>
      </c>
      <c r="I7" s="12">
        <f t="shared" si="1"/>
        <v>2172.1184210526317</v>
      </c>
      <c r="J7" s="23"/>
      <c r="K7" s="10"/>
      <c r="L7" s="11"/>
      <c r="M7" s="31"/>
      <c r="N7" s="23"/>
      <c r="O7" s="10"/>
      <c r="P7" s="11"/>
      <c r="Q7" s="31"/>
    </row>
    <row r="8" spans="1:26" ht="19.5" customHeight="1" x14ac:dyDescent="0.2">
      <c r="A8" s="35" t="s">
        <v>8</v>
      </c>
      <c r="B8" s="9">
        <v>151.30000000000001</v>
      </c>
      <c r="C8" s="10">
        <f>(B8/186)*100</f>
        <v>81.344086021505376</v>
      </c>
      <c r="D8" s="36">
        <v>373888</v>
      </c>
      <c r="E8" s="12">
        <f t="shared" si="0"/>
        <v>2471.1698612029081</v>
      </c>
      <c r="F8" s="9">
        <v>71</v>
      </c>
      <c r="G8" s="10">
        <f>(F8/186)*100</f>
        <v>38.172043010752688</v>
      </c>
      <c r="H8" s="11">
        <v>206440</v>
      </c>
      <c r="I8" s="12">
        <f t="shared" si="1"/>
        <v>2907.605633802817</v>
      </c>
      <c r="J8" s="23"/>
      <c r="K8" s="10"/>
      <c r="L8" s="11"/>
      <c r="M8" s="31"/>
      <c r="N8" s="23"/>
      <c r="O8" s="10"/>
      <c r="P8" s="11"/>
      <c r="Q8" s="31"/>
    </row>
    <row r="9" spans="1:26" ht="19.5" customHeight="1" x14ac:dyDescent="0.2">
      <c r="A9" s="35" t="s">
        <v>9</v>
      </c>
      <c r="B9" s="9">
        <v>135</v>
      </c>
      <c r="C9" s="10">
        <f>(B9/180)*100</f>
        <v>75</v>
      </c>
      <c r="D9" s="36">
        <v>318066</v>
      </c>
      <c r="E9" s="12">
        <f t="shared" si="0"/>
        <v>2356.0444444444443</v>
      </c>
      <c r="F9" s="9">
        <v>71</v>
      </c>
      <c r="G9" s="10">
        <f>(F9/180)*100</f>
        <v>39.444444444444443</v>
      </c>
      <c r="H9" s="11">
        <v>159019</v>
      </c>
      <c r="I9" s="12">
        <f t="shared" si="1"/>
        <v>2239.7042253521126</v>
      </c>
      <c r="J9" s="23"/>
      <c r="K9" s="10"/>
      <c r="L9" s="11"/>
      <c r="M9" s="31"/>
      <c r="N9" s="23"/>
      <c r="O9" s="10"/>
      <c r="P9" s="11"/>
      <c r="Q9" s="31"/>
    </row>
    <row r="10" spans="1:26" ht="19.5" customHeight="1" x14ac:dyDescent="0.2">
      <c r="A10" s="35" t="s">
        <v>10</v>
      </c>
      <c r="B10" s="9">
        <v>151.19999999999999</v>
      </c>
      <c r="C10" s="10">
        <f t="shared" ref="C10:C11" si="2">(B10/186)*100</f>
        <v>81.290322580645153</v>
      </c>
      <c r="D10" s="36">
        <v>434040</v>
      </c>
      <c r="E10" s="12">
        <f t="shared" si="0"/>
        <v>2870.6349206349209</v>
      </c>
      <c r="F10" s="9">
        <v>56</v>
      </c>
      <c r="G10" s="10">
        <f t="shared" ref="G10:G11" si="3">(F10/186)*100</f>
        <v>30.107526881720432</v>
      </c>
      <c r="H10" s="11">
        <v>195885</v>
      </c>
      <c r="I10" s="12">
        <f t="shared" si="1"/>
        <v>3497.9464285714284</v>
      </c>
      <c r="J10" s="23"/>
      <c r="K10" s="10"/>
      <c r="L10" s="11"/>
      <c r="M10" s="31"/>
      <c r="N10" s="23"/>
      <c r="O10" s="10"/>
      <c r="P10" s="11"/>
      <c r="Q10" s="31"/>
    </row>
    <row r="11" spans="1:26" ht="21" customHeight="1" x14ac:dyDescent="0.2">
      <c r="A11" s="37" t="s">
        <v>14</v>
      </c>
      <c r="B11" s="15">
        <v>140</v>
      </c>
      <c r="C11" s="17">
        <f t="shared" si="2"/>
        <v>75.268817204301072</v>
      </c>
      <c r="D11" s="38">
        <v>342997</v>
      </c>
      <c r="E11" s="19">
        <f t="shared" si="0"/>
        <v>2449.9785714285713</v>
      </c>
      <c r="F11" s="15">
        <v>46</v>
      </c>
      <c r="G11" s="17">
        <f t="shared" si="3"/>
        <v>24.731182795698924</v>
      </c>
      <c r="H11" s="18">
        <v>159918</v>
      </c>
      <c r="I11" s="19">
        <f t="shared" si="1"/>
        <v>3476.478260869565</v>
      </c>
      <c r="J11" s="23"/>
      <c r="K11" s="10"/>
      <c r="L11" s="11"/>
      <c r="M11" s="31"/>
      <c r="N11" s="23"/>
      <c r="O11" s="10"/>
      <c r="P11" s="11"/>
      <c r="Q11" s="31"/>
    </row>
    <row r="12" spans="1:26" ht="21" hidden="1" customHeight="1" x14ac:dyDescent="0.2">
      <c r="A12" s="37" t="s">
        <v>14</v>
      </c>
      <c r="B12" s="15">
        <v>1984</v>
      </c>
      <c r="C12" s="17">
        <f>(B12/3100)*100</f>
        <v>64</v>
      </c>
      <c r="D12" s="38">
        <v>4130004</v>
      </c>
      <c r="E12" s="16">
        <f t="shared" si="0"/>
        <v>2081.6552419354839</v>
      </c>
      <c r="F12" s="39">
        <f>1268-1</f>
        <v>1267</v>
      </c>
      <c r="G12" s="17">
        <f>(F12/3100)*100</f>
        <v>40.87096774193548</v>
      </c>
      <c r="H12" s="18">
        <v>2229977</v>
      </c>
      <c r="I12" s="33">
        <f t="shared" si="1"/>
        <v>1760.0449881610102</v>
      </c>
      <c r="J12" s="20">
        <v>2253</v>
      </c>
      <c r="K12" s="17">
        <f>(J12/3100)*100</f>
        <v>72.677419354838719</v>
      </c>
      <c r="L12" s="18">
        <v>4153012</v>
      </c>
      <c r="M12" s="33">
        <f>L12/J12</f>
        <v>1843.3253439857967</v>
      </c>
      <c r="N12" s="20">
        <f>1890-39</f>
        <v>1851</v>
      </c>
      <c r="O12" s="17">
        <f>(N12/3100)*100</f>
        <v>59.709677419354833</v>
      </c>
      <c r="P12" s="18">
        <v>3697397.3</v>
      </c>
      <c r="Q12" s="19">
        <f>P12/N12</f>
        <v>1997.513398163155</v>
      </c>
    </row>
    <row r="13" spans="1:26" ht="21" customHeight="1" x14ac:dyDescent="0.2">
      <c r="G13" s="3"/>
      <c r="H13" s="46"/>
      <c r="I13" s="7"/>
      <c r="J13" s="7"/>
      <c r="K13" s="7"/>
      <c r="L13" s="7"/>
      <c r="M13" s="31"/>
      <c r="N13" s="23"/>
      <c r="O13" s="10"/>
      <c r="P13" s="11"/>
      <c r="Q13" s="31"/>
    </row>
    <row r="14" spans="1:26" ht="19.5" customHeight="1" x14ac:dyDescent="0.2">
      <c r="A14" s="4">
        <v>2011</v>
      </c>
      <c r="B14" s="900" t="s">
        <v>12</v>
      </c>
      <c r="C14" s="902"/>
      <c r="D14" s="900" t="s">
        <v>13</v>
      </c>
      <c r="E14" s="902"/>
      <c r="F14" s="23"/>
      <c r="G14" s="24"/>
      <c r="H14" s="11"/>
      <c r="I14" s="11"/>
      <c r="J14" s="11"/>
      <c r="K14" s="11"/>
      <c r="L14" s="31"/>
      <c r="M14" s="23"/>
      <c r="N14" s="10"/>
      <c r="O14" s="11"/>
      <c r="P14" s="31"/>
    </row>
    <row r="15" spans="1:26" ht="36.75" customHeight="1" x14ac:dyDescent="0.2">
      <c r="A15" s="6"/>
      <c r="B15" s="906" t="s">
        <v>18</v>
      </c>
      <c r="C15" s="907"/>
      <c r="D15" s="906" t="s">
        <v>18</v>
      </c>
      <c r="E15" s="907"/>
      <c r="F15" s="23"/>
      <c r="G15" s="24"/>
      <c r="H15" s="11"/>
      <c r="I15" s="11"/>
      <c r="J15" s="11"/>
      <c r="K15" s="11"/>
      <c r="L15" s="31"/>
      <c r="M15" s="23"/>
      <c r="N15" s="10"/>
      <c r="O15" s="11"/>
      <c r="P15" s="31"/>
    </row>
    <row r="16" spans="1:26" ht="19.5" customHeight="1" x14ac:dyDescent="0.2">
      <c r="A16" s="35" t="s">
        <v>17</v>
      </c>
      <c r="B16" s="21"/>
      <c r="C16" s="40">
        <f t="shared" ref="C16:C21" si="4">H6-D6</f>
        <v>-82592</v>
      </c>
      <c r="D16" s="13"/>
      <c r="E16" s="41">
        <f t="shared" ref="E16:E21" si="5">F6-B6</f>
        <v>-23.5</v>
      </c>
      <c r="F16" s="10"/>
      <c r="G16" s="11"/>
      <c r="H16" s="31"/>
      <c r="I16" s="23"/>
      <c r="J16" s="10"/>
      <c r="K16" s="11"/>
      <c r="L16" s="31"/>
      <c r="M16" s="23"/>
      <c r="N16" s="10"/>
      <c r="O16" s="11"/>
      <c r="P16" s="31"/>
      <c r="Q16" s="14"/>
      <c r="R16" s="14"/>
      <c r="S16" s="14"/>
      <c r="T16" s="14"/>
      <c r="U16" s="14"/>
      <c r="V16" s="14"/>
      <c r="W16" s="14"/>
      <c r="X16" s="14"/>
      <c r="Y16" s="14"/>
      <c r="Z16" s="14"/>
    </row>
    <row r="17" spans="1:26" ht="19.5" customHeight="1" x14ac:dyDescent="0.2">
      <c r="A17" s="35" t="s">
        <v>7</v>
      </c>
      <c r="B17" s="21"/>
      <c r="C17" s="40">
        <f t="shared" si="4"/>
        <v>-164640</v>
      </c>
      <c r="D17" s="13"/>
      <c r="E17" s="41">
        <f t="shared" si="5"/>
        <v>-59</v>
      </c>
      <c r="F17" s="10"/>
      <c r="G17" s="11"/>
      <c r="H17" s="31"/>
      <c r="I17" s="23"/>
      <c r="J17" s="10"/>
      <c r="K17" s="11"/>
      <c r="L17" s="31"/>
      <c r="M17" s="23"/>
      <c r="N17" s="10"/>
      <c r="O17" s="11"/>
      <c r="P17" s="31"/>
      <c r="Q17" s="14"/>
      <c r="R17" s="14"/>
      <c r="S17" s="14"/>
      <c r="T17" s="14"/>
      <c r="U17" s="14"/>
      <c r="V17" s="14"/>
      <c r="W17" s="14"/>
      <c r="X17" s="14"/>
      <c r="Y17" s="14"/>
      <c r="Z17" s="14"/>
    </row>
    <row r="18" spans="1:26" ht="19.5" customHeight="1" x14ac:dyDescent="0.2">
      <c r="A18" s="35" t="s">
        <v>8</v>
      </c>
      <c r="B18" s="21"/>
      <c r="C18" s="40">
        <f t="shared" si="4"/>
        <v>-167448</v>
      </c>
      <c r="D18" s="13"/>
      <c r="E18" s="41">
        <f t="shared" si="5"/>
        <v>-80.300000000000011</v>
      </c>
      <c r="F18" s="10"/>
      <c r="G18" s="11"/>
      <c r="H18" s="31"/>
      <c r="I18" s="23"/>
      <c r="J18" s="10"/>
      <c r="K18" s="11"/>
      <c r="L18" s="31"/>
      <c r="M18" s="23"/>
      <c r="N18" s="10"/>
      <c r="O18" s="11"/>
      <c r="P18" s="31"/>
      <c r="Q18" s="14"/>
      <c r="R18" s="14"/>
      <c r="S18" s="14"/>
      <c r="T18" s="14"/>
      <c r="U18" s="14"/>
      <c r="V18" s="14"/>
      <c r="W18" s="14"/>
      <c r="X18" s="14"/>
      <c r="Y18" s="14"/>
      <c r="Z18" s="14"/>
    </row>
    <row r="19" spans="1:26" ht="19.5" customHeight="1" x14ac:dyDescent="0.2">
      <c r="A19" s="35" t="s">
        <v>9</v>
      </c>
      <c r="B19" s="21"/>
      <c r="C19" s="40">
        <f t="shared" si="4"/>
        <v>-159047</v>
      </c>
      <c r="D19" s="13"/>
      <c r="E19" s="41">
        <f t="shared" si="5"/>
        <v>-64</v>
      </c>
      <c r="F19" s="10"/>
      <c r="G19" s="11"/>
      <c r="H19" s="31"/>
      <c r="I19" s="23"/>
      <c r="J19" s="10"/>
      <c r="K19" s="11"/>
      <c r="L19" s="31"/>
      <c r="M19" s="23"/>
      <c r="N19" s="10"/>
      <c r="O19" s="11"/>
      <c r="P19" s="31"/>
      <c r="Q19" s="14"/>
      <c r="R19" s="14"/>
      <c r="S19" s="14"/>
      <c r="T19" s="14"/>
      <c r="U19" s="14"/>
      <c r="V19" s="14"/>
      <c r="W19" s="14"/>
      <c r="X19" s="14"/>
      <c r="Y19" s="14"/>
      <c r="Z19" s="14"/>
    </row>
    <row r="20" spans="1:26" ht="19.5" customHeight="1" x14ac:dyDescent="0.2">
      <c r="A20" s="35" t="s">
        <v>10</v>
      </c>
      <c r="B20" s="21"/>
      <c r="C20" s="40">
        <f t="shared" si="4"/>
        <v>-238155</v>
      </c>
      <c r="D20" s="13"/>
      <c r="E20" s="41">
        <f t="shared" si="5"/>
        <v>-95.199999999999989</v>
      </c>
      <c r="F20" s="10"/>
      <c r="G20" s="11"/>
      <c r="H20" s="31"/>
      <c r="I20" s="23"/>
      <c r="J20" s="10"/>
      <c r="K20" s="11"/>
      <c r="L20" s="31"/>
      <c r="M20" s="23"/>
      <c r="N20" s="10"/>
      <c r="O20" s="11"/>
      <c r="P20" s="31"/>
      <c r="Q20" s="14"/>
      <c r="R20" s="14"/>
      <c r="S20" s="14"/>
      <c r="T20" s="14"/>
      <c r="U20" s="14"/>
      <c r="V20" s="14"/>
      <c r="W20" s="14"/>
      <c r="X20" s="14"/>
      <c r="Y20" s="14"/>
      <c r="Z20" s="14"/>
    </row>
    <row r="21" spans="1:26" ht="21" customHeight="1" x14ac:dyDescent="0.2">
      <c r="A21" s="37" t="s">
        <v>14</v>
      </c>
      <c r="B21" s="25"/>
      <c r="C21" s="42">
        <f t="shared" si="4"/>
        <v>-183079</v>
      </c>
      <c r="D21" s="20"/>
      <c r="E21" s="43">
        <f t="shared" si="5"/>
        <v>-94</v>
      </c>
      <c r="F21" s="10"/>
      <c r="G21" s="11"/>
      <c r="H21" s="31"/>
      <c r="I21" s="23"/>
      <c r="J21" s="10"/>
      <c r="K21" s="11"/>
      <c r="L21" s="31"/>
      <c r="M21" s="23"/>
      <c r="N21" s="10"/>
      <c r="O21" s="11"/>
      <c r="P21" s="31"/>
      <c r="Q21" s="14"/>
      <c r="R21" s="14"/>
      <c r="S21" s="14"/>
      <c r="T21" s="14"/>
      <c r="U21" s="14"/>
      <c r="V21" s="14"/>
      <c r="W21" s="14"/>
      <c r="X21" s="14"/>
      <c r="Y21" s="14"/>
      <c r="Z21" s="14"/>
    </row>
    <row r="22" spans="1:26" ht="13.5" customHeight="1" x14ac:dyDescent="0.15"/>
    <row r="23" spans="1:26" ht="20.25" customHeight="1" x14ac:dyDescent="0.2">
      <c r="A23" s="4">
        <v>2011</v>
      </c>
      <c r="B23" s="27" t="s">
        <v>19</v>
      </c>
      <c r="C23" s="5" t="s">
        <v>1</v>
      </c>
      <c r="D23" s="5"/>
      <c r="E23" s="44"/>
      <c r="F23" s="27" t="s">
        <v>20</v>
      </c>
      <c r="G23" s="903" t="s">
        <v>1</v>
      </c>
      <c r="H23" s="901"/>
      <c r="I23" s="902"/>
      <c r="J23" s="27" t="s">
        <v>20</v>
      </c>
      <c r="K23" s="903" t="s">
        <v>1</v>
      </c>
      <c r="L23" s="901"/>
      <c r="M23" s="902"/>
      <c r="N23" s="908" t="s">
        <v>21</v>
      </c>
      <c r="O23" s="901"/>
      <c r="P23" s="28"/>
      <c r="Q23" s="908" t="s">
        <v>22</v>
      </c>
      <c r="R23" s="901"/>
      <c r="S23" s="28"/>
    </row>
    <row r="24" spans="1:26" ht="18" customHeight="1" x14ac:dyDescent="0.2">
      <c r="A24" s="29"/>
      <c r="B24" s="6"/>
      <c r="C24" s="7"/>
      <c r="D24" s="7" t="s">
        <v>5</v>
      </c>
      <c r="E24" s="8"/>
      <c r="F24" s="6" t="s">
        <v>3</v>
      </c>
      <c r="G24" s="7" t="s">
        <v>4</v>
      </c>
      <c r="H24" s="7" t="s">
        <v>5</v>
      </c>
      <c r="I24" s="8" t="s">
        <v>6</v>
      </c>
      <c r="J24" s="6" t="s">
        <v>3</v>
      </c>
      <c r="K24" s="7" t="s">
        <v>4</v>
      </c>
      <c r="L24" s="7" t="s">
        <v>5</v>
      </c>
      <c r="M24" s="8" t="s">
        <v>6</v>
      </c>
      <c r="N24" s="6" t="s">
        <v>12</v>
      </c>
      <c r="O24" s="7"/>
      <c r="P24" s="8"/>
      <c r="Q24" s="6" t="s">
        <v>12</v>
      </c>
      <c r="R24" s="7"/>
      <c r="S24" s="8"/>
    </row>
    <row r="25" spans="1:26" ht="21" customHeight="1" x14ac:dyDescent="0.2">
      <c r="A25" s="35" t="s">
        <v>17</v>
      </c>
      <c r="B25" s="9"/>
      <c r="C25" s="10"/>
      <c r="D25" s="11">
        <v>103623</v>
      </c>
      <c r="E25" s="12"/>
      <c r="F25" s="9">
        <v>104</v>
      </c>
      <c r="G25" s="10">
        <f>(F25/186)*100</f>
        <v>55.913978494623649</v>
      </c>
      <c r="H25" s="11">
        <v>142701</v>
      </c>
      <c r="I25" s="12">
        <f t="shared" ref="I25:I30" si="6">H25/F25</f>
        <v>1372.125</v>
      </c>
      <c r="J25" s="9">
        <v>104</v>
      </c>
      <c r="K25" s="10">
        <f>(J25/186)*100</f>
        <v>55.913978494623649</v>
      </c>
      <c r="L25" s="11">
        <v>142701</v>
      </c>
      <c r="M25" s="12">
        <f t="shared" ref="M25:M30" si="7">L25/J25</f>
        <v>1372.125</v>
      </c>
      <c r="N25" s="30">
        <f t="shared" ref="N25:N30" si="8">L25-H25</f>
        <v>0</v>
      </c>
      <c r="O25" s="31"/>
      <c r="P25" s="22">
        <f t="shared" ref="P25:P30" si="9">J25-F25</f>
        <v>0</v>
      </c>
      <c r="Q25" s="30">
        <f t="shared" ref="Q25:Q30" si="10">O25-K25</f>
        <v>-55.913978494623649</v>
      </c>
      <c r="R25" s="31"/>
      <c r="S25" s="22"/>
    </row>
    <row r="26" spans="1:26" ht="21" customHeight="1" x14ac:dyDescent="0.2">
      <c r="A26" s="35" t="s">
        <v>7</v>
      </c>
      <c r="B26" s="9"/>
      <c r="C26" s="10"/>
      <c r="D26" s="11">
        <v>149866</v>
      </c>
      <c r="E26" s="12"/>
      <c r="F26" s="9">
        <v>76</v>
      </c>
      <c r="G26" s="10">
        <f>(F26/180)*100</f>
        <v>42.222222222222221</v>
      </c>
      <c r="H26" s="11">
        <v>165081</v>
      </c>
      <c r="I26" s="12">
        <f t="shared" si="6"/>
        <v>2172.1184210526317</v>
      </c>
      <c r="J26" s="9">
        <v>76</v>
      </c>
      <c r="K26" s="10">
        <f>(J26/180)*100</f>
        <v>42.222222222222221</v>
      </c>
      <c r="L26" s="11">
        <v>165081</v>
      </c>
      <c r="M26" s="12">
        <f t="shared" si="7"/>
        <v>2172.1184210526317</v>
      </c>
      <c r="N26" s="30">
        <f t="shared" si="8"/>
        <v>0</v>
      </c>
      <c r="O26" s="31"/>
      <c r="P26" s="22">
        <f t="shared" si="9"/>
        <v>0</v>
      </c>
      <c r="Q26" s="30">
        <f t="shared" si="10"/>
        <v>-42.222222222222221</v>
      </c>
      <c r="R26" s="31"/>
      <c r="S26" s="22"/>
    </row>
    <row r="27" spans="1:26" ht="21" customHeight="1" x14ac:dyDescent="0.2">
      <c r="A27" s="35" t="s">
        <v>8</v>
      </c>
      <c r="B27" s="9"/>
      <c r="C27" s="10"/>
      <c r="D27" s="11">
        <v>187725</v>
      </c>
      <c r="E27" s="12"/>
      <c r="F27" s="9">
        <v>71</v>
      </c>
      <c r="G27" s="10">
        <f>(F27/186)*100</f>
        <v>38.172043010752688</v>
      </c>
      <c r="H27" s="11">
        <v>206440</v>
      </c>
      <c r="I27" s="12">
        <f t="shared" si="6"/>
        <v>2907.605633802817</v>
      </c>
      <c r="J27" s="9">
        <v>71</v>
      </c>
      <c r="K27" s="10">
        <f>(J27/186)*100</f>
        <v>38.172043010752688</v>
      </c>
      <c r="L27" s="11">
        <v>206440</v>
      </c>
      <c r="M27" s="12">
        <f t="shared" si="7"/>
        <v>2907.605633802817</v>
      </c>
      <c r="N27" s="30">
        <f t="shared" si="8"/>
        <v>0</v>
      </c>
      <c r="O27" s="31"/>
      <c r="P27" s="22">
        <f t="shared" si="9"/>
        <v>0</v>
      </c>
      <c r="Q27" s="30">
        <f t="shared" si="10"/>
        <v>-38.172043010752688</v>
      </c>
      <c r="R27" s="31"/>
      <c r="S27" s="22"/>
    </row>
    <row r="28" spans="1:26" ht="21" customHeight="1" x14ac:dyDescent="0.2">
      <c r="A28" s="35" t="s">
        <v>9</v>
      </c>
      <c r="B28" s="9"/>
      <c r="C28" s="10"/>
      <c r="D28" s="11">
        <v>244345</v>
      </c>
      <c r="E28" s="12"/>
      <c r="F28" s="9">
        <v>71</v>
      </c>
      <c r="G28" s="10">
        <f>(F28/180)*100</f>
        <v>39.444444444444443</v>
      </c>
      <c r="H28" s="11">
        <v>159019</v>
      </c>
      <c r="I28" s="12">
        <f t="shared" si="6"/>
        <v>2239.7042253521126</v>
      </c>
      <c r="J28" s="9">
        <v>71</v>
      </c>
      <c r="K28" s="10">
        <f>(J28/180)*100</f>
        <v>39.444444444444443</v>
      </c>
      <c r="L28" s="11">
        <v>159019</v>
      </c>
      <c r="M28" s="12">
        <f t="shared" si="7"/>
        <v>2239.7042253521126</v>
      </c>
      <c r="N28" s="30">
        <f t="shared" si="8"/>
        <v>0</v>
      </c>
      <c r="O28" s="31"/>
      <c r="P28" s="22">
        <f t="shared" si="9"/>
        <v>0</v>
      </c>
      <c r="Q28" s="30">
        <f t="shared" si="10"/>
        <v>-39.444444444444443</v>
      </c>
      <c r="R28" s="31"/>
      <c r="S28" s="22"/>
    </row>
    <row r="29" spans="1:26" ht="21" customHeight="1" x14ac:dyDescent="0.2">
      <c r="A29" s="35" t="s">
        <v>10</v>
      </c>
      <c r="B29" s="9"/>
      <c r="C29" s="10"/>
      <c r="D29" s="11">
        <v>276122</v>
      </c>
      <c r="E29" s="12"/>
      <c r="F29" s="9">
        <v>56</v>
      </c>
      <c r="G29" s="10">
        <f t="shared" ref="G29:G30" si="11">(F29/186)*100</f>
        <v>30.107526881720432</v>
      </c>
      <c r="H29" s="11">
        <v>195885</v>
      </c>
      <c r="I29" s="12">
        <f t="shared" si="6"/>
        <v>3497.9464285714284</v>
      </c>
      <c r="J29" s="9">
        <v>56</v>
      </c>
      <c r="K29" s="10">
        <f t="shared" ref="K29:K30" si="12">(J29/186)*100</f>
        <v>30.107526881720432</v>
      </c>
      <c r="L29" s="11">
        <v>195885</v>
      </c>
      <c r="M29" s="12">
        <f t="shared" si="7"/>
        <v>3497.9464285714284</v>
      </c>
      <c r="N29" s="30">
        <f t="shared" si="8"/>
        <v>0</v>
      </c>
      <c r="O29" s="31"/>
      <c r="P29" s="22">
        <f t="shared" si="9"/>
        <v>0</v>
      </c>
      <c r="Q29" s="30">
        <f t="shared" si="10"/>
        <v>-30.107526881720432</v>
      </c>
      <c r="R29" s="31"/>
      <c r="S29" s="22"/>
    </row>
    <row r="30" spans="1:26" ht="21" customHeight="1" x14ac:dyDescent="0.2">
      <c r="A30" s="37" t="s">
        <v>14</v>
      </c>
      <c r="B30" s="15"/>
      <c r="C30" s="17"/>
      <c r="D30" s="18">
        <v>70050</v>
      </c>
      <c r="E30" s="19"/>
      <c r="F30" s="15">
        <v>46</v>
      </c>
      <c r="G30" s="17">
        <f t="shared" si="11"/>
        <v>24.731182795698924</v>
      </c>
      <c r="H30" s="18">
        <v>159918</v>
      </c>
      <c r="I30" s="19">
        <f t="shared" si="6"/>
        <v>3476.478260869565</v>
      </c>
      <c r="J30" s="15">
        <v>46</v>
      </c>
      <c r="K30" s="17">
        <f t="shared" si="12"/>
        <v>24.731182795698924</v>
      </c>
      <c r="L30" s="18">
        <v>159918</v>
      </c>
      <c r="M30" s="19">
        <f t="shared" si="7"/>
        <v>3476.478260869565</v>
      </c>
      <c r="N30" s="32">
        <f t="shared" si="8"/>
        <v>0</v>
      </c>
      <c r="O30" s="33"/>
      <c r="P30" s="26">
        <f t="shared" si="9"/>
        <v>0</v>
      </c>
      <c r="Q30" s="32">
        <f t="shared" si="10"/>
        <v>-24.731182795698924</v>
      </c>
      <c r="R30" s="33"/>
      <c r="S30" s="26"/>
    </row>
    <row r="31" spans="1:26" ht="12.75" customHeight="1" x14ac:dyDescent="0.15"/>
    <row r="32" spans="1:26" ht="19.5" customHeight="1" x14ac:dyDescent="0.2">
      <c r="A32" s="34"/>
      <c r="B32" s="2"/>
    </row>
    <row r="33" spans="1:10" ht="20.25" customHeight="1" x14ac:dyDescent="0.2">
      <c r="A33" s="47"/>
      <c r="B33" s="2"/>
    </row>
    <row r="34" spans="1:10" ht="19.5" customHeight="1" x14ac:dyDescent="0.2">
      <c r="A34" s="34"/>
      <c r="B34" s="2"/>
      <c r="C34" s="2"/>
      <c r="D34" s="2"/>
      <c r="E34" s="2"/>
      <c r="F34" s="2"/>
      <c r="G34" s="2"/>
      <c r="H34" s="2"/>
    </row>
    <row r="35" spans="1:10" ht="19.5" customHeight="1" x14ac:dyDescent="0.2">
      <c r="A35" s="34"/>
      <c r="B35" s="34"/>
      <c r="C35" s="2"/>
      <c r="F35" s="2"/>
      <c r="G35" s="2"/>
      <c r="H35" s="2"/>
    </row>
    <row r="36" spans="1:10" ht="19.5" customHeight="1" x14ac:dyDescent="0.2">
      <c r="A36" s="34"/>
      <c r="B36" s="34"/>
      <c r="C36" s="2"/>
      <c r="G36" s="2"/>
      <c r="H36" s="2"/>
    </row>
    <row r="37" spans="1:10" ht="20.25" customHeight="1" x14ac:dyDescent="0.2">
      <c r="A37" s="2"/>
      <c r="B37" s="2"/>
      <c r="G37" s="2"/>
      <c r="H37" s="2"/>
    </row>
    <row r="38" spans="1:10" ht="19.5" customHeight="1" x14ac:dyDescent="0.2">
      <c r="A38" s="2"/>
      <c r="B38" s="34"/>
      <c r="C38" s="34"/>
      <c r="F38" s="2"/>
      <c r="G38" s="34"/>
      <c r="J38" s="2"/>
    </row>
    <row r="39" spans="1:10" ht="19.5" customHeight="1" x14ac:dyDescent="0.2">
      <c r="B39" s="34"/>
      <c r="C39" s="2"/>
      <c r="D39" s="2"/>
      <c r="E39" s="2"/>
      <c r="F39" s="2"/>
      <c r="G39" s="2"/>
      <c r="H39" s="2"/>
    </row>
    <row r="40" spans="1:10" ht="19.5" customHeight="1" x14ac:dyDescent="0.2">
      <c r="B40" s="34"/>
      <c r="C40" s="2"/>
      <c r="D40" s="2"/>
      <c r="E40" s="2"/>
      <c r="F40" s="2"/>
      <c r="G40" s="2"/>
      <c r="H40" s="2"/>
    </row>
    <row r="41" spans="1:10" ht="12.75" customHeight="1" x14ac:dyDescent="0.15"/>
    <row r="42" spans="1:10" ht="19.5" customHeight="1" x14ac:dyDescent="0.2">
      <c r="B42" s="2"/>
    </row>
    <row r="43" spans="1:10" ht="19.5" customHeight="1" x14ac:dyDescent="0.2">
      <c r="A43" s="2"/>
      <c r="B43" s="34"/>
      <c r="C43" s="2"/>
      <c r="D43" s="2"/>
      <c r="E43" s="2"/>
      <c r="F43" s="2"/>
      <c r="G43" s="2"/>
      <c r="H43" s="2"/>
    </row>
    <row r="44" spans="1:10" ht="19.5" customHeight="1" x14ac:dyDescent="0.2">
      <c r="A44" s="2"/>
      <c r="B44" s="2"/>
      <c r="C44" s="2"/>
      <c r="D44" s="2"/>
      <c r="E44" s="2"/>
      <c r="F44" s="2"/>
      <c r="G44" s="2"/>
      <c r="H44" s="2"/>
    </row>
    <row r="45" spans="1:10" ht="19.5" customHeight="1" x14ac:dyDescent="0.2">
      <c r="B45" s="34"/>
      <c r="C45" s="2"/>
      <c r="D45" s="2"/>
      <c r="E45" s="2"/>
      <c r="F45" s="2"/>
      <c r="G45" s="2"/>
      <c r="H45" s="2"/>
    </row>
    <row r="46" spans="1:10" ht="19.5" customHeight="1" x14ac:dyDescent="0.2">
      <c r="B46" s="34"/>
      <c r="C46" s="2"/>
      <c r="D46" s="2"/>
      <c r="E46" s="2"/>
      <c r="F46" s="2"/>
      <c r="G46" s="2"/>
      <c r="H46" s="2"/>
    </row>
    <row r="47" spans="1:10" ht="12.75" customHeight="1" x14ac:dyDescent="0.15"/>
    <row r="48" spans="1:10" ht="19.5" customHeight="1" x14ac:dyDescent="0.2">
      <c r="B48" s="2"/>
    </row>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mergeCells count="13">
    <mergeCell ref="Q23:R23"/>
    <mergeCell ref="A3:Q3"/>
    <mergeCell ref="B5:E5"/>
    <mergeCell ref="G5:I5"/>
    <mergeCell ref="J5:M5"/>
    <mergeCell ref="N5:Q5"/>
    <mergeCell ref="B14:C14"/>
    <mergeCell ref="D14:E14"/>
    <mergeCell ref="B15:C15"/>
    <mergeCell ref="D15:E15"/>
    <mergeCell ref="G23:I23"/>
    <mergeCell ref="K23:M23"/>
    <mergeCell ref="N23:O23"/>
  </mergeCells>
  <pageMargins left="0.7" right="0.7" top="0.75" bottom="0.75" header="0" footer="0"/>
  <pageSetup orientation="landscape"/>
  <headerFooter>
    <oddHeader>&amp;L&amp;D&amp;T</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0"/>
  <sheetViews>
    <sheetView workbookViewId="0"/>
  </sheetViews>
  <sheetFormatPr baseColWidth="10" defaultColWidth="12.6640625" defaultRowHeight="15" customHeight="1" x14ac:dyDescent="0.15"/>
  <cols>
    <col min="1" max="1" width="8.83203125" customWidth="1"/>
    <col min="2" max="3" width="15.6640625" customWidth="1"/>
    <col min="4" max="4" width="15.6640625" hidden="1" customWidth="1"/>
    <col min="5" max="6" width="8.83203125" customWidth="1"/>
    <col min="7" max="26" width="10" customWidth="1"/>
  </cols>
  <sheetData>
    <row r="1" spans="1:4" ht="15" customHeight="1" x14ac:dyDescent="0.15">
      <c r="B1" s="48" t="s">
        <v>25</v>
      </c>
      <c r="C1" s="48" t="s">
        <v>26</v>
      </c>
      <c r="D1" s="49" t="s">
        <v>27</v>
      </c>
    </row>
    <row r="2" spans="1:4" ht="15" customHeight="1" x14ac:dyDescent="0.15">
      <c r="A2" s="50">
        <v>40689</v>
      </c>
      <c r="B2" s="51" t="s">
        <v>28</v>
      </c>
      <c r="C2" s="51"/>
      <c r="D2" s="51"/>
    </row>
    <row r="3" spans="1:4" ht="15" customHeight="1" x14ac:dyDescent="0.15">
      <c r="A3" s="50">
        <v>40690</v>
      </c>
      <c r="B3" s="51" t="s">
        <v>29</v>
      </c>
      <c r="C3" s="51"/>
      <c r="D3" s="51"/>
    </row>
    <row r="4" spans="1:4" ht="15" customHeight="1" x14ac:dyDescent="0.15">
      <c r="A4" s="50">
        <v>40691</v>
      </c>
      <c r="B4" s="51" t="s">
        <v>30</v>
      </c>
      <c r="C4" s="51"/>
      <c r="D4" s="51"/>
    </row>
    <row r="5" spans="1:4" ht="15" customHeight="1" x14ac:dyDescent="0.15">
      <c r="A5" s="52">
        <v>40692</v>
      </c>
      <c r="B5" s="53" t="s">
        <v>31</v>
      </c>
      <c r="C5" s="53"/>
      <c r="D5" s="53"/>
    </row>
    <row r="6" spans="1:4" ht="15" customHeight="1" x14ac:dyDescent="0.15">
      <c r="A6" s="50">
        <v>40693</v>
      </c>
      <c r="B6" s="51" t="s">
        <v>32</v>
      </c>
      <c r="C6" s="51"/>
      <c r="D6" s="51"/>
    </row>
    <row r="7" spans="1:4" ht="15" customHeight="1" x14ac:dyDescent="0.15">
      <c r="A7" s="50">
        <v>40694</v>
      </c>
      <c r="B7" s="51" t="s">
        <v>33</v>
      </c>
      <c r="C7" s="51">
        <v>5</v>
      </c>
      <c r="D7" s="51"/>
    </row>
    <row r="8" spans="1:4" ht="15" customHeight="1" x14ac:dyDescent="0.15">
      <c r="A8" s="50">
        <v>40695</v>
      </c>
      <c r="B8" s="51" t="s">
        <v>34</v>
      </c>
      <c r="C8" s="51">
        <v>3</v>
      </c>
      <c r="D8" s="14"/>
    </row>
    <row r="9" spans="1:4" ht="15" customHeight="1" x14ac:dyDescent="0.15">
      <c r="A9" s="50">
        <v>40696</v>
      </c>
      <c r="B9" s="51" t="s">
        <v>35</v>
      </c>
      <c r="C9" s="51">
        <v>9</v>
      </c>
      <c r="D9" s="14"/>
    </row>
    <row r="10" spans="1:4" ht="15" customHeight="1" x14ac:dyDescent="0.15">
      <c r="A10" s="50">
        <v>40697</v>
      </c>
      <c r="B10" s="51" t="s">
        <v>36</v>
      </c>
      <c r="C10" s="51">
        <v>1</v>
      </c>
      <c r="D10" s="14"/>
    </row>
    <row r="11" spans="1:4" ht="15" customHeight="1" x14ac:dyDescent="0.15">
      <c r="A11" s="50">
        <v>40698</v>
      </c>
      <c r="B11" s="51" t="s">
        <v>37</v>
      </c>
      <c r="C11" s="51"/>
      <c r="D11" s="14"/>
    </row>
    <row r="12" spans="1:4" ht="15" customHeight="1" x14ac:dyDescent="0.15">
      <c r="A12" s="52">
        <v>40699</v>
      </c>
      <c r="B12" s="54"/>
      <c r="C12" s="53">
        <v>11</v>
      </c>
      <c r="D12" s="14"/>
    </row>
    <row r="13" spans="1:4" ht="15" customHeight="1" x14ac:dyDescent="0.15">
      <c r="A13" s="50">
        <v>40700</v>
      </c>
      <c r="B13" s="51" t="s">
        <v>38</v>
      </c>
      <c r="C13" s="51">
        <v>5</v>
      </c>
      <c r="D13" s="14"/>
    </row>
    <row r="14" spans="1:4" ht="15" customHeight="1" x14ac:dyDescent="0.15">
      <c r="A14" s="50">
        <v>40701</v>
      </c>
      <c r="B14" s="51" t="s">
        <v>34</v>
      </c>
      <c r="C14" s="51">
        <v>6</v>
      </c>
      <c r="D14" s="14"/>
    </row>
    <row r="15" spans="1:4" ht="15" customHeight="1" x14ac:dyDescent="0.15">
      <c r="A15" s="50">
        <v>40702</v>
      </c>
      <c r="B15" s="51" t="s">
        <v>39</v>
      </c>
      <c r="C15" s="51"/>
      <c r="D15" s="14"/>
    </row>
    <row r="16" spans="1:4" ht="15" customHeight="1" x14ac:dyDescent="0.15">
      <c r="A16" s="50">
        <v>40703</v>
      </c>
      <c r="B16" s="51" t="s">
        <v>40</v>
      </c>
      <c r="C16" s="51"/>
      <c r="D16" s="14"/>
    </row>
    <row r="17" spans="1:3" ht="15" customHeight="1" x14ac:dyDescent="0.15">
      <c r="A17" s="50">
        <v>40704</v>
      </c>
      <c r="B17" s="51" t="s">
        <v>36</v>
      </c>
      <c r="C17" s="51">
        <v>9</v>
      </c>
    </row>
    <row r="18" spans="1:3" ht="15" customHeight="1" x14ac:dyDescent="0.15">
      <c r="A18" s="50">
        <v>40705</v>
      </c>
      <c r="B18" s="51" t="s">
        <v>41</v>
      </c>
      <c r="C18" s="51">
        <v>7</v>
      </c>
    </row>
    <row r="19" spans="1:3" ht="15" customHeight="1" x14ac:dyDescent="0.15">
      <c r="A19" s="52">
        <v>40706</v>
      </c>
      <c r="B19" s="53" t="s">
        <v>42</v>
      </c>
      <c r="C19" s="53"/>
    </row>
    <row r="20" spans="1:3" ht="15" customHeight="1" x14ac:dyDescent="0.15">
      <c r="A20" s="50">
        <v>40707</v>
      </c>
      <c r="B20" s="51" t="s">
        <v>43</v>
      </c>
      <c r="C20" s="51">
        <v>9</v>
      </c>
    </row>
    <row r="21" spans="1:3" ht="15" customHeight="1" x14ac:dyDescent="0.15">
      <c r="A21" s="50">
        <v>40708</v>
      </c>
      <c r="B21" s="51" t="s">
        <v>44</v>
      </c>
      <c r="C21" s="51">
        <v>15</v>
      </c>
    </row>
    <row r="22" spans="1:3" ht="15" customHeight="1" x14ac:dyDescent="0.15">
      <c r="A22" s="50">
        <v>40709</v>
      </c>
      <c r="B22" s="51" t="s">
        <v>45</v>
      </c>
      <c r="C22" s="51">
        <v>6</v>
      </c>
    </row>
    <row r="23" spans="1:3" ht="15" customHeight="1" x14ac:dyDescent="0.15">
      <c r="A23" s="50">
        <v>40710</v>
      </c>
      <c r="B23" s="51" t="s">
        <v>41</v>
      </c>
      <c r="C23" s="51">
        <v>3</v>
      </c>
    </row>
    <row r="24" spans="1:3" ht="15" customHeight="1" x14ac:dyDescent="0.15">
      <c r="A24" s="50">
        <v>40711</v>
      </c>
      <c r="B24" s="51" t="s">
        <v>46</v>
      </c>
      <c r="C24" s="51">
        <v>8</v>
      </c>
    </row>
    <row r="25" spans="1:3" ht="15" customHeight="1" x14ac:dyDescent="0.15">
      <c r="A25" s="50">
        <v>40712</v>
      </c>
      <c r="B25" s="51" t="s">
        <v>47</v>
      </c>
      <c r="C25" s="51">
        <v>3</v>
      </c>
    </row>
    <row r="26" spans="1:3" ht="15" customHeight="1" x14ac:dyDescent="0.15">
      <c r="A26" s="52">
        <v>40713</v>
      </c>
      <c r="B26" s="54"/>
      <c r="C26" s="53"/>
    </row>
    <row r="27" spans="1:3" ht="15" customHeight="1" x14ac:dyDescent="0.15">
      <c r="A27" s="50">
        <v>40714</v>
      </c>
      <c r="B27" s="51" t="s">
        <v>48</v>
      </c>
      <c r="C27" s="51">
        <v>7</v>
      </c>
    </row>
    <row r="30" spans="1:3" ht="12.75" customHeight="1" x14ac:dyDescent="0.15"/>
    <row r="31" spans="1:3" ht="12.75" customHeight="1" x14ac:dyDescent="0.15"/>
    <row r="32" spans="1:3"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00"/>
  <sheetViews>
    <sheetView workbookViewId="0"/>
  </sheetViews>
  <sheetFormatPr baseColWidth="10" defaultColWidth="12.6640625" defaultRowHeight="15" customHeight="1" x14ac:dyDescent="0.15"/>
  <cols>
    <col min="1" max="7" width="15.6640625" customWidth="1"/>
    <col min="8" max="9" width="12.6640625" customWidth="1"/>
    <col min="10" max="26" width="10" customWidth="1"/>
  </cols>
  <sheetData>
    <row r="1" spans="1:9" ht="12.75" customHeight="1" x14ac:dyDescent="0.15">
      <c r="A1" s="14" t="s">
        <v>49</v>
      </c>
    </row>
    <row r="2" spans="1:9" ht="18" customHeight="1" x14ac:dyDescent="0.15">
      <c r="C2" s="55" t="s">
        <v>50</v>
      </c>
      <c r="D2" s="55" t="s">
        <v>51</v>
      </c>
      <c r="E2" s="55" t="s">
        <v>52</v>
      </c>
      <c r="F2" s="55" t="s">
        <v>53</v>
      </c>
      <c r="G2" s="55" t="s">
        <v>54</v>
      </c>
      <c r="H2" s="55" t="s">
        <v>55</v>
      </c>
    </row>
    <row r="3" spans="1:9" ht="18" customHeight="1" x14ac:dyDescent="0.15">
      <c r="A3" s="14" t="s">
        <v>56</v>
      </c>
      <c r="C3" s="56">
        <v>1640</v>
      </c>
      <c r="D3" s="56">
        <v>1640</v>
      </c>
      <c r="E3" s="56">
        <v>1640</v>
      </c>
      <c r="F3" s="56" t="s">
        <v>57</v>
      </c>
      <c r="G3" s="56" t="s">
        <v>58</v>
      </c>
      <c r="H3" s="56" t="s">
        <v>59</v>
      </c>
      <c r="I3" s="51" t="s">
        <v>60</v>
      </c>
    </row>
    <row r="4" spans="1:9" ht="18" customHeight="1" x14ac:dyDescent="0.15">
      <c r="A4" s="57" t="s">
        <v>61</v>
      </c>
      <c r="C4" s="56">
        <v>2430</v>
      </c>
      <c r="D4" s="56">
        <v>2430</v>
      </c>
      <c r="E4" s="56">
        <v>2430</v>
      </c>
      <c r="F4" s="56">
        <v>1810</v>
      </c>
      <c r="G4" s="56">
        <v>2430</v>
      </c>
      <c r="H4" s="56">
        <v>1810</v>
      </c>
    </row>
    <row r="5" spans="1:9" ht="18" customHeight="1" x14ac:dyDescent="0.15">
      <c r="A5" s="57" t="s">
        <v>62</v>
      </c>
      <c r="C5" s="56">
        <v>1875</v>
      </c>
      <c r="D5" s="56">
        <v>1875</v>
      </c>
      <c r="E5" s="56">
        <v>1875</v>
      </c>
      <c r="F5" s="56">
        <v>1875</v>
      </c>
      <c r="G5" s="56">
        <v>1875</v>
      </c>
      <c r="H5" s="56">
        <v>1875</v>
      </c>
    </row>
    <row r="6" spans="1:9" ht="18" customHeight="1" x14ac:dyDescent="0.15">
      <c r="A6" s="57" t="s">
        <v>26</v>
      </c>
      <c r="C6" s="56">
        <v>995</v>
      </c>
      <c r="D6" s="56">
        <v>995</v>
      </c>
      <c r="E6" s="56">
        <v>995</v>
      </c>
      <c r="F6" s="56" t="s">
        <v>63</v>
      </c>
      <c r="G6" s="56">
        <v>995</v>
      </c>
      <c r="H6" s="56">
        <v>663</v>
      </c>
      <c r="I6" s="14" t="s">
        <v>64</v>
      </c>
    </row>
    <row r="7" spans="1:9" ht="18" customHeight="1" x14ac:dyDescent="0.15">
      <c r="A7" s="57" t="s">
        <v>27</v>
      </c>
      <c r="C7" s="56"/>
      <c r="D7" s="56"/>
      <c r="E7" s="56">
        <v>800</v>
      </c>
      <c r="F7" s="56">
        <v>666</v>
      </c>
      <c r="G7" s="56">
        <v>800</v>
      </c>
      <c r="H7" s="56">
        <v>650</v>
      </c>
    </row>
    <row r="8" spans="1:9" ht="18" customHeight="1" x14ac:dyDescent="0.15">
      <c r="A8" s="57" t="s">
        <v>65</v>
      </c>
      <c r="C8" s="56"/>
      <c r="D8" s="56">
        <v>1100</v>
      </c>
      <c r="E8" s="56">
        <v>955</v>
      </c>
      <c r="F8" s="56">
        <v>636</v>
      </c>
      <c r="G8" s="56">
        <v>955</v>
      </c>
      <c r="H8" s="56">
        <v>955</v>
      </c>
    </row>
    <row r="9" spans="1:9" ht="18" customHeight="1" x14ac:dyDescent="0.15">
      <c r="A9" s="57" t="s">
        <v>66</v>
      </c>
      <c r="C9" s="56">
        <v>1430</v>
      </c>
      <c r="D9" s="56">
        <v>1430</v>
      </c>
      <c r="E9" s="56">
        <v>1435</v>
      </c>
      <c r="F9" s="56">
        <v>1435</v>
      </c>
      <c r="G9" s="56">
        <v>1400</v>
      </c>
      <c r="H9" s="56">
        <v>1400</v>
      </c>
    </row>
    <row r="10" spans="1:9" ht="18" customHeight="1" x14ac:dyDescent="0.15">
      <c r="A10" s="57" t="s">
        <v>67</v>
      </c>
      <c r="C10" s="56">
        <v>2180</v>
      </c>
      <c r="D10" s="56">
        <v>2180</v>
      </c>
      <c r="E10" s="56">
        <v>1600</v>
      </c>
      <c r="F10" s="56">
        <v>1493</v>
      </c>
      <c r="G10" s="56">
        <v>1700</v>
      </c>
      <c r="H10" s="56">
        <v>1490</v>
      </c>
    </row>
    <row r="11" spans="1:9" ht="18" customHeight="1" x14ac:dyDescent="0.15">
      <c r="A11" s="57" t="s">
        <v>68</v>
      </c>
      <c r="C11" s="56"/>
      <c r="D11" s="56">
        <v>1216</v>
      </c>
      <c r="E11" s="56"/>
      <c r="F11" s="56"/>
      <c r="G11" s="56"/>
      <c r="H11" s="56">
        <v>1600</v>
      </c>
    </row>
    <row r="12" spans="1:9" ht="18" customHeight="1" x14ac:dyDescent="0.15">
      <c r="A12" s="57" t="s">
        <v>69</v>
      </c>
      <c r="C12" s="56">
        <v>2310</v>
      </c>
      <c r="D12" s="56">
        <v>2310</v>
      </c>
      <c r="E12" s="56">
        <v>2310</v>
      </c>
      <c r="F12" s="56">
        <v>2310</v>
      </c>
      <c r="G12" s="56">
        <v>2310</v>
      </c>
      <c r="H12" s="56">
        <v>2310</v>
      </c>
    </row>
    <row r="13" spans="1:9" ht="18" customHeight="1" x14ac:dyDescent="0.15">
      <c r="A13" s="57" t="s">
        <v>70</v>
      </c>
      <c r="C13" s="56">
        <v>2150</v>
      </c>
      <c r="D13" s="56">
        <v>2150</v>
      </c>
      <c r="E13" s="56"/>
      <c r="F13" s="56"/>
      <c r="G13" s="56">
        <v>2150</v>
      </c>
      <c r="H13" s="56">
        <v>2150</v>
      </c>
    </row>
    <row r="14" spans="1:9" ht="18" customHeight="1" x14ac:dyDescent="0.15">
      <c r="A14" s="57" t="s">
        <v>71</v>
      </c>
      <c r="C14" s="56">
        <v>1589</v>
      </c>
      <c r="D14" s="56">
        <v>1112</v>
      </c>
      <c r="E14" s="56"/>
      <c r="F14" s="56">
        <v>994</v>
      </c>
      <c r="G14" s="56">
        <v>1409</v>
      </c>
      <c r="H14" s="56">
        <v>1127.2</v>
      </c>
    </row>
    <row r="15" spans="1:9" ht="18" customHeight="1" x14ac:dyDescent="0.15">
      <c r="A15" s="57" t="s">
        <v>72</v>
      </c>
      <c r="C15" s="56" t="s">
        <v>73</v>
      </c>
      <c r="D15" s="56" t="s">
        <v>73</v>
      </c>
      <c r="E15" s="56"/>
      <c r="F15" s="56"/>
      <c r="G15" s="56">
        <v>1160</v>
      </c>
      <c r="H15" s="56">
        <v>996</v>
      </c>
    </row>
    <row r="16" spans="1:9" ht="18" customHeight="1" x14ac:dyDescent="0.15">
      <c r="A16" s="14" t="s">
        <v>74</v>
      </c>
      <c r="C16" s="56">
        <v>1295</v>
      </c>
      <c r="D16" s="56">
        <v>1101</v>
      </c>
      <c r="E16" s="56">
        <v>971</v>
      </c>
      <c r="F16" s="56"/>
      <c r="G16" s="56">
        <v>970</v>
      </c>
      <c r="H16" s="56">
        <v>976</v>
      </c>
    </row>
    <row r="17" spans="1:8" ht="18" customHeight="1" x14ac:dyDescent="0.15">
      <c r="A17" s="14" t="s">
        <v>75</v>
      </c>
      <c r="C17" s="56"/>
      <c r="D17" s="56"/>
      <c r="E17" s="56">
        <v>738</v>
      </c>
      <c r="F17" s="56"/>
      <c r="G17" s="56">
        <v>816</v>
      </c>
      <c r="H17" s="56">
        <v>738</v>
      </c>
    </row>
    <row r="18" spans="1:8" ht="15" customHeight="1" x14ac:dyDescent="0.15">
      <c r="A18" s="14" t="s">
        <v>76</v>
      </c>
      <c r="C18" s="58">
        <v>945</v>
      </c>
      <c r="D18" s="58"/>
      <c r="E18" s="58"/>
      <c r="F18" s="58"/>
      <c r="G18" s="58"/>
      <c r="H18" s="58"/>
    </row>
    <row r="21" spans="1:8" ht="12.75" customHeight="1" x14ac:dyDescent="0.15"/>
    <row r="22" spans="1:8" ht="12.75" customHeight="1" x14ac:dyDescent="0.15"/>
    <row r="23" spans="1:8" ht="12.75" customHeight="1" x14ac:dyDescent="0.15"/>
    <row r="24" spans="1:8" ht="12.75" customHeight="1" x14ac:dyDescent="0.15"/>
    <row r="25" spans="1:8" ht="12.75" customHeight="1" x14ac:dyDescent="0.15"/>
    <row r="26" spans="1:8" ht="12.75" customHeight="1" x14ac:dyDescent="0.15"/>
    <row r="27" spans="1:8" ht="12.75" customHeight="1" x14ac:dyDescent="0.15"/>
    <row r="28" spans="1:8" ht="12.75" customHeight="1" x14ac:dyDescent="0.15"/>
    <row r="29" spans="1:8" ht="12.75" customHeight="1" x14ac:dyDescent="0.15"/>
    <row r="30" spans="1:8" ht="12.75" customHeight="1" x14ac:dyDescent="0.15"/>
    <row r="31" spans="1:8" ht="12.75" customHeight="1" x14ac:dyDescent="0.15"/>
    <row r="32" spans="1:8"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000"/>
  <sheetViews>
    <sheetView workbookViewId="0"/>
  </sheetViews>
  <sheetFormatPr baseColWidth="10" defaultColWidth="12.6640625" defaultRowHeight="15" customHeight="1" x14ac:dyDescent="0.15"/>
  <cols>
    <col min="1" max="1" width="6.5" customWidth="1"/>
    <col min="2" max="3" width="11.5" customWidth="1"/>
    <col min="4" max="4" width="9" customWidth="1"/>
    <col min="5" max="6" width="11.5" customWidth="1"/>
    <col min="7" max="8" width="13.5" customWidth="1"/>
    <col min="9" max="9" width="15.6640625" customWidth="1"/>
    <col min="10" max="10" width="23.33203125" hidden="1" customWidth="1"/>
    <col min="11" max="26" width="10" customWidth="1"/>
  </cols>
  <sheetData>
    <row r="1" spans="1:10" ht="15.75" customHeight="1" x14ac:dyDescent="0.2">
      <c r="A1" s="914" t="s">
        <v>77</v>
      </c>
      <c r="B1" s="898"/>
      <c r="C1" s="898"/>
      <c r="D1" s="898"/>
      <c r="E1" s="898"/>
      <c r="F1" s="898"/>
      <c r="G1" s="898"/>
      <c r="H1" s="898"/>
      <c r="I1" s="898"/>
      <c r="J1" s="899"/>
    </row>
    <row r="2" spans="1:10" ht="18" customHeight="1" x14ac:dyDescent="0.15">
      <c r="A2" s="59"/>
      <c r="B2" s="60" t="s">
        <v>0</v>
      </c>
      <c r="C2" s="61" t="s">
        <v>78</v>
      </c>
      <c r="D2" s="61" t="s">
        <v>4</v>
      </c>
      <c r="E2" s="61" t="s">
        <v>79</v>
      </c>
      <c r="F2" s="62" t="s">
        <v>80</v>
      </c>
      <c r="G2" s="915" t="s">
        <v>81</v>
      </c>
      <c r="H2" s="916"/>
      <c r="I2" s="62" t="s">
        <v>82</v>
      </c>
      <c r="J2" s="62" t="s">
        <v>83</v>
      </c>
    </row>
    <row r="3" spans="1:10" ht="15" customHeight="1" x14ac:dyDescent="0.15">
      <c r="A3" s="63"/>
      <c r="B3" s="64"/>
      <c r="C3" s="909" t="s">
        <v>84</v>
      </c>
      <c r="D3" s="905"/>
      <c r="E3" s="905"/>
      <c r="F3" s="910"/>
      <c r="G3" s="65" t="s">
        <v>18</v>
      </c>
      <c r="H3" s="66" t="s">
        <v>85</v>
      </c>
      <c r="I3" s="67" t="s">
        <v>5</v>
      </c>
      <c r="J3" s="67" t="s">
        <v>5</v>
      </c>
    </row>
    <row r="4" spans="1:10" ht="12.75" customHeight="1" x14ac:dyDescent="0.15">
      <c r="A4" s="68" t="s">
        <v>86</v>
      </c>
      <c r="B4" s="69">
        <v>2000656</v>
      </c>
      <c r="C4" s="70" t="e">
        <f t="shared" ref="C4:E4" si="0">#REF!</f>
        <v>#REF!</v>
      </c>
      <c r="D4" s="71" t="e">
        <f t="shared" si="0"/>
        <v>#REF!</v>
      </c>
      <c r="E4" s="70" t="e">
        <f t="shared" si="0"/>
        <v>#REF!</v>
      </c>
      <c r="F4" s="72">
        <v>1874949</v>
      </c>
      <c r="G4" s="73" t="e">
        <f t="shared" ref="G4:J4" si="1">#REF!</f>
        <v>#REF!</v>
      </c>
      <c r="H4" s="74" t="e">
        <f t="shared" si="1"/>
        <v>#REF!</v>
      </c>
      <c r="I4" s="74" t="e">
        <f t="shared" si="1"/>
        <v>#REF!</v>
      </c>
      <c r="J4" s="74" t="e">
        <f t="shared" si="1"/>
        <v>#REF!</v>
      </c>
    </row>
    <row r="5" spans="1:10" ht="12.75" customHeight="1" x14ac:dyDescent="0.15">
      <c r="A5" s="68" t="s">
        <v>87</v>
      </c>
      <c r="B5" s="69">
        <v>2672018</v>
      </c>
      <c r="C5" s="70" t="e">
        <f t="shared" ref="C5:E5" si="2">#REF!</f>
        <v>#REF!</v>
      </c>
      <c r="D5" s="71" t="e">
        <f t="shared" si="2"/>
        <v>#REF!</v>
      </c>
      <c r="E5" s="70" t="e">
        <f t="shared" si="2"/>
        <v>#REF!</v>
      </c>
      <c r="F5" s="72">
        <v>2544779</v>
      </c>
      <c r="G5" s="73" t="e">
        <f t="shared" ref="G5:J5" si="3">#REF!</f>
        <v>#REF!</v>
      </c>
      <c r="H5" s="74" t="e">
        <f t="shared" si="3"/>
        <v>#REF!</v>
      </c>
      <c r="I5" s="74" t="e">
        <f t="shared" si="3"/>
        <v>#REF!</v>
      </c>
      <c r="J5" s="74" t="e">
        <f t="shared" si="3"/>
        <v>#REF!</v>
      </c>
    </row>
    <row r="6" spans="1:10" ht="12.75" customHeight="1" x14ac:dyDescent="0.15">
      <c r="A6" s="68" t="s">
        <v>88</v>
      </c>
      <c r="B6" s="69">
        <v>2329289</v>
      </c>
      <c r="C6" s="70" t="e">
        <f t="shared" ref="C6:E6" si="4">#REF!</f>
        <v>#REF!</v>
      </c>
      <c r="D6" s="71" t="e">
        <f t="shared" si="4"/>
        <v>#REF!</v>
      </c>
      <c r="E6" s="70" t="e">
        <f t="shared" si="4"/>
        <v>#REF!</v>
      </c>
      <c r="F6" s="72">
        <v>2194352</v>
      </c>
      <c r="G6" s="73" t="e">
        <f t="shared" ref="G6:J6" si="5">#REF!</f>
        <v>#REF!</v>
      </c>
      <c r="H6" s="74" t="e">
        <f t="shared" si="5"/>
        <v>#REF!</v>
      </c>
      <c r="I6" s="74" t="e">
        <f t="shared" si="5"/>
        <v>#REF!</v>
      </c>
      <c r="J6" s="74" t="e">
        <f t="shared" si="5"/>
        <v>#REF!</v>
      </c>
    </row>
    <row r="7" spans="1:10" ht="12.75" customHeight="1" x14ac:dyDescent="0.15">
      <c r="A7" s="68" t="s">
        <v>89</v>
      </c>
      <c r="B7" s="69">
        <v>2200750</v>
      </c>
      <c r="C7" s="70" t="e">
        <f t="shared" ref="C7:E7" si="6">#REF!</f>
        <v>#REF!</v>
      </c>
      <c r="D7" s="71" t="e">
        <f t="shared" si="6"/>
        <v>#REF!</v>
      </c>
      <c r="E7" s="70" t="e">
        <f t="shared" si="6"/>
        <v>#REF!</v>
      </c>
      <c r="F7" s="72">
        <v>2397167</v>
      </c>
      <c r="G7" s="73" t="e">
        <f t="shared" ref="G7:J7" si="7">#REF!</f>
        <v>#REF!</v>
      </c>
      <c r="H7" s="74" t="e">
        <f t="shared" si="7"/>
        <v>#REF!</v>
      </c>
      <c r="I7" s="74" t="e">
        <f t="shared" si="7"/>
        <v>#REF!</v>
      </c>
      <c r="J7" s="74" t="e">
        <f t="shared" si="7"/>
        <v>#REF!</v>
      </c>
    </row>
    <row r="8" spans="1:10" ht="12.75" customHeight="1" x14ac:dyDescent="0.15">
      <c r="A8" s="68" t="s">
        <v>90</v>
      </c>
      <c r="B8" s="69"/>
      <c r="C8" s="70" t="e">
        <f t="shared" ref="C8:E8" si="8">#REF!</f>
        <v>#REF!</v>
      </c>
      <c r="D8" s="71" t="e">
        <f t="shared" si="8"/>
        <v>#REF!</v>
      </c>
      <c r="E8" s="70" t="e">
        <f t="shared" si="8"/>
        <v>#REF!</v>
      </c>
      <c r="F8" s="72">
        <v>2261197</v>
      </c>
      <c r="G8" s="73"/>
      <c r="H8" s="74"/>
      <c r="I8" s="74" t="e">
        <f t="shared" ref="I8:J8" si="9">#REF!</f>
        <v>#REF!</v>
      </c>
      <c r="J8" s="75" t="e">
        <f t="shared" si="9"/>
        <v>#REF!</v>
      </c>
    </row>
    <row r="9" spans="1:10" ht="12.75" customHeight="1" x14ac:dyDescent="0.15">
      <c r="A9" s="76" t="s">
        <v>91</v>
      </c>
      <c r="B9" s="77"/>
      <c r="C9" s="78" t="e">
        <f t="shared" ref="C9:E9" si="10">#REF!</f>
        <v>#REF!</v>
      </c>
      <c r="D9" s="79" t="e">
        <f t="shared" si="10"/>
        <v>#REF!</v>
      </c>
      <c r="E9" s="78" t="e">
        <f t="shared" si="10"/>
        <v>#REF!</v>
      </c>
      <c r="F9" s="80">
        <v>1605796</v>
      </c>
      <c r="G9" s="81"/>
      <c r="H9" s="82"/>
      <c r="I9" s="82"/>
      <c r="J9" s="75" t="e">
        <f>#REF!</f>
        <v>#REF!</v>
      </c>
    </row>
    <row r="10" spans="1:10" ht="15.75" customHeight="1" x14ac:dyDescent="0.2">
      <c r="A10" s="914" t="s">
        <v>92</v>
      </c>
      <c r="B10" s="898"/>
      <c r="C10" s="898"/>
      <c r="D10" s="898"/>
      <c r="E10" s="898"/>
      <c r="F10" s="898"/>
      <c r="G10" s="898"/>
      <c r="H10" s="898"/>
      <c r="I10" s="898"/>
      <c r="J10" s="899"/>
    </row>
    <row r="11" spans="1:10" ht="18" customHeight="1" x14ac:dyDescent="0.15">
      <c r="A11" s="56"/>
      <c r="B11" s="83" t="s">
        <v>0</v>
      </c>
      <c r="C11" s="84" t="s">
        <v>78</v>
      </c>
      <c r="D11" s="84" t="s">
        <v>4</v>
      </c>
      <c r="E11" s="84" t="s">
        <v>79</v>
      </c>
      <c r="F11" s="67" t="s">
        <v>80</v>
      </c>
      <c r="G11" s="917" t="s">
        <v>81</v>
      </c>
      <c r="H11" s="910"/>
      <c r="I11" s="85" t="s">
        <v>82</v>
      </c>
      <c r="J11" s="85" t="s">
        <v>83</v>
      </c>
    </row>
    <row r="12" spans="1:10" ht="12.75" customHeight="1" x14ac:dyDescent="0.15">
      <c r="A12" s="56"/>
      <c r="B12" s="64"/>
      <c r="C12" s="909" t="s">
        <v>84</v>
      </c>
      <c r="D12" s="905"/>
      <c r="E12" s="905"/>
      <c r="F12" s="910"/>
      <c r="G12" s="65" t="s">
        <v>18</v>
      </c>
      <c r="H12" s="66" t="s">
        <v>85</v>
      </c>
      <c r="I12" s="85" t="s">
        <v>5</v>
      </c>
      <c r="J12" s="85" t="s">
        <v>5</v>
      </c>
    </row>
    <row r="13" spans="1:10" ht="12.75" customHeight="1" x14ac:dyDescent="0.15">
      <c r="A13" s="68" t="s">
        <v>86</v>
      </c>
      <c r="B13" s="86">
        <v>6412543</v>
      </c>
      <c r="C13" s="70" t="e">
        <f t="shared" ref="C13:E13" si="11">#REF!</f>
        <v>#REF!</v>
      </c>
      <c r="D13" s="87" t="e">
        <f t="shared" si="11"/>
        <v>#REF!</v>
      </c>
      <c r="E13" s="70" t="e">
        <f t="shared" si="11"/>
        <v>#REF!</v>
      </c>
      <c r="F13" s="72">
        <v>4679927</v>
      </c>
      <c r="G13" s="73" t="e">
        <f t="shared" ref="G13:J13" si="12">#REF!</f>
        <v>#REF!</v>
      </c>
      <c r="H13" s="74" t="e">
        <f t="shared" si="12"/>
        <v>#REF!</v>
      </c>
      <c r="I13" s="88" t="e">
        <f t="shared" si="12"/>
        <v>#REF!</v>
      </c>
      <c r="J13" s="88" t="e">
        <f t="shared" si="12"/>
        <v>#REF!</v>
      </c>
    </row>
    <row r="14" spans="1:10" ht="12.75" customHeight="1" x14ac:dyDescent="0.15">
      <c r="A14" s="68" t="s">
        <v>87</v>
      </c>
      <c r="B14" s="86">
        <v>6058957</v>
      </c>
      <c r="C14" s="70" t="e">
        <f t="shared" ref="C14:E14" si="13">#REF!</f>
        <v>#REF!</v>
      </c>
      <c r="D14" s="87" t="e">
        <f t="shared" si="13"/>
        <v>#REF!</v>
      </c>
      <c r="E14" s="70" t="e">
        <f t="shared" si="13"/>
        <v>#REF!</v>
      </c>
      <c r="F14" s="72">
        <v>3963564</v>
      </c>
      <c r="G14" s="73" t="e">
        <f t="shared" ref="G14:J14" si="14">#REF!</f>
        <v>#REF!</v>
      </c>
      <c r="H14" s="74" t="e">
        <f t="shared" si="14"/>
        <v>#REF!</v>
      </c>
      <c r="I14" s="88" t="e">
        <f t="shared" si="14"/>
        <v>#REF!</v>
      </c>
      <c r="J14" s="88" t="e">
        <f t="shared" si="14"/>
        <v>#REF!</v>
      </c>
    </row>
    <row r="15" spans="1:10" ht="12.75" customHeight="1" x14ac:dyDescent="0.15">
      <c r="A15" s="68" t="s">
        <v>88</v>
      </c>
      <c r="B15" s="86">
        <v>5530627</v>
      </c>
      <c r="C15" s="70" t="e">
        <f t="shared" ref="C15:E15" si="15">#REF!</f>
        <v>#REF!</v>
      </c>
      <c r="D15" s="87" t="e">
        <f t="shared" si="15"/>
        <v>#REF!</v>
      </c>
      <c r="E15" s="70" t="e">
        <f t="shared" si="15"/>
        <v>#REF!</v>
      </c>
      <c r="F15" s="72">
        <v>3786131</v>
      </c>
      <c r="G15" s="73" t="e">
        <f t="shared" ref="G15:J15" si="16">#REF!</f>
        <v>#REF!</v>
      </c>
      <c r="H15" s="74" t="e">
        <f t="shared" si="16"/>
        <v>#REF!</v>
      </c>
      <c r="I15" s="88" t="e">
        <f t="shared" si="16"/>
        <v>#REF!</v>
      </c>
      <c r="J15" s="88" t="e">
        <f t="shared" si="16"/>
        <v>#REF!</v>
      </c>
    </row>
    <row r="16" spans="1:10" ht="12.75" customHeight="1" x14ac:dyDescent="0.15">
      <c r="A16" s="68" t="s">
        <v>89</v>
      </c>
      <c r="B16" s="86">
        <v>7074513</v>
      </c>
      <c r="C16" s="70" t="e">
        <f t="shared" ref="C16:E16" si="17">#REF!</f>
        <v>#REF!</v>
      </c>
      <c r="D16" s="87" t="e">
        <f t="shared" si="17"/>
        <v>#REF!</v>
      </c>
      <c r="E16" s="70" t="e">
        <f t="shared" si="17"/>
        <v>#REF!</v>
      </c>
      <c r="F16" s="72">
        <v>5065519</v>
      </c>
      <c r="G16" s="73" t="e">
        <f t="shared" ref="G16:J16" si="18">#REF!</f>
        <v>#REF!</v>
      </c>
      <c r="H16" s="74" t="e">
        <f t="shared" si="18"/>
        <v>#REF!</v>
      </c>
      <c r="I16" s="88" t="e">
        <f t="shared" si="18"/>
        <v>#REF!</v>
      </c>
      <c r="J16" s="88" t="e">
        <f t="shared" si="18"/>
        <v>#REF!</v>
      </c>
    </row>
    <row r="17" spans="1:10" ht="12.75" customHeight="1" x14ac:dyDescent="0.15">
      <c r="A17" s="68" t="s">
        <v>90</v>
      </c>
      <c r="B17" s="86"/>
      <c r="C17" s="70" t="e">
        <f t="shared" ref="C17:E17" si="19">#REF!</f>
        <v>#REF!</v>
      </c>
      <c r="D17" s="87" t="e">
        <f t="shared" si="19"/>
        <v>#REF!</v>
      </c>
      <c r="E17" s="70" t="e">
        <f t="shared" si="19"/>
        <v>#REF!</v>
      </c>
      <c r="F17" s="72">
        <v>4445403</v>
      </c>
      <c r="G17" s="73"/>
      <c r="H17" s="74"/>
      <c r="I17" s="88" t="e">
        <f t="shared" ref="I17:J17" si="20">#REF!</f>
        <v>#REF!</v>
      </c>
      <c r="J17" s="88" t="e">
        <f t="shared" si="20"/>
        <v>#REF!</v>
      </c>
    </row>
    <row r="18" spans="1:10" ht="12.75" customHeight="1" x14ac:dyDescent="0.15">
      <c r="A18" s="76" t="s">
        <v>91</v>
      </c>
      <c r="B18" s="89"/>
      <c r="C18" s="78" t="e">
        <f t="shared" ref="C18:E18" si="21">#REF!</f>
        <v>#REF!</v>
      </c>
      <c r="D18" s="90" t="e">
        <f t="shared" si="21"/>
        <v>#REF!</v>
      </c>
      <c r="E18" s="78" t="e">
        <f t="shared" si="21"/>
        <v>#REF!</v>
      </c>
      <c r="F18" s="80">
        <v>3899614</v>
      </c>
      <c r="G18" s="81"/>
      <c r="H18" s="82"/>
      <c r="I18" s="91"/>
      <c r="J18" s="91" t="e">
        <f>#REF!</f>
        <v>#REF!</v>
      </c>
    </row>
    <row r="19" spans="1:10" ht="15.75" customHeight="1" x14ac:dyDescent="0.2">
      <c r="A19" s="911" t="s">
        <v>93</v>
      </c>
      <c r="B19" s="912"/>
      <c r="C19" s="912"/>
      <c r="D19" s="912"/>
      <c r="E19" s="912"/>
      <c r="F19" s="912"/>
      <c r="G19" s="912"/>
      <c r="H19" s="912"/>
      <c r="I19" s="912"/>
      <c r="J19" s="913"/>
    </row>
    <row r="20" spans="1:10" ht="12.75" customHeight="1" x14ac:dyDescent="0.15">
      <c r="A20" s="63"/>
      <c r="B20" s="60" t="s">
        <v>0</v>
      </c>
      <c r="C20" s="61" t="s">
        <v>94</v>
      </c>
      <c r="D20" s="61" t="s">
        <v>4</v>
      </c>
      <c r="E20" s="62" t="s">
        <v>80</v>
      </c>
      <c r="F20" s="84"/>
      <c r="G20" s="92" t="s">
        <v>81</v>
      </c>
      <c r="H20" s="93"/>
      <c r="I20" s="92" t="s">
        <v>82</v>
      </c>
      <c r="J20" s="92" t="s">
        <v>83</v>
      </c>
    </row>
    <row r="21" spans="1:10" ht="12.75" customHeight="1" x14ac:dyDescent="0.15">
      <c r="A21" s="94"/>
      <c r="B21" s="909" t="s">
        <v>84</v>
      </c>
      <c r="C21" s="905"/>
      <c r="D21" s="905"/>
      <c r="E21" s="910"/>
      <c r="F21" s="59"/>
      <c r="G21" s="95" t="s">
        <v>95</v>
      </c>
      <c r="H21" s="96"/>
      <c r="I21" s="85" t="s">
        <v>5</v>
      </c>
      <c r="J21" s="85" t="s">
        <v>5</v>
      </c>
    </row>
    <row r="22" spans="1:10" ht="12.75" customHeight="1" x14ac:dyDescent="0.15">
      <c r="A22" s="68" t="s">
        <v>86</v>
      </c>
      <c r="B22" s="69">
        <v>296280</v>
      </c>
      <c r="C22" s="70" t="e">
        <f t="shared" ref="C22:D22" si="22">#REF!</f>
        <v>#REF!</v>
      </c>
      <c r="D22" s="87" t="e">
        <f t="shared" si="22"/>
        <v>#REF!</v>
      </c>
      <c r="E22" s="97">
        <v>254742</v>
      </c>
      <c r="F22" s="75"/>
      <c r="G22" s="88" t="e">
        <f t="shared" ref="G22:G25" si="23">#REF!</f>
        <v>#REF!</v>
      </c>
      <c r="H22" s="75"/>
      <c r="I22" s="88" t="e">
        <f t="shared" ref="I22:J22" si="24">#REF!</f>
        <v>#REF!</v>
      </c>
      <c r="J22" s="88" t="e">
        <f t="shared" si="24"/>
        <v>#REF!</v>
      </c>
    </row>
    <row r="23" spans="1:10" ht="12.75" customHeight="1" x14ac:dyDescent="0.15">
      <c r="A23" s="68" t="s">
        <v>87</v>
      </c>
      <c r="B23" s="69">
        <v>321780</v>
      </c>
      <c r="C23" s="70" t="e">
        <f t="shared" ref="C23:D23" si="25">#REF!</f>
        <v>#REF!</v>
      </c>
      <c r="D23" s="87" t="e">
        <f t="shared" si="25"/>
        <v>#REF!</v>
      </c>
      <c r="E23" s="97">
        <v>324829</v>
      </c>
      <c r="F23" s="75"/>
      <c r="G23" s="88" t="e">
        <f t="shared" si="23"/>
        <v>#REF!</v>
      </c>
      <c r="H23" s="75"/>
      <c r="I23" s="88" t="e">
        <f t="shared" ref="I23:J23" si="26">#REF!</f>
        <v>#REF!</v>
      </c>
      <c r="J23" s="88" t="e">
        <f t="shared" si="26"/>
        <v>#REF!</v>
      </c>
    </row>
    <row r="24" spans="1:10" ht="12.75" customHeight="1" x14ac:dyDescent="0.15">
      <c r="A24" s="68" t="s">
        <v>88</v>
      </c>
      <c r="B24" s="69">
        <v>312852</v>
      </c>
      <c r="C24" s="70" t="e">
        <f t="shared" ref="C24:D24" si="27">#REF!</f>
        <v>#REF!</v>
      </c>
      <c r="D24" s="87" t="e">
        <f t="shared" si="27"/>
        <v>#REF!</v>
      </c>
      <c r="E24" s="97">
        <v>330355</v>
      </c>
      <c r="F24" s="75"/>
      <c r="G24" s="88" t="e">
        <f t="shared" si="23"/>
        <v>#REF!</v>
      </c>
      <c r="H24" s="75"/>
      <c r="I24" s="88" t="e">
        <f t="shared" ref="I24:J24" si="28">#REF!</f>
        <v>#REF!</v>
      </c>
      <c r="J24" s="88" t="e">
        <f t="shared" si="28"/>
        <v>#REF!</v>
      </c>
    </row>
    <row r="25" spans="1:10" ht="12.75" customHeight="1" x14ac:dyDescent="0.15">
      <c r="A25" s="68" t="s">
        <v>89</v>
      </c>
      <c r="B25" s="69">
        <v>280560</v>
      </c>
      <c r="C25" s="70" t="e">
        <f t="shared" ref="C25:D25" si="29">#REF!</f>
        <v>#REF!</v>
      </c>
      <c r="D25" s="87" t="e">
        <f t="shared" si="29"/>
        <v>#REF!</v>
      </c>
      <c r="E25" s="97">
        <v>479590</v>
      </c>
      <c r="F25" s="75"/>
      <c r="G25" s="88" t="e">
        <f t="shared" si="23"/>
        <v>#REF!</v>
      </c>
      <c r="H25" s="75"/>
      <c r="I25" s="88" t="e">
        <f t="shared" ref="I25:J25" si="30">#REF!</f>
        <v>#REF!</v>
      </c>
      <c r="J25" s="88" t="e">
        <f t="shared" si="30"/>
        <v>#REF!</v>
      </c>
    </row>
    <row r="26" spans="1:10" ht="12.75" customHeight="1" x14ac:dyDescent="0.15">
      <c r="A26" s="68" t="s">
        <v>90</v>
      </c>
      <c r="B26" s="69"/>
      <c r="C26" s="70" t="e">
        <f t="shared" ref="C26:D26" si="31">#REF!</f>
        <v>#REF!</v>
      </c>
      <c r="D26" s="87" t="e">
        <f t="shared" si="31"/>
        <v>#REF!</v>
      </c>
      <c r="E26" s="97">
        <v>481432</v>
      </c>
      <c r="F26" s="75"/>
      <c r="G26" s="88"/>
      <c r="H26" s="75"/>
      <c r="I26" s="88" t="e">
        <f t="shared" ref="I26:J26" si="32">#REF!</f>
        <v>#REF!</v>
      </c>
      <c r="J26" s="88" t="e">
        <f t="shared" si="32"/>
        <v>#REF!</v>
      </c>
    </row>
    <row r="27" spans="1:10" ht="12.75" customHeight="1" x14ac:dyDescent="0.15">
      <c r="A27" s="76" t="s">
        <v>91</v>
      </c>
      <c r="B27" s="77"/>
      <c r="C27" s="78" t="e">
        <f t="shared" ref="C27:D27" si="33">#REF!</f>
        <v>#REF!</v>
      </c>
      <c r="D27" s="90" t="e">
        <f t="shared" si="33"/>
        <v>#REF!</v>
      </c>
      <c r="E27" s="98">
        <v>359095</v>
      </c>
      <c r="F27" s="75"/>
      <c r="G27" s="91"/>
      <c r="H27" s="75"/>
      <c r="I27" s="91"/>
      <c r="J27" s="91" t="e">
        <f>#REF!</f>
        <v>#REF!</v>
      </c>
    </row>
    <row r="28" spans="1:10" ht="12.75" customHeight="1" x14ac:dyDescent="0.15">
      <c r="A28" s="99" t="s">
        <v>96</v>
      </c>
      <c r="B28" s="14" t="s">
        <v>97</v>
      </c>
    </row>
    <row r="29" spans="1:10" ht="12.75" customHeight="1" x14ac:dyDescent="0.15">
      <c r="B29" s="14" t="s">
        <v>98</v>
      </c>
    </row>
    <row r="30" spans="1:10" ht="12.75" customHeight="1" x14ac:dyDescent="0.15">
      <c r="A30" s="99" t="s">
        <v>99</v>
      </c>
      <c r="B30" s="14" t="s">
        <v>100</v>
      </c>
    </row>
    <row r="31" spans="1:10" ht="12.75" customHeight="1" x14ac:dyDescent="0.15">
      <c r="A31" s="99"/>
      <c r="B31" s="14" t="s">
        <v>101</v>
      </c>
    </row>
    <row r="32" spans="1:10" ht="12.75" customHeight="1" x14ac:dyDescent="0.15">
      <c r="A32" s="99"/>
      <c r="B32" s="14" t="s">
        <v>102</v>
      </c>
    </row>
    <row r="33" spans="1:6" ht="12.75" customHeight="1" x14ac:dyDescent="0.15">
      <c r="A33" s="99" t="s">
        <v>103</v>
      </c>
      <c r="B33" s="14" t="s">
        <v>104</v>
      </c>
    </row>
    <row r="34" spans="1:6" ht="12.75" customHeight="1" x14ac:dyDescent="0.15">
      <c r="B34" s="14" t="s">
        <v>105</v>
      </c>
    </row>
    <row r="35" spans="1:6" ht="12.75" customHeight="1" x14ac:dyDescent="0.15">
      <c r="B35" s="14"/>
    </row>
    <row r="36" spans="1:6" ht="12.75" customHeight="1" x14ac:dyDescent="0.15">
      <c r="B36" s="14"/>
    </row>
    <row r="37" spans="1:6" ht="12.75" customHeight="1" x14ac:dyDescent="0.15">
      <c r="B37" s="14"/>
    </row>
    <row r="38" spans="1:6" ht="12.75" customHeight="1" x14ac:dyDescent="0.15">
      <c r="B38" s="14"/>
    </row>
    <row r="39" spans="1:6" ht="12.75" customHeight="1" x14ac:dyDescent="0.15">
      <c r="B39" s="14"/>
    </row>
    <row r="40" spans="1:6" ht="12.75" customHeight="1" x14ac:dyDescent="0.15">
      <c r="B40" s="14"/>
    </row>
    <row r="41" spans="1:6" ht="12.75" customHeight="1" x14ac:dyDescent="0.15">
      <c r="A41" s="14"/>
    </row>
    <row r="42" spans="1:6" ht="12.75" customHeight="1" x14ac:dyDescent="0.15">
      <c r="A42" s="14"/>
    </row>
    <row r="43" spans="1:6" ht="12.75" customHeight="1" x14ac:dyDescent="0.15">
      <c r="A43" s="14"/>
      <c r="B43" s="14"/>
      <c r="C43" s="14"/>
      <c r="D43" s="14"/>
      <c r="E43" s="14"/>
      <c r="F43" s="14"/>
    </row>
    <row r="44" spans="1:6" ht="12.75" customHeight="1" x14ac:dyDescent="0.15">
      <c r="A44" s="1"/>
      <c r="B44" s="14"/>
      <c r="C44" s="14"/>
      <c r="D44" s="14"/>
      <c r="E44" s="14"/>
      <c r="F44" s="14"/>
    </row>
    <row r="45" spans="1:6" ht="12.75" customHeight="1" x14ac:dyDescent="0.15">
      <c r="A45" s="14"/>
      <c r="B45" s="14"/>
      <c r="C45" s="14"/>
      <c r="D45" s="14"/>
      <c r="E45" s="14"/>
      <c r="F45" s="14"/>
    </row>
    <row r="46" spans="1:6" ht="12.75" customHeight="1" x14ac:dyDescent="0.15">
      <c r="A46" s="14"/>
    </row>
    <row r="47" spans="1:6" ht="12.75" customHeight="1" x14ac:dyDescent="0.15">
      <c r="A47" s="14"/>
    </row>
    <row r="48" spans="1:6" ht="12.75" customHeight="1" x14ac:dyDescent="0.15">
      <c r="A48" s="1"/>
    </row>
    <row r="49" spans="1:1" ht="12.75" customHeight="1" x14ac:dyDescent="0.15"/>
    <row r="50" spans="1:1" ht="12.75" customHeight="1" x14ac:dyDescent="0.15">
      <c r="A50" s="14"/>
    </row>
    <row r="51" spans="1:1" ht="12.75" customHeight="1" x14ac:dyDescent="0.15"/>
    <row r="52" spans="1:1" ht="12.75" customHeight="1" x14ac:dyDescent="0.15">
      <c r="A52" s="1"/>
    </row>
    <row r="53" spans="1:1" ht="12.75" customHeight="1" x14ac:dyDescent="0.15"/>
    <row r="54" spans="1:1" ht="12.75" customHeight="1" x14ac:dyDescent="0.15">
      <c r="A54" s="14"/>
    </row>
    <row r="55" spans="1:1" ht="12.75" customHeight="1" x14ac:dyDescent="0.15"/>
    <row r="56" spans="1:1" ht="12.75" customHeight="1" x14ac:dyDescent="0.15"/>
    <row r="57" spans="1:1" ht="12.75" customHeight="1" x14ac:dyDescent="0.15"/>
    <row r="58" spans="1:1" ht="12.75" customHeight="1" x14ac:dyDescent="0.15"/>
    <row r="59" spans="1:1" ht="12.75" customHeight="1" x14ac:dyDescent="0.15"/>
    <row r="60" spans="1:1" ht="12.75" customHeight="1" x14ac:dyDescent="0.15"/>
    <row r="61" spans="1:1" ht="12.75" customHeight="1" x14ac:dyDescent="0.15"/>
    <row r="62" spans="1:1" ht="12.75" customHeight="1" x14ac:dyDescent="0.15"/>
    <row r="63" spans="1:1" ht="12.75" customHeight="1" x14ac:dyDescent="0.15"/>
    <row r="64" spans="1:1"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mergeCells count="8">
    <mergeCell ref="C12:F12"/>
    <mergeCell ref="A19:J19"/>
    <mergeCell ref="B21:E21"/>
    <mergeCell ref="A1:J1"/>
    <mergeCell ref="G2:H2"/>
    <mergeCell ref="C3:F3"/>
    <mergeCell ref="A10:J10"/>
    <mergeCell ref="G11:H11"/>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heetViews>
  <sheetFormatPr baseColWidth="10" defaultColWidth="12.6640625" defaultRowHeight="15" customHeight="1" x14ac:dyDescent="0.15"/>
  <cols>
    <col min="1" max="1" width="5.6640625" customWidth="1"/>
    <col min="2" max="2" width="11.83203125" customWidth="1"/>
    <col min="3" max="3" width="9.83203125" customWidth="1"/>
    <col min="4" max="4" width="11" customWidth="1"/>
    <col min="5" max="5" width="10.1640625" customWidth="1"/>
    <col min="6" max="6" width="6.5" customWidth="1"/>
    <col min="7" max="7" width="9.6640625" customWidth="1"/>
    <col min="8" max="8" width="8.1640625" customWidth="1"/>
    <col min="9" max="9" width="14.83203125" hidden="1" customWidth="1"/>
    <col min="10" max="10" width="13.83203125" hidden="1" customWidth="1"/>
    <col min="11" max="11" width="12.33203125" customWidth="1"/>
    <col min="12" max="12" width="11.83203125" customWidth="1"/>
    <col min="13" max="13" width="10.1640625" customWidth="1"/>
    <col min="14" max="14" width="8" customWidth="1"/>
    <col min="15" max="15" width="10.6640625" hidden="1" customWidth="1"/>
    <col min="16" max="16" width="10" hidden="1" customWidth="1"/>
    <col min="17" max="17" width="11.6640625" hidden="1" customWidth="1"/>
    <col min="18" max="18" width="11.5" hidden="1" customWidth="1"/>
    <col min="19" max="20" width="8.83203125" customWidth="1"/>
    <col min="21" max="26" width="10" customWidth="1"/>
  </cols>
  <sheetData>
    <row r="1" spans="1:26" ht="21" customHeight="1" x14ac:dyDescent="0.2">
      <c r="A1" s="918" t="s">
        <v>106</v>
      </c>
      <c r="B1" s="919"/>
      <c r="C1" s="919"/>
      <c r="D1" s="919"/>
      <c r="E1" s="919"/>
      <c r="F1" s="919"/>
      <c r="G1" s="919"/>
      <c r="H1" s="919"/>
      <c r="I1" s="919"/>
      <c r="J1" s="919"/>
      <c r="K1" s="919"/>
      <c r="L1" s="919"/>
      <c r="M1" s="919"/>
      <c r="N1" s="919"/>
      <c r="O1" s="919"/>
      <c r="P1" s="919"/>
      <c r="Q1" s="919"/>
      <c r="R1" s="920"/>
    </row>
    <row r="2" spans="1:26" ht="24.75" customHeight="1" x14ac:dyDescent="0.15">
      <c r="A2" s="100"/>
      <c r="B2" s="101" t="s">
        <v>107</v>
      </c>
      <c r="C2" s="101" t="s">
        <v>108</v>
      </c>
      <c r="D2" s="102" t="s">
        <v>109</v>
      </c>
      <c r="E2" s="921" t="s">
        <v>110</v>
      </c>
      <c r="F2" s="922"/>
      <c r="G2" s="923" t="s">
        <v>111</v>
      </c>
      <c r="H2" s="922"/>
      <c r="I2" s="103" t="s">
        <v>112</v>
      </c>
      <c r="J2" s="103" t="s">
        <v>113</v>
      </c>
      <c r="K2" s="104" t="s">
        <v>114</v>
      </c>
      <c r="L2" s="101" t="s">
        <v>115</v>
      </c>
      <c r="M2" s="921" t="s">
        <v>116</v>
      </c>
      <c r="N2" s="922"/>
      <c r="O2" s="105" t="s">
        <v>117</v>
      </c>
      <c r="P2" s="106" t="s">
        <v>118</v>
      </c>
      <c r="Q2" s="107" t="s">
        <v>119</v>
      </c>
      <c r="R2" s="108" t="s">
        <v>120</v>
      </c>
      <c r="S2" s="109" t="s">
        <v>121</v>
      </c>
      <c r="T2" s="110" t="s">
        <v>122</v>
      </c>
      <c r="U2" s="100"/>
      <c r="V2" s="100"/>
      <c r="W2" s="100"/>
      <c r="X2" s="100"/>
      <c r="Y2" s="100"/>
      <c r="Z2" s="100"/>
    </row>
    <row r="3" spans="1:26" ht="12.75" hidden="1" customHeight="1" x14ac:dyDescent="0.15">
      <c r="A3" s="14" t="s">
        <v>90</v>
      </c>
      <c r="B3" s="111">
        <v>976369</v>
      </c>
      <c r="C3" s="111">
        <f t="shared" ref="C3:C14" si="0">(D3*1.175)</f>
        <v>940156.27500000002</v>
      </c>
      <c r="D3" s="111">
        <v>800133</v>
      </c>
      <c r="E3" s="112">
        <f t="shared" ref="E3:E14" si="1">B3-C3</f>
        <v>36212.724999999977</v>
      </c>
      <c r="F3" s="113">
        <f t="shared" ref="F3:F14" si="2">(B3-C3)/C3</f>
        <v>3.8517771952327792E-2</v>
      </c>
      <c r="G3" s="112">
        <f t="shared" ref="G3:G14" si="3">(C3-D3)</f>
        <v>140023.27500000002</v>
      </c>
      <c r="H3" s="114">
        <f t="shared" ref="H3:H32" si="4">(C3-D3)/D3</f>
        <v>0.17500000000000002</v>
      </c>
      <c r="I3" s="115">
        <f t="shared" ref="I3:I11" si="5">B3-J3</f>
        <v>815149</v>
      </c>
      <c r="J3" s="112">
        <v>161220</v>
      </c>
      <c r="K3" s="111"/>
      <c r="L3" s="111">
        <v>976369</v>
      </c>
      <c r="M3" s="112">
        <f t="shared" ref="M3:M61" si="6">B3-D3</f>
        <v>176236</v>
      </c>
      <c r="N3" s="113">
        <f t="shared" ref="N3:N32" si="7">(B3-D3)/D3</f>
        <v>0.22025838204398518</v>
      </c>
      <c r="O3" s="116">
        <v>1191028</v>
      </c>
      <c r="P3" s="117"/>
      <c r="Q3" s="118"/>
      <c r="R3" s="119"/>
      <c r="S3" s="120"/>
      <c r="T3" s="120"/>
      <c r="U3" s="100"/>
      <c r="V3" s="100"/>
      <c r="W3" s="100"/>
      <c r="X3" s="100"/>
      <c r="Y3" s="100"/>
      <c r="Z3" s="100"/>
    </row>
    <row r="4" spans="1:26" ht="12.75" hidden="1" customHeight="1" x14ac:dyDescent="0.15">
      <c r="A4" s="14" t="s">
        <v>123</v>
      </c>
      <c r="B4" s="111">
        <v>766954</v>
      </c>
      <c r="C4" s="111">
        <f t="shared" si="0"/>
        <v>589504.55000000005</v>
      </c>
      <c r="D4" s="111">
        <v>501706</v>
      </c>
      <c r="E4" s="112">
        <f t="shared" si="1"/>
        <v>177449.44999999995</v>
      </c>
      <c r="F4" s="113">
        <f t="shared" si="2"/>
        <v>0.30101455535839367</v>
      </c>
      <c r="G4" s="112">
        <f t="shared" si="3"/>
        <v>87798.550000000047</v>
      </c>
      <c r="H4" s="114">
        <f t="shared" si="4"/>
        <v>0.1750000000000001</v>
      </c>
      <c r="I4" s="115">
        <f t="shared" si="5"/>
        <v>605734</v>
      </c>
      <c r="J4" s="112">
        <v>161220</v>
      </c>
      <c r="K4" s="111"/>
      <c r="L4" s="111">
        <v>766954</v>
      </c>
      <c r="M4" s="112">
        <f t="shared" si="6"/>
        <v>265248</v>
      </c>
      <c r="N4" s="113">
        <f t="shared" si="7"/>
        <v>0.52869210254611265</v>
      </c>
      <c r="O4" s="116">
        <v>1245578</v>
      </c>
      <c r="P4" s="117"/>
      <c r="Q4" s="118"/>
      <c r="R4" s="119"/>
      <c r="S4" s="120"/>
      <c r="T4" s="120"/>
      <c r="U4" s="100"/>
      <c r="V4" s="100"/>
      <c r="W4" s="100"/>
      <c r="X4" s="100"/>
      <c r="Y4" s="100"/>
      <c r="Z4" s="100"/>
    </row>
    <row r="5" spans="1:26" ht="12.75" hidden="1" customHeight="1" x14ac:dyDescent="0.15">
      <c r="A5" s="14" t="s">
        <v>124</v>
      </c>
      <c r="B5" s="111">
        <v>644339</v>
      </c>
      <c r="C5" s="111">
        <f t="shared" si="0"/>
        <v>621985.07500000007</v>
      </c>
      <c r="D5" s="111">
        <v>529349</v>
      </c>
      <c r="E5" s="112">
        <f t="shared" si="1"/>
        <v>22353.92499999993</v>
      </c>
      <c r="F5" s="113">
        <f t="shared" si="2"/>
        <v>3.5939648551856211E-2</v>
      </c>
      <c r="G5" s="112">
        <f t="shared" si="3"/>
        <v>92636.07500000007</v>
      </c>
      <c r="H5" s="114">
        <f t="shared" si="4"/>
        <v>0.17500000000000013</v>
      </c>
      <c r="I5" s="115">
        <f t="shared" si="5"/>
        <v>483119</v>
      </c>
      <c r="J5" s="112">
        <v>161220</v>
      </c>
      <c r="K5" s="111"/>
      <c r="L5" s="111">
        <v>644339</v>
      </c>
      <c r="M5" s="112">
        <f t="shared" si="6"/>
        <v>114990</v>
      </c>
      <c r="N5" s="113">
        <f t="shared" si="7"/>
        <v>0.21722908704843119</v>
      </c>
      <c r="O5" s="116">
        <v>1488076</v>
      </c>
      <c r="P5" s="117"/>
      <c r="Q5" s="118"/>
      <c r="R5" s="119"/>
      <c r="S5" s="120"/>
      <c r="T5" s="120"/>
      <c r="U5" s="100"/>
      <c r="V5" s="100"/>
      <c r="W5" s="100"/>
      <c r="X5" s="100"/>
      <c r="Y5" s="100"/>
      <c r="Z5" s="100"/>
    </row>
    <row r="6" spans="1:26" ht="12.75" hidden="1" customHeight="1" x14ac:dyDescent="0.15">
      <c r="A6" s="14" t="s">
        <v>125</v>
      </c>
      <c r="B6" s="111">
        <v>530924</v>
      </c>
      <c r="C6" s="111">
        <f t="shared" si="0"/>
        <v>427825.72500000003</v>
      </c>
      <c r="D6" s="111">
        <v>364107</v>
      </c>
      <c r="E6" s="112">
        <f t="shared" si="1"/>
        <v>103098.27499999997</v>
      </c>
      <c r="F6" s="113">
        <f t="shared" si="2"/>
        <v>0.24098194422506958</v>
      </c>
      <c r="G6" s="112">
        <f t="shared" si="3"/>
        <v>63718.725000000035</v>
      </c>
      <c r="H6" s="114">
        <f t="shared" si="4"/>
        <v>0.1750000000000001</v>
      </c>
      <c r="I6" s="115">
        <f t="shared" si="5"/>
        <v>369704</v>
      </c>
      <c r="J6" s="112">
        <v>161220</v>
      </c>
      <c r="K6" s="111"/>
      <c r="L6" s="111">
        <v>530924</v>
      </c>
      <c r="M6" s="112">
        <f t="shared" si="6"/>
        <v>166817</v>
      </c>
      <c r="N6" s="113">
        <f t="shared" si="7"/>
        <v>0.45815378446445687</v>
      </c>
      <c r="O6" s="116">
        <v>1449686</v>
      </c>
      <c r="P6" s="117"/>
      <c r="Q6" s="118"/>
      <c r="R6" s="119"/>
      <c r="S6" s="120"/>
      <c r="T6" s="120"/>
      <c r="U6" s="100"/>
      <c r="V6" s="100"/>
      <c r="W6" s="100"/>
      <c r="X6" s="100"/>
      <c r="Y6" s="100"/>
      <c r="Z6" s="100"/>
    </row>
    <row r="7" spans="1:26" ht="12.75" hidden="1" customHeight="1" x14ac:dyDescent="0.15">
      <c r="A7" s="14" t="s">
        <v>126</v>
      </c>
      <c r="B7" s="111">
        <v>658052</v>
      </c>
      <c r="C7" s="111">
        <f t="shared" si="0"/>
        <v>519911.65</v>
      </c>
      <c r="D7" s="111">
        <v>442478</v>
      </c>
      <c r="E7" s="112">
        <f t="shared" si="1"/>
        <v>138140.34999999998</v>
      </c>
      <c r="F7" s="113">
        <f t="shared" si="2"/>
        <v>0.26569966262537098</v>
      </c>
      <c r="G7" s="112">
        <f t="shared" si="3"/>
        <v>77433.650000000023</v>
      </c>
      <c r="H7" s="114">
        <f t="shared" si="4"/>
        <v>0.17500000000000004</v>
      </c>
      <c r="I7" s="115">
        <f t="shared" si="5"/>
        <v>496832</v>
      </c>
      <c r="J7" s="112">
        <v>161220</v>
      </c>
      <c r="K7" s="111"/>
      <c r="L7" s="111">
        <v>658052</v>
      </c>
      <c r="M7" s="112">
        <f t="shared" si="6"/>
        <v>215574</v>
      </c>
      <c r="N7" s="113">
        <f t="shared" si="7"/>
        <v>0.487197103584811</v>
      </c>
      <c r="O7" s="116">
        <v>770876</v>
      </c>
      <c r="P7" s="54"/>
      <c r="Q7" s="121"/>
      <c r="R7" s="122"/>
      <c r="S7" s="120"/>
      <c r="T7" s="120"/>
    </row>
    <row r="8" spans="1:26" ht="12.75" hidden="1" customHeight="1" x14ac:dyDescent="0.15">
      <c r="A8" s="14" t="s">
        <v>127</v>
      </c>
      <c r="B8" s="111">
        <v>648180</v>
      </c>
      <c r="C8" s="111">
        <f t="shared" si="0"/>
        <v>513073.15</v>
      </c>
      <c r="D8" s="111">
        <v>436658</v>
      </c>
      <c r="E8" s="112">
        <f t="shared" si="1"/>
        <v>135106.84999999998</v>
      </c>
      <c r="F8" s="113">
        <f t="shared" si="2"/>
        <v>0.26332863062508721</v>
      </c>
      <c r="G8" s="112">
        <f t="shared" si="3"/>
        <v>76415.150000000023</v>
      </c>
      <c r="H8" s="114">
        <f t="shared" si="4"/>
        <v>0.17500000000000004</v>
      </c>
      <c r="I8" s="115">
        <f t="shared" si="5"/>
        <v>438056</v>
      </c>
      <c r="J8" s="112">
        <v>210124</v>
      </c>
      <c r="K8" s="111"/>
      <c r="L8" s="111">
        <v>648180</v>
      </c>
      <c r="M8" s="112">
        <f t="shared" si="6"/>
        <v>211522</v>
      </c>
      <c r="N8" s="113">
        <f t="shared" si="7"/>
        <v>0.48441114098447757</v>
      </c>
      <c r="O8" s="116">
        <v>570574</v>
      </c>
      <c r="P8" s="54"/>
      <c r="Q8" s="121"/>
      <c r="R8" s="122"/>
      <c r="S8" s="120"/>
      <c r="T8" s="120"/>
    </row>
    <row r="9" spans="1:26" ht="12.75" hidden="1" customHeight="1" x14ac:dyDescent="0.15">
      <c r="A9" s="14" t="s">
        <v>128</v>
      </c>
      <c r="B9" s="111">
        <f>310920.68+365482.43</f>
        <v>676403.11</v>
      </c>
      <c r="C9" s="111">
        <f t="shared" si="0"/>
        <v>639303.4</v>
      </c>
      <c r="D9" s="111">
        <v>544088</v>
      </c>
      <c r="E9" s="112">
        <f t="shared" si="1"/>
        <v>37099.709999999963</v>
      </c>
      <c r="F9" s="113">
        <f t="shared" si="2"/>
        <v>5.8031460492780053E-2</v>
      </c>
      <c r="G9" s="112">
        <f t="shared" si="3"/>
        <v>95215.400000000023</v>
      </c>
      <c r="H9" s="114">
        <f t="shared" si="4"/>
        <v>0.17500000000000004</v>
      </c>
      <c r="I9" s="115">
        <f t="shared" si="5"/>
        <v>387627.11</v>
      </c>
      <c r="J9" s="112">
        <v>288776</v>
      </c>
      <c r="K9" s="111"/>
      <c r="L9" s="111">
        <f>310920.68+365482.43</f>
        <v>676403.11</v>
      </c>
      <c r="M9" s="112">
        <f t="shared" si="6"/>
        <v>132315.10999999999</v>
      </c>
      <c r="N9" s="113">
        <f t="shared" si="7"/>
        <v>0.2431869660790166</v>
      </c>
      <c r="O9" s="123"/>
      <c r="P9" s="54"/>
      <c r="Q9" s="121"/>
      <c r="R9" s="122"/>
      <c r="S9" s="120"/>
      <c r="T9" s="120"/>
    </row>
    <row r="10" spans="1:26" ht="12.75" hidden="1" customHeight="1" x14ac:dyDescent="0.15">
      <c r="A10" s="14" t="s">
        <v>129</v>
      </c>
      <c r="B10" s="111">
        <v>910865</v>
      </c>
      <c r="C10" s="111">
        <f t="shared" si="0"/>
        <v>747056.77500000002</v>
      </c>
      <c r="D10" s="111">
        <v>635793</v>
      </c>
      <c r="E10" s="112">
        <f t="shared" si="1"/>
        <v>163808.22499999998</v>
      </c>
      <c r="F10" s="113">
        <f t="shared" si="2"/>
        <v>0.21927145363215531</v>
      </c>
      <c r="G10" s="112">
        <f t="shared" si="3"/>
        <v>111263.77500000002</v>
      </c>
      <c r="H10" s="114">
        <f t="shared" si="4"/>
        <v>0.17500000000000004</v>
      </c>
      <c r="I10" s="115">
        <f t="shared" si="5"/>
        <v>697139</v>
      </c>
      <c r="J10" s="112">
        <v>213726</v>
      </c>
      <c r="K10" s="111"/>
      <c r="L10" s="111">
        <v>910865</v>
      </c>
      <c r="M10" s="112">
        <f t="shared" si="6"/>
        <v>275072</v>
      </c>
      <c r="N10" s="113">
        <f t="shared" si="7"/>
        <v>0.43264395801778249</v>
      </c>
      <c r="O10" s="123"/>
      <c r="P10" s="54"/>
      <c r="Q10" s="121"/>
      <c r="R10" s="122"/>
      <c r="S10" s="120"/>
      <c r="T10" s="120"/>
    </row>
    <row r="11" spans="1:26" ht="12.75" hidden="1" customHeight="1" x14ac:dyDescent="0.15">
      <c r="A11" s="14" t="s">
        <v>86</v>
      </c>
      <c r="B11" s="111">
        <v>1045436</v>
      </c>
      <c r="C11" s="111">
        <f t="shared" si="0"/>
        <v>905782.82500000007</v>
      </c>
      <c r="D11" s="111">
        <v>770879</v>
      </c>
      <c r="E11" s="112">
        <f t="shared" si="1"/>
        <v>139653.17499999993</v>
      </c>
      <c r="F11" s="113">
        <f t="shared" si="2"/>
        <v>0.15417953525449096</v>
      </c>
      <c r="G11" s="112">
        <f t="shared" si="3"/>
        <v>134903.82500000007</v>
      </c>
      <c r="H11" s="114">
        <f t="shared" si="4"/>
        <v>0.1750000000000001</v>
      </c>
      <c r="I11" s="124">
        <f t="shared" si="5"/>
        <v>884526</v>
      </c>
      <c r="J11" s="124">
        <v>160910</v>
      </c>
      <c r="K11" s="111"/>
      <c r="L11" s="111">
        <v>1045436</v>
      </c>
      <c r="M11" s="112">
        <f t="shared" si="6"/>
        <v>274557</v>
      </c>
      <c r="N11" s="113">
        <f t="shared" si="7"/>
        <v>0.35616095392402697</v>
      </c>
      <c r="O11" s="123"/>
      <c r="P11" s="54"/>
      <c r="Q11" s="121"/>
      <c r="R11" s="122"/>
      <c r="S11" s="120"/>
      <c r="T11" s="120"/>
    </row>
    <row r="12" spans="1:26" ht="12.75" hidden="1" customHeight="1" x14ac:dyDescent="0.15">
      <c r="A12" s="14" t="s">
        <v>87</v>
      </c>
      <c r="B12" s="111">
        <v>1178518</v>
      </c>
      <c r="C12" s="111">
        <f t="shared" si="0"/>
        <v>1112324.325</v>
      </c>
      <c r="D12" s="111">
        <v>946659</v>
      </c>
      <c r="E12" s="112">
        <f t="shared" si="1"/>
        <v>66193.675000000047</v>
      </c>
      <c r="F12" s="113">
        <f t="shared" si="2"/>
        <v>5.950932970921053E-2</v>
      </c>
      <c r="G12" s="112">
        <f t="shared" si="3"/>
        <v>165665.32499999995</v>
      </c>
      <c r="H12" s="114">
        <f t="shared" si="4"/>
        <v>0.17499999999999996</v>
      </c>
      <c r="I12" s="124"/>
      <c r="J12" s="124"/>
      <c r="K12" s="111"/>
      <c r="L12" s="111">
        <v>1178518</v>
      </c>
      <c r="M12" s="112">
        <f t="shared" si="6"/>
        <v>231859</v>
      </c>
      <c r="N12" s="113">
        <f t="shared" si="7"/>
        <v>0.24492346240832233</v>
      </c>
      <c r="O12" s="123"/>
      <c r="P12" s="54"/>
      <c r="Q12" s="121"/>
      <c r="R12" s="122"/>
      <c r="S12" s="120"/>
      <c r="T12" s="120"/>
    </row>
    <row r="13" spans="1:26" ht="12.75" hidden="1" customHeight="1" x14ac:dyDescent="0.15">
      <c r="A13" s="14" t="s">
        <v>88</v>
      </c>
      <c r="B13" s="111">
        <v>1117894</v>
      </c>
      <c r="C13" s="111">
        <f t="shared" si="0"/>
        <v>1100221.825</v>
      </c>
      <c r="D13" s="111">
        <v>936359</v>
      </c>
      <c r="E13" s="112">
        <f t="shared" si="1"/>
        <v>17672.175000000047</v>
      </c>
      <c r="F13" s="113">
        <f t="shared" si="2"/>
        <v>1.6062374512521644E-2</v>
      </c>
      <c r="G13" s="112">
        <f t="shared" si="3"/>
        <v>163862.82499999995</v>
      </c>
      <c r="H13" s="114">
        <f t="shared" si="4"/>
        <v>0.17499999999999996</v>
      </c>
      <c r="I13" s="124"/>
      <c r="J13" s="124"/>
      <c r="K13" s="111"/>
      <c r="L13" s="111">
        <v>1117894</v>
      </c>
      <c r="M13" s="112">
        <f t="shared" si="6"/>
        <v>181535</v>
      </c>
      <c r="N13" s="113">
        <f t="shared" si="7"/>
        <v>0.19387329005221288</v>
      </c>
      <c r="O13" s="123"/>
      <c r="P13" s="54"/>
      <c r="Q13" s="121"/>
      <c r="R13" s="122"/>
      <c r="S13" s="120"/>
      <c r="T13" s="120"/>
    </row>
    <row r="14" spans="1:26" ht="12.75" hidden="1" customHeight="1" x14ac:dyDescent="0.15">
      <c r="A14" s="14" t="s">
        <v>89</v>
      </c>
      <c r="B14" s="111">
        <v>1103333</v>
      </c>
      <c r="C14" s="111">
        <f t="shared" si="0"/>
        <v>1065344.3</v>
      </c>
      <c r="D14" s="111">
        <v>906676</v>
      </c>
      <c r="E14" s="112">
        <f t="shared" si="1"/>
        <v>37988.699999999953</v>
      </c>
      <c r="F14" s="113">
        <f t="shared" si="2"/>
        <v>3.5658612901012333E-2</v>
      </c>
      <c r="G14" s="112">
        <f t="shared" si="3"/>
        <v>158668.30000000005</v>
      </c>
      <c r="H14" s="114">
        <f t="shared" si="4"/>
        <v>0.17500000000000004</v>
      </c>
      <c r="I14" s="124"/>
      <c r="J14" s="124"/>
      <c r="K14" s="111"/>
      <c r="L14" s="111">
        <v>1103333</v>
      </c>
      <c r="M14" s="112">
        <f t="shared" si="6"/>
        <v>196657</v>
      </c>
      <c r="N14" s="113">
        <f t="shared" si="7"/>
        <v>0.21689887015868956</v>
      </c>
      <c r="O14" s="123"/>
      <c r="P14" s="54"/>
      <c r="Q14" s="121"/>
      <c r="R14" s="122"/>
      <c r="S14" s="120"/>
      <c r="T14" s="120"/>
    </row>
    <row r="15" spans="1:26" ht="12.75" hidden="1" customHeight="1" x14ac:dyDescent="0.15">
      <c r="A15" s="125" t="s">
        <v>130</v>
      </c>
      <c r="B15" s="126">
        <f t="shared" ref="B15:E15" si="8">SUM(B3:B14)</f>
        <v>10257267.109999999</v>
      </c>
      <c r="C15" s="126">
        <f t="shared" si="8"/>
        <v>9182489.8750000019</v>
      </c>
      <c r="D15" s="126">
        <f t="shared" si="8"/>
        <v>7814885</v>
      </c>
      <c r="E15" s="126">
        <f t="shared" si="8"/>
        <v>1074777.2349999996</v>
      </c>
      <c r="F15" s="127"/>
      <c r="G15" s="126">
        <f>SUM(G3:G14)</f>
        <v>1367604.8750000002</v>
      </c>
      <c r="H15" s="128">
        <f t="shared" si="4"/>
        <v>0.17500000000000024</v>
      </c>
      <c r="I15" s="129"/>
      <c r="J15" s="129"/>
      <c r="K15" s="129"/>
      <c r="L15" s="126">
        <f>SUM(L3:L14)</f>
        <v>10257267.109999999</v>
      </c>
      <c r="M15" s="130">
        <f t="shared" si="6"/>
        <v>2442382.1099999994</v>
      </c>
      <c r="N15" s="131">
        <f t="shared" si="7"/>
        <v>0.31252950107391209</v>
      </c>
      <c r="O15" s="132"/>
      <c r="P15" s="133"/>
      <c r="Q15" s="134"/>
      <c r="R15" s="135"/>
      <c r="S15" s="136"/>
      <c r="T15" s="136"/>
      <c r="U15" s="1"/>
      <c r="V15" s="1"/>
      <c r="W15" s="1"/>
      <c r="X15" s="1"/>
      <c r="Y15" s="1"/>
      <c r="Z15" s="1"/>
    </row>
    <row r="16" spans="1:26" ht="12.75" hidden="1" customHeight="1" x14ac:dyDescent="0.15">
      <c r="A16" s="137" t="s">
        <v>129</v>
      </c>
      <c r="B16" s="138">
        <v>1187356</v>
      </c>
      <c r="C16" s="138">
        <f t="shared" ref="C16:C17" si="9">D16*1.1</f>
        <v>1007437.2000000001</v>
      </c>
      <c r="D16" s="138">
        <v>915852</v>
      </c>
      <c r="E16" s="139">
        <f t="shared" ref="E16:E61" si="10">B16-C16</f>
        <v>179918.79999999993</v>
      </c>
      <c r="F16" s="140">
        <f t="shared" ref="F16:F32" si="11">(B16-C16)/C16</f>
        <v>0.17859058609310827</v>
      </c>
      <c r="G16" s="139">
        <f t="shared" ref="G16:G32" si="12">(C16-D16)</f>
        <v>91585.20000000007</v>
      </c>
      <c r="H16" s="141">
        <f t="shared" si="4"/>
        <v>0.10000000000000007</v>
      </c>
      <c r="I16" s="142"/>
      <c r="J16" s="142"/>
      <c r="K16" s="138"/>
      <c r="L16" s="138">
        <v>1187356</v>
      </c>
      <c r="M16" s="143">
        <f t="shared" si="6"/>
        <v>271504</v>
      </c>
      <c r="N16" s="140">
        <f t="shared" si="7"/>
        <v>0.29644964470241919</v>
      </c>
      <c r="O16" s="123"/>
      <c r="P16" s="54"/>
      <c r="Q16" s="121"/>
      <c r="R16" s="122"/>
      <c r="S16" s="120"/>
      <c r="T16" s="120"/>
    </row>
    <row r="17" spans="1:20" ht="12.75" hidden="1" customHeight="1" x14ac:dyDescent="0.15">
      <c r="A17" s="137" t="s">
        <v>86</v>
      </c>
      <c r="B17" s="138">
        <v>1465604</v>
      </c>
      <c r="C17" s="138">
        <f t="shared" si="9"/>
        <v>1517958.2000000002</v>
      </c>
      <c r="D17" s="138">
        <v>1379962</v>
      </c>
      <c r="E17" s="139">
        <f t="shared" si="10"/>
        <v>-52354.200000000186</v>
      </c>
      <c r="F17" s="140">
        <f t="shared" si="11"/>
        <v>-3.4489882527727167E-2</v>
      </c>
      <c r="G17" s="139">
        <f t="shared" si="12"/>
        <v>137996.20000000019</v>
      </c>
      <c r="H17" s="141">
        <f t="shared" si="4"/>
        <v>0.10000000000000013</v>
      </c>
      <c r="I17" s="142"/>
      <c r="J17" s="142"/>
      <c r="K17" s="138"/>
      <c r="L17" s="138">
        <v>1465604</v>
      </c>
      <c r="M17" s="143">
        <f t="shared" si="6"/>
        <v>85642</v>
      </c>
      <c r="N17" s="140">
        <f t="shared" si="7"/>
        <v>6.2061129219500244E-2</v>
      </c>
      <c r="O17" s="123"/>
      <c r="P17" s="54"/>
      <c r="Q17" s="121"/>
      <c r="R17" s="122"/>
      <c r="S17" s="120"/>
      <c r="T17" s="120"/>
    </row>
    <row r="18" spans="1:20" ht="12.75" hidden="1" customHeight="1" x14ac:dyDescent="0.15">
      <c r="A18" s="137" t="s">
        <v>87</v>
      </c>
      <c r="B18" s="138">
        <v>1353583</v>
      </c>
      <c r="C18" s="138">
        <v>1074639</v>
      </c>
      <c r="D18" s="138">
        <v>979969</v>
      </c>
      <c r="E18" s="139">
        <f t="shared" si="10"/>
        <v>278944</v>
      </c>
      <c r="F18" s="140">
        <f t="shared" si="11"/>
        <v>0.25956995791144749</v>
      </c>
      <c r="G18" s="139">
        <f t="shared" si="12"/>
        <v>94670</v>
      </c>
      <c r="H18" s="141">
        <f t="shared" si="4"/>
        <v>9.6605096691834133E-2</v>
      </c>
      <c r="I18" s="142"/>
      <c r="J18" s="142"/>
      <c r="K18" s="138"/>
      <c r="L18" s="138">
        <v>1353583</v>
      </c>
      <c r="M18" s="143">
        <f t="shared" si="6"/>
        <v>373614</v>
      </c>
      <c r="N18" s="140">
        <f t="shared" si="7"/>
        <v>0.38125083548561228</v>
      </c>
      <c r="O18" s="123"/>
      <c r="P18" s="54"/>
      <c r="Q18" s="121"/>
      <c r="R18" s="122"/>
      <c r="S18" s="120"/>
      <c r="T18" s="120"/>
    </row>
    <row r="19" spans="1:20" ht="12.75" hidden="1" customHeight="1" x14ac:dyDescent="0.15">
      <c r="A19" s="137" t="s">
        <v>88</v>
      </c>
      <c r="B19" s="138">
        <v>1039316</v>
      </c>
      <c r="C19" s="138">
        <f t="shared" ref="C19:C35" si="13">D19*1.1</f>
        <v>762835.70000000007</v>
      </c>
      <c r="D19" s="138">
        <v>693487</v>
      </c>
      <c r="E19" s="139">
        <f t="shared" si="10"/>
        <v>276480.29999999993</v>
      </c>
      <c r="F19" s="140">
        <f t="shared" si="11"/>
        <v>0.36243754716775828</v>
      </c>
      <c r="G19" s="139">
        <f t="shared" si="12"/>
        <v>69348.70000000007</v>
      </c>
      <c r="H19" s="141">
        <f t="shared" si="4"/>
        <v>0.1000000000000001</v>
      </c>
      <c r="I19" s="142"/>
      <c r="J19" s="142"/>
      <c r="K19" s="138"/>
      <c r="L19" s="138">
        <v>1039316</v>
      </c>
      <c r="M19" s="143">
        <f t="shared" si="6"/>
        <v>345829</v>
      </c>
      <c r="N19" s="140">
        <f t="shared" si="7"/>
        <v>0.49868130188453424</v>
      </c>
      <c r="O19" s="123"/>
      <c r="P19" s="54"/>
      <c r="Q19" s="121"/>
      <c r="R19" s="122"/>
      <c r="S19" s="120"/>
      <c r="T19" s="120"/>
    </row>
    <row r="20" spans="1:20" ht="12.75" hidden="1" customHeight="1" x14ac:dyDescent="0.15">
      <c r="A20" s="137" t="s">
        <v>89</v>
      </c>
      <c r="B20" s="138">
        <v>2032270</v>
      </c>
      <c r="C20" s="138">
        <f t="shared" si="13"/>
        <v>1590482.3</v>
      </c>
      <c r="D20" s="138">
        <v>1445893</v>
      </c>
      <c r="E20" s="139">
        <f t="shared" si="10"/>
        <v>441787.69999999995</v>
      </c>
      <c r="F20" s="140">
        <f t="shared" si="11"/>
        <v>0.27776964257948672</v>
      </c>
      <c r="G20" s="139">
        <f t="shared" si="12"/>
        <v>144589.30000000005</v>
      </c>
      <c r="H20" s="141">
        <f t="shared" si="4"/>
        <v>0.10000000000000003</v>
      </c>
      <c r="I20" s="142"/>
      <c r="J20" s="142"/>
      <c r="K20" s="144"/>
      <c r="L20" s="138">
        <v>2032270</v>
      </c>
      <c r="M20" s="143">
        <f t="shared" si="6"/>
        <v>586377</v>
      </c>
      <c r="N20" s="140">
        <f t="shared" si="7"/>
        <v>0.40554660683743543</v>
      </c>
      <c r="O20" s="123"/>
      <c r="P20" s="54"/>
      <c r="Q20" s="121"/>
      <c r="R20" s="122"/>
      <c r="S20" s="120"/>
      <c r="T20" s="120"/>
    </row>
    <row r="21" spans="1:20" ht="12.75" hidden="1" customHeight="1" x14ac:dyDescent="0.15">
      <c r="A21" s="137" t="s">
        <v>90</v>
      </c>
      <c r="B21" s="138">
        <v>1805608</v>
      </c>
      <c r="C21" s="138">
        <f t="shared" si="13"/>
        <v>1752617.9000000001</v>
      </c>
      <c r="D21" s="138">
        <v>1593289</v>
      </c>
      <c r="E21" s="139">
        <f t="shared" si="10"/>
        <v>52990.09999999986</v>
      </c>
      <c r="F21" s="140">
        <f t="shared" si="11"/>
        <v>3.0234827568518988E-2</v>
      </c>
      <c r="G21" s="139">
        <f t="shared" si="12"/>
        <v>159328.90000000014</v>
      </c>
      <c r="H21" s="141">
        <f t="shared" si="4"/>
        <v>0.10000000000000009</v>
      </c>
      <c r="I21" s="142"/>
      <c r="J21" s="142"/>
      <c r="K21" s="145"/>
      <c r="L21" s="138">
        <v>1805608</v>
      </c>
      <c r="M21" s="143">
        <f t="shared" si="6"/>
        <v>212319</v>
      </c>
      <c r="N21" s="140">
        <f t="shared" si="7"/>
        <v>0.13325831032537097</v>
      </c>
      <c r="O21" s="123"/>
      <c r="P21" s="54"/>
      <c r="Q21" s="121"/>
      <c r="R21" s="122"/>
      <c r="S21" s="120"/>
      <c r="T21" s="120"/>
    </row>
    <row r="22" spans="1:20" ht="12.75" hidden="1" customHeight="1" x14ac:dyDescent="0.15">
      <c r="A22" s="137" t="s">
        <v>123</v>
      </c>
      <c r="B22" s="138">
        <v>1145562</v>
      </c>
      <c r="C22" s="138">
        <f t="shared" si="13"/>
        <v>1300503.6000000001</v>
      </c>
      <c r="D22" s="138">
        <v>1182276</v>
      </c>
      <c r="E22" s="139">
        <f t="shared" si="10"/>
        <v>-154941.60000000009</v>
      </c>
      <c r="F22" s="140">
        <f t="shared" si="11"/>
        <v>-0.11913969326959194</v>
      </c>
      <c r="G22" s="139">
        <f t="shared" si="12"/>
        <v>118227.60000000009</v>
      </c>
      <c r="H22" s="141">
        <f t="shared" si="4"/>
        <v>0.10000000000000007</v>
      </c>
      <c r="I22" s="142"/>
      <c r="J22" s="142"/>
      <c r="K22" s="145"/>
      <c r="L22" s="138">
        <v>1145562</v>
      </c>
      <c r="M22" s="146">
        <f t="shared" si="6"/>
        <v>-36714</v>
      </c>
      <c r="N22" s="140">
        <f t="shared" si="7"/>
        <v>-3.1053662596551058E-2</v>
      </c>
      <c r="O22" s="123"/>
      <c r="P22" s="54"/>
      <c r="Q22" s="121"/>
      <c r="R22" s="122"/>
      <c r="S22" s="120"/>
      <c r="T22" s="120"/>
    </row>
    <row r="23" spans="1:20" ht="12.75" hidden="1" customHeight="1" x14ac:dyDescent="0.15">
      <c r="A23" s="147" t="s">
        <v>124</v>
      </c>
      <c r="B23" s="148">
        <v>1022011</v>
      </c>
      <c r="C23" s="148">
        <f t="shared" si="13"/>
        <v>507736.9</v>
      </c>
      <c r="D23" s="148">
        <v>461579</v>
      </c>
      <c r="E23" s="149">
        <f t="shared" si="10"/>
        <v>514274.1</v>
      </c>
      <c r="F23" s="150">
        <f t="shared" si="11"/>
        <v>1.0128751721610147</v>
      </c>
      <c r="G23" s="149">
        <f t="shared" si="12"/>
        <v>46157.900000000023</v>
      </c>
      <c r="H23" s="151">
        <f t="shared" si="4"/>
        <v>0.10000000000000005</v>
      </c>
      <c r="I23" s="152"/>
      <c r="J23" s="152"/>
      <c r="K23" s="153"/>
      <c r="L23" s="148">
        <v>1022011</v>
      </c>
      <c r="M23" s="154">
        <f t="shared" si="6"/>
        <v>560432</v>
      </c>
      <c r="N23" s="150">
        <f t="shared" si="7"/>
        <v>1.2141626893771165</v>
      </c>
      <c r="O23" s="123"/>
      <c r="P23" s="54"/>
      <c r="Q23" s="121"/>
      <c r="R23" s="122"/>
      <c r="S23" s="120"/>
      <c r="T23" s="120"/>
    </row>
    <row r="24" spans="1:20" ht="12.75" hidden="1" customHeight="1" x14ac:dyDescent="0.15">
      <c r="A24" s="14" t="s">
        <v>123</v>
      </c>
      <c r="B24" s="88">
        <v>1244430</v>
      </c>
      <c r="C24" s="88">
        <f t="shared" si="13"/>
        <v>1522590.3</v>
      </c>
      <c r="D24" s="88">
        <v>1384173</v>
      </c>
      <c r="E24" s="73">
        <f t="shared" si="10"/>
        <v>-278160.30000000005</v>
      </c>
      <c r="F24" s="155">
        <f t="shared" si="11"/>
        <v>-0.18268886909367546</v>
      </c>
      <c r="G24" s="73">
        <f t="shared" si="12"/>
        <v>138417.30000000005</v>
      </c>
      <c r="H24" s="156">
        <f t="shared" si="4"/>
        <v>0.10000000000000003</v>
      </c>
      <c r="I24" s="75"/>
      <c r="J24" s="75"/>
      <c r="K24" s="157">
        <f t="shared" ref="K24:K26" si="14">B24-L24</f>
        <v>0</v>
      </c>
      <c r="L24" s="88">
        <v>1244430</v>
      </c>
      <c r="M24" s="158">
        <f t="shared" si="6"/>
        <v>-139743</v>
      </c>
      <c r="N24" s="155">
        <f t="shared" si="7"/>
        <v>-0.10095775600304298</v>
      </c>
      <c r="O24" s="123"/>
      <c r="P24" s="54"/>
      <c r="Q24" s="121"/>
      <c r="R24" s="122"/>
      <c r="S24" s="120"/>
      <c r="T24" s="120"/>
    </row>
    <row r="25" spans="1:20" ht="12.75" hidden="1" customHeight="1" x14ac:dyDescent="0.15">
      <c r="A25" s="14" t="s">
        <v>124</v>
      </c>
      <c r="B25" s="88">
        <v>282761</v>
      </c>
      <c r="C25" s="88">
        <f t="shared" si="13"/>
        <v>1417482</v>
      </c>
      <c r="D25" s="88">
        <v>1288620</v>
      </c>
      <c r="E25" s="73">
        <f t="shared" si="10"/>
        <v>-1134721</v>
      </c>
      <c r="F25" s="155">
        <f t="shared" si="11"/>
        <v>-0.80051880729349645</v>
      </c>
      <c r="G25" s="73">
        <f t="shared" si="12"/>
        <v>128862</v>
      </c>
      <c r="H25" s="156">
        <f t="shared" si="4"/>
        <v>0.1</v>
      </c>
      <c r="I25" s="75"/>
      <c r="J25" s="75"/>
      <c r="K25" s="157">
        <f t="shared" si="14"/>
        <v>0</v>
      </c>
      <c r="L25" s="88">
        <v>282761</v>
      </c>
      <c r="M25" s="158">
        <f t="shared" si="6"/>
        <v>-1005859</v>
      </c>
      <c r="N25" s="155">
        <f t="shared" si="7"/>
        <v>-0.78057068802284613</v>
      </c>
      <c r="O25" s="123"/>
      <c r="P25" s="54"/>
      <c r="Q25" s="121"/>
      <c r="R25" s="122"/>
      <c r="S25" s="120"/>
      <c r="T25" s="120"/>
    </row>
    <row r="26" spans="1:20" ht="12.75" hidden="1" customHeight="1" x14ac:dyDescent="0.15">
      <c r="A26" s="14" t="s">
        <v>131</v>
      </c>
      <c r="B26" s="88">
        <v>108882</v>
      </c>
      <c r="C26" s="88">
        <f t="shared" si="13"/>
        <v>818774.00000000012</v>
      </c>
      <c r="D26" s="88">
        <v>744340</v>
      </c>
      <c r="E26" s="73">
        <f t="shared" si="10"/>
        <v>-709892.00000000012</v>
      </c>
      <c r="F26" s="155">
        <f t="shared" si="11"/>
        <v>-0.86701824923605297</v>
      </c>
      <c r="G26" s="73">
        <f t="shared" si="12"/>
        <v>74434.000000000116</v>
      </c>
      <c r="H26" s="156">
        <f t="shared" si="4"/>
        <v>0.10000000000000016</v>
      </c>
      <c r="I26" s="75"/>
      <c r="J26" s="75"/>
      <c r="K26" s="157">
        <f t="shared" si="14"/>
        <v>0</v>
      </c>
      <c r="L26" s="88">
        <v>108882</v>
      </c>
      <c r="M26" s="158">
        <f t="shared" si="6"/>
        <v>-635458</v>
      </c>
      <c r="N26" s="155">
        <f t="shared" si="7"/>
        <v>-0.85372007415965823</v>
      </c>
      <c r="O26" s="123"/>
      <c r="P26" s="54"/>
      <c r="Q26" s="121"/>
      <c r="R26" s="122"/>
      <c r="S26" s="120"/>
      <c r="T26" s="120"/>
    </row>
    <row r="27" spans="1:20" ht="12.75" hidden="1" customHeight="1" x14ac:dyDescent="0.15">
      <c r="A27" s="159" t="s">
        <v>126</v>
      </c>
      <c r="B27" s="160">
        <v>1267953</v>
      </c>
      <c r="C27" s="160">
        <f t="shared" si="13"/>
        <v>939474.8</v>
      </c>
      <c r="D27" s="160">
        <v>854068</v>
      </c>
      <c r="E27" s="161">
        <f t="shared" si="10"/>
        <v>328478.19999999995</v>
      </c>
      <c r="F27" s="162">
        <f t="shared" si="11"/>
        <v>0.3496402458054223</v>
      </c>
      <c r="G27" s="161">
        <f t="shared" si="12"/>
        <v>85406.800000000047</v>
      </c>
      <c r="H27" s="163">
        <f t="shared" si="4"/>
        <v>0.10000000000000006</v>
      </c>
      <c r="I27" s="164"/>
      <c r="J27" s="164"/>
      <c r="K27" s="165"/>
      <c r="L27" s="160">
        <v>1267953</v>
      </c>
      <c r="M27" s="166">
        <f t="shared" si="6"/>
        <v>413885</v>
      </c>
      <c r="N27" s="162">
        <f t="shared" si="7"/>
        <v>0.4846042703859646</v>
      </c>
      <c r="O27" s="123"/>
      <c r="P27" s="54"/>
      <c r="Q27" s="121"/>
      <c r="R27" s="122"/>
      <c r="S27" s="120"/>
      <c r="T27" s="120"/>
    </row>
    <row r="28" spans="1:20" ht="12.75" hidden="1" customHeight="1" x14ac:dyDescent="0.15">
      <c r="A28" s="147" t="s">
        <v>17</v>
      </c>
      <c r="B28" s="148">
        <v>300416</v>
      </c>
      <c r="C28" s="148">
        <f t="shared" si="13"/>
        <v>417312.50000000006</v>
      </c>
      <c r="D28" s="148">
        <v>379375</v>
      </c>
      <c r="E28" s="149">
        <f t="shared" si="10"/>
        <v>-116896.50000000006</v>
      </c>
      <c r="F28" s="150">
        <f t="shared" si="11"/>
        <v>-0.28011741800209683</v>
      </c>
      <c r="G28" s="149">
        <f t="shared" si="12"/>
        <v>37937.500000000058</v>
      </c>
      <c r="H28" s="151">
        <f t="shared" si="4"/>
        <v>0.10000000000000016</v>
      </c>
      <c r="I28" s="152"/>
      <c r="J28" s="152"/>
      <c r="K28" s="167"/>
      <c r="L28" s="148">
        <v>300416</v>
      </c>
      <c r="M28" s="168">
        <f t="shared" si="6"/>
        <v>-78959</v>
      </c>
      <c r="N28" s="150">
        <f t="shared" si="7"/>
        <v>-0.20812915980230642</v>
      </c>
      <c r="O28" s="123"/>
      <c r="P28" s="54"/>
      <c r="Q28" s="121"/>
      <c r="R28" s="122"/>
      <c r="S28" s="120"/>
      <c r="T28" s="120"/>
    </row>
    <row r="29" spans="1:20" ht="12.75" hidden="1" customHeight="1" x14ac:dyDescent="0.15">
      <c r="A29" s="14" t="s">
        <v>7</v>
      </c>
      <c r="B29" s="88">
        <v>484160</v>
      </c>
      <c r="C29" s="88">
        <f t="shared" si="13"/>
        <v>628629.10000000009</v>
      </c>
      <c r="D29" s="88">
        <v>571481</v>
      </c>
      <c r="E29" s="73">
        <f t="shared" si="10"/>
        <v>-144469.10000000009</v>
      </c>
      <c r="F29" s="155">
        <f t="shared" si="11"/>
        <v>-0.22981611891654408</v>
      </c>
      <c r="G29" s="73">
        <f t="shared" si="12"/>
        <v>57148.100000000093</v>
      </c>
      <c r="H29" s="156">
        <f t="shared" si="4"/>
        <v>0.10000000000000016</v>
      </c>
      <c r="I29" s="75"/>
      <c r="J29" s="75"/>
      <c r="K29" s="157">
        <f t="shared" ref="K29:K60" si="15">B29-L29</f>
        <v>0</v>
      </c>
      <c r="L29" s="88">
        <v>484160</v>
      </c>
      <c r="M29" s="158">
        <f t="shared" si="6"/>
        <v>-87321</v>
      </c>
      <c r="N29" s="155">
        <f t="shared" si="7"/>
        <v>-0.15279773080819833</v>
      </c>
      <c r="O29" s="123"/>
      <c r="P29" s="54"/>
      <c r="Q29" s="121"/>
      <c r="R29" s="122"/>
      <c r="S29" s="120"/>
      <c r="T29" s="120"/>
    </row>
    <row r="30" spans="1:20" ht="12.75" hidden="1" customHeight="1" x14ac:dyDescent="0.15">
      <c r="A30" s="14" t="s">
        <v>8</v>
      </c>
      <c r="B30" s="88">
        <v>403884</v>
      </c>
      <c r="C30" s="88">
        <f t="shared" si="13"/>
        <v>730540.8</v>
      </c>
      <c r="D30" s="88">
        <v>664128</v>
      </c>
      <c r="E30" s="169">
        <f t="shared" si="10"/>
        <v>-326656.80000000005</v>
      </c>
      <c r="F30" s="155">
        <f t="shared" si="11"/>
        <v>-0.44714381455491609</v>
      </c>
      <c r="G30" s="73">
        <f t="shared" si="12"/>
        <v>66412.800000000047</v>
      </c>
      <c r="H30" s="156">
        <f t="shared" si="4"/>
        <v>0.10000000000000007</v>
      </c>
      <c r="I30" s="75"/>
      <c r="J30" s="75"/>
      <c r="K30" s="170">
        <f t="shared" si="15"/>
        <v>0</v>
      </c>
      <c r="L30" s="88">
        <v>403884</v>
      </c>
      <c r="M30" s="158">
        <f t="shared" si="6"/>
        <v>-260244</v>
      </c>
      <c r="N30" s="155">
        <f t="shared" si="7"/>
        <v>-0.39185819601040761</v>
      </c>
      <c r="O30" s="123"/>
      <c r="P30" s="54"/>
      <c r="Q30" s="121"/>
      <c r="R30" s="122"/>
      <c r="S30" s="120"/>
      <c r="T30" s="120"/>
    </row>
    <row r="31" spans="1:20" ht="12.75" hidden="1" customHeight="1" x14ac:dyDescent="0.15">
      <c r="A31" s="147" t="s">
        <v>9</v>
      </c>
      <c r="B31" s="148">
        <v>1196163</v>
      </c>
      <c r="C31" s="148">
        <f t="shared" si="13"/>
        <v>1536906.8</v>
      </c>
      <c r="D31" s="148">
        <v>1397188</v>
      </c>
      <c r="E31" s="171">
        <f t="shared" si="10"/>
        <v>-340743.80000000005</v>
      </c>
      <c r="F31" s="150">
        <f t="shared" si="11"/>
        <v>-0.22170752318878414</v>
      </c>
      <c r="G31" s="149">
        <f t="shared" si="12"/>
        <v>139718.80000000005</v>
      </c>
      <c r="H31" s="151">
        <f t="shared" si="4"/>
        <v>0.10000000000000003</v>
      </c>
      <c r="I31" s="152"/>
      <c r="J31" s="152"/>
      <c r="K31" s="153">
        <f t="shared" si="15"/>
        <v>0</v>
      </c>
      <c r="L31" s="148">
        <v>1196163</v>
      </c>
      <c r="M31" s="168">
        <f t="shared" si="6"/>
        <v>-201025</v>
      </c>
      <c r="N31" s="150">
        <f t="shared" si="7"/>
        <v>-0.14387827550766252</v>
      </c>
      <c r="O31" s="123"/>
      <c r="P31" s="54"/>
      <c r="Q31" s="121"/>
      <c r="R31" s="122"/>
      <c r="S31" s="120"/>
      <c r="T31" s="120"/>
    </row>
    <row r="32" spans="1:20" ht="12.75" hidden="1" customHeight="1" x14ac:dyDescent="0.15">
      <c r="A32" s="147" t="s">
        <v>10</v>
      </c>
      <c r="B32" s="148">
        <v>1310080</v>
      </c>
      <c r="C32" s="148">
        <f t="shared" si="13"/>
        <v>1936268.4000000001</v>
      </c>
      <c r="D32" s="148">
        <v>1760244</v>
      </c>
      <c r="E32" s="171">
        <f t="shared" si="10"/>
        <v>-626188.40000000014</v>
      </c>
      <c r="F32" s="150">
        <f t="shared" si="11"/>
        <v>-0.32339958654492329</v>
      </c>
      <c r="G32" s="149">
        <f t="shared" si="12"/>
        <v>176024.40000000014</v>
      </c>
      <c r="H32" s="151">
        <f t="shared" si="4"/>
        <v>0.10000000000000007</v>
      </c>
      <c r="I32" s="152"/>
      <c r="J32" s="152"/>
      <c r="K32" s="172">
        <f t="shared" si="15"/>
        <v>0</v>
      </c>
      <c r="L32" s="148">
        <v>1310080</v>
      </c>
      <c r="M32" s="168">
        <f t="shared" si="6"/>
        <v>-450164</v>
      </c>
      <c r="N32" s="150">
        <f t="shared" si="7"/>
        <v>-0.25573954519941555</v>
      </c>
      <c r="O32" s="123"/>
      <c r="P32" s="54"/>
      <c r="Q32" s="121"/>
      <c r="R32" s="122"/>
      <c r="S32" s="120"/>
      <c r="T32" s="120"/>
    </row>
    <row r="33" spans="1:26" ht="12.75" hidden="1" customHeight="1" x14ac:dyDescent="0.15">
      <c r="A33" s="173" t="s">
        <v>14</v>
      </c>
      <c r="B33" s="174">
        <v>1659145</v>
      </c>
      <c r="C33" s="174">
        <f t="shared" si="13"/>
        <v>1825997.8</v>
      </c>
      <c r="D33" s="174">
        <v>1659998</v>
      </c>
      <c r="E33" s="175">
        <f t="shared" si="10"/>
        <v>-166852.80000000005</v>
      </c>
      <c r="F33" s="176">
        <v>-0.61325998335186616</v>
      </c>
      <c r="G33" s="177">
        <v>350895.34800000023</v>
      </c>
      <c r="H33" s="178">
        <v>0.10000000000000006</v>
      </c>
      <c r="I33" s="179"/>
      <c r="J33" s="179"/>
      <c r="K33" s="180">
        <f t="shared" si="15"/>
        <v>0</v>
      </c>
      <c r="L33" s="174">
        <v>1659145</v>
      </c>
      <c r="M33" s="181">
        <f t="shared" si="6"/>
        <v>-853</v>
      </c>
      <c r="N33" s="176">
        <v>-0.57458598168705277</v>
      </c>
      <c r="O33" s="123"/>
      <c r="P33" s="54"/>
      <c r="Q33" s="121"/>
      <c r="R33" s="122"/>
      <c r="S33" s="120"/>
      <c r="T33" s="120"/>
    </row>
    <row r="34" spans="1:26" ht="12.75" hidden="1" customHeight="1" x14ac:dyDescent="0.15">
      <c r="A34" s="57" t="s">
        <v>89</v>
      </c>
      <c r="B34" s="88">
        <v>1879453</v>
      </c>
      <c r="C34" s="88">
        <f t="shared" si="13"/>
        <v>1819609.0000000002</v>
      </c>
      <c r="D34" s="88">
        <v>1654190</v>
      </c>
      <c r="E34" s="182">
        <f t="shared" si="10"/>
        <v>59843.999999999767</v>
      </c>
      <c r="F34" s="155">
        <f t="shared" ref="F34:F35" si="16">(B34-C34)/C34</f>
        <v>3.2888384262772803E-2</v>
      </c>
      <c r="G34" s="73">
        <f t="shared" ref="G34:G35" si="17">(C34-D34)</f>
        <v>165419.00000000023</v>
      </c>
      <c r="H34" s="156">
        <f t="shared" ref="H34:H35" si="18">(C34-D34)/D34</f>
        <v>0.10000000000000014</v>
      </c>
      <c r="I34" s="75"/>
      <c r="J34" s="75"/>
      <c r="K34" s="183">
        <f t="shared" si="15"/>
        <v>0</v>
      </c>
      <c r="L34" s="88">
        <v>1879453</v>
      </c>
      <c r="M34" s="184">
        <f t="shared" si="6"/>
        <v>225263</v>
      </c>
      <c r="N34" s="185">
        <f t="shared" ref="N34:N61" si="19">(B34-D34)/D34</f>
        <v>0.13617722268905022</v>
      </c>
      <c r="O34" s="123"/>
      <c r="P34" s="54"/>
      <c r="Q34" s="121"/>
      <c r="R34" s="122"/>
      <c r="S34" s="120"/>
      <c r="T34" s="120"/>
    </row>
    <row r="35" spans="1:26" ht="12.75" hidden="1" customHeight="1" x14ac:dyDescent="0.15">
      <c r="A35" s="14" t="s">
        <v>132</v>
      </c>
      <c r="B35" s="88">
        <v>1257902</v>
      </c>
      <c r="C35" s="88">
        <f t="shared" si="13"/>
        <v>1439953.9000000001</v>
      </c>
      <c r="D35" s="88">
        <v>1309049</v>
      </c>
      <c r="E35" s="169">
        <f t="shared" si="10"/>
        <v>-182051.90000000014</v>
      </c>
      <c r="F35" s="155">
        <f t="shared" si="16"/>
        <v>-0.12642897803881092</v>
      </c>
      <c r="G35" s="73">
        <f t="shared" si="17"/>
        <v>130904.90000000014</v>
      </c>
      <c r="H35" s="156">
        <f t="shared" si="18"/>
        <v>0.1000000000000001</v>
      </c>
      <c r="I35" s="75"/>
      <c r="J35" s="75"/>
      <c r="K35" s="183">
        <f t="shared" si="15"/>
        <v>0</v>
      </c>
      <c r="L35" s="88">
        <v>1257902</v>
      </c>
      <c r="M35" s="158">
        <f t="shared" si="6"/>
        <v>-51147</v>
      </c>
      <c r="N35" s="155">
        <f t="shared" si="19"/>
        <v>-3.9071875842691908E-2</v>
      </c>
      <c r="O35" s="123"/>
      <c r="P35" s="54"/>
      <c r="Q35" s="121"/>
      <c r="R35" s="122"/>
      <c r="S35" s="120"/>
      <c r="T35" s="120"/>
    </row>
    <row r="36" spans="1:26" ht="15" hidden="1" customHeight="1" x14ac:dyDescent="0.15">
      <c r="A36" s="14" t="s">
        <v>123</v>
      </c>
      <c r="B36" s="186">
        <v>641964</v>
      </c>
      <c r="C36" s="88">
        <v>552499.20000000007</v>
      </c>
      <c r="D36" s="88">
        <v>502272</v>
      </c>
      <c r="E36" s="182">
        <f t="shared" si="10"/>
        <v>89464.79999999993</v>
      </c>
      <c r="F36" s="155">
        <v>3.2714617505328385E-2</v>
      </c>
      <c r="G36" s="73">
        <v>50227.20000000007</v>
      </c>
      <c r="H36" s="156">
        <v>0.10000000000000014</v>
      </c>
      <c r="I36" s="75"/>
      <c r="J36" s="75"/>
      <c r="K36" s="183">
        <f t="shared" si="15"/>
        <v>0</v>
      </c>
      <c r="L36" s="186">
        <v>641964</v>
      </c>
      <c r="M36" s="184">
        <f t="shared" si="6"/>
        <v>139692</v>
      </c>
      <c r="N36" s="155">
        <f t="shared" si="19"/>
        <v>0.27812022171253825</v>
      </c>
      <c r="O36" s="123"/>
      <c r="P36" s="54"/>
      <c r="Q36" s="121"/>
      <c r="R36" s="122"/>
      <c r="S36" s="120"/>
      <c r="T36" s="120"/>
    </row>
    <row r="37" spans="1:26" ht="24.75" hidden="1" customHeight="1" x14ac:dyDescent="0.15">
      <c r="A37" s="14" t="s">
        <v>124</v>
      </c>
      <c r="B37" s="186">
        <v>291306</v>
      </c>
      <c r="C37" s="88">
        <f>D37*1.1</f>
        <v>343454.10000000003</v>
      </c>
      <c r="D37" s="88">
        <v>312231</v>
      </c>
      <c r="E37" s="169">
        <f t="shared" si="10"/>
        <v>-52148.100000000035</v>
      </c>
      <c r="F37" s="155">
        <f t="shared" ref="F37:F60" si="20">(B37-C37)/C37</f>
        <v>-0.15183426256958363</v>
      </c>
      <c r="G37" s="73">
        <f t="shared" ref="G37:G61" si="21">(C37-D37)</f>
        <v>31223.100000000035</v>
      </c>
      <c r="H37" s="156">
        <f t="shared" ref="H37:H61" si="22">(C37-D37)/D37</f>
        <v>0.10000000000000012</v>
      </c>
      <c r="I37" s="75"/>
      <c r="J37" s="75"/>
      <c r="K37" s="183">
        <f t="shared" si="15"/>
        <v>0</v>
      </c>
      <c r="L37" s="186">
        <v>291306</v>
      </c>
      <c r="M37" s="187">
        <f t="shared" si="6"/>
        <v>-20925</v>
      </c>
      <c r="N37" s="155">
        <f t="shared" si="19"/>
        <v>-6.7017688826541882E-2</v>
      </c>
      <c r="O37" s="123"/>
      <c r="P37" s="54"/>
      <c r="Q37" s="121"/>
      <c r="R37" s="122"/>
      <c r="S37" s="120"/>
      <c r="T37" s="120"/>
    </row>
    <row r="38" spans="1:26" ht="21.75" hidden="1" customHeight="1" x14ac:dyDescent="0.15">
      <c r="A38" s="188" t="s">
        <v>131</v>
      </c>
      <c r="B38" s="189">
        <v>345442</v>
      </c>
      <c r="C38" s="190">
        <v>350000</v>
      </c>
      <c r="D38" s="190">
        <v>0</v>
      </c>
      <c r="E38" s="191">
        <f t="shared" si="10"/>
        <v>-4558</v>
      </c>
      <c r="F38" s="192">
        <f t="shared" si="20"/>
        <v>-1.3022857142857143E-2</v>
      </c>
      <c r="G38" s="193">
        <f t="shared" si="21"/>
        <v>350000</v>
      </c>
      <c r="H38" s="194" t="e">
        <f t="shared" si="22"/>
        <v>#DIV/0!</v>
      </c>
      <c r="I38" s="195"/>
      <c r="J38" s="195"/>
      <c r="K38" s="196">
        <f t="shared" si="15"/>
        <v>0</v>
      </c>
      <c r="L38" s="189">
        <v>345442</v>
      </c>
      <c r="M38" s="196">
        <f t="shared" si="6"/>
        <v>345442</v>
      </c>
      <c r="N38" s="192" t="e">
        <f t="shared" si="19"/>
        <v>#DIV/0!</v>
      </c>
      <c r="O38" s="123"/>
      <c r="P38" s="54"/>
      <c r="Q38" s="121"/>
      <c r="R38" s="122"/>
      <c r="S38" s="120"/>
      <c r="T38" s="120"/>
    </row>
    <row r="39" spans="1:26" ht="10.5" hidden="1" customHeight="1" x14ac:dyDescent="0.15">
      <c r="A39" s="188" t="s">
        <v>126</v>
      </c>
      <c r="B39" s="190">
        <v>245810</v>
      </c>
      <c r="C39" s="190">
        <f t="shared" ref="C39:C60" si="23">D39*1.1</f>
        <v>398643.30000000005</v>
      </c>
      <c r="D39" s="190">
        <v>362403</v>
      </c>
      <c r="E39" s="191">
        <f t="shared" si="10"/>
        <v>-152833.30000000005</v>
      </c>
      <c r="F39" s="192">
        <f t="shared" si="20"/>
        <v>-0.38338359129577754</v>
      </c>
      <c r="G39" s="193">
        <f t="shared" si="21"/>
        <v>36240.300000000047</v>
      </c>
      <c r="H39" s="194">
        <f t="shared" si="22"/>
        <v>0.10000000000000013</v>
      </c>
      <c r="I39" s="195"/>
      <c r="J39" s="195"/>
      <c r="K39" s="196">
        <f t="shared" si="15"/>
        <v>0</v>
      </c>
      <c r="L39" s="190">
        <v>245810</v>
      </c>
      <c r="M39" s="197">
        <f t="shared" si="6"/>
        <v>-116593</v>
      </c>
      <c r="N39" s="192">
        <f t="shared" si="19"/>
        <v>-0.32172195042535517</v>
      </c>
      <c r="O39" s="123"/>
      <c r="P39" s="54"/>
      <c r="Q39" s="121"/>
      <c r="R39" s="122"/>
      <c r="S39" s="120"/>
      <c r="T39" s="120"/>
    </row>
    <row r="40" spans="1:26" ht="3.75" hidden="1" customHeight="1" x14ac:dyDescent="0.15">
      <c r="A40" s="137" t="s">
        <v>127</v>
      </c>
      <c r="B40" s="198">
        <v>493056</v>
      </c>
      <c r="C40" s="199">
        <f t="shared" si="23"/>
        <v>330457.60000000003</v>
      </c>
      <c r="D40" s="138">
        <v>300416</v>
      </c>
      <c r="E40" s="200">
        <f t="shared" si="10"/>
        <v>162598.39999999997</v>
      </c>
      <c r="F40" s="140">
        <f t="shared" si="20"/>
        <v>0.49204012859743562</v>
      </c>
      <c r="G40" s="139">
        <f t="shared" si="21"/>
        <v>30041.600000000035</v>
      </c>
      <c r="H40" s="141">
        <f t="shared" si="22"/>
        <v>0.10000000000000012</v>
      </c>
      <c r="I40" s="142"/>
      <c r="J40" s="142"/>
      <c r="K40" s="201">
        <f t="shared" si="15"/>
        <v>0</v>
      </c>
      <c r="L40" s="198">
        <v>493056</v>
      </c>
      <c r="M40" s="202">
        <f t="shared" si="6"/>
        <v>192640</v>
      </c>
      <c r="N40" s="140">
        <f t="shared" si="19"/>
        <v>0.64124414145717934</v>
      </c>
      <c r="O40" s="123"/>
      <c r="P40" s="54"/>
      <c r="Q40" s="121"/>
      <c r="R40" s="122"/>
      <c r="S40" s="120"/>
      <c r="T40" s="120"/>
    </row>
    <row r="41" spans="1:26" ht="12.75" hidden="1" customHeight="1" x14ac:dyDescent="0.15">
      <c r="A41" s="57" t="s">
        <v>128</v>
      </c>
      <c r="B41" s="186">
        <v>693980</v>
      </c>
      <c r="C41" s="74">
        <f t="shared" si="23"/>
        <v>547079.5</v>
      </c>
      <c r="D41" s="88">
        <v>497345</v>
      </c>
      <c r="E41" s="203">
        <f t="shared" si="10"/>
        <v>146900.5</v>
      </c>
      <c r="F41" s="155">
        <f t="shared" si="20"/>
        <v>0.26851764688678703</v>
      </c>
      <c r="G41" s="73">
        <f t="shared" si="21"/>
        <v>49734.5</v>
      </c>
      <c r="H41" s="156">
        <f t="shared" si="22"/>
        <v>0.1</v>
      </c>
      <c r="I41" s="75"/>
      <c r="J41" s="75"/>
      <c r="K41" s="182">
        <f t="shared" si="15"/>
        <v>0</v>
      </c>
      <c r="L41" s="186">
        <v>693980</v>
      </c>
      <c r="M41" s="204">
        <f t="shared" si="6"/>
        <v>196635</v>
      </c>
      <c r="N41" s="155">
        <f t="shared" si="19"/>
        <v>0.39536941157546573</v>
      </c>
      <c r="O41" s="123"/>
      <c r="P41" s="54"/>
      <c r="Q41" s="121"/>
      <c r="R41" s="122"/>
      <c r="S41" s="120"/>
      <c r="T41" s="120"/>
    </row>
    <row r="42" spans="1:26" ht="12.75" hidden="1" customHeight="1" x14ac:dyDescent="0.15">
      <c r="A42" s="137" t="s">
        <v>129</v>
      </c>
      <c r="B42" s="198">
        <v>614185</v>
      </c>
      <c r="C42" s="142">
        <f t="shared" si="23"/>
        <v>494970.30000000005</v>
      </c>
      <c r="D42" s="198">
        <v>449973</v>
      </c>
      <c r="E42" s="205">
        <f t="shared" si="10"/>
        <v>119214.69999999995</v>
      </c>
      <c r="F42" s="140">
        <f t="shared" si="20"/>
        <v>0.24085222891151234</v>
      </c>
      <c r="G42" s="139">
        <f t="shared" si="21"/>
        <v>44997.300000000047</v>
      </c>
      <c r="H42" s="141">
        <f t="shared" si="22"/>
        <v>0.1000000000000001</v>
      </c>
      <c r="I42" s="142"/>
      <c r="J42" s="142"/>
      <c r="K42" s="200">
        <f t="shared" si="15"/>
        <v>0</v>
      </c>
      <c r="L42" s="198">
        <v>614185</v>
      </c>
      <c r="M42" s="202">
        <f t="shared" si="6"/>
        <v>164212</v>
      </c>
      <c r="N42" s="140">
        <f t="shared" si="19"/>
        <v>0.36493745180266374</v>
      </c>
      <c r="O42" s="123"/>
      <c r="P42" s="206"/>
      <c r="Q42" s="121"/>
      <c r="R42" s="122"/>
      <c r="S42" s="120"/>
      <c r="T42" s="120"/>
    </row>
    <row r="43" spans="1:26" ht="12.75" hidden="1" customHeight="1" x14ac:dyDescent="0.15">
      <c r="A43" s="57" t="s">
        <v>133</v>
      </c>
      <c r="B43" s="88">
        <v>1253995.83</v>
      </c>
      <c r="C43" s="75">
        <f t="shared" si="23"/>
        <v>1316659.3</v>
      </c>
      <c r="D43" s="88">
        <v>1196963</v>
      </c>
      <c r="E43" s="158">
        <f t="shared" si="10"/>
        <v>-62663.469999999972</v>
      </c>
      <c r="F43" s="155">
        <f t="shared" si="20"/>
        <v>-4.7592775139324174E-2</v>
      </c>
      <c r="G43" s="73">
        <f t="shared" si="21"/>
        <v>119696.30000000005</v>
      </c>
      <c r="H43" s="156">
        <f t="shared" si="22"/>
        <v>0.10000000000000003</v>
      </c>
      <c r="I43" s="75"/>
      <c r="J43" s="75"/>
      <c r="K43" s="182">
        <f t="shared" si="15"/>
        <v>0</v>
      </c>
      <c r="L43" s="88">
        <v>1253995.83</v>
      </c>
      <c r="M43" s="204">
        <f t="shared" si="6"/>
        <v>57032.830000000075</v>
      </c>
      <c r="N43" s="155">
        <f t="shared" si="19"/>
        <v>4.7647947346743443E-2</v>
      </c>
      <c r="O43" s="116">
        <v>1191028</v>
      </c>
      <c r="P43" s="207">
        <f t="shared" ref="P43:P48" si="24">B43-O43</f>
        <v>62967.830000000075</v>
      </c>
      <c r="Q43" s="121"/>
      <c r="R43" s="122"/>
      <c r="S43" s="120"/>
      <c r="T43" s="120"/>
    </row>
    <row r="44" spans="1:26" ht="12.75" hidden="1" customHeight="1" x14ac:dyDescent="0.15">
      <c r="A44" s="208" t="s">
        <v>87</v>
      </c>
      <c r="B44" s="209">
        <v>1298292.3</v>
      </c>
      <c r="C44" s="210">
        <f t="shared" si="23"/>
        <v>1441088</v>
      </c>
      <c r="D44" s="211">
        <v>1310080</v>
      </c>
      <c r="E44" s="212">
        <f t="shared" si="10"/>
        <v>-142795.69999999995</v>
      </c>
      <c r="F44" s="213">
        <f t="shared" si="20"/>
        <v>-9.9088813452058416E-2</v>
      </c>
      <c r="G44" s="214">
        <f t="shared" si="21"/>
        <v>131008</v>
      </c>
      <c r="H44" s="215">
        <f t="shared" si="22"/>
        <v>0.1</v>
      </c>
      <c r="I44" s="210"/>
      <c r="J44" s="210"/>
      <c r="K44" s="216">
        <f t="shared" si="15"/>
        <v>0</v>
      </c>
      <c r="L44" s="209">
        <v>1298292.3</v>
      </c>
      <c r="M44" s="217">
        <f t="shared" si="6"/>
        <v>-11787.699999999953</v>
      </c>
      <c r="N44" s="213">
        <f t="shared" si="19"/>
        <v>-8.9976947972642534E-3</v>
      </c>
      <c r="O44" s="211">
        <v>1245578</v>
      </c>
      <c r="P44" s="218">
        <f t="shared" si="24"/>
        <v>52714.300000000047</v>
      </c>
      <c r="Q44" s="121"/>
      <c r="R44" s="122"/>
      <c r="S44" s="219"/>
      <c r="T44" s="219"/>
      <c r="U44" s="208"/>
      <c r="V44" s="208"/>
      <c r="W44" s="208"/>
      <c r="X44" s="208"/>
      <c r="Y44" s="208"/>
      <c r="Z44" s="208"/>
    </row>
    <row r="45" spans="1:26" ht="12.75" hidden="1" customHeight="1" x14ac:dyDescent="0.15">
      <c r="A45" s="57" t="s">
        <v>88</v>
      </c>
      <c r="B45" s="220">
        <v>1427559</v>
      </c>
      <c r="C45" s="124">
        <f t="shared" si="23"/>
        <v>1825059.6210000003</v>
      </c>
      <c r="D45" s="111">
        <v>1659145.11</v>
      </c>
      <c r="E45" s="221">
        <f t="shared" si="10"/>
        <v>-397500.62100000028</v>
      </c>
      <c r="F45" s="113">
        <f t="shared" si="20"/>
        <v>-0.21780144408772725</v>
      </c>
      <c r="G45" s="112">
        <f t="shared" si="21"/>
        <v>165914.51100000017</v>
      </c>
      <c r="H45" s="114">
        <f t="shared" si="22"/>
        <v>0.1000000000000001</v>
      </c>
      <c r="I45" s="124"/>
      <c r="J45" s="124"/>
      <c r="K45" s="222">
        <f t="shared" si="15"/>
        <v>0</v>
      </c>
      <c r="L45" s="220">
        <v>1427559</v>
      </c>
      <c r="M45" s="223">
        <f t="shared" si="6"/>
        <v>-231586.1100000001</v>
      </c>
      <c r="N45" s="113">
        <f t="shared" si="19"/>
        <v>-0.1395815884964999</v>
      </c>
      <c r="O45" s="116">
        <v>1488076</v>
      </c>
      <c r="P45" s="207">
        <f t="shared" si="24"/>
        <v>-60517</v>
      </c>
      <c r="Q45" s="121"/>
      <c r="R45" s="122"/>
      <c r="S45" s="120"/>
      <c r="T45" s="120"/>
    </row>
    <row r="46" spans="1:26" ht="12.75" hidden="1" customHeight="1" x14ac:dyDescent="0.15">
      <c r="A46" s="57" t="s">
        <v>89</v>
      </c>
      <c r="B46" s="224">
        <v>1326567</v>
      </c>
      <c r="C46" s="75">
        <f t="shared" si="23"/>
        <v>2067398.3000000003</v>
      </c>
      <c r="D46" s="88">
        <v>1879453</v>
      </c>
      <c r="E46" s="158">
        <f t="shared" si="10"/>
        <v>-740831.30000000028</v>
      </c>
      <c r="F46" s="155">
        <f t="shared" si="20"/>
        <v>-0.3583398999602545</v>
      </c>
      <c r="G46" s="73">
        <f t="shared" si="21"/>
        <v>187945.30000000028</v>
      </c>
      <c r="H46" s="156">
        <f t="shared" si="22"/>
        <v>0.10000000000000014</v>
      </c>
      <c r="I46" s="75"/>
      <c r="J46" s="75"/>
      <c r="K46" s="182">
        <f t="shared" si="15"/>
        <v>0</v>
      </c>
      <c r="L46" s="224">
        <v>1326567</v>
      </c>
      <c r="M46" s="225">
        <f t="shared" si="6"/>
        <v>-552886</v>
      </c>
      <c r="N46" s="155">
        <f t="shared" si="19"/>
        <v>-0.29417388995627985</v>
      </c>
      <c r="O46" s="116">
        <v>1449686</v>
      </c>
      <c r="P46" s="207">
        <f t="shared" si="24"/>
        <v>-123119</v>
      </c>
      <c r="Q46" s="121"/>
      <c r="R46" s="122"/>
      <c r="S46" s="120"/>
      <c r="T46" s="120"/>
    </row>
    <row r="47" spans="1:26" ht="12.75" hidden="1" customHeight="1" x14ac:dyDescent="0.15">
      <c r="A47" s="57" t="s">
        <v>90</v>
      </c>
      <c r="B47" s="186">
        <v>1088477.18</v>
      </c>
      <c r="C47" s="226">
        <f t="shared" si="23"/>
        <v>2067398.3000000003</v>
      </c>
      <c r="D47" s="186">
        <v>1879453</v>
      </c>
      <c r="E47" s="227">
        <f t="shared" si="10"/>
        <v>-978921.12000000034</v>
      </c>
      <c r="F47" s="228">
        <f t="shared" si="20"/>
        <v>-0.47350388166615026</v>
      </c>
      <c r="G47" s="229">
        <f t="shared" si="21"/>
        <v>187945.30000000028</v>
      </c>
      <c r="H47" s="230">
        <f t="shared" si="22"/>
        <v>0.10000000000000014</v>
      </c>
      <c r="I47" s="226"/>
      <c r="J47" s="226"/>
      <c r="K47" s="231">
        <f t="shared" si="15"/>
        <v>0</v>
      </c>
      <c r="L47" s="186">
        <v>1088477.18</v>
      </c>
      <c r="M47" s="232">
        <f t="shared" si="6"/>
        <v>-790975.82000000007</v>
      </c>
      <c r="N47" s="228">
        <f t="shared" si="19"/>
        <v>-0.42085426983276519</v>
      </c>
      <c r="O47" s="116">
        <v>770876</v>
      </c>
      <c r="P47" s="207">
        <f t="shared" si="24"/>
        <v>317601.17999999993</v>
      </c>
      <c r="Q47" s="121"/>
      <c r="R47" s="122"/>
      <c r="S47" s="120"/>
      <c r="T47" s="120"/>
    </row>
    <row r="48" spans="1:26" ht="12.75" hidden="1" customHeight="1" x14ac:dyDescent="0.15">
      <c r="A48" s="57" t="s">
        <v>123</v>
      </c>
      <c r="B48" s="88">
        <v>692652.76</v>
      </c>
      <c r="C48" s="75">
        <f t="shared" si="23"/>
        <v>706160.4</v>
      </c>
      <c r="D48" s="88">
        <v>641964</v>
      </c>
      <c r="E48" s="158">
        <f t="shared" si="10"/>
        <v>-13507.640000000014</v>
      </c>
      <c r="F48" s="155">
        <f t="shared" si="20"/>
        <v>-1.9128288700414258E-2</v>
      </c>
      <c r="G48" s="73">
        <f t="shared" si="21"/>
        <v>64196.400000000023</v>
      </c>
      <c r="H48" s="156">
        <f t="shared" si="22"/>
        <v>0.10000000000000003</v>
      </c>
      <c r="I48" s="75"/>
      <c r="J48" s="75"/>
      <c r="K48" s="182">
        <f t="shared" si="15"/>
        <v>0</v>
      </c>
      <c r="L48" s="88">
        <v>692652.76</v>
      </c>
      <c r="M48" s="204">
        <f t="shared" si="6"/>
        <v>50688.760000000009</v>
      </c>
      <c r="N48" s="155">
        <f t="shared" si="19"/>
        <v>7.8958882429544353E-2</v>
      </c>
      <c r="O48" s="116">
        <v>570574</v>
      </c>
      <c r="P48" s="207">
        <f t="shared" si="24"/>
        <v>122078.76000000001</v>
      </c>
      <c r="Q48" s="121"/>
      <c r="R48" s="122"/>
      <c r="S48" s="120"/>
      <c r="T48" s="120"/>
    </row>
    <row r="49" spans="1:26" ht="12.75" hidden="1" customHeight="1" x14ac:dyDescent="0.15">
      <c r="A49" s="57" t="s">
        <v>124</v>
      </c>
      <c r="B49" s="186">
        <v>377716</v>
      </c>
      <c r="C49" s="186">
        <f t="shared" si="23"/>
        <v>320436.60000000003</v>
      </c>
      <c r="D49" s="186">
        <v>291306</v>
      </c>
      <c r="E49" s="231">
        <f t="shared" si="10"/>
        <v>57279.399999999965</v>
      </c>
      <c r="F49" s="228">
        <f t="shared" si="20"/>
        <v>0.178754237187637</v>
      </c>
      <c r="G49" s="229">
        <f t="shared" si="21"/>
        <v>29130.600000000035</v>
      </c>
      <c r="H49" s="230">
        <f t="shared" si="22"/>
        <v>0.10000000000000012</v>
      </c>
      <c r="I49" s="75"/>
      <c r="J49" s="75"/>
      <c r="K49" s="233">
        <f t="shared" si="15"/>
        <v>0</v>
      </c>
      <c r="L49" s="186">
        <v>377716</v>
      </c>
      <c r="M49" s="204">
        <f t="shared" si="6"/>
        <v>86410</v>
      </c>
      <c r="N49" s="155">
        <f t="shared" si="19"/>
        <v>0.2966296609064008</v>
      </c>
      <c r="O49" s="234"/>
      <c r="P49" s="235"/>
      <c r="Q49" s="121"/>
      <c r="R49" s="122"/>
      <c r="S49" s="120"/>
      <c r="T49" s="120"/>
    </row>
    <row r="50" spans="1:26" ht="12.75" hidden="1" customHeight="1" x14ac:dyDescent="0.15">
      <c r="A50" s="57" t="s">
        <v>131</v>
      </c>
      <c r="B50" s="186">
        <v>428676.17</v>
      </c>
      <c r="C50" s="88">
        <f t="shared" si="23"/>
        <v>379986.2</v>
      </c>
      <c r="D50" s="186">
        <v>345442</v>
      </c>
      <c r="E50" s="182">
        <f t="shared" si="10"/>
        <v>48689.969999999972</v>
      </c>
      <c r="F50" s="155">
        <f t="shared" si="20"/>
        <v>0.12813615336556952</v>
      </c>
      <c r="G50" s="73">
        <f t="shared" si="21"/>
        <v>34544.200000000012</v>
      </c>
      <c r="H50" s="156">
        <f t="shared" si="22"/>
        <v>0.10000000000000003</v>
      </c>
      <c r="I50" s="75"/>
      <c r="J50" s="75"/>
      <c r="K50" s="187">
        <f t="shared" si="15"/>
        <v>0</v>
      </c>
      <c r="L50" s="186">
        <v>428676.17</v>
      </c>
      <c r="M50" s="204">
        <f t="shared" si="6"/>
        <v>83234.169999999984</v>
      </c>
      <c r="N50" s="155">
        <f t="shared" si="19"/>
        <v>0.2409497687021265</v>
      </c>
      <c r="O50" s="234"/>
      <c r="P50" s="235"/>
      <c r="Q50" s="121"/>
      <c r="R50" s="122"/>
      <c r="S50" s="120"/>
      <c r="T50" s="120"/>
    </row>
    <row r="51" spans="1:26" ht="12.75" hidden="1" customHeight="1" x14ac:dyDescent="0.15">
      <c r="A51" s="57" t="s">
        <v>126</v>
      </c>
      <c r="B51" s="186">
        <v>412177</v>
      </c>
      <c r="C51" s="73">
        <f t="shared" si="23"/>
        <v>270391</v>
      </c>
      <c r="D51" s="186">
        <v>245810</v>
      </c>
      <c r="E51" s="184">
        <f t="shared" si="10"/>
        <v>141786</v>
      </c>
      <c r="F51" s="236">
        <f t="shared" si="20"/>
        <v>0.5243739621511071</v>
      </c>
      <c r="G51" s="73">
        <f t="shared" si="21"/>
        <v>24581</v>
      </c>
      <c r="H51" s="156">
        <f t="shared" si="22"/>
        <v>0.1</v>
      </c>
      <c r="I51" s="75"/>
      <c r="J51" s="75"/>
      <c r="K51" s="183">
        <f t="shared" si="15"/>
        <v>0</v>
      </c>
      <c r="L51" s="186">
        <v>412177</v>
      </c>
      <c r="M51" s="204">
        <f t="shared" si="6"/>
        <v>166367</v>
      </c>
      <c r="N51" s="155">
        <f t="shared" si="19"/>
        <v>0.67681135836621786</v>
      </c>
      <c r="O51" s="234"/>
      <c r="P51" s="235"/>
      <c r="Q51" s="121"/>
      <c r="R51" s="122"/>
      <c r="S51" s="120"/>
      <c r="T51" s="120"/>
    </row>
    <row r="52" spans="1:26" ht="12.75" hidden="1" customHeight="1" x14ac:dyDescent="0.15">
      <c r="A52" s="57" t="s">
        <v>127</v>
      </c>
      <c r="B52" s="186">
        <v>675819</v>
      </c>
      <c r="C52" s="73">
        <f t="shared" si="23"/>
        <v>542361.60000000009</v>
      </c>
      <c r="D52" s="88">
        <v>493056</v>
      </c>
      <c r="E52" s="184">
        <f t="shared" si="10"/>
        <v>133457.39999999991</v>
      </c>
      <c r="F52" s="237">
        <f t="shared" si="20"/>
        <v>0.2460671994477483</v>
      </c>
      <c r="G52" s="73">
        <f t="shared" si="21"/>
        <v>49305.600000000093</v>
      </c>
      <c r="H52" s="156">
        <f t="shared" si="22"/>
        <v>0.10000000000000019</v>
      </c>
      <c r="I52" s="75"/>
      <c r="J52" s="75"/>
      <c r="K52" s="233">
        <f t="shared" si="15"/>
        <v>0</v>
      </c>
      <c r="L52" s="186">
        <v>675819</v>
      </c>
      <c r="M52" s="204">
        <f t="shared" si="6"/>
        <v>182763</v>
      </c>
      <c r="N52" s="155">
        <f t="shared" si="19"/>
        <v>0.37067391939252337</v>
      </c>
      <c r="O52" s="234"/>
      <c r="P52" s="235"/>
      <c r="Q52" s="121"/>
      <c r="R52" s="122"/>
      <c r="S52" s="120"/>
      <c r="T52" s="120"/>
    </row>
    <row r="53" spans="1:26" ht="12.75" hidden="1" customHeight="1" x14ac:dyDescent="0.15">
      <c r="A53" s="238" t="s">
        <v>134</v>
      </c>
      <c r="B53" s="239">
        <v>1003569</v>
      </c>
      <c r="C53" s="240">
        <f t="shared" si="23"/>
        <v>763378.00000000012</v>
      </c>
      <c r="D53" s="239">
        <v>693980</v>
      </c>
      <c r="E53" s="241">
        <f t="shared" si="10"/>
        <v>240190.99999999988</v>
      </c>
      <c r="F53" s="242">
        <f t="shared" si="20"/>
        <v>0.31464228730720539</v>
      </c>
      <c r="G53" s="240">
        <f t="shared" si="21"/>
        <v>69398.000000000116</v>
      </c>
      <c r="H53" s="243">
        <f t="shared" si="22"/>
        <v>0.10000000000000017</v>
      </c>
      <c r="I53" s="244"/>
      <c r="J53" s="244"/>
      <c r="K53" s="245">
        <f t="shared" si="15"/>
        <v>0</v>
      </c>
      <c r="L53" s="239">
        <v>1003569</v>
      </c>
      <c r="M53" s="246">
        <f t="shared" si="6"/>
        <v>309589</v>
      </c>
      <c r="N53" s="247">
        <f t="shared" si="19"/>
        <v>0.44610651603792617</v>
      </c>
      <c r="O53" s="248"/>
      <c r="P53" s="249"/>
      <c r="Q53" s="250">
        <v>1003569</v>
      </c>
      <c r="R53" s="251"/>
      <c r="S53" s="252"/>
      <c r="T53" s="252"/>
      <c r="U53" s="253"/>
      <c r="V53" s="253"/>
      <c r="W53" s="253"/>
      <c r="X53" s="253"/>
      <c r="Y53" s="253"/>
      <c r="Z53" s="253"/>
    </row>
    <row r="54" spans="1:26" ht="12.75" hidden="1" customHeight="1" x14ac:dyDescent="0.15">
      <c r="A54" s="57" t="s">
        <v>129</v>
      </c>
      <c r="B54" s="88">
        <v>781187</v>
      </c>
      <c r="C54" s="73">
        <f t="shared" si="23"/>
        <v>675603.5</v>
      </c>
      <c r="D54" s="88">
        <v>614185</v>
      </c>
      <c r="E54" s="184">
        <f t="shared" si="10"/>
        <v>105583.5</v>
      </c>
      <c r="F54" s="237">
        <f t="shared" si="20"/>
        <v>0.1562802738588536</v>
      </c>
      <c r="G54" s="73">
        <f t="shared" si="21"/>
        <v>61418.5</v>
      </c>
      <c r="H54" s="156">
        <f t="shared" si="22"/>
        <v>0.1</v>
      </c>
      <c r="I54" s="75"/>
      <c r="J54" s="75"/>
      <c r="K54" s="183">
        <f t="shared" si="15"/>
        <v>0</v>
      </c>
      <c r="L54" s="88">
        <v>781187</v>
      </c>
      <c r="M54" s="204">
        <f t="shared" si="6"/>
        <v>167002</v>
      </c>
      <c r="N54" s="155">
        <f t="shared" si="19"/>
        <v>0.27190830124473897</v>
      </c>
      <c r="O54" s="254"/>
      <c r="P54" s="235"/>
      <c r="Q54" s="148">
        <v>588356.37</v>
      </c>
      <c r="R54" s="255">
        <f t="shared" ref="R54:R61" si="25">B54-Q54</f>
        <v>192830.63</v>
      </c>
      <c r="S54" s="120"/>
      <c r="T54" s="120"/>
    </row>
    <row r="55" spans="1:26" ht="12.75" customHeight="1" x14ac:dyDescent="0.15">
      <c r="A55" s="57" t="s">
        <v>86</v>
      </c>
      <c r="B55" s="88">
        <v>1355145.63</v>
      </c>
      <c r="C55" s="73">
        <f t="shared" si="23"/>
        <v>1378718</v>
      </c>
      <c r="D55" s="88">
        <v>1253380</v>
      </c>
      <c r="E55" s="158">
        <f t="shared" si="10"/>
        <v>-23572.370000000112</v>
      </c>
      <c r="F55" s="237">
        <f t="shared" si="20"/>
        <v>-1.7097310690075935E-2</v>
      </c>
      <c r="G55" s="73">
        <f t="shared" si="21"/>
        <v>125338</v>
      </c>
      <c r="H55" s="156">
        <f t="shared" si="22"/>
        <v>0.1</v>
      </c>
      <c r="I55" s="75"/>
      <c r="J55" s="75"/>
      <c r="K55" s="183">
        <f t="shared" si="15"/>
        <v>6208.6899999999441</v>
      </c>
      <c r="L55" s="88">
        <v>1348936.94</v>
      </c>
      <c r="M55" s="204">
        <f t="shared" si="6"/>
        <v>101765.62999999989</v>
      </c>
      <c r="N55" s="155">
        <f t="shared" si="19"/>
        <v>8.1192958240916477E-2</v>
      </c>
      <c r="O55" s="254"/>
      <c r="P55" s="235"/>
      <c r="Q55" s="148">
        <v>1137132</v>
      </c>
      <c r="R55" s="256">
        <f t="shared" si="25"/>
        <v>218013.62999999989</v>
      </c>
      <c r="S55" s="257"/>
      <c r="T55" s="257"/>
    </row>
    <row r="56" spans="1:26" ht="12.75" customHeight="1" x14ac:dyDescent="0.15">
      <c r="A56" s="57" t="s">
        <v>87</v>
      </c>
      <c r="B56" s="88">
        <v>1229367.76</v>
      </c>
      <c r="C56" s="73">
        <f t="shared" si="23"/>
        <v>1428121.2000000002</v>
      </c>
      <c r="D56" s="88">
        <v>1298292</v>
      </c>
      <c r="E56" s="158">
        <f t="shared" si="10"/>
        <v>-198753.44000000018</v>
      </c>
      <c r="F56" s="237">
        <f t="shared" si="20"/>
        <v>-0.1391712692172066</v>
      </c>
      <c r="G56" s="73">
        <f t="shared" si="21"/>
        <v>129829.20000000019</v>
      </c>
      <c r="H56" s="156">
        <f t="shared" si="22"/>
        <v>0.10000000000000014</v>
      </c>
      <c r="I56" s="75"/>
      <c r="J56" s="75"/>
      <c r="K56" s="183">
        <f t="shared" si="15"/>
        <v>22011.969999999972</v>
      </c>
      <c r="L56" s="88">
        <v>1207355.79</v>
      </c>
      <c r="M56" s="225">
        <f t="shared" si="6"/>
        <v>-68924.239999999991</v>
      </c>
      <c r="N56" s="155">
        <f t="shared" si="19"/>
        <v>-5.3088396138927137E-2</v>
      </c>
      <c r="O56" s="254"/>
      <c r="P56" s="235"/>
      <c r="Q56" s="148">
        <v>1137132</v>
      </c>
      <c r="R56" s="171">
        <f t="shared" si="25"/>
        <v>92235.760000000009</v>
      </c>
      <c r="S56" s="88">
        <v>1194362</v>
      </c>
      <c r="T56" s="183">
        <f t="shared" ref="T56:T60" si="26">B56-S56</f>
        <v>35005.760000000009</v>
      </c>
    </row>
    <row r="57" spans="1:26" ht="12.75" customHeight="1" x14ac:dyDescent="0.15">
      <c r="A57" s="57" t="s">
        <v>88</v>
      </c>
      <c r="B57" s="88">
        <v>1716022.63</v>
      </c>
      <c r="C57" s="73">
        <f t="shared" si="23"/>
        <v>1570314.9000000001</v>
      </c>
      <c r="D57" s="88">
        <v>1427559</v>
      </c>
      <c r="E57" s="158">
        <f t="shared" si="10"/>
        <v>145707.72999999975</v>
      </c>
      <c r="F57" s="237">
        <f t="shared" si="20"/>
        <v>9.2788860374438106E-2</v>
      </c>
      <c r="G57" s="73">
        <f t="shared" si="21"/>
        <v>142755.90000000014</v>
      </c>
      <c r="H57" s="156">
        <f t="shared" si="22"/>
        <v>0.1000000000000001</v>
      </c>
      <c r="I57" s="75"/>
      <c r="J57" s="75"/>
      <c r="K57" s="183">
        <f t="shared" si="15"/>
        <v>146161.72999999998</v>
      </c>
      <c r="L57" s="88">
        <v>1569860.9</v>
      </c>
      <c r="M57" s="204">
        <f t="shared" si="6"/>
        <v>288463.62999999989</v>
      </c>
      <c r="N57" s="155">
        <f t="shared" si="19"/>
        <v>0.20206774641188202</v>
      </c>
      <c r="O57" s="254"/>
      <c r="P57" s="235"/>
      <c r="Q57" s="148">
        <v>1290932</v>
      </c>
      <c r="R57" s="256">
        <f t="shared" si="25"/>
        <v>425090.62999999989</v>
      </c>
      <c r="S57" s="88">
        <v>1478137</v>
      </c>
      <c r="T57" s="183">
        <f t="shared" si="26"/>
        <v>237885.62999999989</v>
      </c>
    </row>
    <row r="58" spans="1:26" ht="12.75" customHeight="1" x14ac:dyDescent="0.15">
      <c r="A58" s="14" t="s">
        <v>89</v>
      </c>
      <c r="B58" s="88">
        <v>1372678.37</v>
      </c>
      <c r="C58" s="73">
        <f t="shared" si="23"/>
        <v>1628535.7000000002</v>
      </c>
      <c r="D58" s="88">
        <v>1480487</v>
      </c>
      <c r="E58" s="158">
        <f t="shared" si="10"/>
        <v>-255857.33000000007</v>
      </c>
      <c r="F58" s="237">
        <f t="shared" si="20"/>
        <v>-0.15710882481728836</v>
      </c>
      <c r="G58" s="73">
        <f t="shared" si="21"/>
        <v>148048.70000000019</v>
      </c>
      <c r="H58" s="156">
        <f t="shared" si="22"/>
        <v>0.10000000000000013</v>
      </c>
      <c r="I58" s="75"/>
      <c r="J58" s="75"/>
      <c r="K58" s="183">
        <f t="shared" si="15"/>
        <v>45735.600000000093</v>
      </c>
      <c r="L58" s="88">
        <v>1326942.77</v>
      </c>
      <c r="M58" s="225">
        <f t="shared" si="6"/>
        <v>-107808.62999999989</v>
      </c>
      <c r="N58" s="155">
        <f t="shared" si="19"/>
        <v>-7.2819707299017072E-2</v>
      </c>
      <c r="O58" s="254"/>
      <c r="P58" s="235"/>
      <c r="Q58" s="148">
        <v>796680</v>
      </c>
      <c r="R58" s="256">
        <f t="shared" si="25"/>
        <v>575998.37000000011</v>
      </c>
      <c r="S58" s="88">
        <v>905664</v>
      </c>
      <c r="T58" s="183">
        <f t="shared" si="26"/>
        <v>467014.37000000011</v>
      </c>
    </row>
    <row r="59" spans="1:26" ht="12.75" customHeight="1" x14ac:dyDescent="0.15">
      <c r="A59" s="14" t="s">
        <v>90</v>
      </c>
      <c r="B59" s="88">
        <v>680212.62</v>
      </c>
      <c r="C59" s="73">
        <f t="shared" si="23"/>
        <v>1195124.7000000002</v>
      </c>
      <c r="D59" s="88">
        <v>1086477</v>
      </c>
      <c r="E59" s="158">
        <f t="shared" si="10"/>
        <v>-514912.08000000019</v>
      </c>
      <c r="F59" s="237">
        <f t="shared" si="20"/>
        <v>-0.43084381069188854</v>
      </c>
      <c r="G59" s="73">
        <f t="shared" si="21"/>
        <v>108647.70000000019</v>
      </c>
      <c r="H59" s="156">
        <f t="shared" si="22"/>
        <v>0.10000000000000017</v>
      </c>
      <c r="I59" s="75"/>
      <c r="J59" s="75"/>
      <c r="K59" s="183">
        <f t="shared" si="15"/>
        <v>59860.969999999972</v>
      </c>
      <c r="L59" s="88">
        <v>620351.65</v>
      </c>
      <c r="M59" s="225">
        <f t="shared" si="6"/>
        <v>-406264.38</v>
      </c>
      <c r="N59" s="155">
        <f t="shared" si="19"/>
        <v>-0.37392819176107733</v>
      </c>
      <c r="O59" s="258"/>
      <c r="P59" s="259"/>
      <c r="Q59" s="148">
        <v>237285</v>
      </c>
      <c r="R59" s="260">
        <f t="shared" si="25"/>
        <v>442927.62</v>
      </c>
      <c r="S59" s="88">
        <v>360101</v>
      </c>
      <c r="T59" s="183">
        <f t="shared" si="26"/>
        <v>320111.62</v>
      </c>
    </row>
    <row r="60" spans="1:26" ht="12.75" customHeight="1" x14ac:dyDescent="0.15">
      <c r="A60" s="14" t="s">
        <v>123</v>
      </c>
      <c r="B60" s="88">
        <v>226419.77</v>
      </c>
      <c r="C60" s="73">
        <f t="shared" si="23"/>
        <v>735468.8</v>
      </c>
      <c r="D60" s="88">
        <v>668608</v>
      </c>
      <c r="E60" s="158">
        <f t="shared" si="10"/>
        <v>-509049.03</v>
      </c>
      <c r="F60" s="237">
        <f t="shared" si="20"/>
        <v>-0.69214224994996387</v>
      </c>
      <c r="G60" s="73">
        <f t="shared" si="21"/>
        <v>66860.800000000047</v>
      </c>
      <c r="H60" s="156">
        <f t="shared" si="22"/>
        <v>0.10000000000000007</v>
      </c>
      <c r="I60" s="75"/>
      <c r="J60" s="75"/>
      <c r="K60" s="183">
        <f t="shared" si="15"/>
        <v>35853</v>
      </c>
      <c r="L60" s="88">
        <v>190566.77</v>
      </c>
      <c r="M60" s="225">
        <f t="shared" si="6"/>
        <v>-442188.23</v>
      </c>
      <c r="N60" s="155">
        <f t="shared" si="19"/>
        <v>-0.66135647494496019</v>
      </c>
      <c r="O60" s="258"/>
      <c r="P60" s="259"/>
      <c r="Q60" s="148">
        <v>61799.69</v>
      </c>
      <c r="R60" s="260">
        <f t="shared" si="25"/>
        <v>164620.07999999999</v>
      </c>
      <c r="S60" s="91">
        <v>127423</v>
      </c>
      <c r="T60" s="261">
        <f t="shared" si="26"/>
        <v>98996.76999999999</v>
      </c>
    </row>
    <row r="61" spans="1:26" ht="12.75" customHeight="1" x14ac:dyDescent="0.15">
      <c r="A61" s="262"/>
      <c r="B61" s="263">
        <f t="shared" ref="B61:D61" si="27">SUM(B53:B60)</f>
        <v>8364602.7799999993</v>
      </c>
      <c r="C61" s="263">
        <f t="shared" si="27"/>
        <v>9375264.8000000007</v>
      </c>
      <c r="D61" s="263">
        <f t="shared" si="27"/>
        <v>8522968</v>
      </c>
      <c r="E61" s="263">
        <f t="shared" si="10"/>
        <v>-1010662.0200000014</v>
      </c>
      <c r="F61" s="264"/>
      <c r="G61" s="263">
        <f t="shared" si="21"/>
        <v>852296.80000000075</v>
      </c>
      <c r="H61" s="265">
        <f t="shared" si="22"/>
        <v>0.10000000000000009</v>
      </c>
      <c r="I61" s="263"/>
      <c r="J61" s="263"/>
      <c r="K61" s="266">
        <f>SUM(K51:K60)</f>
        <v>315831.95999999996</v>
      </c>
      <c r="L61" s="263">
        <f>SUM(L53:L60)</f>
        <v>8048770.8200000003</v>
      </c>
      <c r="M61" s="267">
        <f t="shared" si="6"/>
        <v>-158365.22000000067</v>
      </c>
      <c r="N61" s="268">
        <f t="shared" si="19"/>
        <v>-1.8580994320288504E-2</v>
      </c>
      <c r="O61" s="269"/>
      <c r="P61" s="270"/>
      <c r="Q61" s="271">
        <f>SUM(Q53:Q60)</f>
        <v>6252886.0600000005</v>
      </c>
      <c r="R61" s="272">
        <f t="shared" si="25"/>
        <v>2111716.7199999988</v>
      </c>
    </row>
    <row r="62" spans="1:26" ht="13.5" customHeight="1" x14ac:dyDescent="0.2">
      <c r="A62" s="918" t="s">
        <v>135</v>
      </c>
      <c r="B62" s="919"/>
      <c r="C62" s="919"/>
      <c r="D62" s="919"/>
      <c r="E62" s="919"/>
      <c r="F62" s="919"/>
      <c r="G62" s="919"/>
      <c r="H62" s="919"/>
      <c r="I62" s="919"/>
      <c r="J62" s="919"/>
      <c r="K62" s="919"/>
      <c r="L62" s="919"/>
      <c r="M62" s="919"/>
      <c r="N62" s="919"/>
      <c r="O62" s="919"/>
      <c r="P62" s="919"/>
      <c r="Q62" s="919"/>
      <c r="R62" s="920"/>
    </row>
    <row r="63" spans="1:26" ht="24.75" customHeight="1" x14ac:dyDescent="0.15">
      <c r="A63" s="273"/>
      <c r="B63" s="101" t="s">
        <v>107</v>
      </c>
      <c r="C63" s="274"/>
      <c r="D63" s="102" t="s">
        <v>109</v>
      </c>
      <c r="E63" s="923" t="s">
        <v>136</v>
      </c>
      <c r="F63" s="924"/>
      <c r="G63" s="925"/>
      <c r="H63" s="926"/>
      <c r="I63" s="275" t="s">
        <v>112</v>
      </c>
      <c r="J63" s="102" t="s">
        <v>113</v>
      </c>
      <c r="K63" s="104" t="s">
        <v>114</v>
      </c>
      <c r="L63" s="101" t="s">
        <v>115</v>
      </c>
      <c r="M63" s="921" t="s">
        <v>116</v>
      </c>
      <c r="N63" s="922"/>
      <c r="O63" s="100"/>
      <c r="P63" s="100"/>
      <c r="Q63" s="107" t="s">
        <v>119</v>
      </c>
      <c r="R63" s="276" t="s">
        <v>120</v>
      </c>
      <c r="S63" s="100"/>
      <c r="T63" s="100"/>
      <c r="U63" s="100"/>
      <c r="V63" s="100"/>
      <c r="W63" s="100"/>
      <c r="X63" s="100"/>
      <c r="Y63" s="100"/>
      <c r="Z63" s="100"/>
    </row>
    <row r="64" spans="1:26" ht="13.5" hidden="1" customHeight="1" x14ac:dyDescent="0.15">
      <c r="A64" s="277" t="s">
        <v>90</v>
      </c>
      <c r="B64" s="278">
        <v>0.88</v>
      </c>
      <c r="C64" s="279">
        <v>2852</v>
      </c>
      <c r="D64" s="280">
        <v>0.92</v>
      </c>
      <c r="E64" s="281">
        <v>2905</v>
      </c>
      <c r="F64" s="113"/>
      <c r="G64" s="927">
        <v>-0.04</v>
      </c>
      <c r="H64" s="928"/>
      <c r="I64" s="115">
        <f t="shared" ref="I64:I72" si="28">B64-J64</f>
        <v>-365.12</v>
      </c>
      <c r="J64" s="112">
        <v>366</v>
      </c>
      <c r="K64" s="282"/>
      <c r="L64" s="278">
        <v>0.88</v>
      </c>
      <c r="M64" s="112">
        <f t="shared" ref="M64:M111" si="29">B64-D64</f>
        <v>-4.0000000000000036E-2</v>
      </c>
      <c r="N64" s="113">
        <f t="shared" ref="N64:N93" si="30">(B64-D64)/D64</f>
        <v>-4.3478260869565251E-2</v>
      </c>
      <c r="Q64" s="147"/>
      <c r="R64" s="147"/>
    </row>
    <row r="65" spans="1:18" ht="13.5" hidden="1" customHeight="1" x14ac:dyDescent="0.15">
      <c r="A65" s="277" t="s">
        <v>123</v>
      </c>
      <c r="B65" s="278">
        <v>0.71</v>
      </c>
      <c r="C65" s="279">
        <v>2202</v>
      </c>
      <c r="D65" s="280">
        <v>0.6</v>
      </c>
      <c r="E65" s="281">
        <v>1827</v>
      </c>
      <c r="F65" s="113"/>
      <c r="G65" s="929">
        <v>0.11</v>
      </c>
      <c r="H65" s="930"/>
      <c r="I65" s="115">
        <f t="shared" si="28"/>
        <v>-365.29</v>
      </c>
      <c r="J65" s="112">
        <v>366</v>
      </c>
      <c r="K65" s="282"/>
      <c r="L65" s="278">
        <v>0.71</v>
      </c>
      <c r="M65" s="112">
        <f t="shared" si="29"/>
        <v>0.10999999999999999</v>
      </c>
      <c r="N65" s="113">
        <f t="shared" si="30"/>
        <v>0.18333333333333332</v>
      </c>
      <c r="Q65" s="147"/>
      <c r="R65" s="147"/>
    </row>
    <row r="66" spans="1:18" ht="13.5" hidden="1" customHeight="1" x14ac:dyDescent="0.15">
      <c r="A66" s="277" t="s">
        <v>124</v>
      </c>
      <c r="B66" s="278">
        <v>0.63</v>
      </c>
      <c r="C66" s="279">
        <v>2050</v>
      </c>
      <c r="D66" s="280">
        <v>0.63</v>
      </c>
      <c r="E66" s="281">
        <v>1956</v>
      </c>
      <c r="F66" s="113"/>
      <c r="G66" s="929">
        <v>0</v>
      </c>
      <c r="H66" s="930"/>
      <c r="I66" s="115">
        <f t="shared" si="28"/>
        <v>-365.37</v>
      </c>
      <c r="J66" s="112">
        <v>366</v>
      </c>
      <c r="K66" s="282"/>
      <c r="L66" s="278">
        <v>0.63</v>
      </c>
      <c r="M66" s="112">
        <f t="shared" si="29"/>
        <v>0</v>
      </c>
      <c r="N66" s="113">
        <f t="shared" si="30"/>
        <v>0</v>
      </c>
      <c r="Q66" s="147"/>
      <c r="R66" s="147"/>
    </row>
    <row r="67" spans="1:18" ht="13.5" hidden="1" customHeight="1" x14ac:dyDescent="0.15">
      <c r="A67" s="277" t="s">
        <v>125</v>
      </c>
      <c r="B67" s="278">
        <v>0.56999999999999995</v>
      </c>
      <c r="C67" s="279">
        <v>1827</v>
      </c>
      <c r="D67" s="280">
        <v>0.52</v>
      </c>
      <c r="E67" s="281">
        <v>1558</v>
      </c>
      <c r="F67" s="113"/>
      <c r="G67" s="929">
        <v>0.05</v>
      </c>
      <c r="H67" s="930"/>
      <c r="I67" s="115">
        <f t="shared" si="28"/>
        <v>-365.43</v>
      </c>
      <c r="J67" s="112">
        <v>366</v>
      </c>
      <c r="K67" s="282"/>
      <c r="L67" s="278">
        <v>0.56999999999999995</v>
      </c>
      <c r="M67" s="112">
        <f t="shared" si="29"/>
        <v>4.9999999999999933E-2</v>
      </c>
      <c r="N67" s="113">
        <f t="shared" si="30"/>
        <v>9.615384615384602E-2</v>
      </c>
      <c r="Q67" s="147"/>
      <c r="R67" s="147"/>
    </row>
    <row r="68" spans="1:18" ht="13.5" hidden="1" customHeight="1" x14ac:dyDescent="0.15">
      <c r="A68" s="277" t="s">
        <v>126</v>
      </c>
      <c r="B68" s="278">
        <v>0.69</v>
      </c>
      <c r="C68" s="279">
        <v>2227</v>
      </c>
      <c r="D68" s="280">
        <v>0.55000000000000004</v>
      </c>
      <c r="E68" s="281">
        <v>1714</v>
      </c>
      <c r="F68" s="113"/>
      <c r="G68" s="929">
        <v>0.14000000000000001</v>
      </c>
      <c r="H68" s="930"/>
      <c r="I68" s="115">
        <f t="shared" si="28"/>
        <v>-365.31</v>
      </c>
      <c r="J68" s="112">
        <v>366</v>
      </c>
      <c r="K68" s="282"/>
      <c r="L68" s="278">
        <v>0.69</v>
      </c>
      <c r="M68" s="112">
        <f t="shared" si="29"/>
        <v>0.1399999999999999</v>
      </c>
      <c r="N68" s="113">
        <f t="shared" si="30"/>
        <v>0.25454545454545435</v>
      </c>
      <c r="Q68" s="147"/>
      <c r="R68" s="147"/>
    </row>
    <row r="69" spans="1:18" ht="13.5" hidden="1" customHeight="1" x14ac:dyDescent="0.15">
      <c r="A69" s="277" t="s">
        <v>127</v>
      </c>
      <c r="B69" s="278">
        <v>0.67</v>
      </c>
      <c r="C69" s="279">
        <v>2153</v>
      </c>
      <c r="D69" s="280">
        <v>0.56000000000000005</v>
      </c>
      <c r="E69" s="281">
        <v>1761</v>
      </c>
      <c r="F69" s="113"/>
      <c r="G69" s="929">
        <v>0.11</v>
      </c>
      <c r="H69" s="930"/>
      <c r="I69" s="115">
        <f t="shared" si="28"/>
        <v>-479.33</v>
      </c>
      <c r="J69" s="112">
        <v>480</v>
      </c>
      <c r="K69" s="282"/>
      <c r="L69" s="278">
        <v>0.67</v>
      </c>
      <c r="M69" s="112">
        <f t="shared" si="29"/>
        <v>0.10999999999999999</v>
      </c>
      <c r="N69" s="113">
        <f t="shared" si="30"/>
        <v>0.1964285714285714</v>
      </c>
      <c r="Q69" s="147"/>
      <c r="R69" s="147"/>
    </row>
    <row r="70" spans="1:18" ht="13.5" hidden="1" customHeight="1" x14ac:dyDescent="0.15">
      <c r="A70" s="277" t="s">
        <v>128</v>
      </c>
      <c r="B70" s="278">
        <v>0.67</v>
      </c>
      <c r="C70" s="283"/>
      <c r="D70" s="280">
        <v>0.64</v>
      </c>
      <c r="E70" s="281">
        <v>1945</v>
      </c>
      <c r="F70" s="113"/>
      <c r="G70" s="929">
        <v>0.03</v>
      </c>
      <c r="H70" s="930"/>
      <c r="I70" s="115">
        <f t="shared" si="28"/>
        <v>-793.33</v>
      </c>
      <c r="J70" s="112">
        <v>794</v>
      </c>
      <c r="K70" s="282"/>
      <c r="L70" s="278">
        <v>0.67</v>
      </c>
      <c r="M70" s="112">
        <f t="shared" si="29"/>
        <v>3.0000000000000027E-2</v>
      </c>
      <c r="N70" s="113">
        <f t="shared" si="30"/>
        <v>4.6875000000000042E-2</v>
      </c>
      <c r="Q70" s="147"/>
      <c r="R70" s="147"/>
    </row>
    <row r="71" spans="1:18" ht="13.5" hidden="1" customHeight="1" x14ac:dyDescent="0.15">
      <c r="A71" s="277" t="s">
        <v>129</v>
      </c>
      <c r="B71" s="278">
        <v>0.84</v>
      </c>
      <c r="C71" s="283"/>
      <c r="D71" s="280">
        <v>0.75</v>
      </c>
      <c r="E71" s="281">
        <v>2304</v>
      </c>
      <c r="F71" s="113"/>
      <c r="G71" s="929">
        <v>0.09</v>
      </c>
      <c r="H71" s="930"/>
      <c r="I71" s="115">
        <f t="shared" si="28"/>
        <v>-386.16</v>
      </c>
      <c r="J71" s="112">
        <v>387</v>
      </c>
      <c r="K71" s="284"/>
      <c r="L71" s="278">
        <v>0.84</v>
      </c>
      <c r="M71" s="112">
        <f t="shared" si="29"/>
        <v>8.9999999999999969E-2</v>
      </c>
      <c r="N71" s="113">
        <f t="shared" si="30"/>
        <v>0.11999999999999995</v>
      </c>
      <c r="Q71" s="147"/>
      <c r="R71" s="147"/>
    </row>
    <row r="72" spans="1:18" ht="13.5" hidden="1" customHeight="1" x14ac:dyDescent="0.15">
      <c r="A72" s="277" t="s">
        <v>86</v>
      </c>
      <c r="B72" s="278">
        <v>0.87</v>
      </c>
      <c r="C72" s="283"/>
      <c r="D72" s="280">
        <v>0.91</v>
      </c>
      <c r="E72" s="281">
        <v>2736</v>
      </c>
      <c r="F72" s="113"/>
      <c r="G72" s="929">
        <v>-0.04</v>
      </c>
      <c r="H72" s="930"/>
      <c r="I72" s="124">
        <f t="shared" si="28"/>
        <v>-357.13</v>
      </c>
      <c r="J72" s="124">
        <v>358</v>
      </c>
      <c r="K72" s="284"/>
      <c r="L72" s="278">
        <v>0.87</v>
      </c>
      <c r="M72" s="112">
        <f t="shared" si="29"/>
        <v>-4.0000000000000036E-2</v>
      </c>
      <c r="N72" s="113">
        <f t="shared" si="30"/>
        <v>-4.3956043956043994E-2</v>
      </c>
      <c r="Q72" s="147"/>
      <c r="R72" s="147"/>
    </row>
    <row r="73" spans="1:18" ht="12.75" hidden="1" customHeight="1" x14ac:dyDescent="0.15">
      <c r="A73" s="277" t="s">
        <v>87</v>
      </c>
      <c r="B73" s="278">
        <v>0.89</v>
      </c>
      <c r="C73" s="285"/>
      <c r="D73" s="280">
        <v>0.88</v>
      </c>
      <c r="E73" s="286">
        <v>2820</v>
      </c>
      <c r="F73" s="287"/>
      <c r="G73" s="929">
        <v>0.01</v>
      </c>
      <c r="H73" s="930"/>
      <c r="I73" s="288"/>
      <c r="J73" s="288"/>
      <c r="K73" s="284"/>
      <c r="L73" s="278">
        <v>0.89</v>
      </c>
      <c r="M73" s="112">
        <f t="shared" si="29"/>
        <v>1.0000000000000009E-2</v>
      </c>
      <c r="N73" s="113">
        <f t="shared" si="30"/>
        <v>1.1363636363636374E-2</v>
      </c>
      <c r="Q73" s="147"/>
      <c r="R73" s="147"/>
    </row>
    <row r="74" spans="1:18" ht="12.75" hidden="1" customHeight="1" x14ac:dyDescent="0.15">
      <c r="A74" s="277" t="s">
        <v>88</v>
      </c>
      <c r="B74" s="278">
        <v>0.82</v>
      </c>
      <c r="C74" s="285"/>
      <c r="D74" s="280">
        <v>0.85</v>
      </c>
      <c r="E74" s="286">
        <v>2747</v>
      </c>
      <c r="F74" s="287"/>
      <c r="G74" s="929">
        <v>0.28000000000000003</v>
      </c>
      <c r="H74" s="930"/>
      <c r="I74" s="288"/>
      <c r="J74" s="288"/>
      <c r="K74" s="284"/>
      <c r="L74" s="278">
        <v>0.82</v>
      </c>
      <c r="M74" s="112">
        <f t="shared" si="29"/>
        <v>-3.0000000000000027E-2</v>
      </c>
      <c r="N74" s="113">
        <f t="shared" si="30"/>
        <v>-3.5294117647058858E-2</v>
      </c>
      <c r="Q74" s="147"/>
      <c r="R74" s="147"/>
    </row>
    <row r="75" spans="1:18" ht="12.75" hidden="1" customHeight="1" x14ac:dyDescent="0.15">
      <c r="A75" s="277" t="s">
        <v>89</v>
      </c>
      <c r="B75" s="278">
        <v>0.94</v>
      </c>
      <c r="C75" s="285"/>
      <c r="D75" s="280">
        <v>0.92</v>
      </c>
      <c r="E75" s="286">
        <v>2717</v>
      </c>
      <c r="F75" s="287"/>
      <c r="G75" s="929">
        <v>0.02</v>
      </c>
      <c r="H75" s="930"/>
      <c r="I75" s="288"/>
      <c r="J75" s="288"/>
      <c r="K75" s="284"/>
      <c r="L75" s="278">
        <v>0.94</v>
      </c>
      <c r="M75" s="112">
        <f t="shared" si="29"/>
        <v>1.9999999999999907E-2</v>
      </c>
      <c r="N75" s="113">
        <f t="shared" si="30"/>
        <v>2.1739130434782507E-2</v>
      </c>
      <c r="Q75" s="147"/>
      <c r="R75" s="147"/>
    </row>
    <row r="76" spans="1:18" ht="12.75" hidden="1" customHeight="1" x14ac:dyDescent="0.15">
      <c r="A76" s="289" t="s">
        <v>129</v>
      </c>
      <c r="B76" s="290">
        <v>0.52</v>
      </c>
      <c r="C76" s="291">
        <v>1070</v>
      </c>
      <c r="D76" s="292">
        <v>0.56999999999999995</v>
      </c>
      <c r="E76" s="293">
        <v>1490</v>
      </c>
      <c r="F76" s="294"/>
      <c r="G76" s="929">
        <v>-0.05</v>
      </c>
      <c r="H76" s="930"/>
      <c r="I76" s="295"/>
      <c r="J76" s="295"/>
      <c r="K76" s="296"/>
      <c r="L76" s="290">
        <v>0.52</v>
      </c>
      <c r="M76" s="130">
        <f t="shared" si="29"/>
        <v>-4.9999999999999933E-2</v>
      </c>
      <c r="N76" s="131">
        <f t="shared" si="30"/>
        <v>-8.7719298245613919E-2</v>
      </c>
      <c r="Q76" s="147"/>
      <c r="R76" s="147"/>
    </row>
    <row r="77" spans="1:18" ht="12.75" hidden="1" customHeight="1" x14ac:dyDescent="0.15">
      <c r="A77" s="289" t="s">
        <v>86</v>
      </c>
      <c r="B77" s="290">
        <v>0.72</v>
      </c>
      <c r="C77" s="291">
        <v>1808</v>
      </c>
      <c r="D77" s="292">
        <v>0.69</v>
      </c>
      <c r="E77" s="293">
        <v>1744</v>
      </c>
      <c r="F77" s="294"/>
      <c r="G77" s="929">
        <v>0.03</v>
      </c>
      <c r="H77" s="930"/>
      <c r="I77" s="295"/>
      <c r="J77" s="295"/>
      <c r="K77" s="296"/>
      <c r="L77" s="290">
        <v>0.72</v>
      </c>
      <c r="M77" s="143">
        <f t="shared" si="29"/>
        <v>3.0000000000000027E-2</v>
      </c>
      <c r="N77" s="140">
        <f t="shared" si="30"/>
        <v>4.3478260869565258E-2</v>
      </c>
      <c r="Q77" s="147"/>
      <c r="R77" s="147"/>
    </row>
    <row r="78" spans="1:18" ht="12.75" hidden="1" customHeight="1" x14ac:dyDescent="0.15">
      <c r="A78" s="289" t="s">
        <v>87</v>
      </c>
      <c r="B78" s="290">
        <v>0.53</v>
      </c>
      <c r="C78" s="291">
        <v>1384</v>
      </c>
      <c r="D78" s="292">
        <v>0.59</v>
      </c>
      <c r="E78" s="293">
        <v>1415</v>
      </c>
      <c r="F78" s="294"/>
      <c r="G78" s="929">
        <v>-0.06</v>
      </c>
      <c r="H78" s="930"/>
      <c r="I78" s="295"/>
      <c r="J78" s="295"/>
      <c r="K78" s="296"/>
      <c r="L78" s="290">
        <v>0.53</v>
      </c>
      <c r="M78" s="143">
        <f t="shared" si="29"/>
        <v>-5.9999999999999942E-2</v>
      </c>
      <c r="N78" s="140">
        <f t="shared" si="30"/>
        <v>-0.1016949152542372</v>
      </c>
      <c r="Q78" s="147"/>
      <c r="R78" s="147"/>
    </row>
    <row r="79" spans="1:18" ht="12.75" hidden="1" customHeight="1" x14ac:dyDescent="0.15">
      <c r="A79" s="289" t="s">
        <v>88</v>
      </c>
      <c r="B79" s="290">
        <v>0.47</v>
      </c>
      <c r="C79" s="297">
        <v>1212</v>
      </c>
      <c r="D79" s="292">
        <v>0.47</v>
      </c>
      <c r="E79" s="293">
        <v>1004</v>
      </c>
      <c r="F79" s="294"/>
      <c r="G79" s="929">
        <v>0</v>
      </c>
      <c r="H79" s="930"/>
      <c r="I79" s="295"/>
      <c r="J79" s="295"/>
      <c r="K79" s="296"/>
      <c r="L79" s="290">
        <v>0.47</v>
      </c>
      <c r="M79" s="143">
        <f t="shared" si="29"/>
        <v>0</v>
      </c>
      <c r="N79" s="140">
        <f t="shared" si="30"/>
        <v>0</v>
      </c>
      <c r="Q79" s="147"/>
      <c r="R79" s="147"/>
    </row>
    <row r="80" spans="1:18" ht="12.75" hidden="1" customHeight="1" x14ac:dyDescent="0.15">
      <c r="A80" s="289" t="s">
        <v>89</v>
      </c>
      <c r="B80" s="290">
        <v>0.83</v>
      </c>
      <c r="C80" s="297">
        <v>2050</v>
      </c>
      <c r="D80" s="292">
        <v>0.68</v>
      </c>
      <c r="E80" s="293">
        <v>1563</v>
      </c>
      <c r="F80" s="294"/>
      <c r="G80" s="929">
        <v>0.12</v>
      </c>
      <c r="H80" s="930"/>
      <c r="I80" s="295"/>
      <c r="J80" s="295"/>
      <c r="K80" s="298"/>
      <c r="L80" s="290">
        <v>0.83</v>
      </c>
      <c r="M80" s="143">
        <f t="shared" si="29"/>
        <v>0.14999999999999991</v>
      </c>
      <c r="N80" s="140">
        <f t="shared" si="30"/>
        <v>0.2205882352941175</v>
      </c>
      <c r="Q80" s="147"/>
      <c r="R80" s="147"/>
    </row>
    <row r="81" spans="1:18" ht="12.75" hidden="1" customHeight="1" x14ac:dyDescent="0.15">
      <c r="A81" s="289" t="s">
        <v>90</v>
      </c>
      <c r="B81" s="290">
        <v>0.72</v>
      </c>
      <c r="C81" s="297">
        <v>1887</v>
      </c>
      <c r="D81" s="292">
        <v>0.73</v>
      </c>
      <c r="E81" s="293">
        <v>1896</v>
      </c>
      <c r="F81" s="294"/>
      <c r="G81" s="929"/>
      <c r="H81" s="930"/>
      <c r="I81" s="295"/>
      <c r="J81" s="295"/>
      <c r="K81" s="298"/>
      <c r="L81" s="290">
        <v>0.72</v>
      </c>
      <c r="M81" s="143">
        <f t="shared" si="29"/>
        <v>-1.0000000000000009E-2</v>
      </c>
      <c r="N81" s="140">
        <f t="shared" si="30"/>
        <v>-1.3698630136986314E-2</v>
      </c>
      <c r="Q81" s="147"/>
      <c r="R81" s="147"/>
    </row>
    <row r="82" spans="1:18" ht="12.75" hidden="1" customHeight="1" x14ac:dyDescent="0.15">
      <c r="A82" s="289" t="s">
        <v>123</v>
      </c>
      <c r="B82" s="290">
        <v>0.62</v>
      </c>
      <c r="C82" s="297">
        <v>1558</v>
      </c>
      <c r="D82" s="292">
        <v>0.66</v>
      </c>
      <c r="E82" s="293">
        <v>1612</v>
      </c>
      <c r="F82" s="294"/>
      <c r="G82" s="929"/>
      <c r="H82" s="930"/>
      <c r="I82" s="295"/>
      <c r="J82" s="295"/>
      <c r="K82" s="299"/>
      <c r="L82" s="290">
        <v>0.62</v>
      </c>
      <c r="M82" s="143">
        <f t="shared" si="29"/>
        <v>-4.0000000000000036E-2</v>
      </c>
      <c r="N82" s="140">
        <f t="shared" si="30"/>
        <v>-6.0606060606060656E-2</v>
      </c>
      <c r="Q82" s="147"/>
      <c r="R82" s="147"/>
    </row>
    <row r="83" spans="1:18" ht="12.75" hidden="1" customHeight="1" x14ac:dyDescent="0.15">
      <c r="A83" s="121" t="s">
        <v>124</v>
      </c>
      <c r="B83" s="300">
        <v>0.5</v>
      </c>
      <c r="C83" s="297">
        <v>1293</v>
      </c>
      <c r="D83" s="301">
        <v>0.63</v>
      </c>
      <c r="E83" s="302">
        <v>701</v>
      </c>
      <c r="F83" s="303"/>
      <c r="G83" s="929"/>
      <c r="H83" s="930"/>
      <c r="I83" s="304"/>
      <c r="J83" s="304"/>
      <c r="K83" s="305"/>
      <c r="L83" s="300">
        <v>0.5</v>
      </c>
      <c r="M83" s="146">
        <f t="shared" si="29"/>
        <v>-0.13</v>
      </c>
      <c r="N83" s="140">
        <f t="shared" si="30"/>
        <v>-0.20634920634920637</v>
      </c>
      <c r="Q83" s="147"/>
      <c r="R83" s="147"/>
    </row>
    <row r="84" spans="1:18" ht="12.75" hidden="1" customHeight="1" x14ac:dyDescent="0.15">
      <c r="A84" s="277" t="s">
        <v>123</v>
      </c>
      <c r="B84" s="306">
        <v>0.30399999999999999</v>
      </c>
      <c r="C84" s="297">
        <v>371</v>
      </c>
      <c r="D84" s="307">
        <v>0.35299999999999998</v>
      </c>
      <c r="E84" s="64">
        <v>424</v>
      </c>
      <c r="F84" s="308"/>
      <c r="G84" s="931">
        <f t="shared" ref="G84:G89" si="31">B84-D84</f>
        <v>-4.8999999999999988E-2</v>
      </c>
      <c r="H84" s="930"/>
      <c r="I84" s="120"/>
      <c r="J84" s="120"/>
      <c r="K84" s="309">
        <v>0.04</v>
      </c>
      <c r="L84" s="306">
        <v>0.30399999999999999</v>
      </c>
      <c r="M84" s="154">
        <f t="shared" si="29"/>
        <v>-4.8999999999999988E-2</v>
      </c>
      <c r="N84" s="150">
        <f t="shared" si="30"/>
        <v>-0.13881019830028327</v>
      </c>
      <c r="Q84" s="147"/>
      <c r="R84" s="147"/>
    </row>
    <row r="85" spans="1:18" ht="12.75" hidden="1" customHeight="1" x14ac:dyDescent="0.15">
      <c r="A85" s="277" t="s">
        <v>124</v>
      </c>
      <c r="B85" s="306">
        <v>0.19</v>
      </c>
      <c r="C85" s="297">
        <v>247</v>
      </c>
      <c r="D85" s="307">
        <v>0.3</v>
      </c>
      <c r="E85" s="64">
        <v>349</v>
      </c>
      <c r="F85" s="308"/>
      <c r="G85" s="931">
        <f t="shared" si="31"/>
        <v>-0.10999999999999999</v>
      </c>
      <c r="H85" s="930"/>
      <c r="I85" s="120"/>
      <c r="J85" s="120"/>
      <c r="K85" s="310">
        <v>0.08</v>
      </c>
      <c r="L85" s="306">
        <v>0.19</v>
      </c>
      <c r="M85" s="158">
        <f t="shared" si="29"/>
        <v>-0.10999999999999999</v>
      </c>
      <c r="N85" s="155">
        <f t="shared" si="30"/>
        <v>-0.36666666666666664</v>
      </c>
      <c r="Q85" s="147"/>
      <c r="R85" s="147"/>
    </row>
    <row r="86" spans="1:18" ht="12.75" hidden="1" customHeight="1" x14ac:dyDescent="0.15">
      <c r="A86" s="277" t="s">
        <v>131</v>
      </c>
      <c r="B86" s="306">
        <v>8.7999999999999995E-2</v>
      </c>
      <c r="C86" s="297">
        <v>110</v>
      </c>
      <c r="D86" s="307">
        <v>0.13800000000000001</v>
      </c>
      <c r="E86" s="64">
        <v>166</v>
      </c>
      <c r="F86" s="308"/>
      <c r="G86" s="931">
        <f t="shared" si="31"/>
        <v>-5.0000000000000017E-2</v>
      </c>
      <c r="H86" s="930"/>
      <c r="I86" s="120"/>
      <c r="J86" s="120"/>
      <c r="K86" s="311">
        <v>2E-3</v>
      </c>
      <c r="L86" s="306">
        <v>8.7999999999999995E-2</v>
      </c>
      <c r="M86" s="158">
        <f t="shared" si="29"/>
        <v>-5.0000000000000017E-2</v>
      </c>
      <c r="N86" s="155">
        <f t="shared" si="30"/>
        <v>-0.36231884057971026</v>
      </c>
      <c r="Q86" s="147"/>
      <c r="R86" s="147"/>
    </row>
    <row r="87" spans="1:18" ht="12.75" hidden="1" customHeight="1" x14ac:dyDescent="0.15">
      <c r="A87" s="312" t="s">
        <v>126</v>
      </c>
      <c r="B87" s="313">
        <v>0.27400000000000002</v>
      </c>
      <c r="C87" s="297">
        <v>347</v>
      </c>
      <c r="D87" s="314">
        <v>0.183</v>
      </c>
      <c r="E87" s="315">
        <v>230</v>
      </c>
      <c r="F87" s="316"/>
      <c r="G87" s="931">
        <f t="shared" si="31"/>
        <v>9.1000000000000025E-2</v>
      </c>
      <c r="H87" s="930"/>
      <c r="I87" s="317"/>
      <c r="J87" s="317"/>
      <c r="K87" s="318"/>
      <c r="L87" s="313">
        <v>0.27400000000000002</v>
      </c>
      <c r="M87" s="158">
        <f t="shared" si="29"/>
        <v>9.1000000000000025E-2</v>
      </c>
      <c r="N87" s="155">
        <f t="shared" si="30"/>
        <v>0.49726775956284169</v>
      </c>
      <c r="Q87" s="147"/>
      <c r="R87" s="147"/>
    </row>
    <row r="88" spans="1:18" ht="12.75" hidden="1" customHeight="1" x14ac:dyDescent="0.15">
      <c r="A88" s="121" t="s">
        <v>17</v>
      </c>
      <c r="B88" s="319">
        <v>0.22</v>
      </c>
      <c r="C88" s="297">
        <v>283</v>
      </c>
      <c r="D88" s="320">
        <v>0.29060000000000002</v>
      </c>
      <c r="E88" s="302">
        <v>356</v>
      </c>
      <c r="F88" s="303"/>
      <c r="G88" s="931">
        <f t="shared" si="31"/>
        <v>-7.0600000000000024E-2</v>
      </c>
      <c r="H88" s="930"/>
      <c r="I88" s="304"/>
      <c r="J88" s="304"/>
      <c r="K88" s="321"/>
      <c r="L88" s="319">
        <v>0.22</v>
      </c>
      <c r="M88" s="166">
        <f t="shared" si="29"/>
        <v>-7.0600000000000024E-2</v>
      </c>
      <c r="N88" s="162">
        <f t="shared" si="30"/>
        <v>-0.24294562973158987</v>
      </c>
      <c r="Q88" s="147"/>
      <c r="R88" s="147"/>
    </row>
    <row r="89" spans="1:18" ht="12.75" hidden="1" customHeight="1" x14ac:dyDescent="0.15">
      <c r="A89" s="277" t="s">
        <v>7</v>
      </c>
      <c r="B89" s="237">
        <v>0.33</v>
      </c>
      <c r="C89" s="297"/>
      <c r="D89" s="307">
        <v>0.443</v>
      </c>
      <c r="E89" s="64">
        <v>513</v>
      </c>
      <c r="F89" s="308"/>
      <c r="G89" s="931">
        <f t="shared" si="31"/>
        <v>-0.11299999999999999</v>
      </c>
      <c r="H89" s="930"/>
      <c r="I89" s="120"/>
      <c r="J89" s="120"/>
      <c r="K89" s="310">
        <v>0.03</v>
      </c>
      <c r="L89" s="237">
        <v>0.33</v>
      </c>
      <c r="M89" s="168">
        <f t="shared" si="29"/>
        <v>-0.11299999999999999</v>
      </c>
      <c r="N89" s="150">
        <f t="shared" si="30"/>
        <v>-0.25507900677200901</v>
      </c>
      <c r="Q89" s="147"/>
      <c r="R89" s="147"/>
    </row>
    <row r="90" spans="1:18" ht="12.75" hidden="1" customHeight="1" x14ac:dyDescent="0.15">
      <c r="A90" s="121" t="s">
        <v>9</v>
      </c>
      <c r="B90" s="300">
        <v>0.62</v>
      </c>
      <c r="C90" s="297"/>
      <c r="D90" s="320">
        <v>0.69699999999999995</v>
      </c>
      <c r="E90" s="302"/>
      <c r="F90" s="303"/>
      <c r="G90" s="931"/>
      <c r="H90" s="930"/>
      <c r="I90" s="304"/>
      <c r="J90" s="304"/>
      <c r="K90" s="321">
        <v>0</v>
      </c>
      <c r="L90" s="300">
        <v>0.62</v>
      </c>
      <c r="M90" s="158">
        <f t="shared" si="29"/>
        <v>-7.6999999999999957E-2</v>
      </c>
      <c r="N90" s="155">
        <f t="shared" si="30"/>
        <v>-0.11047345767575317</v>
      </c>
      <c r="Q90" s="147"/>
      <c r="R90" s="147"/>
    </row>
    <row r="91" spans="1:18" ht="12.75" hidden="1" customHeight="1" x14ac:dyDescent="0.15">
      <c r="A91" s="121" t="s">
        <v>10</v>
      </c>
      <c r="B91" s="300">
        <v>0.49</v>
      </c>
      <c r="C91" s="297"/>
      <c r="D91" s="320">
        <v>0.58499999999999996</v>
      </c>
      <c r="E91" s="302"/>
      <c r="F91" s="303"/>
      <c r="G91" s="931"/>
      <c r="H91" s="930"/>
      <c r="I91" s="304"/>
      <c r="J91" s="304"/>
      <c r="K91" s="322">
        <v>-0.01</v>
      </c>
      <c r="L91" s="300">
        <v>0.49</v>
      </c>
      <c r="M91" s="158">
        <f t="shared" si="29"/>
        <v>-9.4999999999999973E-2</v>
      </c>
      <c r="N91" s="155">
        <f t="shared" si="30"/>
        <v>-0.16239316239316237</v>
      </c>
      <c r="Q91" s="147"/>
      <c r="R91" s="147"/>
    </row>
    <row r="92" spans="1:18" ht="12.75" hidden="1" customHeight="1" x14ac:dyDescent="0.15">
      <c r="A92" s="323" t="s">
        <v>14</v>
      </c>
      <c r="B92" s="324">
        <v>0.62</v>
      </c>
      <c r="C92" s="297"/>
      <c r="D92" s="325">
        <v>0.81599999999999995</v>
      </c>
      <c r="E92" s="326"/>
      <c r="F92" s="327"/>
      <c r="G92" s="931"/>
      <c r="H92" s="930"/>
      <c r="I92" s="328"/>
      <c r="J92" s="328"/>
      <c r="K92" s="329">
        <v>0.01</v>
      </c>
      <c r="L92" s="324">
        <v>0.62</v>
      </c>
      <c r="M92" s="168">
        <f t="shared" si="29"/>
        <v>-0.19599999999999995</v>
      </c>
      <c r="N92" s="150">
        <f t="shared" si="30"/>
        <v>-0.2401960784313725</v>
      </c>
      <c r="Q92" s="147"/>
      <c r="R92" s="147"/>
    </row>
    <row r="93" spans="1:18" ht="12.75" hidden="1" customHeight="1" x14ac:dyDescent="0.15">
      <c r="A93" s="277" t="s">
        <v>89</v>
      </c>
      <c r="B93" s="237">
        <v>0.84</v>
      </c>
      <c r="C93" s="297"/>
      <c r="D93" s="307">
        <v>0.93</v>
      </c>
      <c r="E93" s="64"/>
      <c r="F93" s="308"/>
      <c r="G93" s="931"/>
      <c r="H93" s="930"/>
      <c r="I93" s="120"/>
      <c r="J93" s="120"/>
      <c r="K93" s="330"/>
      <c r="L93" s="237">
        <v>0.84</v>
      </c>
      <c r="M93" s="168">
        <f t="shared" si="29"/>
        <v>-9.000000000000008E-2</v>
      </c>
      <c r="N93" s="150">
        <f t="shared" si="30"/>
        <v>-9.6774193548387177E-2</v>
      </c>
      <c r="Q93" s="147"/>
      <c r="R93" s="147"/>
    </row>
    <row r="94" spans="1:18" ht="9" hidden="1" customHeight="1" x14ac:dyDescent="0.15">
      <c r="A94" s="277" t="s">
        <v>132</v>
      </c>
      <c r="B94" s="237">
        <v>0.64</v>
      </c>
      <c r="C94" s="297"/>
      <c r="D94" s="307">
        <v>0.77</v>
      </c>
      <c r="E94" s="64"/>
      <c r="F94" s="308"/>
      <c r="G94" s="931"/>
      <c r="H94" s="930"/>
      <c r="I94" s="120"/>
      <c r="J94" s="120"/>
      <c r="K94" s="330">
        <v>0.03</v>
      </c>
      <c r="L94" s="237">
        <v>0.64</v>
      </c>
      <c r="M94" s="181">
        <f t="shared" si="29"/>
        <v>-0.13</v>
      </c>
      <c r="N94" s="176">
        <v>-0.57458598168705277</v>
      </c>
      <c r="Q94" s="147"/>
      <c r="R94" s="147"/>
    </row>
    <row r="95" spans="1:18" ht="18.75" hidden="1" customHeight="1" x14ac:dyDescent="0.15">
      <c r="A95" s="277" t="s">
        <v>123</v>
      </c>
      <c r="B95" s="237">
        <v>0.39</v>
      </c>
      <c r="C95" s="297"/>
      <c r="D95" s="307">
        <v>0.3</v>
      </c>
      <c r="E95" s="64"/>
      <c r="F95" s="308"/>
      <c r="G95" s="331"/>
      <c r="H95" s="332"/>
      <c r="I95" s="120"/>
      <c r="J95" s="120"/>
      <c r="K95" s="311"/>
      <c r="L95" s="237">
        <v>0.39</v>
      </c>
      <c r="M95" s="184">
        <f t="shared" si="29"/>
        <v>9.0000000000000024E-2</v>
      </c>
      <c r="N95" s="185">
        <f t="shared" ref="N95:N119" si="32">(B95-D95)/D95</f>
        <v>0.3000000000000001</v>
      </c>
      <c r="Q95" s="147"/>
      <c r="R95" s="147"/>
    </row>
    <row r="96" spans="1:18" ht="9" hidden="1" customHeight="1" x14ac:dyDescent="0.15">
      <c r="A96" s="277" t="s">
        <v>124</v>
      </c>
      <c r="B96" s="237">
        <v>0.28000000000000003</v>
      </c>
      <c r="C96" s="297"/>
      <c r="D96" s="307">
        <v>0.20599999999999999</v>
      </c>
      <c r="E96" s="64"/>
      <c r="F96" s="308"/>
      <c r="G96" s="931"/>
      <c r="H96" s="930"/>
      <c r="I96" s="120"/>
      <c r="J96" s="120"/>
      <c r="K96" s="330">
        <v>0.02</v>
      </c>
      <c r="L96" s="237">
        <v>0.28000000000000003</v>
      </c>
      <c r="M96" s="158">
        <f t="shared" si="29"/>
        <v>7.4000000000000038E-2</v>
      </c>
      <c r="N96" s="155">
        <f t="shared" si="32"/>
        <v>0.35922330097087402</v>
      </c>
      <c r="Q96" s="147"/>
      <c r="R96" s="147"/>
    </row>
    <row r="97" spans="1:26" ht="12.75" hidden="1" customHeight="1" x14ac:dyDescent="0.15">
      <c r="A97" s="333" t="s">
        <v>131</v>
      </c>
      <c r="B97" s="334">
        <v>0.3</v>
      </c>
      <c r="C97" s="297"/>
      <c r="D97" s="335" t="s">
        <v>137</v>
      </c>
      <c r="E97" s="336"/>
      <c r="F97" s="337"/>
      <c r="G97" s="931"/>
      <c r="H97" s="930"/>
      <c r="I97" s="338"/>
      <c r="J97" s="338"/>
      <c r="K97" s="339">
        <v>0.01</v>
      </c>
      <c r="L97" s="334">
        <v>0.3</v>
      </c>
      <c r="M97" s="184" t="e">
        <f t="shared" si="29"/>
        <v>#VALUE!</v>
      </c>
      <c r="N97" s="155" t="e">
        <f t="shared" si="32"/>
        <v>#VALUE!</v>
      </c>
      <c r="Q97" s="147"/>
      <c r="R97" s="147"/>
    </row>
    <row r="98" spans="1:26" ht="6.75" hidden="1" customHeight="1" x14ac:dyDescent="0.15">
      <c r="A98" s="333" t="s">
        <v>126</v>
      </c>
      <c r="B98" s="334">
        <v>0.247</v>
      </c>
      <c r="C98" s="297"/>
      <c r="D98" s="335"/>
      <c r="E98" s="336"/>
      <c r="F98" s="337"/>
      <c r="G98" s="931"/>
      <c r="H98" s="930"/>
      <c r="I98" s="338"/>
      <c r="J98" s="338"/>
      <c r="K98" s="330">
        <f>L98-B98</f>
        <v>0</v>
      </c>
      <c r="L98" s="334">
        <v>0.247</v>
      </c>
      <c r="M98" s="187">
        <f t="shared" si="29"/>
        <v>0.247</v>
      </c>
      <c r="N98" s="155" t="e">
        <f t="shared" si="32"/>
        <v>#DIV/0!</v>
      </c>
      <c r="Q98" s="147"/>
      <c r="R98" s="147"/>
    </row>
    <row r="99" spans="1:26" ht="5.25" hidden="1" customHeight="1" x14ac:dyDescent="0.15">
      <c r="A99" s="289" t="s">
        <v>127</v>
      </c>
      <c r="B99" s="292">
        <v>0.39</v>
      </c>
      <c r="C99" s="340"/>
      <c r="D99" s="341">
        <v>0.22</v>
      </c>
      <c r="E99" s="342">
        <v>0.17</v>
      </c>
      <c r="F99" s="294"/>
      <c r="G99" s="931"/>
      <c r="H99" s="930"/>
      <c r="I99" s="295"/>
      <c r="J99" s="295"/>
      <c r="K99" s="343">
        <f t="shared" ref="K99:K119" si="33">B99-L99</f>
        <v>0</v>
      </c>
      <c r="L99" s="292">
        <v>0.39</v>
      </c>
      <c r="M99" s="196">
        <f t="shared" si="29"/>
        <v>0.17</v>
      </c>
      <c r="N99" s="192">
        <f t="shared" si="32"/>
        <v>0.77272727272727282</v>
      </c>
      <c r="Q99" s="147"/>
      <c r="R99" s="147"/>
    </row>
    <row r="100" spans="1:26" ht="12.75" hidden="1" customHeight="1" x14ac:dyDescent="0.15">
      <c r="A100" s="277" t="s">
        <v>128</v>
      </c>
      <c r="B100" s="344">
        <v>0.59</v>
      </c>
      <c r="C100" s="285"/>
      <c r="D100" s="307">
        <v>0.35</v>
      </c>
      <c r="E100" s="345">
        <v>0.16</v>
      </c>
      <c r="F100" s="308"/>
      <c r="G100" s="931"/>
      <c r="H100" s="930"/>
      <c r="I100" s="120"/>
      <c r="J100" s="120"/>
      <c r="K100" s="346">
        <f t="shared" si="33"/>
        <v>0</v>
      </c>
      <c r="L100" s="344">
        <v>0.59</v>
      </c>
      <c r="M100" s="197">
        <f t="shared" si="29"/>
        <v>0.24</v>
      </c>
      <c r="N100" s="192">
        <f t="shared" si="32"/>
        <v>0.68571428571428572</v>
      </c>
      <c r="Q100" s="147"/>
      <c r="R100" s="147"/>
    </row>
    <row r="101" spans="1:26" ht="12.75" hidden="1" customHeight="1" x14ac:dyDescent="0.15">
      <c r="A101" s="289" t="s">
        <v>129</v>
      </c>
      <c r="B101" s="292">
        <v>0.47</v>
      </c>
      <c r="C101" s="285"/>
      <c r="D101" s="341">
        <v>0.23</v>
      </c>
      <c r="E101" s="342">
        <v>0.06</v>
      </c>
      <c r="F101" s="295"/>
      <c r="G101" s="932"/>
      <c r="H101" s="928"/>
      <c r="I101" s="295"/>
      <c r="J101" s="295"/>
      <c r="K101" s="347">
        <f t="shared" si="33"/>
        <v>0</v>
      </c>
      <c r="L101" s="292">
        <v>0.47</v>
      </c>
      <c r="M101" s="202">
        <f t="shared" si="29"/>
        <v>0.23999999999999996</v>
      </c>
      <c r="N101" s="140">
        <f t="shared" si="32"/>
        <v>1.043478260869565</v>
      </c>
      <c r="Q101" s="147"/>
      <c r="R101" s="147"/>
    </row>
    <row r="102" spans="1:26" ht="12.75" hidden="1" customHeight="1" x14ac:dyDescent="0.15">
      <c r="A102" s="277" t="s">
        <v>86</v>
      </c>
      <c r="B102" s="344">
        <v>0.77829999999999999</v>
      </c>
      <c r="C102" s="285"/>
      <c r="D102" s="307">
        <v>0.61</v>
      </c>
      <c r="E102" s="348">
        <v>-0.23</v>
      </c>
      <c r="F102" s="120"/>
      <c r="G102" s="931"/>
      <c r="H102" s="930"/>
      <c r="I102" s="120"/>
      <c r="J102" s="120"/>
      <c r="K102" s="330">
        <f t="shared" si="33"/>
        <v>0</v>
      </c>
      <c r="L102" s="344">
        <v>0.77829999999999999</v>
      </c>
      <c r="M102" s="204">
        <f t="shared" si="29"/>
        <v>0.16830000000000001</v>
      </c>
      <c r="N102" s="155">
        <f t="shared" si="32"/>
        <v>0.27590163934426232</v>
      </c>
      <c r="Q102" s="147"/>
      <c r="R102" s="147"/>
    </row>
    <row r="103" spans="1:26" ht="12.75" hidden="1" customHeight="1" x14ac:dyDescent="0.15">
      <c r="A103" s="349" t="s">
        <v>87</v>
      </c>
      <c r="B103" s="350">
        <v>0.63070000000000004</v>
      </c>
      <c r="C103" s="285"/>
      <c r="D103" s="351">
        <v>0.49</v>
      </c>
      <c r="E103" s="352">
        <v>-0.11</v>
      </c>
      <c r="F103" s="219"/>
      <c r="G103" s="931"/>
      <c r="H103" s="930"/>
      <c r="I103" s="219"/>
      <c r="J103" s="219"/>
      <c r="K103" s="353">
        <f t="shared" si="33"/>
        <v>0</v>
      </c>
      <c r="L103" s="350">
        <v>0.63070000000000004</v>
      </c>
      <c r="M103" s="202">
        <f t="shared" si="29"/>
        <v>0.14070000000000005</v>
      </c>
      <c r="N103" s="140">
        <f t="shared" si="32"/>
        <v>0.28714285714285726</v>
      </c>
      <c r="O103" s="208"/>
      <c r="P103" s="208"/>
      <c r="Q103" s="147"/>
      <c r="R103" s="147"/>
      <c r="S103" s="208"/>
      <c r="T103" s="208"/>
      <c r="U103" s="208"/>
      <c r="V103" s="208"/>
      <c r="W103" s="208"/>
      <c r="X103" s="208"/>
      <c r="Y103" s="208"/>
      <c r="Z103" s="208"/>
    </row>
    <row r="104" spans="1:26" ht="12.75" hidden="1" customHeight="1" x14ac:dyDescent="0.15">
      <c r="A104" s="277" t="s">
        <v>88</v>
      </c>
      <c r="B104" s="280">
        <v>0.68</v>
      </c>
      <c r="C104" s="354"/>
      <c r="D104" s="355">
        <v>0.62670000000000003</v>
      </c>
      <c r="E104" s="356">
        <v>-0.26</v>
      </c>
      <c r="F104" s="357"/>
      <c r="G104" s="932"/>
      <c r="H104" s="928"/>
      <c r="I104" s="357"/>
      <c r="J104" s="357"/>
      <c r="K104" s="358">
        <f t="shared" si="33"/>
        <v>0</v>
      </c>
      <c r="L104" s="280">
        <v>0.68</v>
      </c>
      <c r="M104" s="204">
        <f t="shared" si="29"/>
        <v>5.3300000000000014E-2</v>
      </c>
      <c r="N104" s="155">
        <f t="shared" si="32"/>
        <v>8.5048667624062574E-2</v>
      </c>
      <c r="Q104" s="147"/>
      <c r="R104" s="147"/>
    </row>
    <row r="105" spans="1:26" ht="12.75" hidden="1" customHeight="1" x14ac:dyDescent="0.15">
      <c r="A105" s="277" t="s">
        <v>89</v>
      </c>
      <c r="B105" s="344">
        <v>0.67</v>
      </c>
      <c r="C105" s="354"/>
      <c r="D105" s="307">
        <v>0.84</v>
      </c>
      <c r="E105" s="348">
        <v>-0.49</v>
      </c>
      <c r="F105" s="120"/>
      <c r="G105" s="931"/>
      <c r="H105" s="930"/>
      <c r="I105" s="120"/>
      <c r="J105" s="120"/>
      <c r="K105" s="330">
        <f t="shared" si="33"/>
        <v>0</v>
      </c>
      <c r="L105" s="344">
        <v>0.67</v>
      </c>
      <c r="M105" s="217">
        <f t="shared" si="29"/>
        <v>-0.16999999999999993</v>
      </c>
      <c r="N105" s="213">
        <f t="shared" si="32"/>
        <v>-0.2023809523809523</v>
      </c>
      <c r="Q105" s="147"/>
      <c r="R105" s="147"/>
    </row>
    <row r="106" spans="1:26" ht="12.75" hidden="1" customHeight="1" x14ac:dyDescent="0.15">
      <c r="A106" s="277" t="s">
        <v>90</v>
      </c>
      <c r="B106" s="344">
        <v>0.69789999999999996</v>
      </c>
      <c r="C106" s="354"/>
      <c r="D106" s="307">
        <v>0.64</v>
      </c>
      <c r="E106" s="345">
        <f t="shared" ref="E106:E119" si="34">B106-D106</f>
        <v>5.7899999999999952E-2</v>
      </c>
      <c r="F106" s="120"/>
      <c r="G106" s="931"/>
      <c r="H106" s="930"/>
      <c r="I106" s="120"/>
      <c r="J106" s="120"/>
      <c r="K106" s="346">
        <f t="shared" si="33"/>
        <v>0</v>
      </c>
      <c r="L106" s="344">
        <v>0.69789999999999996</v>
      </c>
      <c r="M106" s="223">
        <f t="shared" si="29"/>
        <v>5.7899999999999952E-2</v>
      </c>
      <c r="N106" s="113">
        <f t="shared" si="32"/>
        <v>9.0468749999999917E-2</v>
      </c>
      <c r="Q106" s="147"/>
      <c r="R106" s="147"/>
    </row>
    <row r="107" spans="1:26" ht="12.75" hidden="1" customHeight="1" x14ac:dyDescent="0.15">
      <c r="A107" s="277" t="s">
        <v>123</v>
      </c>
      <c r="B107" s="344">
        <v>0.49220000000000003</v>
      </c>
      <c r="C107" s="354"/>
      <c r="D107" s="307">
        <v>0.39</v>
      </c>
      <c r="E107" s="348">
        <f t="shared" si="34"/>
        <v>0.10220000000000001</v>
      </c>
      <c r="F107" s="120"/>
      <c r="G107" s="931"/>
      <c r="H107" s="930"/>
      <c r="I107" s="120"/>
      <c r="J107" s="120"/>
      <c r="K107" s="330">
        <f t="shared" si="33"/>
        <v>0</v>
      </c>
      <c r="L107" s="344">
        <v>0.49220000000000003</v>
      </c>
      <c r="M107" s="225">
        <f t="shared" si="29"/>
        <v>0.10220000000000001</v>
      </c>
      <c r="N107" s="155">
        <f t="shared" si="32"/>
        <v>0.26205128205128209</v>
      </c>
      <c r="Q107" s="147"/>
      <c r="R107" s="147"/>
    </row>
    <row r="108" spans="1:26" ht="12.75" hidden="1" customHeight="1" x14ac:dyDescent="0.15">
      <c r="A108" s="277" t="s">
        <v>124</v>
      </c>
      <c r="B108" s="344">
        <v>0.36</v>
      </c>
      <c r="C108" s="340"/>
      <c r="D108" s="359">
        <v>0.28000000000000003</v>
      </c>
      <c r="E108" s="360">
        <f t="shared" si="34"/>
        <v>7.999999999999996E-2</v>
      </c>
      <c r="F108" s="361"/>
      <c r="G108" s="949"/>
      <c r="H108" s="930"/>
      <c r="I108" s="120"/>
      <c r="J108" s="120"/>
      <c r="K108" s="346">
        <f t="shared" si="33"/>
        <v>0</v>
      </c>
      <c r="L108" s="344">
        <v>0.36</v>
      </c>
      <c r="M108" s="232">
        <f t="shared" si="29"/>
        <v>7.999999999999996E-2</v>
      </c>
      <c r="N108" s="228">
        <f t="shared" si="32"/>
        <v>0.28571428571428553</v>
      </c>
      <c r="Q108" s="147"/>
      <c r="R108" s="147"/>
    </row>
    <row r="109" spans="1:26" ht="12.75" hidden="1" customHeight="1" x14ac:dyDescent="0.15">
      <c r="A109" s="277" t="s">
        <v>131</v>
      </c>
      <c r="B109" s="307">
        <v>0.44330000000000003</v>
      </c>
      <c r="C109" s="285"/>
      <c r="D109" s="359">
        <v>0.3</v>
      </c>
      <c r="E109" s="345">
        <f t="shared" si="34"/>
        <v>0.14330000000000004</v>
      </c>
      <c r="F109" s="308"/>
      <c r="G109" s="949"/>
      <c r="H109" s="899"/>
      <c r="I109" s="120"/>
      <c r="J109" s="120"/>
      <c r="K109" s="330">
        <f t="shared" si="33"/>
        <v>0</v>
      </c>
      <c r="L109" s="307">
        <v>0.44330000000000003</v>
      </c>
      <c r="M109" s="204">
        <f t="shared" si="29"/>
        <v>0.14330000000000004</v>
      </c>
      <c r="N109" s="155">
        <f t="shared" si="32"/>
        <v>0.47766666666666679</v>
      </c>
      <c r="Q109" s="147"/>
      <c r="R109" s="147"/>
    </row>
    <row r="110" spans="1:26" ht="12.75" hidden="1" customHeight="1" x14ac:dyDescent="0.15">
      <c r="A110" s="277" t="s">
        <v>126</v>
      </c>
      <c r="B110" s="307">
        <v>0.371</v>
      </c>
      <c r="C110" s="285"/>
      <c r="D110" s="359">
        <v>0.24</v>
      </c>
      <c r="E110" s="345">
        <f t="shared" si="34"/>
        <v>0.13100000000000001</v>
      </c>
      <c r="F110" s="308"/>
      <c r="G110" s="949"/>
      <c r="H110" s="899"/>
      <c r="I110" s="120"/>
      <c r="J110" s="120"/>
      <c r="K110" s="330">
        <f t="shared" si="33"/>
        <v>0</v>
      </c>
      <c r="L110" s="307">
        <v>0.371</v>
      </c>
      <c r="M110" s="204">
        <f t="shared" si="29"/>
        <v>0.13100000000000001</v>
      </c>
      <c r="N110" s="155">
        <f t="shared" si="32"/>
        <v>0.54583333333333339</v>
      </c>
      <c r="Q110" s="147"/>
      <c r="R110" s="147"/>
    </row>
    <row r="111" spans="1:26" ht="12.75" hidden="1" customHeight="1" x14ac:dyDescent="0.15">
      <c r="A111" s="277" t="s">
        <v>127</v>
      </c>
      <c r="B111" s="307">
        <v>0.46150000000000002</v>
      </c>
      <c r="C111" s="285"/>
      <c r="D111" s="359">
        <v>0.39</v>
      </c>
      <c r="E111" s="345">
        <f t="shared" si="34"/>
        <v>7.1500000000000008E-2</v>
      </c>
      <c r="F111" s="308"/>
      <c r="G111" s="949"/>
      <c r="H111" s="899"/>
      <c r="I111" s="120"/>
      <c r="J111" s="120"/>
      <c r="K111" s="330">
        <f t="shared" si="33"/>
        <v>0</v>
      </c>
      <c r="L111" s="307">
        <v>0.46150000000000002</v>
      </c>
      <c r="M111" s="204">
        <f t="shared" si="29"/>
        <v>7.1500000000000008E-2</v>
      </c>
      <c r="N111" s="155">
        <f t="shared" si="32"/>
        <v>0.18333333333333335</v>
      </c>
      <c r="Q111" s="147"/>
      <c r="R111" s="147"/>
    </row>
    <row r="112" spans="1:26" ht="12.75" hidden="1" customHeight="1" x14ac:dyDescent="0.15">
      <c r="A112" s="362" t="s">
        <v>134</v>
      </c>
      <c r="B112" s="363">
        <v>0.66400000000000003</v>
      </c>
      <c r="C112" s="364"/>
      <c r="D112" s="365">
        <v>0.59</v>
      </c>
      <c r="E112" s="366">
        <f t="shared" si="34"/>
        <v>7.4000000000000066E-2</v>
      </c>
      <c r="F112" s="287"/>
      <c r="G112" s="367"/>
      <c r="H112" s="367"/>
      <c r="I112" s="288"/>
      <c r="J112" s="288"/>
      <c r="K112" s="368">
        <f t="shared" si="33"/>
        <v>0</v>
      </c>
      <c r="L112" s="363">
        <v>0.66400000000000003</v>
      </c>
      <c r="M112" s="369">
        <f>66.4-59</f>
        <v>7.4000000000000057</v>
      </c>
      <c r="N112" s="113">
        <f t="shared" si="32"/>
        <v>0.12542372881355943</v>
      </c>
      <c r="O112" s="14"/>
      <c r="P112" s="14"/>
      <c r="Q112" s="301" t="s">
        <v>138</v>
      </c>
      <c r="R112" s="370"/>
      <c r="S112" s="14"/>
      <c r="T112" s="14"/>
      <c r="U112" s="14"/>
      <c r="V112" s="14"/>
      <c r="W112" s="14"/>
      <c r="X112" s="14"/>
      <c r="Y112" s="14"/>
      <c r="Z112" s="14"/>
    </row>
    <row r="113" spans="1:26" ht="12.75" hidden="1" customHeight="1" x14ac:dyDescent="0.15">
      <c r="A113" s="277" t="s">
        <v>129</v>
      </c>
      <c r="B113" s="307">
        <v>0.55889999999999995</v>
      </c>
      <c r="C113" s="285"/>
      <c r="D113" s="359">
        <v>0.47</v>
      </c>
      <c r="E113" s="345">
        <f t="shared" si="34"/>
        <v>8.8899999999999979E-2</v>
      </c>
      <c r="F113" s="308"/>
      <c r="G113" s="371"/>
      <c r="H113" s="371"/>
      <c r="I113" s="120"/>
      <c r="J113" s="120"/>
      <c r="K113" s="372">
        <f t="shared" si="33"/>
        <v>0</v>
      </c>
      <c r="L113" s="307">
        <v>0.55889999999999995</v>
      </c>
      <c r="M113" s="373">
        <f>55.4-47</f>
        <v>8.3999999999999986</v>
      </c>
      <c r="N113" s="155">
        <f t="shared" si="32"/>
        <v>0.18914893617021272</v>
      </c>
      <c r="Q113" s="301">
        <v>0.45029999999999998</v>
      </c>
      <c r="R113" s="319">
        <f t="shared" ref="R113:R119" si="35">B113-Q113</f>
        <v>0.10859999999999997</v>
      </c>
    </row>
    <row r="114" spans="1:26" ht="12.75" customHeight="1" x14ac:dyDescent="0.15">
      <c r="A114" s="277" t="s">
        <v>86</v>
      </c>
      <c r="B114" s="307">
        <v>0.77010000000000001</v>
      </c>
      <c r="C114" s="285"/>
      <c r="D114" s="359">
        <v>0.78</v>
      </c>
      <c r="E114" s="348">
        <f t="shared" si="34"/>
        <v>-9.9000000000000199E-3</v>
      </c>
      <c r="F114" s="308"/>
      <c r="G114" s="371"/>
      <c r="H114" s="371"/>
      <c r="I114" s="120"/>
      <c r="J114" s="120"/>
      <c r="K114" s="372">
        <f t="shared" si="33"/>
        <v>5.0999999999999934E-3</v>
      </c>
      <c r="L114" s="307">
        <v>0.76500000000000001</v>
      </c>
      <c r="M114" s="374">
        <f>62.2-78</f>
        <v>-15.799999999999997</v>
      </c>
      <c r="N114" s="155">
        <f t="shared" si="32"/>
        <v>-1.2692307692307718E-2</v>
      </c>
      <c r="Q114" s="301">
        <v>0.71</v>
      </c>
      <c r="R114" s="319">
        <f t="shared" si="35"/>
        <v>6.0100000000000042E-2</v>
      </c>
    </row>
    <row r="115" spans="1:26" ht="12.75" customHeight="1" x14ac:dyDescent="0.15">
      <c r="A115" s="277" t="s">
        <v>87</v>
      </c>
      <c r="B115" s="307">
        <v>0.6169</v>
      </c>
      <c r="C115" s="285"/>
      <c r="D115" s="359">
        <v>0.63</v>
      </c>
      <c r="E115" s="348">
        <f t="shared" si="34"/>
        <v>-1.3100000000000001E-2</v>
      </c>
      <c r="F115" s="308"/>
      <c r="G115" s="371"/>
      <c r="H115" s="371"/>
      <c r="I115" s="120"/>
      <c r="J115" s="120"/>
      <c r="K115" s="375">
        <f t="shared" si="33"/>
        <v>-2.1100000000000008E-2</v>
      </c>
      <c r="L115" s="307">
        <v>0.63800000000000001</v>
      </c>
      <c r="M115" s="374">
        <f>50.2-63</f>
        <v>-12.799999999999997</v>
      </c>
      <c r="N115" s="155">
        <f t="shared" si="32"/>
        <v>-2.0793650793650795E-2</v>
      </c>
      <c r="Q115" s="301">
        <v>0.47</v>
      </c>
      <c r="R115" s="319">
        <f t="shared" si="35"/>
        <v>0.14690000000000003</v>
      </c>
    </row>
    <row r="116" spans="1:26" ht="12.75" customHeight="1" x14ac:dyDescent="0.15">
      <c r="A116" s="277" t="s">
        <v>88</v>
      </c>
      <c r="B116" s="307">
        <v>0.69279999999999997</v>
      </c>
      <c r="C116" s="285"/>
      <c r="D116" s="359">
        <v>0.68</v>
      </c>
      <c r="E116" s="348">
        <f t="shared" si="34"/>
        <v>1.2799999999999923E-2</v>
      </c>
      <c r="F116" s="308"/>
      <c r="G116" s="371"/>
      <c r="H116" s="371"/>
      <c r="I116" s="120"/>
      <c r="J116" s="120"/>
      <c r="K116" s="372">
        <f t="shared" si="33"/>
        <v>3.4799999999999942E-2</v>
      </c>
      <c r="L116" s="307">
        <v>0.65800000000000003</v>
      </c>
      <c r="M116" s="374">
        <f>59.3-68</f>
        <v>-8.7000000000000028</v>
      </c>
      <c r="N116" s="155">
        <f t="shared" si="32"/>
        <v>1.882352941176459E-2</v>
      </c>
      <c r="Q116" s="301">
        <v>0.51</v>
      </c>
      <c r="R116" s="319">
        <f t="shared" si="35"/>
        <v>0.18279999999999996</v>
      </c>
    </row>
    <row r="117" spans="1:26" ht="12.75" customHeight="1" x14ac:dyDescent="0.15">
      <c r="A117" s="277" t="s">
        <v>89</v>
      </c>
      <c r="B117" s="307">
        <v>0.67410000000000003</v>
      </c>
      <c r="C117" s="285"/>
      <c r="D117" s="359">
        <v>0.81899999999999995</v>
      </c>
      <c r="E117" s="348">
        <f t="shared" si="34"/>
        <v>-0.14489999999999992</v>
      </c>
      <c r="F117" s="308"/>
      <c r="G117" s="371"/>
      <c r="H117" s="371"/>
      <c r="I117" s="120"/>
      <c r="J117" s="120"/>
      <c r="K117" s="372">
        <f t="shared" si="33"/>
        <v>9.9999999999988987E-5</v>
      </c>
      <c r="L117" s="307">
        <v>0.67400000000000004</v>
      </c>
      <c r="M117" s="374">
        <f>63.6-81.9</f>
        <v>-18.300000000000004</v>
      </c>
      <c r="N117" s="155">
        <f t="shared" si="32"/>
        <v>-0.17692307692307682</v>
      </c>
      <c r="Q117" s="301">
        <v>0.36</v>
      </c>
      <c r="R117" s="319">
        <f t="shared" si="35"/>
        <v>0.31410000000000005</v>
      </c>
    </row>
    <row r="118" spans="1:26" ht="12.75" customHeight="1" x14ac:dyDescent="0.15">
      <c r="A118" s="277" t="s">
        <v>90</v>
      </c>
      <c r="B118" s="307">
        <v>0.37940000000000002</v>
      </c>
      <c r="C118" s="285"/>
      <c r="D118" s="359">
        <v>0.69799999999999995</v>
      </c>
      <c r="E118" s="348">
        <f t="shared" si="34"/>
        <v>-0.31859999999999994</v>
      </c>
      <c r="F118" s="308"/>
      <c r="G118" s="371"/>
      <c r="H118" s="371"/>
      <c r="I118" s="120"/>
      <c r="J118" s="120"/>
      <c r="K118" s="372">
        <f t="shared" si="33"/>
        <v>2.2400000000000031E-2</v>
      </c>
      <c r="L118" s="307">
        <v>0.35699999999999998</v>
      </c>
      <c r="M118" s="374">
        <f t="shared" ref="M118:M119" si="36">25.9-69.8</f>
        <v>-43.9</v>
      </c>
      <c r="N118" s="155">
        <f t="shared" si="32"/>
        <v>-0.4564469914040114</v>
      </c>
      <c r="Q118" s="301">
        <v>0.2046</v>
      </c>
      <c r="R118" s="319">
        <f t="shared" si="35"/>
        <v>0.17480000000000001</v>
      </c>
    </row>
    <row r="119" spans="1:26" ht="12.75" customHeight="1" x14ac:dyDescent="0.15">
      <c r="A119" s="277" t="s">
        <v>123</v>
      </c>
      <c r="B119" s="307">
        <v>0.13170000000000001</v>
      </c>
      <c r="C119" s="285"/>
      <c r="D119" s="359">
        <v>0.48899999999999999</v>
      </c>
      <c r="E119" s="348">
        <f t="shared" si="34"/>
        <v>-0.35729999999999995</v>
      </c>
      <c r="F119" s="308"/>
      <c r="G119" s="371"/>
      <c r="H119" s="332"/>
      <c r="I119" s="120"/>
      <c r="J119" s="120"/>
      <c r="K119" s="372">
        <f t="shared" si="33"/>
        <v>1.7700000000000007E-2</v>
      </c>
      <c r="L119" s="307">
        <v>0.114</v>
      </c>
      <c r="M119" s="376">
        <f t="shared" si="36"/>
        <v>-43.9</v>
      </c>
      <c r="N119" s="155">
        <f t="shared" si="32"/>
        <v>-0.73067484662576676</v>
      </c>
      <c r="Q119" s="301">
        <v>4.8000000000000001E-2</v>
      </c>
      <c r="R119" s="319">
        <f t="shared" si="35"/>
        <v>8.3700000000000011E-2</v>
      </c>
    </row>
    <row r="120" spans="1:26" ht="14.25" customHeight="1" x14ac:dyDescent="0.2">
      <c r="A120" s="918" t="s">
        <v>139</v>
      </c>
      <c r="B120" s="919"/>
      <c r="C120" s="919"/>
      <c r="D120" s="919"/>
      <c r="E120" s="919"/>
      <c r="F120" s="919"/>
      <c r="G120" s="919"/>
      <c r="H120" s="919"/>
      <c r="I120" s="919"/>
      <c r="J120" s="919"/>
      <c r="K120" s="919"/>
      <c r="L120" s="919"/>
      <c r="M120" s="919"/>
      <c r="N120" s="919"/>
      <c r="O120" s="919"/>
      <c r="P120" s="919"/>
      <c r="Q120" s="919"/>
      <c r="R120" s="920"/>
    </row>
    <row r="121" spans="1:26" ht="24" customHeight="1" x14ac:dyDescent="0.15">
      <c r="A121" s="100"/>
      <c r="B121" s="101" t="s">
        <v>107</v>
      </c>
      <c r="C121" s="377"/>
      <c r="D121" s="102" t="s">
        <v>109</v>
      </c>
      <c r="E121" s="923" t="s">
        <v>136</v>
      </c>
      <c r="F121" s="924"/>
      <c r="G121" s="378"/>
      <c r="H121" s="379"/>
      <c r="I121" s="275" t="s">
        <v>112</v>
      </c>
      <c r="J121" s="103" t="s">
        <v>113</v>
      </c>
      <c r="K121" s="104" t="s">
        <v>114</v>
      </c>
      <c r="L121" s="101" t="s">
        <v>115</v>
      </c>
      <c r="M121" s="921" t="s">
        <v>116</v>
      </c>
      <c r="N121" s="922"/>
      <c r="O121" s="380" t="s">
        <v>140</v>
      </c>
      <c r="P121" s="380" t="s">
        <v>118</v>
      </c>
      <c r="Q121" s="107" t="s">
        <v>119</v>
      </c>
      <c r="R121" s="276" t="s">
        <v>120</v>
      </c>
      <c r="S121" s="100"/>
      <c r="T121" s="100"/>
      <c r="U121" s="100"/>
      <c r="V121" s="100"/>
      <c r="W121" s="100"/>
      <c r="X121" s="100"/>
      <c r="Y121" s="100"/>
      <c r="Z121" s="100"/>
    </row>
    <row r="122" spans="1:26" ht="12.75" hidden="1" customHeight="1" x14ac:dyDescent="0.15">
      <c r="A122" s="14" t="s">
        <v>90</v>
      </c>
      <c r="B122" s="282">
        <f t="shared" ref="B122:B127" si="37">B3/C64</f>
        <v>342.34537166900418</v>
      </c>
      <c r="C122" s="381"/>
      <c r="D122" s="382">
        <f t="shared" ref="D122:D127" si="38">D3/E64</f>
        <v>275.43304647160068</v>
      </c>
      <c r="E122" s="950"/>
      <c r="F122" s="913"/>
      <c r="G122" s="929"/>
      <c r="H122" s="930"/>
      <c r="I122" s="115">
        <f t="shared" ref="I122:I130" si="39">B122-J122</f>
        <v>-160877.65462833099</v>
      </c>
      <c r="J122" s="112">
        <v>161220</v>
      </c>
      <c r="K122" s="383"/>
      <c r="L122" s="282">
        <f t="shared" ref="L122:L127" si="40">L3/M64</f>
        <v>-24409224.999999978</v>
      </c>
      <c r="M122" s="112">
        <f t="shared" ref="M122:M177" si="41">B122-D122</f>
        <v>66.912325197403504</v>
      </c>
      <c r="N122" s="113">
        <f t="shared" ref="N122:N151" si="42">(B122-D122)/D122</f>
        <v>0.24293499293049678</v>
      </c>
      <c r="O122" s="123"/>
      <c r="P122" s="123"/>
      <c r="Q122" s="147"/>
      <c r="R122" s="147"/>
    </row>
    <row r="123" spans="1:26" ht="12.75" hidden="1" customHeight="1" x14ac:dyDescent="0.15">
      <c r="A123" s="14" t="s">
        <v>123</v>
      </c>
      <c r="B123" s="282">
        <f t="shared" si="37"/>
        <v>348.2988192552225</v>
      </c>
      <c r="C123" s="381"/>
      <c r="D123" s="382">
        <f t="shared" si="38"/>
        <v>274.60645867542416</v>
      </c>
      <c r="E123" s="940"/>
      <c r="F123" s="899"/>
      <c r="G123" s="929"/>
      <c r="H123" s="930"/>
      <c r="I123" s="115">
        <f t="shared" si="39"/>
        <v>-160871.70118074477</v>
      </c>
      <c r="J123" s="112">
        <v>161220</v>
      </c>
      <c r="K123" s="111"/>
      <c r="L123" s="282">
        <f t="shared" si="40"/>
        <v>6972309.0909090918</v>
      </c>
      <c r="M123" s="112">
        <f t="shared" si="41"/>
        <v>73.692360579798333</v>
      </c>
      <c r="N123" s="113">
        <f t="shared" si="42"/>
        <v>0.26835625401986735</v>
      </c>
      <c r="O123" s="123"/>
      <c r="P123" s="123"/>
      <c r="Q123" s="147"/>
      <c r="R123" s="147"/>
    </row>
    <row r="124" spans="1:26" ht="12.75" hidden="1" customHeight="1" x14ac:dyDescent="0.15">
      <c r="A124" s="14" t="s">
        <v>124</v>
      </c>
      <c r="B124" s="282">
        <f t="shared" si="37"/>
        <v>314.31170731707317</v>
      </c>
      <c r="C124" s="381"/>
      <c r="D124" s="382">
        <f t="shared" si="38"/>
        <v>270.62832310838445</v>
      </c>
      <c r="E124" s="940"/>
      <c r="F124" s="899"/>
      <c r="G124" s="929"/>
      <c r="H124" s="930"/>
      <c r="I124" s="115">
        <f t="shared" si="39"/>
        <v>-160905.68829268293</v>
      </c>
      <c r="J124" s="112">
        <v>161220</v>
      </c>
      <c r="K124" s="111"/>
      <c r="L124" s="282" t="e">
        <f t="shared" si="40"/>
        <v>#DIV/0!</v>
      </c>
      <c r="M124" s="112">
        <f t="shared" si="41"/>
        <v>43.683384208688722</v>
      </c>
      <c r="N124" s="113">
        <f t="shared" si="42"/>
        <v>0.16141468013011293</v>
      </c>
      <c r="O124" s="123"/>
      <c r="P124" s="123"/>
      <c r="Q124" s="147"/>
      <c r="R124" s="147"/>
    </row>
    <row r="125" spans="1:26" ht="12.75" hidden="1" customHeight="1" x14ac:dyDescent="0.15">
      <c r="A125" s="14" t="s">
        <v>125</v>
      </c>
      <c r="B125" s="282">
        <f t="shared" si="37"/>
        <v>290.59879584017517</v>
      </c>
      <c r="C125" s="381"/>
      <c r="D125" s="382">
        <f t="shared" si="38"/>
        <v>233.70154043645701</v>
      </c>
      <c r="E125" s="940"/>
      <c r="F125" s="899"/>
      <c r="G125" s="929"/>
      <c r="H125" s="930"/>
      <c r="I125" s="115">
        <f t="shared" si="39"/>
        <v>-160929.40120415983</v>
      </c>
      <c r="J125" s="112">
        <v>161220</v>
      </c>
      <c r="K125" s="111"/>
      <c r="L125" s="282">
        <f t="shared" si="40"/>
        <v>10618480.000000015</v>
      </c>
      <c r="M125" s="112">
        <f t="shared" si="41"/>
        <v>56.897255403718162</v>
      </c>
      <c r="N125" s="113">
        <f t="shared" si="42"/>
        <v>0.24346119113060966</v>
      </c>
      <c r="O125" s="123"/>
      <c r="P125" s="123"/>
      <c r="Q125" s="147"/>
      <c r="R125" s="147"/>
    </row>
    <row r="126" spans="1:26" ht="12.75" hidden="1" customHeight="1" x14ac:dyDescent="0.15">
      <c r="A126" s="14" t="s">
        <v>126</v>
      </c>
      <c r="B126" s="282">
        <f t="shared" si="37"/>
        <v>295.48810058374494</v>
      </c>
      <c r="C126" s="381"/>
      <c r="D126" s="382">
        <f t="shared" si="38"/>
        <v>258.15519253208868</v>
      </c>
      <c r="E126" s="940"/>
      <c r="F126" s="899"/>
      <c r="G126" s="929"/>
      <c r="H126" s="930"/>
      <c r="I126" s="115">
        <f t="shared" si="39"/>
        <v>-160924.51189941625</v>
      </c>
      <c r="J126" s="112">
        <v>161220</v>
      </c>
      <c r="K126" s="111"/>
      <c r="L126" s="282">
        <f t="shared" si="40"/>
        <v>4700371.4285714319</v>
      </c>
      <c r="M126" s="112">
        <f t="shared" si="41"/>
        <v>37.332908051656261</v>
      </c>
      <c r="N126" s="113">
        <f t="shared" si="42"/>
        <v>0.14461420545324025</v>
      </c>
      <c r="O126" s="123"/>
      <c r="P126" s="123"/>
      <c r="Q126" s="147"/>
      <c r="R126" s="147"/>
    </row>
    <row r="127" spans="1:26" ht="12.75" hidden="1" customHeight="1" x14ac:dyDescent="0.15">
      <c r="A127" s="14" t="s">
        <v>127</v>
      </c>
      <c r="B127" s="282">
        <f t="shared" si="37"/>
        <v>301.05898745935906</v>
      </c>
      <c r="C127" s="381"/>
      <c r="D127" s="382">
        <f t="shared" si="38"/>
        <v>247.96024985803521</v>
      </c>
      <c r="E127" s="940"/>
      <c r="F127" s="899"/>
      <c r="G127" s="929"/>
      <c r="H127" s="930"/>
      <c r="I127" s="115">
        <f t="shared" si="39"/>
        <v>-209822.94101254063</v>
      </c>
      <c r="J127" s="112">
        <v>210124</v>
      </c>
      <c r="K127" s="111"/>
      <c r="L127" s="282">
        <f t="shared" si="40"/>
        <v>5892545.4545454551</v>
      </c>
      <c r="M127" s="112">
        <f t="shared" si="41"/>
        <v>53.098737601323847</v>
      </c>
      <c r="N127" s="113">
        <f t="shared" si="42"/>
        <v>0.21414213621628664</v>
      </c>
      <c r="O127" s="123"/>
      <c r="P127" s="123"/>
      <c r="Q127" s="147"/>
      <c r="R127" s="147"/>
    </row>
    <row r="128" spans="1:26" ht="12.75" hidden="1" customHeight="1" x14ac:dyDescent="0.15">
      <c r="A128" s="14" t="s">
        <v>128</v>
      </c>
      <c r="B128" s="282">
        <f>(398+331)/2</f>
        <v>364.5</v>
      </c>
      <c r="C128" s="381"/>
      <c r="D128" s="382">
        <v>280</v>
      </c>
      <c r="E128" s="940"/>
      <c r="F128" s="899"/>
      <c r="G128" s="929"/>
      <c r="H128" s="930"/>
      <c r="I128" s="115">
        <f t="shared" si="39"/>
        <v>-288411.5</v>
      </c>
      <c r="J128" s="112">
        <v>288776</v>
      </c>
      <c r="K128" s="111"/>
      <c r="L128" s="282">
        <f>(398+331)/2</f>
        <v>364.5</v>
      </c>
      <c r="M128" s="112">
        <f t="shared" si="41"/>
        <v>84.5</v>
      </c>
      <c r="N128" s="113">
        <f t="shared" si="42"/>
        <v>0.30178571428571427</v>
      </c>
      <c r="O128" s="123"/>
      <c r="P128" s="123"/>
      <c r="Q128" s="147"/>
      <c r="R128" s="147"/>
    </row>
    <row r="129" spans="1:18" ht="12.75" hidden="1" customHeight="1" x14ac:dyDescent="0.15">
      <c r="A129" s="14" t="s">
        <v>129</v>
      </c>
      <c r="B129" s="282">
        <f>910865/1838</f>
        <v>495.57399347116433</v>
      </c>
      <c r="C129" s="381"/>
      <c r="D129" s="382">
        <f t="shared" ref="D129:D132" si="43">D10/E71</f>
        <v>275.95182291666669</v>
      </c>
      <c r="E129" s="940"/>
      <c r="F129" s="899"/>
      <c r="G129" s="929"/>
      <c r="H129" s="930"/>
      <c r="I129" s="115">
        <f t="shared" si="39"/>
        <v>-213230.42600652884</v>
      </c>
      <c r="J129" s="112">
        <v>213726</v>
      </c>
      <c r="K129" s="111"/>
      <c r="L129" s="282">
        <f>910865/1838</f>
        <v>495.57399347116433</v>
      </c>
      <c r="M129" s="112">
        <f t="shared" si="41"/>
        <v>219.62217055449764</v>
      </c>
      <c r="N129" s="113">
        <f t="shared" si="42"/>
        <v>0.79587142506690467</v>
      </c>
      <c r="O129" s="123"/>
      <c r="P129" s="123"/>
      <c r="Q129" s="147"/>
      <c r="R129" s="147"/>
    </row>
    <row r="130" spans="1:18" ht="12.75" hidden="1" customHeight="1" x14ac:dyDescent="0.15">
      <c r="A130" s="14" t="s">
        <v>86</v>
      </c>
      <c r="B130" s="282">
        <f>1045436/1860</f>
        <v>562.06236559139779</v>
      </c>
      <c r="C130" s="381"/>
      <c r="D130" s="382">
        <f t="shared" si="43"/>
        <v>281.75402046783626</v>
      </c>
      <c r="E130" s="940"/>
      <c r="F130" s="899"/>
      <c r="G130" s="929"/>
      <c r="H130" s="930"/>
      <c r="I130" s="124">
        <f t="shared" si="39"/>
        <v>-160347.93763440859</v>
      </c>
      <c r="J130" s="124">
        <v>160910</v>
      </c>
      <c r="K130" s="111"/>
      <c r="L130" s="282">
        <f>1045436/1860</f>
        <v>562.06236559139779</v>
      </c>
      <c r="M130" s="112">
        <f t="shared" si="41"/>
        <v>280.30834512356154</v>
      </c>
      <c r="N130" s="113">
        <f t="shared" si="42"/>
        <v>0.99486901609469758</v>
      </c>
      <c r="O130" s="123"/>
      <c r="P130" s="123"/>
      <c r="Q130" s="147"/>
      <c r="R130" s="147"/>
    </row>
    <row r="131" spans="1:18" ht="12.75" hidden="1" customHeight="1" x14ac:dyDescent="0.15">
      <c r="A131" s="14" t="s">
        <v>87</v>
      </c>
      <c r="B131" s="282">
        <f>1178518/1966</f>
        <v>599.44964394710075</v>
      </c>
      <c r="C131" s="381"/>
      <c r="D131" s="382">
        <f t="shared" si="43"/>
        <v>335.69468085106382</v>
      </c>
      <c r="E131" s="940"/>
      <c r="F131" s="899"/>
      <c r="G131" s="929"/>
      <c r="H131" s="930"/>
      <c r="I131" s="124"/>
      <c r="J131" s="124"/>
      <c r="K131" s="111"/>
      <c r="L131" s="282">
        <f>1178518/1966</f>
        <v>599.44964394710075</v>
      </c>
      <c r="M131" s="112">
        <f t="shared" si="41"/>
        <v>263.75496309603693</v>
      </c>
      <c r="N131" s="113">
        <f t="shared" si="42"/>
        <v>0.7856989643903709</v>
      </c>
      <c r="O131" s="123"/>
      <c r="P131" s="123"/>
      <c r="Q131" s="147"/>
      <c r="R131" s="147"/>
    </row>
    <row r="132" spans="1:18" ht="12.75" hidden="1" customHeight="1" x14ac:dyDescent="0.15">
      <c r="A132" s="14" t="s">
        <v>88</v>
      </c>
      <c r="B132" s="282">
        <f>989940/1657</f>
        <v>597.42908871454438</v>
      </c>
      <c r="C132" s="381"/>
      <c r="D132" s="382">
        <f t="shared" si="43"/>
        <v>340.86603567528215</v>
      </c>
      <c r="E132" s="940"/>
      <c r="F132" s="899"/>
      <c r="G132" s="929"/>
      <c r="H132" s="930"/>
      <c r="I132" s="124"/>
      <c r="J132" s="124"/>
      <c r="K132" s="111"/>
      <c r="L132" s="282">
        <f>989940/1657</f>
        <v>597.42908871454438</v>
      </c>
      <c r="M132" s="112">
        <f t="shared" si="41"/>
        <v>256.56305303926223</v>
      </c>
      <c r="N132" s="113">
        <f t="shared" si="42"/>
        <v>0.75268001556972619</v>
      </c>
      <c r="O132" s="123"/>
      <c r="P132" s="123"/>
      <c r="Q132" s="147"/>
      <c r="R132" s="147"/>
    </row>
    <row r="133" spans="1:18" ht="12.75" hidden="1" customHeight="1" x14ac:dyDescent="0.15">
      <c r="A133" s="14" t="s">
        <v>89</v>
      </c>
      <c r="B133" s="282">
        <f>1103333/1889</f>
        <v>584.08311275807307</v>
      </c>
      <c r="C133" s="381"/>
      <c r="D133" s="382">
        <f>D13/E75</f>
        <v>344.62973868237026</v>
      </c>
      <c r="E133" s="940"/>
      <c r="F133" s="899"/>
      <c r="G133" s="929"/>
      <c r="H133" s="930"/>
      <c r="I133" s="124"/>
      <c r="J133" s="124"/>
      <c r="K133" s="111"/>
      <c r="L133" s="282">
        <f>1103333/1889</f>
        <v>584.08311275807307</v>
      </c>
      <c r="M133" s="112">
        <f t="shared" si="41"/>
        <v>239.45337407570281</v>
      </c>
      <c r="N133" s="113">
        <f t="shared" si="42"/>
        <v>0.69481343946465468</v>
      </c>
      <c r="O133" s="123"/>
      <c r="P133" s="123"/>
      <c r="Q133" s="147"/>
      <c r="R133" s="147"/>
    </row>
    <row r="134" spans="1:18" ht="12.75" hidden="1" customHeight="1" x14ac:dyDescent="0.15">
      <c r="A134" s="137" t="s">
        <v>129</v>
      </c>
      <c r="B134" s="384">
        <v>675</v>
      </c>
      <c r="C134" s="381"/>
      <c r="D134" s="385">
        <v>614</v>
      </c>
      <c r="E134" s="938"/>
      <c r="F134" s="899"/>
      <c r="G134" s="929"/>
      <c r="H134" s="930"/>
      <c r="I134" s="142"/>
      <c r="J134" s="142"/>
      <c r="K134" s="386"/>
      <c r="L134" s="384">
        <v>675</v>
      </c>
      <c r="M134" s="130">
        <f t="shared" si="41"/>
        <v>61</v>
      </c>
      <c r="N134" s="131">
        <f t="shared" si="42"/>
        <v>9.93485342019544E-2</v>
      </c>
      <c r="O134" s="123"/>
      <c r="P134" s="123"/>
      <c r="Q134" s="147"/>
      <c r="R134" s="147"/>
    </row>
    <row r="135" spans="1:18" ht="12.75" hidden="1" customHeight="1" x14ac:dyDescent="0.15">
      <c r="A135" s="137" t="s">
        <v>86</v>
      </c>
      <c r="B135" s="384">
        <v>810</v>
      </c>
      <c r="C135" s="381"/>
      <c r="D135" s="385">
        <f>D17/E77</f>
        <v>791.26261467889913</v>
      </c>
      <c r="E135" s="938"/>
      <c r="F135" s="899"/>
      <c r="G135" s="929"/>
      <c r="H135" s="930"/>
      <c r="I135" s="142"/>
      <c r="J135" s="142"/>
      <c r="K135" s="386"/>
      <c r="L135" s="384">
        <v>810</v>
      </c>
      <c r="M135" s="143">
        <f t="shared" si="41"/>
        <v>18.737385321100874</v>
      </c>
      <c r="N135" s="140">
        <f t="shared" si="42"/>
        <v>2.3680362212872473E-2</v>
      </c>
      <c r="O135" s="123"/>
      <c r="P135" s="123"/>
      <c r="Q135" s="147"/>
      <c r="R135" s="147"/>
    </row>
    <row r="136" spans="1:18" ht="12.75" hidden="1" customHeight="1" x14ac:dyDescent="0.15">
      <c r="A136" s="137" t="s">
        <v>87</v>
      </c>
      <c r="B136" s="384">
        <v>978</v>
      </c>
      <c r="C136" s="381"/>
      <c r="D136" s="385">
        <v>722</v>
      </c>
      <c r="E136" s="938"/>
      <c r="F136" s="899"/>
      <c r="G136" s="929"/>
      <c r="H136" s="930"/>
      <c r="I136" s="142"/>
      <c r="J136" s="142"/>
      <c r="K136" s="386"/>
      <c r="L136" s="384">
        <v>978</v>
      </c>
      <c r="M136" s="143">
        <f t="shared" si="41"/>
        <v>256</v>
      </c>
      <c r="N136" s="140">
        <f t="shared" si="42"/>
        <v>0.35457063711911357</v>
      </c>
      <c r="O136" s="123"/>
      <c r="P136" s="123"/>
      <c r="Q136" s="147"/>
      <c r="R136" s="147"/>
    </row>
    <row r="137" spans="1:18" ht="12.75" hidden="1" customHeight="1" x14ac:dyDescent="0.15">
      <c r="A137" s="137" t="s">
        <v>88</v>
      </c>
      <c r="B137" s="384">
        <v>857</v>
      </c>
      <c r="C137" s="381"/>
      <c r="D137" s="385">
        <f t="shared" ref="D137:D138" si="44">D19/E79</f>
        <v>690.72410358565742</v>
      </c>
      <c r="E137" s="938"/>
      <c r="F137" s="899"/>
      <c r="G137" s="929"/>
      <c r="H137" s="930"/>
      <c r="I137" s="142"/>
      <c r="J137" s="142"/>
      <c r="K137" s="145"/>
      <c r="L137" s="384">
        <v>857</v>
      </c>
      <c r="M137" s="143">
        <f t="shared" si="41"/>
        <v>166.27589641434258</v>
      </c>
      <c r="N137" s="140">
        <f t="shared" si="42"/>
        <v>0.2407269350398781</v>
      </c>
      <c r="O137" s="123"/>
      <c r="P137" s="123"/>
      <c r="Q137" s="147"/>
      <c r="R137" s="147"/>
    </row>
    <row r="138" spans="1:18" ht="12.75" hidden="1" customHeight="1" x14ac:dyDescent="0.15">
      <c r="A138" s="137" t="s">
        <v>89</v>
      </c>
      <c r="B138" s="384">
        <v>991</v>
      </c>
      <c r="C138" s="381"/>
      <c r="D138" s="385">
        <f t="shared" si="44"/>
        <v>925.07549584133073</v>
      </c>
      <c r="E138" s="938"/>
      <c r="F138" s="899"/>
      <c r="G138" s="929"/>
      <c r="H138" s="930"/>
      <c r="I138" s="142"/>
      <c r="J138" s="142"/>
      <c r="K138" s="144"/>
      <c r="L138" s="384">
        <v>991</v>
      </c>
      <c r="M138" s="143">
        <f t="shared" si="41"/>
        <v>65.924504158669265</v>
      </c>
      <c r="N138" s="140">
        <f t="shared" si="42"/>
        <v>7.1263917869441279E-2</v>
      </c>
      <c r="O138" s="123"/>
      <c r="P138" s="123"/>
      <c r="Q138" s="147"/>
      <c r="R138" s="147"/>
    </row>
    <row r="139" spans="1:18" ht="12.75" hidden="1" customHeight="1" x14ac:dyDescent="0.15">
      <c r="A139" s="137" t="s">
        <v>90</v>
      </c>
      <c r="B139" s="384">
        <v>956</v>
      </c>
      <c r="C139" s="381"/>
      <c r="D139" s="385">
        <v>840</v>
      </c>
      <c r="E139" s="939"/>
      <c r="F139" s="899"/>
      <c r="G139" s="929"/>
      <c r="H139" s="930"/>
      <c r="I139" s="142"/>
      <c r="J139" s="142"/>
      <c r="K139" s="145"/>
      <c r="L139" s="384">
        <v>956</v>
      </c>
      <c r="M139" s="143">
        <f t="shared" si="41"/>
        <v>116</v>
      </c>
      <c r="N139" s="140">
        <f t="shared" si="42"/>
        <v>0.1380952380952381</v>
      </c>
      <c r="O139" s="123"/>
      <c r="P139" s="123"/>
      <c r="Q139" s="147"/>
      <c r="R139" s="147"/>
    </row>
    <row r="140" spans="1:18" ht="12.75" hidden="1" customHeight="1" x14ac:dyDescent="0.15">
      <c r="A140" s="137" t="s">
        <v>123</v>
      </c>
      <c r="B140" s="384">
        <v>735</v>
      </c>
      <c r="C140" s="381"/>
      <c r="D140" s="385">
        <v>733</v>
      </c>
      <c r="E140" s="939"/>
      <c r="F140" s="899"/>
      <c r="G140" s="929"/>
      <c r="H140" s="930"/>
      <c r="I140" s="142"/>
      <c r="J140" s="142"/>
      <c r="K140" s="144"/>
      <c r="L140" s="384">
        <v>735</v>
      </c>
      <c r="M140" s="143">
        <f t="shared" si="41"/>
        <v>2</v>
      </c>
      <c r="N140" s="140">
        <f t="shared" si="42"/>
        <v>2.7285129604365621E-3</v>
      </c>
      <c r="O140" s="123"/>
      <c r="P140" s="123"/>
      <c r="Q140" s="147"/>
      <c r="R140" s="147"/>
    </row>
    <row r="141" spans="1:18" ht="12.75" hidden="1" customHeight="1" x14ac:dyDescent="0.15">
      <c r="A141" s="14" t="s">
        <v>123</v>
      </c>
      <c r="B141" s="387">
        <v>1353</v>
      </c>
      <c r="C141" s="381"/>
      <c r="D141" s="388">
        <v>819.42</v>
      </c>
      <c r="E141" s="937"/>
      <c r="F141" s="905"/>
      <c r="G141" s="929"/>
      <c r="H141" s="930"/>
      <c r="I141" s="75"/>
      <c r="J141" s="75"/>
      <c r="K141" s="170">
        <f t="shared" ref="K141:K143" si="45">B141-L141</f>
        <v>0</v>
      </c>
      <c r="L141" s="387">
        <v>1353</v>
      </c>
      <c r="M141" s="146">
        <f t="shared" si="41"/>
        <v>533.58000000000004</v>
      </c>
      <c r="N141" s="140">
        <f t="shared" si="42"/>
        <v>0.65116789924580809</v>
      </c>
      <c r="O141" s="123"/>
      <c r="P141" s="123"/>
      <c r="Q141" s="147"/>
      <c r="R141" s="147"/>
    </row>
    <row r="142" spans="1:18" ht="12.75" hidden="1" customHeight="1" x14ac:dyDescent="0.15">
      <c r="A142" s="14" t="s">
        <v>124</v>
      </c>
      <c r="B142" s="387">
        <f t="shared" ref="B142:B143" si="46">B25/C85</f>
        <v>1144.7813765182186</v>
      </c>
      <c r="C142" s="381"/>
      <c r="D142" s="388">
        <v>1070.22</v>
      </c>
      <c r="E142" s="937"/>
      <c r="F142" s="905"/>
      <c r="G142" s="929"/>
      <c r="H142" s="930"/>
      <c r="I142" s="75"/>
      <c r="J142" s="75"/>
      <c r="K142" s="157">
        <f t="shared" si="45"/>
        <v>2571699.3268310642</v>
      </c>
      <c r="L142" s="387">
        <f t="shared" ref="L142:L143" si="47">L25/M85</f>
        <v>-2570554.5454545459</v>
      </c>
      <c r="M142" s="154">
        <f t="shared" si="41"/>
        <v>74.561376518218594</v>
      </c>
      <c r="N142" s="150">
        <f t="shared" si="42"/>
        <v>6.9669204946850735E-2</v>
      </c>
      <c r="O142" s="123"/>
      <c r="P142" s="123"/>
      <c r="Q142" s="147"/>
      <c r="R142" s="147"/>
    </row>
    <row r="143" spans="1:18" ht="12.75" hidden="1" customHeight="1" x14ac:dyDescent="0.15">
      <c r="A143" s="14" t="s">
        <v>131</v>
      </c>
      <c r="B143" s="387">
        <f t="shared" si="46"/>
        <v>989.83636363636367</v>
      </c>
      <c r="C143" s="381"/>
      <c r="D143" s="388">
        <v>645.02</v>
      </c>
      <c r="E143" s="937"/>
      <c r="F143" s="905"/>
      <c r="G143" s="929"/>
      <c r="H143" s="930"/>
      <c r="I143" s="75"/>
      <c r="J143" s="75"/>
      <c r="K143" s="157">
        <f t="shared" si="45"/>
        <v>2178629.8363636355</v>
      </c>
      <c r="L143" s="387">
        <f t="shared" si="47"/>
        <v>-2177639.9999999991</v>
      </c>
      <c r="M143" s="158">
        <f t="shared" si="41"/>
        <v>344.81636363636369</v>
      </c>
      <c r="N143" s="155">
        <f t="shared" si="42"/>
        <v>0.53458243719010834</v>
      </c>
      <c r="O143" s="123"/>
      <c r="P143" s="123"/>
      <c r="Q143" s="147"/>
      <c r="R143" s="147"/>
    </row>
    <row r="144" spans="1:18" ht="12.75" hidden="1" customHeight="1" x14ac:dyDescent="0.15">
      <c r="A144" s="159" t="s">
        <v>126</v>
      </c>
      <c r="B144" s="389">
        <v>1044.3800000000001</v>
      </c>
      <c r="C144" s="381"/>
      <c r="D144" s="390">
        <v>913.34</v>
      </c>
      <c r="E144" s="951"/>
      <c r="F144" s="899"/>
      <c r="G144" s="929"/>
      <c r="H144" s="930"/>
      <c r="I144" s="164"/>
      <c r="J144" s="164"/>
      <c r="K144" s="391"/>
      <c r="L144" s="389">
        <v>1044.3800000000001</v>
      </c>
      <c r="M144" s="158">
        <f t="shared" si="41"/>
        <v>131.04000000000008</v>
      </c>
      <c r="N144" s="155">
        <f t="shared" si="42"/>
        <v>0.143473405303611</v>
      </c>
      <c r="O144" s="123"/>
      <c r="P144" s="123"/>
      <c r="Q144" s="147"/>
      <c r="R144" s="147"/>
    </row>
    <row r="145" spans="1:18" ht="12.75" hidden="1" customHeight="1" x14ac:dyDescent="0.15">
      <c r="A145" s="147" t="s">
        <v>17</v>
      </c>
      <c r="B145" s="392">
        <v>1061</v>
      </c>
      <c r="C145" s="381"/>
      <c r="D145" s="149">
        <v>1065.6600000000001</v>
      </c>
      <c r="E145" s="935"/>
      <c r="F145" s="899"/>
      <c r="G145" s="929"/>
      <c r="H145" s="930"/>
      <c r="I145" s="152"/>
      <c r="J145" s="152"/>
      <c r="K145" s="172"/>
      <c r="L145" s="392">
        <v>1061</v>
      </c>
      <c r="M145" s="158">
        <f t="shared" si="41"/>
        <v>-4.6600000000000819</v>
      </c>
      <c r="N145" s="155">
        <f t="shared" si="42"/>
        <v>-4.3728769025768834E-3</v>
      </c>
      <c r="O145" s="123"/>
      <c r="P145" s="123"/>
      <c r="Q145" s="147"/>
      <c r="R145" s="147"/>
    </row>
    <row r="146" spans="1:18" ht="12.75" hidden="1" customHeight="1" x14ac:dyDescent="0.15">
      <c r="A146" s="14" t="s">
        <v>7</v>
      </c>
      <c r="B146" s="393">
        <v>1178</v>
      </c>
      <c r="C146" s="381"/>
      <c r="D146" s="73">
        <v>1114</v>
      </c>
      <c r="E146" s="933"/>
      <c r="F146" s="905"/>
      <c r="G146" s="929"/>
      <c r="H146" s="930"/>
      <c r="I146" s="75"/>
      <c r="J146" s="75"/>
      <c r="K146" s="394">
        <f t="shared" ref="K146:K150" si="48">B146-L146</f>
        <v>0</v>
      </c>
      <c r="L146" s="393">
        <v>1178</v>
      </c>
      <c r="M146" s="166">
        <f t="shared" si="41"/>
        <v>64</v>
      </c>
      <c r="N146" s="162">
        <f t="shared" si="42"/>
        <v>5.7450628366247758E-2</v>
      </c>
      <c r="O146" s="123"/>
      <c r="P146" s="123"/>
      <c r="Q146" s="147"/>
      <c r="R146" s="147"/>
    </row>
    <row r="147" spans="1:18" ht="12.75" hidden="1" customHeight="1" x14ac:dyDescent="0.15">
      <c r="A147" s="14" t="s">
        <v>8</v>
      </c>
      <c r="B147" s="393">
        <v>1479</v>
      </c>
      <c r="C147" s="381"/>
      <c r="D147" s="73">
        <v>1555.34</v>
      </c>
      <c r="E147" s="934"/>
      <c r="F147" s="905"/>
      <c r="G147" s="929"/>
      <c r="H147" s="930"/>
      <c r="I147" s="75"/>
      <c r="J147" s="75"/>
      <c r="K147" s="170">
        <f t="shared" si="48"/>
        <v>0</v>
      </c>
      <c r="L147" s="393">
        <v>1479</v>
      </c>
      <c r="M147" s="168">
        <f t="shared" si="41"/>
        <v>-76.339999999999918</v>
      </c>
      <c r="N147" s="150">
        <f t="shared" si="42"/>
        <v>-4.9082515720035441E-2</v>
      </c>
      <c r="O147" s="123"/>
      <c r="P147" s="123"/>
      <c r="Q147" s="147"/>
      <c r="R147" s="147"/>
    </row>
    <row r="148" spans="1:18" ht="12.75" hidden="1" customHeight="1" x14ac:dyDescent="0.15">
      <c r="A148" s="147" t="s">
        <v>9</v>
      </c>
      <c r="B148" s="392">
        <v>1573</v>
      </c>
      <c r="C148" s="381"/>
      <c r="D148" s="149">
        <v>1663.32</v>
      </c>
      <c r="E148" s="935"/>
      <c r="F148" s="899"/>
      <c r="G148" s="929"/>
      <c r="H148" s="930"/>
      <c r="I148" s="152"/>
      <c r="J148" s="152"/>
      <c r="K148" s="153">
        <f t="shared" si="48"/>
        <v>0</v>
      </c>
      <c r="L148" s="392">
        <v>1573</v>
      </c>
      <c r="M148" s="158">
        <f t="shared" si="41"/>
        <v>-90.319999999999936</v>
      </c>
      <c r="N148" s="155">
        <f t="shared" si="42"/>
        <v>-5.4301036481254325E-2</v>
      </c>
      <c r="O148" s="123"/>
      <c r="P148" s="123"/>
      <c r="Q148" s="147"/>
      <c r="R148" s="147"/>
    </row>
    <row r="149" spans="1:18" ht="12.75" hidden="1" customHeight="1" x14ac:dyDescent="0.15">
      <c r="A149" s="147" t="s">
        <v>10</v>
      </c>
      <c r="B149" s="392">
        <v>2080</v>
      </c>
      <c r="C149" s="381"/>
      <c r="D149" s="149">
        <v>2438.0100000000002</v>
      </c>
      <c r="E149" s="935"/>
      <c r="F149" s="899"/>
      <c r="G149" s="929"/>
      <c r="H149" s="930"/>
      <c r="I149" s="152"/>
      <c r="J149" s="152"/>
      <c r="K149" s="172">
        <f t="shared" si="48"/>
        <v>0</v>
      </c>
      <c r="L149" s="392">
        <v>2080</v>
      </c>
      <c r="M149" s="158">
        <f t="shared" si="41"/>
        <v>-358.01000000000022</v>
      </c>
      <c r="N149" s="155">
        <f t="shared" si="42"/>
        <v>-0.14684517290741228</v>
      </c>
      <c r="O149" s="123"/>
      <c r="P149" s="123"/>
      <c r="Q149" s="147"/>
      <c r="R149" s="147"/>
    </row>
    <row r="150" spans="1:18" ht="12.75" hidden="1" customHeight="1" x14ac:dyDescent="0.15">
      <c r="A150" s="173" t="s">
        <v>14</v>
      </c>
      <c r="B150" s="395">
        <v>2089</v>
      </c>
      <c r="C150" s="381"/>
      <c r="D150" s="177">
        <v>1614.78</v>
      </c>
      <c r="E150" s="936"/>
      <c r="F150" s="899"/>
      <c r="G150" s="929"/>
      <c r="H150" s="930"/>
      <c r="I150" s="179"/>
      <c r="J150" s="179"/>
      <c r="K150" s="396">
        <f t="shared" si="48"/>
        <v>0</v>
      </c>
      <c r="L150" s="395">
        <v>2089</v>
      </c>
      <c r="M150" s="168">
        <f t="shared" si="41"/>
        <v>474.22</v>
      </c>
      <c r="N150" s="150">
        <f t="shared" si="42"/>
        <v>0.29367468014218656</v>
      </c>
      <c r="O150" s="123"/>
      <c r="P150" s="123"/>
      <c r="Q150" s="147"/>
      <c r="R150" s="147"/>
    </row>
    <row r="151" spans="1:18" ht="12.75" hidden="1" customHeight="1" x14ac:dyDescent="0.15">
      <c r="A151" s="14" t="s">
        <v>11</v>
      </c>
      <c r="B151" s="393">
        <v>1937</v>
      </c>
      <c r="C151" s="381"/>
      <c r="D151" s="73">
        <v>1541</v>
      </c>
      <c r="E151" s="937"/>
      <c r="F151" s="905"/>
      <c r="G151" s="929"/>
      <c r="H151" s="930"/>
      <c r="I151" s="75"/>
      <c r="J151" s="75"/>
      <c r="K151" s="183">
        <v>5</v>
      </c>
      <c r="L151" s="393">
        <v>1937</v>
      </c>
      <c r="M151" s="168">
        <f t="shared" si="41"/>
        <v>396</v>
      </c>
      <c r="N151" s="150">
        <f t="shared" si="42"/>
        <v>0.25697598961713175</v>
      </c>
      <c r="O151" s="123"/>
      <c r="P151" s="123"/>
      <c r="Q151" s="147"/>
      <c r="R151" s="147"/>
    </row>
    <row r="152" spans="1:18" ht="11.25" hidden="1" customHeight="1" x14ac:dyDescent="0.15">
      <c r="A152" s="14" t="s">
        <v>132</v>
      </c>
      <c r="B152" s="393">
        <v>1543</v>
      </c>
      <c r="C152" s="381"/>
      <c r="D152" s="73">
        <v>1349</v>
      </c>
      <c r="E152" s="937"/>
      <c r="F152" s="905"/>
      <c r="G152" s="929"/>
      <c r="H152" s="930"/>
      <c r="I152" s="75"/>
      <c r="J152" s="75"/>
      <c r="K152" s="170">
        <f t="shared" ref="K152:K177" si="49">B152-L152</f>
        <v>0</v>
      </c>
      <c r="L152" s="393">
        <v>1543</v>
      </c>
      <c r="M152" s="181">
        <f t="shared" si="41"/>
        <v>194</v>
      </c>
      <c r="N152" s="176">
        <v>-0.57458598168705277</v>
      </c>
      <c r="O152" s="123"/>
      <c r="P152" s="123"/>
      <c r="Q152" s="147"/>
      <c r="R152" s="147"/>
    </row>
    <row r="153" spans="1:18" ht="12.75" hidden="1" customHeight="1" x14ac:dyDescent="0.15">
      <c r="A153" s="14" t="s">
        <v>123</v>
      </c>
      <c r="B153" s="393">
        <v>1377</v>
      </c>
      <c r="C153" s="381"/>
      <c r="D153" s="73">
        <v>1353</v>
      </c>
      <c r="E153" s="937"/>
      <c r="F153" s="905"/>
      <c r="G153" s="929"/>
      <c r="H153" s="930"/>
      <c r="I153" s="75"/>
      <c r="J153" s="75"/>
      <c r="K153" s="183">
        <f t="shared" si="49"/>
        <v>0</v>
      </c>
      <c r="L153" s="393">
        <v>1377</v>
      </c>
      <c r="M153" s="184">
        <f t="shared" si="41"/>
        <v>24</v>
      </c>
      <c r="N153" s="185">
        <f t="shared" ref="N153:N177" si="50">(B153-D153)/D153</f>
        <v>1.7738359201773836E-2</v>
      </c>
      <c r="O153" s="123"/>
      <c r="P153" s="123"/>
      <c r="Q153" s="147"/>
      <c r="R153" s="147"/>
    </row>
    <row r="154" spans="1:18" ht="9.75" hidden="1" customHeight="1" x14ac:dyDescent="0.15">
      <c r="A154" s="14" t="s">
        <v>124</v>
      </c>
      <c r="B154" s="393">
        <v>829</v>
      </c>
      <c r="C154" s="381"/>
      <c r="D154" s="73">
        <v>1224</v>
      </c>
      <c r="E154" s="934"/>
      <c r="F154" s="905"/>
      <c r="G154" s="929"/>
      <c r="H154" s="930"/>
      <c r="I154" s="75"/>
      <c r="J154" s="75"/>
      <c r="K154" s="183">
        <f t="shared" si="49"/>
        <v>0</v>
      </c>
      <c r="L154" s="393">
        <v>829</v>
      </c>
      <c r="M154" s="158">
        <f t="shared" si="41"/>
        <v>-395</v>
      </c>
      <c r="N154" s="155">
        <f t="shared" si="50"/>
        <v>-0.32271241830065361</v>
      </c>
      <c r="O154" s="123"/>
      <c r="P154" s="123"/>
      <c r="Q154" s="147"/>
      <c r="R154" s="147"/>
    </row>
    <row r="155" spans="1:18" ht="12" hidden="1" customHeight="1" x14ac:dyDescent="0.15">
      <c r="A155" s="188" t="s">
        <v>131</v>
      </c>
      <c r="B155" s="397">
        <v>1019</v>
      </c>
      <c r="C155" s="381"/>
      <c r="D155" s="193"/>
      <c r="E155" s="941"/>
      <c r="F155" s="899"/>
      <c r="G155" s="929"/>
      <c r="H155" s="930"/>
      <c r="I155" s="195"/>
      <c r="J155" s="195"/>
      <c r="K155" s="196">
        <f t="shared" si="49"/>
        <v>0</v>
      </c>
      <c r="L155" s="397">
        <v>1019</v>
      </c>
      <c r="M155" s="184">
        <f t="shared" si="41"/>
        <v>1019</v>
      </c>
      <c r="N155" s="155" t="e">
        <f t="shared" si="50"/>
        <v>#DIV/0!</v>
      </c>
      <c r="O155" s="123"/>
      <c r="P155" s="123"/>
      <c r="Q155" s="147"/>
      <c r="R155" s="147"/>
    </row>
    <row r="156" spans="1:18" ht="8.25" hidden="1" customHeight="1" x14ac:dyDescent="0.15">
      <c r="A156" s="188" t="s">
        <v>126</v>
      </c>
      <c r="B156" s="397">
        <v>787.8</v>
      </c>
      <c r="C156" s="381"/>
      <c r="D156" s="193"/>
      <c r="E156" s="941"/>
      <c r="F156" s="899"/>
      <c r="G156" s="929"/>
      <c r="H156" s="930"/>
      <c r="I156" s="195"/>
      <c r="J156" s="195"/>
      <c r="K156" s="398">
        <f t="shared" si="49"/>
        <v>0</v>
      </c>
      <c r="L156" s="397">
        <v>787.8</v>
      </c>
      <c r="M156" s="187">
        <f t="shared" si="41"/>
        <v>787.8</v>
      </c>
      <c r="N156" s="155" t="e">
        <f t="shared" si="50"/>
        <v>#DIV/0!</v>
      </c>
      <c r="O156" s="123"/>
      <c r="P156" s="123"/>
      <c r="Q156" s="147"/>
      <c r="R156" s="147"/>
    </row>
    <row r="157" spans="1:18" ht="6.75" hidden="1" customHeight="1" x14ac:dyDescent="0.15">
      <c r="A157" s="137" t="s">
        <v>127</v>
      </c>
      <c r="B157" s="399">
        <v>1010</v>
      </c>
      <c r="C157" s="381"/>
      <c r="D157" s="139">
        <v>1061</v>
      </c>
      <c r="E157" s="942">
        <f t="shared" ref="E157:E177" si="51">B157-D157</f>
        <v>-51</v>
      </c>
      <c r="F157" s="913"/>
      <c r="G157" s="929"/>
      <c r="H157" s="930"/>
      <c r="I157" s="142"/>
      <c r="J157" s="142"/>
      <c r="K157" s="386">
        <f t="shared" si="49"/>
        <v>0</v>
      </c>
      <c r="L157" s="399">
        <v>1010</v>
      </c>
      <c r="M157" s="196">
        <f t="shared" si="41"/>
        <v>-51</v>
      </c>
      <c r="N157" s="192">
        <f t="shared" si="50"/>
        <v>-4.8067860508953821E-2</v>
      </c>
      <c r="O157" s="123"/>
      <c r="P157" s="123"/>
      <c r="Q157" s="147"/>
      <c r="R157" s="147"/>
    </row>
    <row r="158" spans="1:18" ht="11.25" hidden="1" customHeight="1" x14ac:dyDescent="0.15">
      <c r="A158" s="57" t="s">
        <v>128</v>
      </c>
      <c r="B158" s="393">
        <v>949</v>
      </c>
      <c r="C158" s="381"/>
      <c r="D158" s="73">
        <v>1162</v>
      </c>
      <c r="E158" s="934">
        <f t="shared" si="51"/>
        <v>-213</v>
      </c>
      <c r="F158" s="905"/>
      <c r="G158" s="929"/>
      <c r="H158" s="930"/>
      <c r="I158" s="75"/>
      <c r="J158" s="75"/>
      <c r="K158" s="187">
        <f t="shared" si="49"/>
        <v>0</v>
      </c>
      <c r="L158" s="393">
        <v>949</v>
      </c>
      <c r="M158" s="197">
        <f t="shared" si="41"/>
        <v>-213</v>
      </c>
      <c r="N158" s="192">
        <f t="shared" si="50"/>
        <v>-0.18330464716006883</v>
      </c>
      <c r="O158" s="123"/>
      <c r="P158" s="123"/>
      <c r="Q158" s="147"/>
      <c r="R158" s="147"/>
    </row>
    <row r="159" spans="1:18" ht="12.75" hidden="1" customHeight="1" x14ac:dyDescent="0.15">
      <c r="A159" s="137" t="s">
        <v>129</v>
      </c>
      <c r="B159" s="399">
        <v>1030.4000000000001</v>
      </c>
      <c r="C159" s="381"/>
      <c r="D159" s="139">
        <v>1504</v>
      </c>
      <c r="E159" s="943">
        <f t="shared" si="51"/>
        <v>-473.59999999999991</v>
      </c>
      <c r="F159" s="899"/>
      <c r="G159" s="929"/>
      <c r="H159" s="930"/>
      <c r="I159" s="142"/>
      <c r="J159" s="142"/>
      <c r="K159" s="138">
        <f t="shared" si="49"/>
        <v>0</v>
      </c>
      <c r="L159" s="399">
        <v>1030.4000000000001</v>
      </c>
      <c r="M159" s="202">
        <f t="shared" si="41"/>
        <v>-473.59999999999991</v>
      </c>
      <c r="N159" s="140">
        <f t="shared" si="50"/>
        <v>-0.31489361702127655</v>
      </c>
      <c r="O159" s="123"/>
      <c r="P159" s="123"/>
      <c r="Q159" s="147"/>
      <c r="R159" s="147"/>
    </row>
    <row r="160" spans="1:18" ht="12.75" hidden="1" customHeight="1" x14ac:dyDescent="0.15">
      <c r="A160" s="57" t="s">
        <v>86</v>
      </c>
      <c r="B160" s="393">
        <v>1313.08</v>
      </c>
      <c r="C160" s="381"/>
      <c r="D160" s="73">
        <v>1573</v>
      </c>
      <c r="E160" s="934">
        <f t="shared" si="51"/>
        <v>-259.92000000000007</v>
      </c>
      <c r="F160" s="905"/>
      <c r="G160" s="929"/>
      <c r="H160" s="930"/>
      <c r="I160" s="75"/>
      <c r="J160" s="75"/>
      <c r="K160" s="183">
        <f t="shared" si="49"/>
        <v>0</v>
      </c>
      <c r="L160" s="393">
        <v>1313.08</v>
      </c>
      <c r="M160" s="204">
        <f t="shared" si="41"/>
        <v>-259.92000000000007</v>
      </c>
      <c r="N160" s="155">
        <f t="shared" si="50"/>
        <v>-0.16523839796567075</v>
      </c>
      <c r="O160" s="400">
        <v>1548</v>
      </c>
      <c r="P160" s="401">
        <f t="shared" ref="P160:P165" si="52">B160-O160</f>
        <v>-234.92000000000007</v>
      </c>
      <c r="Q160" s="147"/>
      <c r="R160" s="147"/>
    </row>
    <row r="161" spans="1:26" ht="12.75" hidden="1" customHeight="1" x14ac:dyDescent="0.15">
      <c r="A161" s="208" t="s">
        <v>87</v>
      </c>
      <c r="B161" s="402">
        <v>1631.02</v>
      </c>
      <c r="C161" s="381"/>
      <c r="D161" s="214">
        <v>2082</v>
      </c>
      <c r="E161" s="947">
        <f t="shared" si="51"/>
        <v>-450.98</v>
      </c>
      <c r="F161" s="899"/>
      <c r="G161" s="929"/>
      <c r="H161" s="930"/>
      <c r="I161" s="210"/>
      <c r="J161" s="210"/>
      <c r="K161" s="403">
        <f t="shared" si="49"/>
        <v>0</v>
      </c>
      <c r="L161" s="402">
        <v>1631.02</v>
      </c>
      <c r="M161" s="202">
        <f t="shared" si="41"/>
        <v>-450.98</v>
      </c>
      <c r="N161" s="140">
        <f t="shared" si="50"/>
        <v>-0.2166090297790586</v>
      </c>
      <c r="O161" s="404">
        <v>2136</v>
      </c>
      <c r="P161" s="405">
        <f t="shared" si="52"/>
        <v>-504.98</v>
      </c>
      <c r="Q161" s="147"/>
      <c r="R161" s="147"/>
      <c r="S161" s="208"/>
      <c r="T161" s="208"/>
      <c r="U161" s="208"/>
      <c r="V161" s="208"/>
      <c r="W161" s="208"/>
      <c r="X161" s="208"/>
      <c r="Y161" s="208"/>
      <c r="Z161" s="208"/>
    </row>
    <row r="162" spans="1:26" ht="12.75" hidden="1" customHeight="1" x14ac:dyDescent="0.15">
      <c r="A162" s="57" t="s">
        <v>88</v>
      </c>
      <c r="B162" s="406">
        <v>1640</v>
      </c>
      <c r="C162" s="381"/>
      <c r="D162" s="112">
        <v>2089.6</v>
      </c>
      <c r="E162" s="948">
        <f t="shared" si="51"/>
        <v>-449.59999999999991</v>
      </c>
      <c r="F162" s="899"/>
      <c r="G162" s="929"/>
      <c r="H162" s="930"/>
      <c r="I162" s="124"/>
      <c r="J162" s="124"/>
      <c r="K162" s="407">
        <f t="shared" si="49"/>
        <v>0</v>
      </c>
      <c r="L162" s="406">
        <v>1640</v>
      </c>
      <c r="M162" s="204">
        <f t="shared" si="41"/>
        <v>-449.59999999999991</v>
      </c>
      <c r="N162" s="155">
        <f t="shared" si="50"/>
        <v>-0.2151607963246554</v>
      </c>
      <c r="O162" s="400">
        <v>2268</v>
      </c>
      <c r="P162" s="408">
        <f t="shared" si="52"/>
        <v>-628</v>
      </c>
      <c r="Q162" s="147"/>
      <c r="R162" s="147"/>
    </row>
    <row r="163" spans="1:26" ht="12.75" hidden="1" customHeight="1" x14ac:dyDescent="0.15">
      <c r="A163" s="57" t="s">
        <v>89</v>
      </c>
      <c r="B163" s="409">
        <v>1707</v>
      </c>
      <c r="C163" s="410"/>
      <c r="D163" s="73">
        <v>1937</v>
      </c>
      <c r="E163" s="934">
        <f t="shared" si="51"/>
        <v>-230</v>
      </c>
      <c r="F163" s="905"/>
      <c r="G163" s="929"/>
      <c r="H163" s="930"/>
      <c r="I163" s="75"/>
      <c r="J163" s="75"/>
      <c r="K163" s="170">
        <f t="shared" si="49"/>
        <v>0</v>
      </c>
      <c r="L163" s="409">
        <v>1707</v>
      </c>
      <c r="M163" s="217">
        <f t="shared" si="41"/>
        <v>-230</v>
      </c>
      <c r="N163" s="213">
        <f t="shared" si="50"/>
        <v>-0.11874032008260196</v>
      </c>
      <c r="O163" s="400">
        <v>2073</v>
      </c>
      <c r="P163" s="408">
        <f t="shared" si="52"/>
        <v>-366</v>
      </c>
      <c r="Q163" s="147"/>
      <c r="R163" s="147"/>
    </row>
    <row r="164" spans="1:26" ht="12.75" hidden="1" customHeight="1" x14ac:dyDescent="0.15">
      <c r="A164" s="14" t="s">
        <v>90</v>
      </c>
      <c r="B164" s="409">
        <v>1237.45</v>
      </c>
      <c r="C164" s="410"/>
      <c r="D164" s="73">
        <v>1543</v>
      </c>
      <c r="E164" s="934">
        <f t="shared" si="51"/>
        <v>-305.54999999999995</v>
      </c>
      <c r="F164" s="905"/>
      <c r="G164" s="929"/>
      <c r="H164" s="930"/>
      <c r="I164" s="75"/>
      <c r="J164" s="75"/>
      <c r="K164" s="170">
        <f t="shared" si="49"/>
        <v>0</v>
      </c>
      <c r="L164" s="409">
        <v>1237.45</v>
      </c>
      <c r="M164" s="223">
        <f t="shared" si="41"/>
        <v>-305.54999999999995</v>
      </c>
      <c r="N164" s="113">
        <f t="shared" si="50"/>
        <v>-0.1980233311730395</v>
      </c>
      <c r="O164" s="400">
        <v>1772</v>
      </c>
      <c r="P164" s="408">
        <f t="shared" si="52"/>
        <v>-534.54999999999995</v>
      </c>
      <c r="Q164" s="147"/>
      <c r="R164" s="147"/>
    </row>
    <row r="165" spans="1:26" ht="12.75" hidden="1" customHeight="1" x14ac:dyDescent="0.15">
      <c r="A165" s="14" t="s">
        <v>123</v>
      </c>
      <c r="B165" s="409">
        <v>1158.28</v>
      </c>
      <c r="C165" s="410"/>
      <c r="D165" s="73">
        <v>1377</v>
      </c>
      <c r="E165" s="934">
        <f t="shared" si="51"/>
        <v>-218.72000000000003</v>
      </c>
      <c r="F165" s="905"/>
      <c r="G165" s="929"/>
      <c r="H165" s="930"/>
      <c r="I165" s="75"/>
      <c r="J165" s="75"/>
      <c r="K165" s="170">
        <f t="shared" si="49"/>
        <v>0</v>
      </c>
      <c r="L165" s="409">
        <v>1158.28</v>
      </c>
      <c r="M165" s="225">
        <f t="shared" si="41"/>
        <v>-218.72000000000003</v>
      </c>
      <c r="N165" s="155">
        <f t="shared" si="50"/>
        <v>-0.15883805374001456</v>
      </c>
      <c r="O165" s="411">
        <v>1625</v>
      </c>
      <c r="P165" s="412">
        <f t="shared" si="52"/>
        <v>-466.72</v>
      </c>
      <c r="Q165" s="147"/>
      <c r="R165" s="147"/>
    </row>
    <row r="166" spans="1:26" ht="12.75" hidden="1" customHeight="1" x14ac:dyDescent="0.15">
      <c r="A166" s="57" t="s">
        <v>124</v>
      </c>
      <c r="B166" s="409">
        <v>830</v>
      </c>
      <c r="C166" s="413"/>
      <c r="D166" s="73">
        <v>829</v>
      </c>
      <c r="E166" s="937">
        <f t="shared" si="51"/>
        <v>1</v>
      </c>
      <c r="F166" s="905"/>
      <c r="G166" s="929"/>
      <c r="H166" s="930"/>
      <c r="I166" s="75"/>
      <c r="J166" s="75"/>
      <c r="K166" s="186">
        <f t="shared" si="49"/>
        <v>0</v>
      </c>
      <c r="L166" s="409">
        <v>830</v>
      </c>
      <c r="M166" s="232">
        <f t="shared" si="41"/>
        <v>1</v>
      </c>
      <c r="N166" s="228">
        <f t="shared" si="50"/>
        <v>1.2062726176115801E-3</v>
      </c>
      <c r="Q166" s="147"/>
      <c r="R166" s="147"/>
    </row>
    <row r="167" spans="1:26" ht="12.75" hidden="1" customHeight="1" x14ac:dyDescent="0.15">
      <c r="A167" s="14" t="s">
        <v>131</v>
      </c>
      <c r="B167" s="409">
        <v>795.32</v>
      </c>
      <c r="C167" s="381"/>
      <c r="D167" s="73">
        <v>1019</v>
      </c>
      <c r="E167" s="945">
        <f t="shared" si="51"/>
        <v>-223.67999999999995</v>
      </c>
      <c r="F167" s="916"/>
      <c r="G167" s="929"/>
      <c r="H167" s="930"/>
      <c r="I167" s="75"/>
      <c r="J167" s="75"/>
      <c r="K167" s="187">
        <f t="shared" si="49"/>
        <v>0</v>
      </c>
      <c r="L167" s="409">
        <v>795.32</v>
      </c>
      <c r="M167" s="204">
        <f t="shared" si="41"/>
        <v>-223.67999999999995</v>
      </c>
      <c r="N167" s="155">
        <f t="shared" si="50"/>
        <v>-0.21950932286555441</v>
      </c>
      <c r="Q167" s="147"/>
      <c r="R167" s="147"/>
    </row>
    <row r="168" spans="1:26" ht="12.75" hidden="1" customHeight="1" x14ac:dyDescent="0.15">
      <c r="A168" s="57" t="s">
        <v>126</v>
      </c>
      <c r="B168" s="409">
        <v>876</v>
      </c>
      <c r="C168" s="381"/>
      <c r="D168" s="73">
        <v>787</v>
      </c>
      <c r="E168" s="937">
        <f t="shared" si="51"/>
        <v>89</v>
      </c>
      <c r="F168" s="910"/>
      <c r="G168" s="929"/>
      <c r="H168" s="930"/>
      <c r="I168" s="75"/>
      <c r="J168" s="75"/>
      <c r="K168" s="170">
        <f t="shared" si="49"/>
        <v>0</v>
      </c>
      <c r="L168" s="409">
        <v>876</v>
      </c>
      <c r="M168" s="204">
        <f t="shared" si="41"/>
        <v>89</v>
      </c>
      <c r="N168" s="155">
        <f t="shared" si="50"/>
        <v>0.11308767471410419</v>
      </c>
      <c r="Q168" s="147"/>
      <c r="R168" s="147"/>
    </row>
    <row r="169" spans="1:26" ht="12.75" hidden="1" customHeight="1" x14ac:dyDescent="0.15">
      <c r="A169" s="57" t="s">
        <v>127</v>
      </c>
      <c r="B169" s="409">
        <v>1161</v>
      </c>
      <c r="C169" s="381"/>
      <c r="D169" s="73">
        <v>1010</v>
      </c>
      <c r="E169" s="937">
        <f t="shared" si="51"/>
        <v>151</v>
      </c>
      <c r="F169" s="910"/>
      <c r="G169" s="929"/>
      <c r="H169" s="930"/>
      <c r="I169" s="75"/>
      <c r="J169" s="75"/>
      <c r="K169" s="187">
        <f t="shared" si="49"/>
        <v>0</v>
      </c>
      <c r="L169" s="409">
        <v>1161</v>
      </c>
      <c r="M169" s="204">
        <f t="shared" si="41"/>
        <v>151</v>
      </c>
      <c r="N169" s="155">
        <f t="shared" si="50"/>
        <v>0.1495049504950495</v>
      </c>
      <c r="Q169" s="147"/>
      <c r="R169" s="147"/>
    </row>
    <row r="170" spans="1:26" ht="12.75" hidden="1" customHeight="1" x14ac:dyDescent="0.15">
      <c r="A170" s="238" t="s">
        <v>134</v>
      </c>
      <c r="B170" s="414">
        <v>1235</v>
      </c>
      <c r="C170" s="415"/>
      <c r="D170" s="240">
        <v>949</v>
      </c>
      <c r="E170" s="946">
        <f t="shared" si="51"/>
        <v>286</v>
      </c>
      <c r="F170" s="930"/>
      <c r="G170" s="416"/>
      <c r="H170" s="417"/>
      <c r="I170" s="238"/>
      <c r="J170" s="238"/>
      <c r="K170" s="245">
        <f t="shared" si="49"/>
        <v>0</v>
      </c>
      <c r="L170" s="414">
        <v>1235</v>
      </c>
      <c r="M170" s="245">
        <f t="shared" si="41"/>
        <v>286</v>
      </c>
      <c r="N170" s="418">
        <f t="shared" si="50"/>
        <v>0.30136986301369861</v>
      </c>
      <c r="O170" s="419"/>
      <c r="P170" s="419"/>
      <c r="Q170" s="420">
        <v>1235</v>
      </c>
      <c r="R170" s="251"/>
      <c r="S170" s="253"/>
      <c r="T170" s="253"/>
      <c r="U170" s="253"/>
      <c r="V170" s="253"/>
      <c r="W170" s="253"/>
      <c r="X170" s="253"/>
      <c r="Y170" s="253"/>
      <c r="Z170" s="253"/>
    </row>
    <row r="171" spans="1:26" ht="12.75" hidden="1" customHeight="1" x14ac:dyDescent="0.15">
      <c r="A171" s="14" t="s">
        <v>129</v>
      </c>
      <c r="B171" s="409">
        <v>1097</v>
      </c>
      <c r="C171" s="421"/>
      <c r="D171" s="73">
        <v>1030</v>
      </c>
      <c r="E171" s="937">
        <f t="shared" si="51"/>
        <v>67</v>
      </c>
      <c r="F171" s="910"/>
      <c r="G171" s="422"/>
      <c r="H171" s="423"/>
      <c r="I171" s="14"/>
      <c r="J171" s="14"/>
      <c r="K171" s="183">
        <f t="shared" si="49"/>
        <v>0</v>
      </c>
      <c r="L171" s="409">
        <v>1097</v>
      </c>
      <c r="M171" s="183">
        <f t="shared" si="41"/>
        <v>67</v>
      </c>
      <c r="N171" s="155">
        <f t="shared" si="50"/>
        <v>6.5048543689320393E-2</v>
      </c>
      <c r="O171" s="14"/>
      <c r="P171" s="14"/>
      <c r="Q171" s="424">
        <v>1030</v>
      </c>
      <c r="R171" s="148">
        <f t="shared" ref="R171:R177" si="53">B171-Q171</f>
        <v>67</v>
      </c>
    </row>
    <row r="172" spans="1:26" ht="12.75" customHeight="1" x14ac:dyDescent="0.15">
      <c r="A172" s="14" t="s">
        <v>86</v>
      </c>
      <c r="B172" s="409">
        <v>1399.94</v>
      </c>
      <c r="C172" s="421"/>
      <c r="D172" s="73">
        <v>1309</v>
      </c>
      <c r="E172" s="937">
        <f t="shared" si="51"/>
        <v>90.940000000000055</v>
      </c>
      <c r="F172" s="910"/>
      <c r="G172" s="422"/>
      <c r="H172" s="423"/>
      <c r="I172" s="14"/>
      <c r="J172" s="14"/>
      <c r="K172" s="170">
        <f t="shared" si="49"/>
        <v>-2.0599999999999454</v>
      </c>
      <c r="L172" s="409">
        <v>1402</v>
      </c>
      <c r="M172" s="183">
        <f t="shared" si="41"/>
        <v>90.940000000000055</v>
      </c>
      <c r="N172" s="155">
        <f t="shared" si="50"/>
        <v>6.9472880061115391E-2</v>
      </c>
      <c r="O172" s="14"/>
      <c r="P172" s="14"/>
      <c r="Q172" s="425">
        <v>1292</v>
      </c>
      <c r="R172" s="148">
        <f t="shared" si="53"/>
        <v>107.94000000000005</v>
      </c>
    </row>
    <row r="173" spans="1:26" ht="12.75" customHeight="1" x14ac:dyDescent="0.15">
      <c r="A173" s="14" t="s">
        <v>87</v>
      </c>
      <c r="B173" s="409">
        <v>1532.88</v>
      </c>
      <c r="C173" s="421"/>
      <c r="D173" s="73">
        <v>1631</v>
      </c>
      <c r="E173" s="934">
        <f t="shared" si="51"/>
        <v>-98.119999999999891</v>
      </c>
      <c r="F173" s="910"/>
      <c r="G173" s="422"/>
      <c r="H173" s="423"/>
      <c r="I173" s="14"/>
      <c r="J173" s="14"/>
      <c r="K173" s="183">
        <f t="shared" si="49"/>
        <v>77.880000000000109</v>
      </c>
      <c r="L173" s="409">
        <v>1455</v>
      </c>
      <c r="M173" s="170">
        <f t="shared" si="41"/>
        <v>-98.119999999999891</v>
      </c>
      <c r="N173" s="155">
        <f t="shared" si="50"/>
        <v>-6.0159411404046528E-2</v>
      </c>
      <c r="O173" s="14"/>
      <c r="P173" s="14"/>
      <c r="Q173" s="425">
        <v>1850</v>
      </c>
      <c r="R173" s="148">
        <f t="shared" si="53"/>
        <v>-317.11999999999989</v>
      </c>
    </row>
    <row r="174" spans="1:26" ht="12.75" customHeight="1" x14ac:dyDescent="0.15">
      <c r="A174" s="14" t="s">
        <v>88</v>
      </c>
      <c r="B174" s="409">
        <v>1902.46</v>
      </c>
      <c r="C174" s="421"/>
      <c r="D174" s="73">
        <v>1640</v>
      </c>
      <c r="E174" s="937">
        <f t="shared" si="51"/>
        <v>262.46000000000004</v>
      </c>
      <c r="F174" s="910"/>
      <c r="G174" s="422"/>
      <c r="H174" s="423"/>
      <c r="I174" s="14"/>
      <c r="J174" s="14"/>
      <c r="K174" s="183">
        <f t="shared" si="49"/>
        <v>70.460000000000036</v>
      </c>
      <c r="L174" s="409">
        <v>1832</v>
      </c>
      <c r="M174" s="183">
        <f t="shared" si="41"/>
        <v>262.46000000000004</v>
      </c>
      <c r="N174" s="155">
        <f t="shared" si="50"/>
        <v>0.16003658536585369</v>
      </c>
      <c r="O174" s="14"/>
      <c r="P174" s="14"/>
      <c r="Q174" s="425">
        <v>1976</v>
      </c>
      <c r="R174" s="148">
        <f t="shared" si="53"/>
        <v>-73.539999999999964</v>
      </c>
    </row>
    <row r="175" spans="1:26" ht="12.75" customHeight="1" x14ac:dyDescent="0.15">
      <c r="A175" s="14" t="s">
        <v>89</v>
      </c>
      <c r="B175" s="409">
        <v>1671.96</v>
      </c>
      <c r="C175" s="421"/>
      <c r="D175" s="73">
        <v>1574</v>
      </c>
      <c r="E175" s="937">
        <f t="shared" si="51"/>
        <v>97.960000000000036</v>
      </c>
      <c r="F175" s="910"/>
      <c r="G175" s="422"/>
      <c r="H175" s="423"/>
      <c r="I175" s="14"/>
      <c r="J175" s="14"/>
      <c r="K175" s="183">
        <f t="shared" si="49"/>
        <v>55.960000000000036</v>
      </c>
      <c r="L175" s="409">
        <v>1616</v>
      </c>
      <c r="M175" s="183">
        <f t="shared" si="41"/>
        <v>97.960000000000036</v>
      </c>
      <c r="N175" s="155">
        <f t="shared" si="50"/>
        <v>6.2236340533672198E-2</v>
      </c>
      <c r="O175" s="14"/>
      <c r="P175" s="14"/>
      <c r="Q175" s="425">
        <v>1901</v>
      </c>
      <c r="R175" s="148">
        <f t="shared" si="53"/>
        <v>-229.03999999999996</v>
      </c>
    </row>
    <row r="176" spans="1:26" ht="12.75" customHeight="1" x14ac:dyDescent="0.15">
      <c r="A176" s="14" t="s">
        <v>90</v>
      </c>
      <c r="B176" s="409">
        <v>1376.95</v>
      </c>
      <c r="C176" s="421"/>
      <c r="D176" s="73">
        <v>1237</v>
      </c>
      <c r="E176" s="937">
        <f t="shared" si="51"/>
        <v>139.95000000000005</v>
      </c>
      <c r="F176" s="910"/>
      <c r="G176" s="422"/>
      <c r="H176" s="423"/>
      <c r="I176" s="14"/>
      <c r="J176" s="14"/>
      <c r="K176" s="183">
        <f t="shared" si="49"/>
        <v>42.950000000000045</v>
      </c>
      <c r="L176" s="409">
        <v>1334</v>
      </c>
      <c r="M176" s="183">
        <f t="shared" si="41"/>
        <v>139.95000000000005</v>
      </c>
      <c r="N176" s="155">
        <f t="shared" si="50"/>
        <v>0.11313662085691192</v>
      </c>
      <c r="O176" s="14"/>
      <c r="P176" s="14"/>
      <c r="Q176" s="426">
        <v>898</v>
      </c>
      <c r="R176" s="148">
        <f t="shared" si="53"/>
        <v>478.95000000000005</v>
      </c>
    </row>
    <row r="177" spans="1:18" ht="12.75" customHeight="1" x14ac:dyDescent="0.15">
      <c r="A177" s="14" t="s">
        <v>123</v>
      </c>
      <c r="B177" s="427">
        <v>1363.97</v>
      </c>
      <c r="C177" s="428"/>
      <c r="D177" s="91">
        <v>1123</v>
      </c>
      <c r="E177" s="944">
        <f t="shared" si="51"/>
        <v>240.97000000000003</v>
      </c>
      <c r="F177" s="922"/>
      <c r="G177" s="429"/>
      <c r="H177" s="430"/>
      <c r="I177" s="431"/>
      <c r="J177" s="431"/>
      <c r="K177" s="261">
        <f t="shared" si="49"/>
        <v>30.970000000000027</v>
      </c>
      <c r="L177" s="427">
        <v>1333</v>
      </c>
      <c r="M177" s="261">
        <f t="shared" si="41"/>
        <v>240.97000000000003</v>
      </c>
      <c r="N177" s="432">
        <f t="shared" si="50"/>
        <v>0.21457702582368657</v>
      </c>
      <c r="O177" s="431"/>
      <c r="P177" s="431"/>
      <c r="Q177" s="433">
        <v>1047</v>
      </c>
      <c r="R177" s="434">
        <f t="shared" si="53"/>
        <v>316.97000000000003</v>
      </c>
    </row>
    <row r="178" spans="1:18" ht="12.75" customHeight="1" x14ac:dyDescent="0.15"/>
    <row r="179" spans="1:18" ht="12.75" customHeight="1" x14ac:dyDescent="0.15"/>
    <row r="180" spans="1:18" ht="12.75" customHeight="1" x14ac:dyDescent="0.15"/>
    <row r="181" spans="1:18" ht="12.75" customHeight="1" x14ac:dyDescent="0.15"/>
    <row r="182" spans="1:18" ht="12.75" customHeight="1" x14ac:dyDescent="0.15"/>
    <row r="183" spans="1:18" ht="12.75" customHeight="1" x14ac:dyDescent="0.15"/>
    <row r="184" spans="1:18" ht="12.75" customHeight="1" x14ac:dyDescent="0.15"/>
    <row r="185" spans="1:18" ht="12.75" customHeight="1" x14ac:dyDescent="0.15"/>
    <row r="186" spans="1:18" ht="12.75" customHeight="1" x14ac:dyDescent="0.15"/>
    <row r="187" spans="1:18" ht="12.75" customHeight="1" x14ac:dyDescent="0.15"/>
    <row r="188" spans="1:18" ht="12.75" customHeight="1" x14ac:dyDescent="0.15"/>
    <row r="189" spans="1:18" ht="12.75" customHeight="1" x14ac:dyDescent="0.15"/>
    <row r="190" spans="1:18" ht="12.75" customHeight="1" x14ac:dyDescent="0.15"/>
    <row r="191" spans="1:18" ht="12.75" customHeight="1" x14ac:dyDescent="0.15"/>
    <row r="192" spans="1:18"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mergeCells count="162">
    <mergeCell ref="G143:H143"/>
    <mergeCell ref="G144:H144"/>
    <mergeCell ref="G145:H145"/>
    <mergeCell ref="E134:F134"/>
    <mergeCell ref="E135:F135"/>
    <mergeCell ref="E136:F136"/>
    <mergeCell ref="E137:F137"/>
    <mergeCell ref="E143:F143"/>
    <mergeCell ref="E144:F144"/>
    <mergeCell ref="E145:F145"/>
    <mergeCell ref="G134:H134"/>
    <mergeCell ref="G135:H135"/>
    <mergeCell ref="G136:H136"/>
    <mergeCell ref="G137:H137"/>
    <mergeCell ref="G138:H138"/>
    <mergeCell ref="G139:H139"/>
    <mergeCell ref="G140:H140"/>
    <mergeCell ref="G141:H141"/>
    <mergeCell ref="G142:H142"/>
    <mergeCell ref="G169:H169"/>
    <mergeCell ref="G160:H160"/>
    <mergeCell ref="G161:H161"/>
    <mergeCell ref="G162:H162"/>
    <mergeCell ref="G163:H163"/>
    <mergeCell ref="G164:H164"/>
    <mergeCell ref="G165:H165"/>
    <mergeCell ref="G166:H166"/>
    <mergeCell ref="G155:H155"/>
    <mergeCell ref="G156:H156"/>
    <mergeCell ref="G157:H157"/>
    <mergeCell ref="G158:H158"/>
    <mergeCell ref="G159:H159"/>
    <mergeCell ref="G167:H167"/>
    <mergeCell ref="G168:H168"/>
    <mergeCell ref="G108:H108"/>
    <mergeCell ref="G109:H109"/>
    <mergeCell ref="G110:H110"/>
    <mergeCell ref="G111:H111"/>
    <mergeCell ref="A120:R120"/>
    <mergeCell ref="E121:F121"/>
    <mergeCell ref="M121:N121"/>
    <mergeCell ref="G132:H132"/>
    <mergeCell ref="G133:H133"/>
    <mergeCell ref="E130:F130"/>
    <mergeCell ref="G130:H130"/>
    <mergeCell ref="G131:H131"/>
    <mergeCell ref="E131:F131"/>
    <mergeCell ref="E132:F132"/>
    <mergeCell ref="E133:F133"/>
    <mergeCell ref="E122:F122"/>
    <mergeCell ref="G122:H122"/>
    <mergeCell ref="E123:F123"/>
    <mergeCell ref="G123:H123"/>
    <mergeCell ref="G124:H124"/>
    <mergeCell ref="E124:F124"/>
    <mergeCell ref="E125:F125"/>
    <mergeCell ref="E177:F177"/>
    <mergeCell ref="E166:F166"/>
    <mergeCell ref="E167:F167"/>
    <mergeCell ref="E168:F168"/>
    <mergeCell ref="E169:F169"/>
    <mergeCell ref="E170:F170"/>
    <mergeCell ref="E171:F171"/>
    <mergeCell ref="E172:F172"/>
    <mergeCell ref="G146:H146"/>
    <mergeCell ref="G147:H147"/>
    <mergeCell ref="G148:H148"/>
    <mergeCell ref="G149:H149"/>
    <mergeCell ref="G150:H150"/>
    <mergeCell ref="G151:H151"/>
    <mergeCell ref="G152:H152"/>
    <mergeCell ref="G153:H153"/>
    <mergeCell ref="G154:H154"/>
    <mergeCell ref="E161:F161"/>
    <mergeCell ref="E162:F162"/>
    <mergeCell ref="E163:F163"/>
    <mergeCell ref="E164:F164"/>
    <mergeCell ref="E165:F165"/>
    <mergeCell ref="E173:F173"/>
    <mergeCell ref="E174:F174"/>
    <mergeCell ref="E175:F175"/>
    <mergeCell ref="E176:F176"/>
    <mergeCell ref="E152:F152"/>
    <mergeCell ref="E153:F153"/>
    <mergeCell ref="E154:F154"/>
    <mergeCell ref="E155:F155"/>
    <mergeCell ref="E156:F156"/>
    <mergeCell ref="E157:F157"/>
    <mergeCell ref="E158:F158"/>
    <mergeCell ref="E159:F159"/>
    <mergeCell ref="E160:F160"/>
    <mergeCell ref="E146:F146"/>
    <mergeCell ref="E147:F147"/>
    <mergeCell ref="E148:F148"/>
    <mergeCell ref="E149:F149"/>
    <mergeCell ref="E150:F150"/>
    <mergeCell ref="E151:F151"/>
    <mergeCell ref="G102:H102"/>
    <mergeCell ref="G103:H103"/>
    <mergeCell ref="G104:H104"/>
    <mergeCell ref="G105:H105"/>
    <mergeCell ref="E138:F138"/>
    <mergeCell ref="E139:F139"/>
    <mergeCell ref="E140:F140"/>
    <mergeCell ref="E141:F141"/>
    <mergeCell ref="E142:F142"/>
    <mergeCell ref="G125:H125"/>
    <mergeCell ref="E126:F126"/>
    <mergeCell ref="G126:H126"/>
    <mergeCell ref="E127:F127"/>
    <mergeCell ref="G127:H127"/>
    <mergeCell ref="E128:F128"/>
    <mergeCell ref="G128:H128"/>
    <mergeCell ref="E129:F129"/>
    <mergeCell ref="G129:H129"/>
    <mergeCell ref="G106:H106"/>
    <mergeCell ref="G107:H107"/>
    <mergeCell ref="G83:H83"/>
    <mergeCell ref="G84:H84"/>
    <mergeCell ref="G85:H85"/>
    <mergeCell ref="G86:H86"/>
    <mergeCell ref="G87:H87"/>
    <mergeCell ref="G88:H88"/>
    <mergeCell ref="G89:H89"/>
    <mergeCell ref="G90:H90"/>
    <mergeCell ref="G91:H91"/>
    <mergeCell ref="G92:H92"/>
    <mergeCell ref="G93:H93"/>
    <mergeCell ref="G94:H94"/>
    <mergeCell ref="G96:H96"/>
    <mergeCell ref="G97:H97"/>
    <mergeCell ref="G98:H98"/>
    <mergeCell ref="G99:H99"/>
    <mergeCell ref="G100:H100"/>
    <mergeCell ref="G101:H101"/>
    <mergeCell ref="G74:H74"/>
    <mergeCell ref="G75:H75"/>
    <mergeCell ref="G76:H76"/>
    <mergeCell ref="G77:H77"/>
    <mergeCell ref="G78:H78"/>
    <mergeCell ref="G79:H79"/>
    <mergeCell ref="G80:H80"/>
    <mergeCell ref="G81:H81"/>
    <mergeCell ref="G82:H82"/>
    <mergeCell ref="G65:H65"/>
    <mergeCell ref="G66:H66"/>
    <mergeCell ref="G67:H67"/>
    <mergeCell ref="G68:H68"/>
    <mergeCell ref="G69:H69"/>
    <mergeCell ref="G70:H70"/>
    <mergeCell ref="G71:H71"/>
    <mergeCell ref="G72:H72"/>
    <mergeCell ref="G73:H73"/>
    <mergeCell ref="A1:R1"/>
    <mergeCell ref="E2:F2"/>
    <mergeCell ref="G2:H2"/>
    <mergeCell ref="M2:N2"/>
    <mergeCell ref="A62:R62"/>
    <mergeCell ref="E63:F63"/>
    <mergeCell ref="M63:N63"/>
    <mergeCell ref="G63:H63"/>
    <mergeCell ref="G64:H64"/>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W745"/>
  <sheetViews>
    <sheetView topLeftCell="T38" zoomScale="216" zoomScaleNormal="285" workbookViewId="0">
      <selection activeCell="A30" sqref="A30:N30"/>
    </sheetView>
  </sheetViews>
  <sheetFormatPr baseColWidth="10" defaultColWidth="12.6640625" defaultRowHeight="15" customHeight="1" x14ac:dyDescent="0.15"/>
  <cols>
    <col min="1" max="1" width="8.83203125" customWidth="1"/>
    <col min="2" max="3" width="12.83203125" customWidth="1"/>
    <col min="4" max="4" width="14" customWidth="1"/>
    <col min="5" max="6" width="15.1640625" customWidth="1"/>
    <col min="7" max="7" width="13.6640625" hidden="1" customWidth="1"/>
    <col min="8" max="8" width="14.83203125" hidden="1" customWidth="1"/>
    <col min="9" max="9" width="13.83203125" hidden="1" customWidth="1"/>
    <col min="10" max="10" width="11.5" hidden="1" customWidth="1"/>
    <col min="11" max="11" width="10.6640625" hidden="1" customWidth="1"/>
    <col min="12" max="12" width="10" hidden="1" customWidth="1"/>
    <col min="13" max="13" width="0.1640625" hidden="1" customWidth="1"/>
    <col min="14" max="14" width="10.33203125" hidden="1" customWidth="1"/>
    <col min="15" max="15" width="8.83203125" hidden="1" customWidth="1"/>
    <col min="16" max="16" width="11.1640625" hidden="1" customWidth="1"/>
    <col min="17" max="23" width="10" customWidth="1"/>
  </cols>
  <sheetData>
    <row r="1" spans="1:23" ht="40" customHeight="1" thickBot="1" x14ac:dyDescent="0.2">
      <c r="A1" s="791"/>
      <c r="B1" s="791"/>
      <c r="C1" s="791"/>
      <c r="D1" s="791"/>
      <c r="E1" s="791"/>
      <c r="F1" s="791"/>
      <c r="G1" s="791"/>
      <c r="H1" s="791"/>
      <c r="I1" s="791"/>
      <c r="J1" s="791"/>
    </row>
    <row r="2" spans="1:23" ht="19" customHeight="1" thickBot="1" x14ac:dyDescent="0.2">
      <c r="A2" s="888" t="s">
        <v>230</v>
      </c>
      <c r="B2" s="889"/>
      <c r="C2" s="889"/>
      <c r="D2" s="889"/>
      <c r="E2" s="889"/>
      <c r="F2" s="889"/>
      <c r="G2" s="889"/>
      <c r="H2" s="889"/>
      <c r="I2" s="889"/>
      <c r="J2" s="889"/>
      <c r="K2" s="889"/>
      <c r="L2" s="889"/>
      <c r="M2" s="889"/>
      <c r="N2" s="890"/>
    </row>
    <row r="3" spans="1:23" s="836" customFormat="1" ht="12" customHeight="1" x14ac:dyDescent="0.15">
      <c r="A3" s="825"/>
      <c r="B3" s="826" t="s">
        <v>231</v>
      </c>
      <c r="C3" s="826" t="s">
        <v>229</v>
      </c>
      <c r="D3" s="826" t="s">
        <v>122</v>
      </c>
      <c r="E3" s="827" t="s">
        <v>2</v>
      </c>
      <c r="F3" s="827" t="s">
        <v>141</v>
      </c>
      <c r="G3" s="828" t="s">
        <v>142</v>
      </c>
      <c r="H3" s="828" t="s">
        <v>112</v>
      </c>
      <c r="I3" s="828" t="s">
        <v>113</v>
      </c>
      <c r="J3" s="829" t="s">
        <v>143</v>
      </c>
      <c r="K3" s="830" t="s">
        <v>117</v>
      </c>
      <c r="L3" s="831" t="s">
        <v>118</v>
      </c>
      <c r="M3" s="832" t="s">
        <v>119</v>
      </c>
      <c r="N3" s="833" t="s">
        <v>144</v>
      </c>
      <c r="O3" s="834" t="s">
        <v>211</v>
      </c>
      <c r="P3" s="834" t="s">
        <v>212</v>
      </c>
      <c r="Q3" s="835"/>
      <c r="R3" s="835"/>
      <c r="S3" s="835"/>
      <c r="T3" s="835"/>
      <c r="U3" s="835"/>
      <c r="V3" s="835"/>
      <c r="W3" s="835"/>
    </row>
    <row r="4" spans="1:23" ht="12" customHeight="1" x14ac:dyDescent="0.15">
      <c r="A4" s="799">
        <v>46204</v>
      </c>
      <c r="B4" s="789">
        <v>435432.82608695398</v>
      </c>
      <c r="C4" s="789">
        <v>432236.30434782302</v>
      </c>
      <c r="D4" s="790">
        <f t="shared" ref="D4:D6" si="0">B4-C4</f>
        <v>3196.5217391309561</v>
      </c>
      <c r="E4" s="824">
        <v>863725.25217390305</v>
      </c>
      <c r="F4" s="854">
        <f t="shared" ref="F4:F5" si="1">B4-E4</f>
        <v>-428292.42608694907</v>
      </c>
      <c r="G4" s="756"/>
      <c r="H4" s="483"/>
      <c r="I4" s="483"/>
      <c r="J4" s="808"/>
      <c r="K4" s="484"/>
      <c r="L4" s="484"/>
      <c r="M4" s="485"/>
      <c r="N4" s="757">
        <f t="shared" ref="N4:N5" si="2">E4-G4</f>
        <v>863725.25217390305</v>
      </c>
      <c r="O4" s="761">
        <v>294981.15999999997</v>
      </c>
      <c r="P4" s="766">
        <f t="shared" ref="P4:P5" si="3">B4-O4</f>
        <v>140451.66608695401</v>
      </c>
      <c r="Q4" s="869">
        <f t="shared" ref="Q4:Q5" si="4">(B4-E4)/E4</f>
        <v>-0.49586650964410656</v>
      </c>
    </row>
    <row r="5" spans="1:23" ht="12" customHeight="1" x14ac:dyDescent="0.15">
      <c r="A5" s="799">
        <v>46235</v>
      </c>
      <c r="B5" s="789">
        <v>351047.54782609298</v>
      </c>
      <c r="C5" s="789">
        <v>325201.40000000899</v>
      </c>
      <c r="D5" s="790">
        <f t="shared" si="0"/>
        <v>25846.147826083994</v>
      </c>
      <c r="E5" s="824">
        <v>727787.78260864306</v>
      </c>
      <c r="F5" s="854">
        <f t="shared" si="1"/>
        <v>-376740.23478255008</v>
      </c>
      <c r="G5" s="756"/>
      <c r="H5" s="483"/>
      <c r="I5" s="483"/>
      <c r="J5" s="808"/>
      <c r="K5" s="484"/>
      <c r="L5" s="484"/>
      <c r="M5" s="485"/>
      <c r="N5" s="757">
        <f t="shared" si="2"/>
        <v>727787.78260864306</v>
      </c>
      <c r="O5" s="761">
        <v>294981.15999999997</v>
      </c>
      <c r="P5" s="766">
        <f t="shared" si="3"/>
        <v>56066.387826093007</v>
      </c>
      <c r="Q5" s="869">
        <f t="shared" si="4"/>
        <v>-0.51765122166819399</v>
      </c>
    </row>
    <row r="6" spans="1:23" ht="12" customHeight="1" x14ac:dyDescent="0.15">
      <c r="A6" s="799">
        <v>46266</v>
      </c>
      <c r="B6" s="789">
        <v>1769805.7739131299</v>
      </c>
      <c r="C6" s="789">
        <v>1772264.2956522601</v>
      </c>
      <c r="D6" s="881">
        <f t="shared" si="0"/>
        <v>-2458.5217391301412</v>
      </c>
      <c r="E6" s="824">
        <v>740532.12173909997</v>
      </c>
      <c r="F6" s="867">
        <v>119243.89565220999</v>
      </c>
      <c r="G6" s="756"/>
      <c r="H6" s="483"/>
      <c r="I6" s="483"/>
      <c r="J6" s="808"/>
      <c r="K6" s="484"/>
      <c r="L6" s="484"/>
      <c r="M6" s="485"/>
      <c r="N6" s="757">
        <v>740532.12173909997</v>
      </c>
      <c r="O6" s="761">
        <v>294981.15999999997</v>
      </c>
      <c r="P6" s="766">
        <v>564794.85739130992</v>
      </c>
      <c r="Q6" s="869">
        <v>0.16102460940137492</v>
      </c>
    </row>
    <row r="7" spans="1:23" ht="12" customHeight="1" x14ac:dyDescent="0.15">
      <c r="A7" s="799">
        <v>46296</v>
      </c>
      <c r="B7" s="789">
        <v>1145575.61739138</v>
      </c>
      <c r="C7" s="789">
        <v>1123059.7739131199</v>
      </c>
      <c r="D7" s="790">
        <f t="shared" ref="D7:D8" si="5">B7-C7</f>
        <v>22515.843478260096</v>
      </c>
      <c r="E7" s="824">
        <v>1689533.895652178</v>
      </c>
      <c r="F7" s="854">
        <f t="shared" ref="F7:F9" si="6">B7-E7</f>
        <v>-543958.27826079796</v>
      </c>
      <c r="G7" s="756"/>
      <c r="H7" s="483"/>
      <c r="I7" s="483"/>
      <c r="J7" s="808"/>
      <c r="K7" s="484"/>
      <c r="L7" s="484"/>
      <c r="M7" s="485"/>
      <c r="N7" s="757">
        <f t="shared" ref="N7:N9" si="7">E7-G7</f>
        <v>1689533.895652178</v>
      </c>
      <c r="O7" s="761">
        <v>294981.15999999997</v>
      </c>
      <c r="P7" s="766">
        <f t="shared" ref="P7:P9" si="8">B7-O7</f>
        <v>850594.4573913801</v>
      </c>
      <c r="Q7" s="869">
        <f t="shared" ref="Q7:Q9" si="9">(B7-E7)/E7</f>
        <v>-0.32195760005798779</v>
      </c>
    </row>
    <row r="8" spans="1:23" ht="12" customHeight="1" x14ac:dyDescent="0.15">
      <c r="A8" s="799">
        <v>46327</v>
      </c>
      <c r="B8" s="789">
        <v>2324453.1826087702</v>
      </c>
      <c r="C8" s="789">
        <v>1920241.7043479099</v>
      </c>
      <c r="D8" s="790">
        <f t="shared" si="5"/>
        <v>404211.47826086031</v>
      </c>
      <c r="E8" s="824">
        <v>2489720.7478259932</v>
      </c>
      <c r="F8" s="854">
        <f t="shared" si="6"/>
        <v>-165267.56521722302</v>
      </c>
      <c r="G8" s="756"/>
      <c r="H8" s="483"/>
      <c r="I8" s="483"/>
      <c r="J8" s="808"/>
      <c r="K8" s="484"/>
      <c r="L8" s="484"/>
      <c r="M8" s="485"/>
      <c r="N8" s="757">
        <f t="shared" si="7"/>
        <v>2489720.7478259932</v>
      </c>
      <c r="O8" s="761">
        <v>294981.15999999997</v>
      </c>
      <c r="P8" s="766">
        <f t="shared" si="8"/>
        <v>2029472.0226087703</v>
      </c>
      <c r="Q8" s="869">
        <f t="shared" si="9"/>
        <v>-6.6379960628730555E-2</v>
      </c>
    </row>
    <row r="9" spans="1:23" ht="12" customHeight="1" x14ac:dyDescent="0.15">
      <c r="A9" s="799">
        <v>46357</v>
      </c>
      <c r="B9" s="789">
        <v>1371059.3130435201</v>
      </c>
      <c r="C9" s="789">
        <v>1224549.6782609101</v>
      </c>
      <c r="D9" s="790">
        <f t="shared" ref="D9" si="10">B9-C9</f>
        <v>146509.63478261</v>
      </c>
      <c r="E9" s="824">
        <v>2575263.1217390429</v>
      </c>
      <c r="F9" s="854">
        <f t="shared" si="6"/>
        <v>-1204203.8086955228</v>
      </c>
      <c r="G9" s="756"/>
      <c r="H9" s="483"/>
      <c r="I9" s="483"/>
      <c r="J9" s="808"/>
      <c r="K9" s="484"/>
      <c r="L9" s="484"/>
      <c r="M9" s="485"/>
      <c r="N9" s="757">
        <f t="shared" si="7"/>
        <v>2575263.1217390429</v>
      </c>
      <c r="O9" s="761">
        <v>294981.15999999997</v>
      </c>
      <c r="P9" s="766">
        <f t="shared" si="8"/>
        <v>1076078.1530435202</v>
      </c>
      <c r="Q9" s="869">
        <f t="shared" si="9"/>
        <v>-0.46760418325034653</v>
      </c>
    </row>
    <row r="10" spans="1:23" ht="12" customHeight="1" x14ac:dyDescent="0.15">
      <c r="A10" s="811">
        <v>46388</v>
      </c>
      <c r="B10" s="789">
        <v>1956805</v>
      </c>
      <c r="C10" s="789"/>
      <c r="D10" s="790"/>
      <c r="E10" s="824">
        <v>3549116.2782607502</v>
      </c>
      <c r="F10" s="872">
        <f t="shared" ref="F10" si="11">B10-E10</f>
        <v>-1592311.2782607502</v>
      </c>
      <c r="G10" s="756"/>
      <c r="H10" s="483"/>
      <c r="I10" s="483"/>
      <c r="J10" s="809"/>
      <c r="K10" s="484"/>
      <c r="L10" s="484"/>
      <c r="M10" s="485"/>
      <c r="N10" s="757">
        <f t="shared" ref="N10" si="12">E10-G10</f>
        <v>3549116.2782607502</v>
      </c>
      <c r="O10" s="761">
        <v>294981.15999999997</v>
      </c>
      <c r="P10" s="766">
        <f t="shared" ref="P10" si="13">B10-O10</f>
        <v>1661823.84</v>
      </c>
      <c r="Q10" s="869">
        <f t="shared" ref="Q10" si="14">(B10-E10)/E10</f>
        <v>-0.44865007326304474</v>
      </c>
    </row>
    <row r="11" spans="1:23" s="798" customFormat="1" ht="12.75" customHeight="1" x14ac:dyDescent="0.15">
      <c r="A11" s="800" t="s">
        <v>161</v>
      </c>
      <c r="B11" s="801">
        <f>SUM(B4:B10)</f>
        <v>9354179.2608698476</v>
      </c>
      <c r="C11" s="801">
        <f>SUM(C4:C10)</f>
        <v>6797553.1565220328</v>
      </c>
      <c r="D11" s="802">
        <f>SUM(D4:D10)</f>
        <v>599821.10434781527</v>
      </c>
      <c r="E11" s="819">
        <f>SUM(E4:E10)</f>
        <v>12635679.19999961</v>
      </c>
      <c r="F11" s="855">
        <f>B11-E11</f>
        <v>-3281499.9391297624</v>
      </c>
      <c r="G11" s="803">
        <v>1508477.018141995</v>
      </c>
      <c r="H11" s="804"/>
      <c r="I11" s="804"/>
      <c r="J11" s="805">
        <f t="shared" ref="J11" si="15">B11-G11</f>
        <v>7845702.2427278524</v>
      </c>
      <c r="K11" s="792"/>
      <c r="L11" s="793"/>
      <c r="M11" s="794"/>
      <c r="N11" s="795">
        <f t="shared" ref="N11" si="16">E11-G11</f>
        <v>11127202.181857616</v>
      </c>
      <c r="O11" s="796">
        <v>294981.15999999997</v>
      </c>
      <c r="P11" s="797">
        <f t="shared" ref="P11" si="17">B11-O11</f>
        <v>9059198.1008698475</v>
      </c>
    </row>
    <row r="12" spans="1:23" s="836" customFormat="1" ht="19" customHeight="1" x14ac:dyDescent="0.15">
      <c r="A12" s="891" t="s">
        <v>135</v>
      </c>
      <c r="B12" s="892"/>
      <c r="C12" s="892"/>
      <c r="D12" s="892"/>
      <c r="E12" s="892"/>
      <c r="F12" s="892"/>
      <c r="G12" s="892"/>
      <c r="H12" s="892"/>
      <c r="I12" s="892"/>
      <c r="J12" s="892"/>
      <c r="K12" s="892"/>
      <c r="L12" s="892"/>
      <c r="M12" s="892"/>
      <c r="N12" s="893"/>
    </row>
    <row r="13" spans="1:23" s="836" customFormat="1" ht="12" customHeight="1" x14ac:dyDescent="0.15">
      <c r="A13" s="837"/>
      <c r="B13" s="826" t="s">
        <v>231</v>
      </c>
      <c r="C13" s="826" t="s">
        <v>229</v>
      </c>
      <c r="D13" s="838" t="s">
        <v>122</v>
      </c>
      <c r="E13" s="839" t="s">
        <v>2</v>
      </c>
      <c r="F13" s="840" t="s">
        <v>141</v>
      </c>
      <c r="G13" s="841" t="s">
        <v>13</v>
      </c>
      <c r="H13" s="842"/>
      <c r="I13" s="843"/>
      <c r="J13" s="829"/>
      <c r="K13" s="830" t="s">
        <v>117</v>
      </c>
      <c r="L13" s="831" t="s">
        <v>118</v>
      </c>
      <c r="M13" s="832" t="s">
        <v>119</v>
      </c>
      <c r="N13" s="833" t="s">
        <v>144</v>
      </c>
      <c r="O13" s="834" t="s">
        <v>211</v>
      </c>
      <c r="P13" s="834" t="s">
        <v>212</v>
      </c>
      <c r="Q13" s="835"/>
      <c r="R13" s="835"/>
      <c r="S13" s="835"/>
      <c r="T13" s="835"/>
      <c r="U13" s="835"/>
      <c r="V13" s="835"/>
      <c r="W13" s="835"/>
    </row>
    <row r="14" spans="1:23" ht="12.75" customHeight="1" x14ac:dyDescent="0.15">
      <c r="A14" s="799">
        <v>46204</v>
      </c>
      <c r="B14" s="820">
        <v>0.12379999999999999</v>
      </c>
      <c r="C14" s="820">
        <v>0.12379999999999999</v>
      </c>
      <c r="D14" s="883">
        <f t="shared" ref="D14:D16" si="18">B14-C14</f>
        <v>0</v>
      </c>
      <c r="E14" s="822">
        <v>0.252</v>
      </c>
      <c r="F14" s="823">
        <f t="shared" ref="F14:F19" si="19">B14-E14</f>
        <v>-0.12820000000000001</v>
      </c>
      <c r="G14" s="806">
        <v>66</v>
      </c>
      <c r="H14" s="749"/>
      <c r="I14" s="749"/>
      <c r="J14" s="758"/>
      <c r="K14" s="759"/>
      <c r="L14" s="759"/>
      <c r="M14" s="750"/>
      <c r="N14" s="755"/>
      <c r="O14" s="762">
        <v>9.4700000000000006E-2</v>
      </c>
      <c r="P14" s="767" t="e">
        <f>#REF!-O14</f>
        <v>#REF!</v>
      </c>
    </row>
    <row r="15" spans="1:23" ht="12.75" customHeight="1" x14ac:dyDescent="0.15">
      <c r="A15" s="799">
        <v>46235</v>
      </c>
      <c r="B15" s="820">
        <v>0.10100000000000001</v>
      </c>
      <c r="C15" s="820">
        <v>9.1999999999999998E-2</v>
      </c>
      <c r="D15" s="821">
        <f t="shared" si="18"/>
        <v>9.000000000000008E-3</v>
      </c>
      <c r="E15" s="822">
        <v>0.25409999999999999</v>
      </c>
      <c r="F15" s="823">
        <f t="shared" si="19"/>
        <v>-0.15309999999999999</v>
      </c>
      <c r="G15" s="806">
        <v>66</v>
      </c>
      <c r="H15" s="749"/>
      <c r="I15" s="749"/>
      <c r="J15" s="758"/>
      <c r="K15" s="759"/>
      <c r="L15" s="759"/>
      <c r="M15" s="750"/>
      <c r="N15" s="755"/>
      <c r="O15" s="762">
        <v>9.4700000000000006E-2</v>
      </c>
      <c r="P15" s="767" t="e">
        <f>#REF!-O15</f>
        <v>#REF!</v>
      </c>
    </row>
    <row r="16" spans="1:23" ht="12.75" customHeight="1" x14ac:dyDescent="0.15">
      <c r="A16" s="799">
        <v>46266</v>
      </c>
      <c r="B16" s="820">
        <v>0.35599999999999998</v>
      </c>
      <c r="C16" s="820">
        <v>0.34799999999999998</v>
      </c>
      <c r="D16" s="821">
        <f t="shared" si="18"/>
        <v>8.0000000000000071E-3</v>
      </c>
      <c r="E16" s="822">
        <v>0.23899999999999999</v>
      </c>
      <c r="F16" s="868">
        <f t="shared" si="19"/>
        <v>0.11699999999999999</v>
      </c>
      <c r="G16" s="806">
        <v>66</v>
      </c>
      <c r="H16" s="749"/>
      <c r="I16" s="749"/>
      <c r="J16" s="758"/>
      <c r="K16" s="759"/>
      <c r="L16" s="759"/>
      <c r="M16" s="750"/>
      <c r="N16" s="755"/>
      <c r="O16" s="762">
        <v>9.4700000000000006E-2</v>
      </c>
      <c r="P16" s="767" t="e">
        <f>#REF!-O16</f>
        <v>#REF!</v>
      </c>
    </row>
    <row r="17" spans="1:23" ht="12.75" customHeight="1" x14ac:dyDescent="0.15">
      <c r="A17" s="799">
        <v>46296</v>
      </c>
      <c r="B17" s="820">
        <v>0.32700000000000001</v>
      </c>
      <c r="C17" s="820">
        <v>0.28399999999999997</v>
      </c>
      <c r="D17" s="821">
        <f t="shared" ref="D17:D18" si="20">B17-C17</f>
        <v>4.3000000000000038E-2</v>
      </c>
      <c r="E17" s="822">
        <v>0.27700000000000002</v>
      </c>
      <c r="F17" s="868">
        <f t="shared" si="19"/>
        <v>4.9999999999999989E-2</v>
      </c>
      <c r="G17" s="806">
        <v>66</v>
      </c>
      <c r="H17" s="749"/>
      <c r="I17" s="749"/>
      <c r="J17" s="758"/>
      <c r="K17" s="759"/>
      <c r="L17" s="759"/>
      <c r="M17" s="750"/>
      <c r="N17" s="755"/>
      <c r="O17" s="762">
        <v>9.4700000000000006E-2</v>
      </c>
      <c r="P17" s="767" t="e">
        <f>#REF!-O17</f>
        <v>#REF!</v>
      </c>
    </row>
    <row r="18" spans="1:23" ht="12.75" customHeight="1" x14ac:dyDescent="0.15">
      <c r="A18" s="799">
        <v>46327</v>
      </c>
      <c r="B18" s="820">
        <v>0.42299999999999999</v>
      </c>
      <c r="C18" s="820">
        <v>0.36499999999999999</v>
      </c>
      <c r="D18" s="821">
        <f t="shared" si="20"/>
        <v>5.7999999999999996E-2</v>
      </c>
      <c r="E18" s="822">
        <v>0.499</v>
      </c>
      <c r="F18" s="823">
        <f t="shared" si="19"/>
        <v>-7.6000000000000012E-2</v>
      </c>
      <c r="G18" s="806">
        <v>66</v>
      </c>
      <c r="H18" s="749"/>
      <c r="I18" s="749"/>
      <c r="J18" s="758"/>
      <c r="K18" s="759"/>
      <c r="L18" s="759"/>
      <c r="M18" s="750"/>
      <c r="N18" s="755"/>
      <c r="O18" s="762">
        <v>9.4700000000000006E-2</v>
      </c>
      <c r="P18" s="767" t="e">
        <f>#REF!-O18</f>
        <v>#REF!</v>
      </c>
    </row>
    <row r="19" spans="1:23" ht="12.75" customHeight="1" x14ac:dyDescent="0.15">
      <c r="A19" s="799">
        <v>46357</v>
      </c>
      <c r="B19" s="820">
        <v>0.254</v>
      </c>
      <c r="C19" s="820">
        <v>0.22900000000000001</v>
      </c>
      <c r="D19" s="821">
        <f t="shared" ref="D19" si="21">B19-C19</f>
        <v>2.4999999999999994E-2</v>
      </c>
      <c r="E19" s="822">
        <v>0.46300000000000002</v>
      </c>
      <c r="F19" s="823">
        <f t="shared" si="19"/>
        <v>-0.20900000000000002</v>
      </c>
      <c r="G19" s="806">
        <v>66</v>
      </c>
      <c r="H19" s="749"/>
      <c r="I19" s="749"/>
      <c r="J19" s="758"/>
      <c r="K19" s="759"/>
      <c r="L19" s="759"/>
      <c r="M19" s="750"/>
      <c r="N19" s="755"/>
      <c r="O19" s="762">
        <v>9.4700000000000006E-2</v>
      </c>
      <c r="P19" s="767" t="e">
        <f>#REF!-O19</f>
        <v>#REF!</v>
      </c>
    </row>
    <row r="20" spans="1:23" ht="12.75" customHeight="1" x14ac:dyDescent="0.15">
      <c r="A20" s="811">
        <v>46388</v>
      </c>
      <c r="B20" s="820">
        <v>0.377</v>
      </c>
      <c r="C20" s="820"/>
      <c r="D20" s="821"/>
      <c r="E20" s="822">
        <v>0.66300000000000003</v>
      </c>
      <c r="F20" s="823">
        <f t="shared" ref="F20" si="22">B20-E20</f>
        <v>-0.28600000000000003</v>
      </c>
      <c r="G20" s="807">
        <v>66</v>
      </c>
      <c r="H20" s="749"/>
      <c r="I20" s="749"/>
      <c r="J20" s="758"/>
      <c r="K20" s="759"/>
      <c r="L20" s="759"/>
      <c r="M20" s="750"/>
      <c r="N20" s="755"/>
      <c r="O20" s="763">
        <v>9.4700000000000006E-2</v>
      </c>
      <c r="P20" s="768" t="e">
        <f>#REF!-O20</f>
        <v>#REF!</v>
      </c>
    </row>
    <row r="21" spans="1:23" s="836" customFormat="1" ht="15" customHeight="1" x14ac:dyDescent="0.15">
      <c r="A21" s="894" t="s">
        <v>139</v>
      </c>
      <c r="B21" s="895"/>
      <c r="C21" s="895"/>
      <c r="D21" s="895"/>
      <c r="E21" s="895"/>
      <c r="F21" s="895"/>
      <c r="G21" s="895"/>
      <c r="H21" s="895"/>
      <c r="I21" s="895"/>
      <c r="J21" s="895"/>
      <c r="K21" s="895"/>
      <c r="L21" s="895"/>
      <c r="M21" s="895"/>
      <c r="N21" s="896"/>
    </row>
    <row r="22" spans="1:23" s="836" customFormat="1" ht="12" customHeight="1" x14ac:dyDescent="0.15">
      <c r="A22" s="837"/>
      <c r="B22" s="826" t="s">
        <v>231</v>
      </c>
      <c r="C22" s="826" t="s">
        <v>229</v>
      </c>
      <c r="D22" s="838" t="s">
        <v>122</v>
      </c>
      <c r="E22" s="839" t="s">
        <v>2</v>
      </c>
      <c r="F22" s="840" t="s">
        <v>141</v>
      </c>
      <c r="G22" s="844"/>
      <c r="H22" s="842"/>
      <c r="I22" s="843"/>
      <c r="J22" s="829"/>
      <c r="K22" s="830" t="s">
        <v>117</v>
      </c>
      <c r="L22" s="831" t="s">
        <v>118</v>
      </c>
      <c r="M22" s="832" t="s">
        <v>119</v>
      </c>
      <c r="N22" s="833" t="s">
        <v>144</v>
      </c>
      <c r="O22" s="834" t="s">
        <v>211</v>
      </c>
      <c r="P22" s="834" t="s">
        <v>212</v>
      </c>
      <c r="Q22" s="835"/>
      <c r="R22" s="835"/>
      <c r="S22" s="835"/>
      <c r="T22" s="835"/>
      <c r="U22" s="835"/>
      <c r="V22" s="835"/>
      <c r="W22" s="835"/>
    </row>
    <row r="23" spans="1:23" ht="12.75" customHeight="1" x14ac:dyDescent="0.15">
      <c r="A23" s="799">
        <v>46204</v>
      </c>
      <c r="B23" s="754">
        <v>3690.1086956521499</v>
      </c>
      <c r="C23" s="754">
        <v>3663.0195283713801</v>
      </c>
      <c r="D23" s="853">
        <f t="shared" ref="D23:D25" si="23">B23-C23</f>
        <v>27.089167280769743</v>
      </c>
      <c r="E23" s="751">
        <v>3855.9163043477815</v>
      </c>
      <c r="F23" s="818">
        <f t="shared" ref="F23:F28" si="24">B23-E23</f>
        <v>-165.80760869563164</v>
      </c>
      <c r="G23" s="815"/>
      <c r="H23" s="752"/>
      <c r="I23" s="752"/>
      <c r="J23" s="810"/>
      <c r="K23" s="14"/>
      <c r="L23" s="14"/>
      <c r="M23" s="753"/>
      <c r="N23" s="760"/>
      <c r="O23" s="764">
        <v>3241.55</v>
      </c>
      <c r="P23" s="769">
        <f t="shared" ref="P23:P28" si="25">B23-O23</f>
        <v>448.55869565214971</v>
      </c>
      <c r="Q23" s="870">
        <f t="shared" ref="Q23" si="26">(B23-E23)/E23</f>
        <v>-4.3000831866779221E-2</v>
      </c>
    </row>
    <row r="24" spans="1:23" ht="12.75" customHeight="1" x14ac:dyDescent="0.15">
      <c r="A24" s="799">
        <v>46235</v>
      </c>
      <c r="B24" s="754">
        <v>3734.5483811286499</v>
      </c>
      <c r="C24" s="754">
        <v>3737.9471264368799</v>
      </c>
      <c r="D24" s="880">
        <f t="shared" si="23"/>
        <v>-3.3987453082299908</v>
      </c>
      <c r="E24" s="751">
        <v>3465.6561076602052</v>
      </c>
      <c r="F24" s="817">
        <f t="shared" si="24"/>
        <v>268.89227346844473</v>
      </c>
      <c r="G24" s="815"/>
      <c r="H24" s="752"/>
      <c r="I24" s="752"/>
      <c r="J24" s="810"/>
      <c r="K24" s="14"/>
      <c r="L24" s="14"/>
      <c r="M24" s="753"/>
      <c r="N24" s="760"/>
      <c r="O24" s="764">
        <v>3241.55</v>
      </c>
      <c r="P24" s="769">
        <f t="shared" si="25"/>
        <v>492.99838112864973</v>
      </c>
    </row>
    <row r="25" spans="1:23" ht="12.75" customHeight="1" x14ac:dyDescent="0.15">
      <c r="A25" s="799">
        <v>46266</v>
      </c>
      <c r="B25" s="754">
        <v>5346.8452384082402</v>
      </c>
      <c r="C25" s="754">
        <v>5469.9515297909302</v>
      </c>
      <c r="D25" s="880">
        <f t="shared" si="23"/>
        <v>-123.10629138268996</v>
      </c>
      <c r="E25" s="751">
        <v>3509.6309087161135</v>
      </c>
      <c r="F25" s="817">
        <f t="shared" si="24"/>
        <v>1837.2143296921267</v>
      </c>
      <c r="G25" s="815"/>
      <c r="H25" s="752"/>
      <c r="I25" s="752"/>
      <c r="J25" s="810"/>
      <c r="K25" s="14"/>
      <c r="L25" s="14"/>
      <c r="M25" s="753"/>
      <c r="N25" s="760"/>
      <c r="O25" s="764">
        <v>3241.55</v>
      </c>
      <c r="P25" s="769">
        <f t="shared" si="25"/>
        <v>2105.29523840824</v>
      </c>
    </row>
    <row r="26" spans="1:23" ht="12.75" customHeight="1" x14ac:dyDescent="0.15">
      <c r="A26" s="799">
        <v>46296</v>
      </c>
      <c r="B26" s="754">
        <v>3648.3299916923102</v>
      </c>
      <c r="C26" s="754">
        <v>4113.7720656158399</v>
      </c>
      <c r="D26" s="880">
        <f t="shared" ref="D26:D27" si="27">B26-C26</f>
        <v>-465.44207392352973</v>
      </c>
      <c r="E26" s="751">
        <v>4100.8104263402374</v>
      </c>
      <c r="F26" s="818">
        <f t="shared" si="24"/>
        <v>-452.48043464792727</v>
      </c>
      <c r="G26" s="815"/>
      <c r="H26" s="752"/>
      <c r="I26" s="752"/>
      <c r="J26" s="810"/>
      <c r="K26" s="14"/>
      <c r="L26" s="14"/>
      <c r="M26" s="753"/>
      <c r="N26" s="760"/>
      <c r="O26" s="764">
        <v>3241.55</v>
      </c>
      <c r="P26" s="769">
        <f t="shared" si="25"/>
        <v>406.77999169230998</v>
      </c>
    </row>
    <row r="27" spans="1:23" ht="12.75" customHeight="1" x14ac:dyDescent="0.15">
      <c r="A27" s="799">
        <v>46327</v>
      </c>
      <c r="B27" s="754">
        <v>5914.6391414981499</v>
      </c>
      <c r="C27" s="754">
        <v>5664.4298063360102</v>
      </c>
      <c r="D27" s="853">
        <f t="shared" si="27"/>
        <v>250.20933516213972</v>
      </c>
      <c r="E27" s="751">
        <v>5483.9664049030689</v>
      </c>
      <c r="F27" s="817">
        <f t="shared" si="24"/>
        <v>430.67273659508101</v>
      </c>
      <c r="G27" s="815"/>
      <c r="H27" s="752"/>
      <c r="I27" s="752"/>
      <c r="J27" s="810"/>
      <c r="K27" s="14"/>
      <c r="L27" s="14"/>
      <c r="M27" s="753"/>
      <c r="N27" s="760"/>
      <c r="O27" s="764">
        <v>3241.55</v>
      </c>
      <c r="P27" s="769">
        <f t="shared" si="25"/>
        <v>2673.0891414981497</v>
      </c>
    </row>
    <row r="28" spans="1:23" ht="12.75" customHeight="1" x14ac:dyDescent="0.15">
      <c r="A28" s="799">
        <v>46357</v>
      </c>
      <c r="B28" s="754">
        <v>5619.0955452603203</v>
      </c>
      <c r="C28" s="754">
        <v>5566.1349011859702</v>
      </c>
      <c r="D28" s="853">
        <f t="shared" ref="D28" si="28">B28-C28</f>
        <v>52.960644074350057</v>
      </c>
      <c r="E28" s="751">
        <v>5852.8707312250972</v>
      </c>
      <c r="F28" s="818">
        <f t="shared" si="24"/>
        <v>-233.77518596477694</v>
      </c>
      <c r="G28" s="815"/>
      <c r="H28" s="752"/>
      <c r="I28" s="752"/>
      <c r="J28" s="810"/>
      <c r="K28" s="14"/>
      <c r="L28" s="14"/>
      <c r="M28" s="753"/>
      <c r="N28" s="760"/>
      <c r="O28" s="764">
        <v>3241.55</v>
      </c>
      <c r="P28" s="769">
        <f t="shared" si="25"/>
        <v>2377.5455452603201</v>
      </c>
    </row>
    <row r="29" spans="1:23" ht="12.75" customHeight="1" x14ac:dyDescent="0.15">
      <c r="A29" s="811">
        <v>46388</v>
      </c>
      <c r="B29" s="852">
        <v>5406</v>
      </c>
      <c r="C29" s="852"/>
      <c r="D29" s="853"/>
      <c r="E29" s="812">
        <v>5780.3196714344504</v>
      </c>
      <c r="F29" s="873">
        <f t="shared" ref="F29" si="29">B29-E29</f>
        <v>-374.31967143445036</v>
      </c>
      <c r="G29" s="816"/>
      <c r="H29" s="813"/>
      <c r="I29" s="813"/>
      <c r="J29" s="814"/>
      <c r="K29" s="759"/>
      <c r="L29" s="759"/>
      <c r="M29" s="753"/>
      <c r="N29" s="760"/>
      <c r="O29" s="765">
        <v>3241.55</v>
      </c>
      <c r="P29" s="770">
        <f t="shared" ref="P29" si="30">B29-O29</f>
        <v>2164.4499999999998</v>
      </c>
    </row>
    <row r="30" spans="1:23" ht="12.75" customHeight="1" x14ac:dyDescent="0.15">
      <c r="A30" s="891" t="s">
        <v>145</v>
      </c>
      <c r="B30" s="892"/>
      <c r="C30" s="892"/>
      <c r="D30" s="892"/>
      <c r="E30" s="892"/>
      <c r="F30" s="892"/>
      <c r="G30" s="892"/>
      <c r="H30" s="892"/>
      <c r="I30" s="892"/>
      <c r="J30" s="892"/>
      <c r="K30" s="892"/>
      <c r="L30" s="892"/>
      <c r="M30" s="892"/>
      <c r="N30" s="893"/>
      <c r="O30" s="120"/>
    </row>
    <row r="31" spans="1:23" ht="12" customHeight="1" x14ac:dyDescent="0.15">
      <c r="A31" s="837"/>
      <c r="B31" s="826" t="s">
        <v>231</v>
      </c>
      <c r="C31" s="826" t="s">
        <v>229</v>
      </c>
      <c r="D31" s="838" t="s">
        <v>122</v>
      </c>
      <c r="E31" s="839" t="s">
        <v>2</v>
      </c>
      <c r="F31" s="840" t="s">
        <v>141</v>
      </c>
      <c r="G31" s="844"/>
      <c r="H31" s="842"/>
      <c r="I31" s="843"/>
      <c r="J31" s="829"/>
      <c r="K31" s="830" t="s">
        <v>117</v>
      </c>
      <c r="L31" s="831" t="s">
        <v>118</v>
      </c>
      <c r="M31" s="832" t="s">
        <v>119</v>
      </c>
      <c r="N31" s="833" t="s">
        <v>144</v>
      </c>
      <c r="O31" s="120"/>
    </row>
    <row r="32" spans="1:23" ht="12.75" customHeight="1" x14ac:dyDescent="0.15">
      <c r="A32" s="799">
        <v>46204</v>
      </c>
      <c r="B32" s="754">
        <f>B4/931</f>
        <v>467.7044318871686</v>
      </c>
      <c r="C32" s="754">
        <f>C4/931</f>
        <v>464.27100359594311</v>
      </c>
      <c r="D32" s="853">
        <f t="shared" ref="D32:D34" si="31">B32-C32</f>
        <v>3.4334282912254821</v>
      </c>
      <c r="E32" s="751">
        <f>E4/961</f>
        <v>898.77757770437358</v>
      </c>
      <c r="F32" s="818">
        <f t="shared" ref="F32:F37" si="32">B32-E32</f>
        <v>-431.07314581720499</v>
      </c>
      <c r="G32" s="815"/>
      <c r="H32" s="752"/>
      <c r="I32" s="752"/>
      <c r="J32" s="810"/>
      <c r="K32" s="14"/>
      <c r="L32" s="14"/>
      <c r="M32" s="753"/>
      <c r="N32" s="760"/>
    </row>
    <row r="33" spans="1:14" ht="12.75" customHeight="1" x14ac:dyDescent="0.15">
      <c r="A33" s="799">
        <v>46235</v>
      </c>
      <c r="B33" s="754">
        <f>B5/931</f>
        <v>377.0650352589613</v>
      </c>
      <c r="C33" s="754">
        <f>C5/931</f>
        <v>349.30332975296346</v>
      </c>
      <c r="D33" s="853">
        <f t="shared" si="31"/>
        <v>27.761705505997838</v>
      </c>
      <c r="E33" s="751">
        <f>E4/961</f>
        <v>898.77757770437358</v>
      </c>
      <c r="F33" s="818">
        <f t="shared" si="32"/>
        <v>-521.71254244541228</v>
      </c>
      <c r="G33" s="815"/>
      <c r="H33" s="752"/>
      <c r="I33" s="752"/>
      <c r="J33" s="810"/>
      <c r="K33" s="14"/>
      <c r="L33" s="14"/>
      <c r="M33" s="753"/>
      <c r="N33" s="760"/>
    </row>
    <row r="34" spans="1:14" ht="12.75" customHeight="1" x14ac:dyDescent="0.15">
      <c r="A34" s="799">
        <v>46266</v>
      </c>
      <c r="B34" s="754">
        <f>B6/930</f>
        <v>1903.0169611969138</v>
      </c>
      <c r="C34" s="754">
        <f t="shared" ref="C34" si="33">C6/930</f>
        <v>1905.6605329594195</v>
      </c>
      <c r="D34" s="880">
        <f t="shared" si="31"/>
        <v>-2.6435717625056441</v>
      </c>
      <c r="E34" s="751">
        <f>E6/930</f>
        <v>796.27109864419356</v>
      </c>
      <c r="F34" s="817">
        <f t="shared" si="32"/>
        <v>1106.7458625527202</v>
      </c>
      <c r="G34" s="815"/>
      <c r="H34" s="752"/>
      <c r="I34" s="752"/>
      <c r="J34" s="810"/>
      <c r="K34" s="14"/>
      <c r="L34" s="14"/>
      <c r="M34" s="753"/>
      <c r="N34" s="760"/>
    </row>
    <row r="35" spans="1:14" ht="12.75" customHeight="1" x14ac:dyDescent="0.15">
      <c r="A35" s="799">
        <v>46296</v>
      </c>
      <c r="B35" s="754">
        <f>B7/930</f>
        <v>1231.8017391305161</v>
      </c>
      <c r="C35" s="754">
        <f t="shared" ref="C35" si="34">C7/930</f>
        <v>1207.5911547452902</v>
      </c>
      <c r="D35" s="853">
        <f t="shared" ref="D35:D36" si="35">B35-C35</f>
        <v>24.210584385225957</v>
      </c>
      <c r="E35" s="751">
        <f>E7/930</f>
        <v>1816.7031136044925</v>
      </c>
      <c r="F35" s="818">
        <f t="shared" si="32"/>
        <v>-584.90137447397638</v>
      </c>
      <c r="G35" s="815"/>
      <c r="H35" s="752"/>
      <c r="I35" s="752"/>
      <c r="J35" s="810"/>
      <c r="K35" s="14"/>
      <c r="L35" s="14"/>
      <c r="M35" s="753"/>
      <c r="N35" s="760"/>
    </row>
    <row r="36" spans="1:14" ht="12.75" customHeight="1" x14ac:dyDescent="0.15">
      <c r="A36" s="799">
        <v>46327</v>
      </c>
      <c r="B36" s="754">
        <f>B8/930</f>
        <v>2499.4120243105058</v>
      </c>
      <c r="C36" s="754">
        <f t="shared" ref="C36" si="36">C8/930</f>
        <v>2064.7760261805483</v>
      </c>
      <c r="D36" s="853">
        <f t="shared" si="35"/>
        <v>434.63599812995744</v>
      </c>
      <c r="E36" s="751">
        <f>E8/930</f>
        <v>2677.1190836838637</v>
      </c>
      <c r="F36" s="818">
        <f t="shared" si="32"/>
        <v>-177.70705937335788</v>
      </c>
      <c r="G36" s="815"/>
      <c r="H36" s="752"/>
      <c r="I36" s="752"/>
      <c r="J36" s="810"/>
      <c r="K36" s="14"/>
      <c r="L36" s="14"/>
      <c r="M36" s="753"/>
      <c r="N36" s="760"/>
    </row>
    <row r="37" spans="1:14" ht="12.75" customHeight="1" x14ac:dyDescent="0.15">
      <c r="A37" s="799">
        <v>46357</v>
      </c>
      <c r="B37" s="754">
        <f>B9/930</f>
        <v>1474.2573258532475</v>
      </c>
      <c r="C37" s="754">
        <f t="shared" ref="C37" si="37">C9/930</f>
        <v>1316.7200841515162</v>
      </c>
      <c r="D37" s="853">
        <f t="shared" ref="D37" si="38">B37-C37</f>
        <v>157.53724170173132</v>
      </c>
      <c r="E37" s="751">
        <f>E9/930</f>
        <v>2769.1001309021967</v>
      </c>
      <c r="F37" s="818">
        <f t="shared" si="32"/>
        <v>-1294.8428050489492</v>
      </c>
      <c r="G37" s="815"/>
      <c r="H37" s="752"/>
      <c r="I37" s="752"/>
      <c r="J37" s="810"/>
      <c r="K37" s="14"/>
      <c r="L37" s="14"/>
      <c r="M37" s="753"/>
      <c r="N37" s="760"/>
    </row>
    <row r="38" spans="1:14" ht="12.75" customHeight="1" x14ac:dyDescent="0.15">
      <c r="A38" s="811">
        <v>46388</v>
      </c>
      <c r="B38" s="856">
        <f>B10/930</f>
        <v>2104.0913978494623</v>
      </c>
      <c r="C38" s="856"/>
      <c r="D38" s="882"/>
      <c r="E38" s="812">
        <f>E10/930</f>
        <v>3816.2540626459681</v>
      </c>
      <c r="F38" s="873">
        <f t="shared" ref="F38" si="39">B38-E38</f>
        <v>-1712.1626647965059</v>
      </c>
      <c r="G38" s="816"/>
      <c r="H38" s="813"/>
      <c r="I38" s="813"/>
      <c r="J38" s="814"/>
      <c r="K38" s="759"/>
      <c r="L38" s="759"/>
      <c r="M38" s="753"/>
      <c r="N38" s="760"/>
    </row>
    <row r="39" spans="1:14" ht="12.75" customHeight="1" x14ac:dyDescent="0.15">
      <c r="B39" s="120"/>
      <c r="C39" s="120"/>
      <c r="D39" s="120"/>
      <c r="E39" s="120"/>
      <c r="F39" s="120"/>
      <c r="G39" s="120"/>
      <c r="H39" s="120"/>
      <c r="I39" s="120"/>
      <c r="J39" s="120"/>
      <c r="K39" s="120"/>
      <c r="L39" s="120"/>
      <c r="M39" s="120"/>
      <c r="N39" s="59"/>
    </row>
    <row r="40" spans="1:14" ht="12.75" customHeight="1" x14ac:dyDescent="0.15">
      <c r="B40" s="120"/>
      <c r="C40" s="120"/>
      <c r="D40" s="120"/>
      <c r="E40" s="120"/>
      <c r="F40" s="120"/>
      <c r="G40" s="120"/>
      <c r="H40" s="120"/>
      <c r="I40" s="120"/>
      <c r="J40" s="120"/>
      <c r="K40" s="120"/>
      <c r="L40" s="120"/>
      <c r="M40" s="120"/>
      <c r="N40" s="59"/>
    </row>
    <row r="41" spans="1:14" ht="12.75" customHeight="1" x14ac:dyDescent="0.15">
      <c r="N41" s="51"/>
    </row>
    <row r="42" spans="1:14" ht="12.75" customHeight="1" x14ac:dyDescent="0.15">
      <c r="N42" s="51"/>
    </row>
    <row r="43" spans="1:14" ht="12.75" customHeight="1" x14ac:dyDescent="0.15">
      <c r="N43" s="51"/>
    </row>
    <row r="44" spans="1:14" ht="12.75" customHeight="1" x14ac:dyDescent="0.15">
      <c r="N44" s="51"/>
    </row>
    <row r="45" spans="1:14" ht="12.75" customHeight="1" x14ac:dyDescent="0.15">
      <c r="N45" s="51"/>
    </row>
    <row r="46" spans="1:14" ht="12.75" customHeight="1" x14ac:dyDescent="0.15">
      <c r="N46" s="51"/>
    </row>
    <row r="47" spans="1:14" ht="12.75" customHeight="1" x14ac:dyDescent="0.15">
      <c r="N47" s="51"/>
    </row>
    <row r="48" spans="1:14" ht="12.75" customHeight="1" x14ac:dyDescent="0.15">
      <c r="N48" s="51"/>
    </row>
    <row r="49" spans="14:14" ht="12.75" customHeight="1" x14ac:dyDescent="0.15">
      <c r="N49" s="51"/>
    </row>
    <row r="50" spans="14:14" ht="12.75" customHeight="1" x14ac:dyDescent="0.15">
      <c r="N50" s="51"/>
    </row>
    <row r="51" spans="14:14" ht="12.75" customHeight="1" x14ac:dyDescent="0.15">
      <c r="N51" s="51"/>
    </row>
    <row r="52" spans="14:14" ht="12.75" customHeight="1" x14ac:dyDescent="0.15">
      <c r="N52" s="51"/>
    </row>
    <row r="53" spans="14:14" ht="12.75" customHeight="1" x14ac:dyDescent="0.15">
      <c r="N53" s="51"/>
    </row>
    <row r="54" spans="14:14" ht="12.75" customHeight="1" x14ac:dyDescent="0.15">
      <c r="N54" s="51"/>
    </row>
    <row r="55" spans="14:14" ht="12.75" customHeight="1" x14ac:dyDescent="0.15">
      <c r="N55" s="51"/>
    </row>
    <row r="56" spans="14:14" ht="12.75" customHeight="1" x14ac:dyDescent="0.15">
      <c r="N56" s="51"/>
    </row>
    <row r="57" spans="14:14" ht="12.75" customHeight="1" x14ac:dyDescent="0.15">
      <c r="N57" s="51"/>
    </row>
    <row r="58" spans="14:14" ht="12.75" customHeight="1" x14ac:dyDescent="0.15">
      <c r="N58" s="51"/>
    </row>
    <row r="59" spans="14:14" ht="12.75" customHeight="1" x14ac:dyDescent="0.15">
      <c r="N59" s="51"/>
    </row>
    <row r="60" spans="14:14" ht="12.75" customHeight="1" x14ac:dyDescent="0.15">
      <c r="N60" s="51"/>
    </row>
    <row r="61" spans="14:14" ht="12.75" customHeight="1" x14ac:dyDescent="0.15">
      <c r="N61" s="51"/>
    </row>
    <row r="62" spans="14:14" ht="12.75" customHeight="1" x14ac:dyDescent="0.15">
      <c r="N62" s="51"/>
    </row>
    <row r="63" spans="14:14" ht="12.75" customHeight="1" x14ac:dyDescent="0.15">
      <c r="N63" s="51"/>
    </row>
    <row r="64" spans="14:14" ht="12.75" customHeight="1" x14ac:dyDescent="0.15">
      <c r="N64" s="51"/>
    </row>
    <row r="65" spans="14:14" ht="12.75" customHeight="1" x14ac:dyDescent="0.15">
      <c r="N65" s="51"/>
    </row>
    <row r="66" spans="14:14" ht="12.75" customHeight="1" x14ac:dyDescent="0.15">
      <c r="N66" s="51"/>
    </row>
    <row r="67" spans="14:14" ht="12.75" customHeight="1" x14ac:dyDescent="0.15">
      <c r="N67" s="51"/>
    </row>
    <row r="68" spans="14:14" ht="12.75" customHeight="1" x14ac:dyDescent="0.15">
      <c r="N68" s="51"/>
    </row>
    <row r="69" spans="14:14" ht="12.75" customHeight="1" x14ac:dyDescent="0.15">
      <c r="N69" s="51"/>
    </row>
    <row r="70" spans="14:14" ht="12.75" customHeight="1" x14ac:dyDescent="0.15">
      <c r="N70" s="51"/>
    </row>
    <row r="71" spans="14:14" ht="12.75" customHeight="1" x14ac:dyDescent="0.15">
      <c r="N71" s="51"/>
    </row>
    <row r="72" spans="14:14" ht="12.75" customHeight="1" x14ac:dyDescent="0.15">
      <c r="N72" s="51"/>
    </row>
    <row r="73" spans="14:14" ht="12.75" customHeight="1" x14ac:dyDescent="0.15">
      <c r="N73" s="51"/>
    </row>
    <row r="74" spans="14:14" ht="12.75" customHeight="1" x14ac:dyDescent="0.15">
      <c r="N74" s="51"/>
    </row>
    <row r="75" spans="14:14" ht="12.75" customHeight="1" x14ac:dyDescent="0.15">
      <c r="N75" s="51"/>
    </row>
    <row r="76" spans="14:14" ht="12.75" customHeight="1" x14ac:dyDescent="0.15">
      <c r="N76" s="51"/>
    </row>
    <row r="77" spans="14:14" ht="12.75" customHeight="1" x14ac:dyDescent="0.15">
      <c r="N77" s="51"/>
    </row>
    <row r="78" spans="14:14" ht="12.75" customHeight="1" x14ac:dyDescent="0.15">
      <c r="N78" s="51"/>
    </row>
    <row r="79" spans="14:14" ht="12.75" customHeight="1" x14ac:dyDescent="0.15">
      <c r="N79" s="51"/>
    </row>
    <row r="80" spans="14:14" ht="12.75" customHeight="1" x14ac:dyDescent="0.15">
      <c r="N80" s="51"/>
    </row>
    <row r="81" spans="14:14" ht="12.75" customHeight="1" x14ac:dyDescent="0.15">
      <c r="N81" s="51"/>
    </row>
    <row r="82" spans="14:14" ht="12.75" customHeight="1" x14ac:dyDescent="0.15">
      <c r="N82" s="51"/>
    </row>
    <row r="83" spans="14:14" ht="12.75" customHeight="1" x14ac:dyDescent="0.15">
      <c r="N83" s="51"/>
    </row>
    <row r="84" spans="14:14" ht="12.75" customHeight="1" x14ac:dyDescent="0.15">
      <c r="N84" s="51"/>
    </row>
    <row r="85" spans="14:14" ht="12.75" customHeight="1" x14ac:dyDescent="0.15">
      <c r="N85" s="51"/>
    </row>
    <row r="86" spans="14:14" ht="12.75" customHeight="1" x14ac:dyDescent="0.15">
      <c r="N86" s="51"/>
    </row>
    <row r="87" spans="14:14" ht="12.75" customHeight="1" x14ac:dyDescent="0.15">
      <c r="N87" s="51"/>
    </row>
    <row r="88" spans="14:14" ht="12.75" customHeight="1" x14ac:dyDescent="0.15">
      <c r="N88" s="51"/>
    </row>
    <row r="89" spans="14:14" ht="12.75" customHeight="1" x14ac:dyDescent="0.15">
      <c r="N89" s="51"/>
    </row>
    <row r="90" spans="14:14" ht="12.75" customHeight="1" x14ac:dyDescent="0.15">
      <c r="N90" s="51"/>
    </row>
    <row r="91" spans="14:14" ht="12.75" customHeight="1" x14ac:dyDescent="0.15">
      <c r="N91" s="51"/>
    </row>
    <row r="92" spans="14:14" ht="12.75" customHeight="1" x14ac:dyDescent="0.15">
      <c r="N92" s="51"/>
    </row>
    <row r="93" spans="14:14" ht="12.75" customHeight="1" x14ac:dyDescent="0.15">
      <c r="N93" s="51"/>
    </row>
    <row r="94" spans="14:14" ht="12.75" customHeight="1" x14ac:dyDescent="0.15">
      <c r="N94" s="51"/>
    </row>
    <row r="95" spans="14:14" ht="12.75" customHeight="1" x14ac:dyDescent="0.15">
      <c r="N95" s="51"/>
    </row>
    <row r="96" spans="14:14" ht="12.75" customHeight="1" x14ac:dyDescent="0.15">
      <c r="N96" s="51"/>
    </row>
    <row r="97" spans="14:14" ht="12.75" customHeight="1" x14ac:dyDescent="0.15">
      <c r="N97" s="51"/>
    </row>
    <row r="98" spans="14:14" ht="12.75" customHeight="1" x14ac:dyDescent="0.15">
      <c r="N98" s="51"/>
    </row>
    <row r="99" spans="14:14" ht="12.75" customHeight="1" x14ac:dyDescent="0.15">
      <c r="N99" s="51"/>
    </row>
    <row r="100" spans="14:14" ht="12.75" customHeight="1" x14ac:dyDescent="0.15">
      <c r="N100" s="51"/>
    </row>
    <row r="101" spans="14:14" ht="12.75" customHeight="1" x14ac:dyDescent="0.15">
      <c r="N101" s="51"/>
    </row>
    <row r="102" spans="14:14" ht="12.75" customHeight="1" x14ac:dyDescent="0.15">
      <c r="N102" s="51"/>
    </row>
    <row r="103" spans="14:14" ht="12.75" customHeight="1" x14ac:dyDescent="0.15">
      <c r="N103" s="51"/>
    </row>
    <row r="104" spans="14:14" ht="12.75" customHeight="1" x14ac:dyDescent="0.15">
      <c r="N104" s="51"/>
    </row>
    <row r="105" spans="14:14" ht="12.75" customHeight="1" x14ac:dyDescent="0.15">
      <c r="N105" s="51"/>
    </row>
    <row r="106" spans="14:14" ht="12.75" customHeight="1" x14ac:dyDescent="0.15">
      <c r="N106" s="51"/>
    </row>
    <row r="107" spans="14:14" ht="12.75" customHeight="1" x14ac:dyDescent="0.15">
      <c r="N107" s="51"/>
    </row>
    <row r="108" spans="14:14" ht="12.75" customHeight="1" x14ac:dyDescent="0.15">
      <c r="N108" s="51"/>
    </row>
    <row r="109" spans="14:14" ht="12.75" customHeight="1" x14ac:dyDescent="0.15">
      <c r="N109" s="51"/>
    </row>
    <row r="110" spans="14:14" ht="12.75" customHeight="1" x14ac:dyDescent="0.15">
      <c r="N110" s="51"/>
    </row>
    <row r="111" spans="14:14" ht="12.75" customHeight="1" x14ac:dyDescent="0.15">
      <c r="N111" s="51"/>
    </row>
    <row r="112" spans="14:14" ht="12.75" customHeight="1" x14ac:dyDescent="0.15">
      <c r="N112" s="51"/>
    </row>
    <row r="113" spans="14:14" ht="12.75" customHeight="1" x14ac:dyDescent="0.15">
      <c r="N113" s="51"/>
    </row>
    <row r="114" spans="14:14" ht="12.75" customHeight="1" x14ac:dyDescent="0.15">
      <c r="N114" s="51"/>
    </row>
    <row r="115" spans="14:14" ht="12.75" customHeight="1" x14ac:dyDescent="0.15">
      <c r="N115" s="51"/>
    </row>
    <row r="116" spans="14:14" ht="12.75" customHeight="1" x14ac:dyDescent="0.15">
      <c r="N116" s="51"/>
    </row>
    <row r="117" spans="14:14" ht="12.75" customHeight="1" x14ac:dyDescent="0.15">
      <c r="N117" s="51"/>
    </row>
    <row r="118" spans="14:14" ht="12.75" customHeight="1" x14ac:dyDescent="0.15">
      <c r="N118" s="51"/>
    </row>
    <row r="119" spans="14:14" ht="12.75" customHeight="1" x14ac:dyDescent="0.15">
      <c r="N119" s="51"/>
    </row>
    <row r="120" spans="14:14" ht="12.75" customHeight="1" x14ac:dyDescent="0.15">
      <c r="N120" s="51"/>
    </row>
    <row r="121" spans="14:14" ht="12.75" customHeight="1" x14ac:dyDescent="0.15">
      <c r="N121" s="51"/>
    </row>
    <row r="122" spans="14:14" ht="12.75" customHeight="1" x14ac:dyDescent="0.15">
      <c r="N122" s="51"/>
    </row>
    <row r="123" spans="14:14" ht="12.75" customHeight="1" x14ac:dyDescent="0.15">
      <c r="N123" s="51"/>
    </row>
    <row r="124" spans="14:14" ht="12.75" customHeight="1" x14ac:dyDescent="0.15">
      <c r="N124" s="51"/>
    </row>
    <row r="125" spans="14:14" ht="12.75" customHeight="1" x14ac:dyDescent="0.15">
      <c r="N125" s="51"/>
    </row>
    <row r="126" spans="14:14" ht="12.75" customHeight="1" x14ac:dyDescent="0.15">
      <c r="N126" s="51"/>
    </row>
    <row r="127" spans="14:14" ht="12.75" customHeight="1" x14ac:dyDescent="0.15">
      <c r="N127" s="51"/>
    </row>
    <row r="128" spans="14:14" ht="12.75" customHeight="1" x14ac:dyDescent="0.15">
      <c r="N128" s="51"/>
    </row>
    <row r="129" spans="14:14" ht="12.75" customHeight="1" x14ac:dyDescent="0.15">
      <c r="N129" s="51"/>
    </row>
    <row r="130" spans="14:14" ht="12.75" customHeight="1" x14ac:dyDescent="0.15">
      <c r="N130" s="51"/>
    </row>
    <row r="131" spans="14:14" ht="12.75" customHeight="1" x14ac:dyDescent="0.15">
      <c r="N131" s="51"/>
    </row>
    <row r="132" spans="14:14" ht="12.75" customHeight="1" x14ac:dyDescent="0.15">
      <c r="N132" s="51"/>
    </row>
    <row r="133" spans="14:14" ht="12.75" customHeight="1" x14ac:dyDescent="0.15">
      <c r="N133" s="51"/>
    </row>
    <row r="134" spans="14:14" ht="12.75" customHeight="1" x14ac:dyDescent="0.15">
      <c r="N134" s="51"/>
    </row>
    <row r="135" spans="14:14" ht="12.75" customHeight="1" x14ac:dyDescent="0.15">
      <c r="N135" s="51"/>
    </row>
    <row r="136" spans="14:14" ht="12.75" customHeight="1" x14ac:dyDescent="0.15">
      <c r="N136" s="51"/>
    </row>
    <row r="137" spans="14:14" ht="12.75" customHeight="1" x14ac:dyDescent="0.15">
      <c r="N137" s="51"/>
    </row>
    <row r="138" spans="14:14" ht="12.75" customHeight="1" x14ac:dyDescent="0.15">
      <c r="N138" s="51"/>
    </row>
    <row r="139" spans="14:14" ht="12.75" customHeight="1" x14ac:dyDescent="0.15">
      <c r="N139" s="51"/>
    </row>
    <row r="140" spans="14:14" ht="12.75" customHeight="1" x14ac:dyDescent="0.15">
      <c r="N140" s="51"/>
    </row>
    <row r="141" spans="14:14" ht="12.75" customHeight="1" x14ac:dyDescent="0.15">
      <c r="N141" s="51"/>
    </row>
    <row r="142" spans="14:14" ht="12.75" customHeight="1" x14ac:dyDescent="0.15">
      <c r="N142" s="51"/>
    </row>
    <row r="143" spans="14:14" ht="12.75" customHeight="1" x14ac:dyDescent="0.15">
      <c r="N143" s="51"/>
    </row>
    <row r="144" spans="14:14" ht="12.75" customHeight="1" x14ac:dyDescent="0.15">
      <c r="N144" s="51"/>
    </row>
    <row r="145" spans="14:14" ht="12.75" customHeight="1" x14ac:dyDescent="0.15">
      <c r="N145" s="51"/>
    </row>
    <row r="146" spans="14:14" ht="12.75" customHeight="1" x14ac:dyDescent="0.15">
      <c r="N146" s="51"/>
    </row>
    <row r="147" spans="14:14" ht="12.75" customHeight="1" x14ac:dyDescent="0.15">
      <c r="N147" s="51"/>
    </row>
    <row r="148" spans="14:14" ht="12.75" customHeight="1" x14ac:dyDescent="0.15">
      <c r="N148" s="51"/>
    </row>
    <row r="149" spans="14:14" ht="12.75" customHeight="1" x14ac:dyDescent="0.15">
      <c r="N149" s="51"/>
    </row>
    <row r="150" spans="14:14" ht="12.75" customHeight="1" x14ac:dyDescent="0.15">
      <c r="N150" s="51"/>
    </row>
    <row r="151" spans="14:14" ht="12.75" customHeight="1" x14ac:dyDescent="0.15">
      <c r="N151" s="51"/>
    </row>
    <row r="152" spans="14:14" ht="12.75" customHeight="1" x14ac:dyDescent="0.15">
      <c r="N152" s="51"/>
    </row>
    <row r="153" spans="14:14" ht="12.75" customHeight="1" x14ac:dyDescent="0.15">
      <c r="N153" s="51"/>
    </row>
    <row r="154" spans="14:14" ht="12.75" customHeight="1" x14ac:dyDescent="0.15">
      <c r="N154" s="51"/>
    </row>
    <row r="155" spans="14:14" ht="12.75" customHeight="1" x14ac:dyDescent="0.15">
      <c r="N155" s="51"/>
    </row>
    <row r="156" spans="14:14" ht="12.75" customHeight="1" x14ac:dyDescent="0.15">
      <c r="N156" s="51"/>
    </row>
    <row r="157" spans="14:14" ht="12.75" customHeight="1" x14ac:dyDescent="0.15">
      <c r="N157" s="51"/>
    </row>
    <row r="158" spans="14:14" ht="12.75" customHeight="1" x14ac:dyDescent="0.15">
      <c r="N158" s="51"/>
    </row>
    <row r="159" spans="14:14" ht="12.75" customHeight="1" x14ac:dyDescent="0.15">
      <c r="N159" s="51"/>
    </row>
    <row r="160" spans="14:14" ht="12.75" customHeight="1" x14ac:dyDescent="0.15">
      <c r="N160" s="51"/>
    </row>
    <row r="161" spans="14:14" ht="12.75" customHeight="1" x14ac:dyDescent="0.15">
      <c r="N161" s="51"/>
    </row>
    <row r="162" spans="14:14" ht="12.75" customHeight="1" x14ac:dyDescent="0.15">
      <c r="N162" s="51"/>
    </row>
    <row r="163" spans="14:14" ht="12.75" customHeight="1" x14ac:dyDescent="0.15">
      <c r="N163" s="51"/>
    </row>
    <row r="164" spans="14:14" ht="12.75" customHeight="1" x14ac:dyDescent="0.15">
      <c r="N164" s="51"/>
    </row>
    <row r="165" spans="14:14" ht="12.75" customHeight="1" x14ac:dyDescent="0.15">
      <c r="N165" s="51"/>
    </row>
    <row r="166" spans="14:14" ht="12.75" customHeight="1" x14ac:dyDescent="0.15">
      <c r="N166" s="51"/>
    </row>
    <row r="167" spans="14:14" ht="12.75" customHeight="1" x14ac:dyDescent="0.15">
      <c r="N167" s="51"/>
    </row>
    <row r="168" spans="14:14" ht="12.75" customHeight="1" x14ac:dyDescent="0.15">
      <c r="N168" s="51"/>
    </row>
    <row r="169" spans="14:14" ht="12.75" customHeight="1" x14ac:dyDescent="0.15">
      <c r="N169" s="51"/>
    </row>
    <row r="170" spans="14:14" ht="12.75" customHeight="1" x14ac:dyDescent="0.15">
      <c r="N170" s="51"/>
    </row>
    <row r="171" spans="14:14" ht="12.75" customHeight="1" x14ac:dyDescent="0.15">
      <c r="N171" s="51"/>
    </row>
    <row r="172" spans="14:14" ht="12.75" customHeight="1" x14ac:dyDescent="0.15">
      <c r="N172" s="51"/>
    </row>
    <row r="173" spans="14:14" ht="12.75" customHeight="1" x14ac:dyDescent="0.15">
      <c r="N173" s="51"/>
    </row>
    <row r="174" spans="14:14" ht="12.75" customHeight="1" x14ac:dyDescent="0.15">
      <c r="N174" s="51"/>
    </row>
    <row r="175" spans="14:14" ht="12.75" customHeight="1" x14ac:dyDescent="0.15">
      <c r="N175" s="51"/>
    </row>
    <row r="176" spans="14:14" ht="12.75" customHeight="1" x14ac:dyDescent="0.15">
      <c r="N176" s="51"/>
    </row>
    <row r="177" spans="14:14" ht="12.75" customHeight="1" x14ac:dyDescent="0.15">
      <c r="N177" s="51"/>
    </row>
    <row r="178" spans="14:14" ht="12.75" customHeight="1" x14ac:dyDescent="0.15">
      <c r="N178" s="51"/>
    </row>
    <row r="179" spans="14:14" ht="12.75" customHeight="1" x14ac:dyDescent="0.15">
      <c r="N179" s="51"/>
    </row>
    <row r="180" spans="14:14" ht="12.75" customHeight="1" x14ac:dyDescent="0.15">
      <c r="N180" s="51"/>
    </row>
    <row r="181" spans="14:14" ht="12.75" customHeight="1" x14ac:dyDescent="0.15">
      <c r="N181" s="51"/>
    </row>
    <row r="182" spans="14:14" ht="12.75" customHeight="1" x14ac:dyDescent="0.15">
      <c r="N182" s="51"/>
    </row>
    <row r="183" spans="14:14" ht="12.75" customHeight="1" x14ac:dyDescent="0.15">
      <c r="N183" s="51"/>
    </row>
    <row r="184" spans="14:14" ht="12.75" customHeight="1" x14ac:dyDescent="0.15">
      <c r="N184" s="51"/>
    </row>
    <row r="185" spans="14:14" ht="12.75" customHeight="1" x14ac:dyDescent="0.15">
      <c r="N185" s="51"/>
    </row>
    <row r="186" spans="14:14" ht="12.75" customHeight="1" x14ac:dyDescent="0.15">
      <c r="N186" s="51"/>
    </row>
    <row r="187" spans="14:14" ht="12.75" customHeight="1" x14ac:dyDescent="0.15">
      <c r="N187" s="51"/>
    </row>
    <row r="188" spans="14:14" ht="12.75" customHeight="1" x14ac:dyDescent="0.15">
      <c r="N188" s="51"/>
    </row>
    <row r="189" spans="14:14" ht="12.75" customHeight="1" x14ac:dyDescent="0.15">
      <c r="N189" s="51"/>
    </row>
    <row r="190" spans="14:14" ht="12.75" customHeight="1" x14ac:dyDescent="0.15">
      <c r="N190" s="51"/>
    </row>
    <row r="191" spans="14:14" ht="12.75" customHeight="1" x14ac:dyDescent="0.15">
      <c r="N191" s="51"/>
    </row>
    <row r="192" spans="14:14" ht="12.75" customHeight="1" x14ac:dyDescent="0.15">
      <c r="N192" s="51"/>
    </row>
    <row r="193" spans="14:14" ht="12.75" customHeight="1" x14ac:dyDescent="0.15">
      <c r="N193" s="51"/>
    </row>
    <row r="194" spans="14:14" ht="12.75" customHeight="1" x14ac:dyDescent="0.15">
      <c r="N194" s="51"/>
    </row>
    <row r="195" spans="14:14" ht="12.75" customHeight="1" x14ac:dyDescent="0.15">
      <c r="N195" s="51"/>
    </row>
    <row r="196" spans="14:14" ht="12.75" customHeight="1" x14ac:dyDescent="0.15">
      <c r="N196" s="51"/>
    </row>
    <row r="197" spans="14:14" ht="12.75" customHeight="1" x14ac:dyDescent="0.15">
      <c r="N197" s="51"/>
    </row>
    <row r="198" spans="14:14" ht="12.75" customHeight="1" x14ac:dyDescent="0.15">
      <c r="N198" s="51"/>
    </row>
    <row r="199" spans="14:14" ht="12.75" customHeight="1" x14ac:dyDescent="0.15">
      <c r="N199" s="51"/>
    </row>
    <row r="200" spans="14:14" ht="12.75" customHeight="1" x14ac:dyDescent="0.15">
      <c r="N200" s="51"/>
    </row>
    <row r="201" spans="14:14" ht="12.75" customHeight="1" x14ac:dyDescent="0.15">
      <c r="N201" s="51"/>
    </row>
    <row r="202" spans="14:14" ht="12.75" customHeight="1" x14ac:dyDescent="0.15">
      <c r="N202" s="51"/>
    </row>
    <row r="203" spans="14:14" ht="12.75" customHeight="1" x14ac:dyDescent="0.15">
      <c r="N203" s="51"/>
    </row>
    <row r="204" spans="14:14" ht="12.75" customHeight="1" x14ac:dyDescent="0.15">
      <c r="N204" s="51"/>
    </row>
    <row r="205" spans="14:14" ht="12.75" customHeight="1" x14ac:dyDescent="0.15">
      <c r="N205" s="51"/>
    </row>
    <row r="206" spans="14:14" ht="12.75" customHeight="1" x14ac:dyDescent="0.15">
      <c r="N206" s="51"/>
    </row>
    <row r="207" spans="14:14" ht="12.75" customHeight="1" x14ac:dyDescent="0.15">
      <c r="N207" s="51"/>
    </row>
    <row r="208" spans="14:14" ht="12.75" customHeight="1" x14ac:dyDescent="0.15">
      <c r="N208" s="51"/>
    </row>
    <row r="209" spans="14:14" ht="12.75" customHeight="1" x14ac:dyDescent="0.15">
      <c r="N209" s="51"/>
    </row>
    <row r="210" spans="14:14" ht="12.75" customHeight="1" x14ac:dyDescent="0.15">
      <c r="N210" s="51"/>
    </row>
    <row r="211" spans="14:14" ht="12.75" customHeight="1" x14ac:dyDescent="0.15">
      <c r="N211" s="51"/>
    </row>
    <row r="212" spans="14:14" ht="12.75" customHeight="1" x14ac:dyDescent="0.15">
      <c r="N212" s="51"/>
    </row>
    <row r="213" spans="14:14" ht="12.75" customHeight="1" x14ac:dyDescent="0.15">
      <c r="N213" s="51"/>
    </row>
    <row r="214" spans="14:14" ht="12.75" customHeight="1" x14ac:dyDescent="0.15">
      <c r="N214" s="51"/>
    </row>
    <row r="215" spans="14:14" ht="12.75" customHeight="1" x14ac:dyDescent="0.15">
      <c r="N215" s="51"/>
    </row>
    <row r="216" spans="14:14" ht="12.75" customHeight="1" x14ac:dyDescent="0.15">
      <c r="N216" s="51"/>
    </row>
    <row r="217" spans="14:14" ht="12.75" customHeight="1" x14ac:dyDescent="0.15">
      <c r="N217" s="51"/>
    </row>
    <row r="218" spans="14:14" ht="12.75" customHeight="1" x14ac:dyDescent="0.15">
      <c r="N218" s="51"/>
    </row>
    <row r="219" spans="14:14" ht="12.75" customHeight="1" x14ac:dyDescent="0.15">
      <c r="N219" s="51"/>
    </row>
    <row r="220" spans="14:14" ht="12.75" customHeight="1" x14ac:dyDescent="0.15">
      <c r="N220" s="51"/>
    </row>
    <row r="221" spans="14:14" ht="12.75" customHeight="1" x14ac:dyDescent="0.15">
      <c r="N221" s="51"/>
    </row>
    <row r="222" spans="14:14" ht="12.75" customHeight="1" x14ac:dyDescent="0.15">
      <c r="N222" s="51"/>
    </row>
    <row r="223" spans="14:14" ht="12.75" customHeight="1" x14ac:dyDescent="0.15">
      <c r="N223" s="51"/>
    </row>
    <row r="224" spans="14:14" ht="12.75" customHeight="1" x14ac:dyDescent="0.15">
      <c r="N224" s="51"/>
    </row>
    <row r="225" spans="14:14" ht="12.75" customHeight="1" x14ac:dyDescent="0.15">
      <c r="N225" s="51"/>
    </row>
    <row r="226" spans="14:14" ht="12.75" customHeight="1" x14ac:dyDescent="0.15">
      <c r="N226" s="51"/>
    </row>
    <row r="227" spans="14:14" ht="12.75" customHeight="1" x14ac:dyDescent="0.15">
      <c r="N227" s="51"/>
    </row>
    <row r="228" spans="14:14" ht="12.75" customHeight="1" x14ac:dyDescent="0.15">
      <c r="N228" s="51"/>
    </row>
    <row r="229" spans="14:14" ht="12.75" customHeight="1" x14ac:dyDescent="0.15">
      <c r="N229" s="51"/>
    </row>
    <row r="230" spans="14:14" ht="12.75" customHeight="1" x14ac:dyDescent="0.15">
      <c r="N230" s="51"/>
    </row>
    <row r="231" spans="14:14" ht="12.75" customHeight="1" x14ac:dyDescent="0.15">
      <c r="N231" s="51"/>
    </row>
    <row r="232" spans="14:14" ht="12.75" customHeight="1" x14ac:dyDescent="0.15">
      <c r="N232" s="51"/>
    </row>
    <row r="233" spans="14:14" ht="12.75" customHeight="1" x14ac:dyDescent="0.15">
      <c r="N233" s="51"/>
    </row>
    <row r="234" spans="14:14" ht="12.75" customHeight="1" x14ac:dyDescent="0.15">
      <c r="N234" s="51"/>
    </row>
    <row r="235" spans="14:14" ht="12.75" customHeight="1" x14ac:dyDescent="0.15">
      <c r="N235" s="51"/>
    </row>
    <row r="236" spans="14:14" ht="12.75" customHeight="1" x14ac:dyDescent="0.15">
      <c r="N236" s="51"/>
    </row>
    <row r="237" spans="14:14" ht="12.75" customHeight="1" x14ac:dyDescent="0.15">
      <c r="N237" s="51"/>
    </row>
    <row r="238" spans="14:14" ht="12.75" customHeight="1" x14ac:dyDescent="0.15">
      <c r="N238" s="51"/>
    </row>
    <row r="239" spans="14:14" ht="12.75" customHeight="1" x14ac:dyDescent="0.15">
      <c r="N239" s="51"/>
    </row>
    <row r="240" spans="14:14" ht="12.75" customHeight="1" x14ac:dyDescent="0.15">
      <c r="N240" s="51"/>
    </row>
    <row r="241" spans="14:14" ht="12.75" customHeight="1" x14ac:dyDescent="0.15">
      <c r="N241" s="51"/>
    </row>
    <row r="242" spans="14:14" ht="12.75" customHeight="1" x14ac:dyDescent="0.15">
      <c r="N242" s="51"/>
    </row>
    <row r="243" spans="14:14" ht="12.75" customHeight="1" x14ac:dyDescent="0.15">
      <c r="N243" s="51"/>
    </row>
    <row r="244" spans="14:14" ht="12.75" customHeight="1" x14ac:dyDescent="0.15">
      <c r="N244" s="51"/>
    </row>
    <row r="245" spans="14:14" ht="12.75" customHeight="1" x14ac:dyDescent="0.15">
      <c r="N245" s="51"/>
    </row>
    <row r="246" spans="14:14" ht="12.75" customHeight="1" x14ac:dyDescent="0.15">
      <c r="N246" s="51"/>
    </row>
    <row r="247" spans="14:14" ht="12.75" customHeight="1" x14ac:dyDescent="0.15">
      <c r="N247" s="51"/>
    </row>
    <row r="248" spans="14:14" ht="12.75" customHeight="1" x14ac:dyDescent="0.15">
      <c r="N248" s="51"/>
    </row>
    <row r="249" spans="14:14" ht="12.75" customHeight="1" x14ac:dyDescent="0.15">
      <c r="N249" s="51"/>
    </row>
    <row r="250" spans="14:14" ht="12.75" customHeight="1" x14ac:dyDescent="0.15">
      <c r="N250" s="51"/>
    </row>
    <row r="251" spans="14:14" ht="12.75" customHeight="1" x14ac:dyDescent="0.15">
      <c r="N251" s="51"/>
    </row>
    <row r="252" spans="14:14" ht="12.75" customHeight="1" x14ac:dyDescent="0.15">
      <c r="N252" s="51"/>
    </row>
    <row r="253" spans="14:14" ht="12.75" customHeight="1" x14ac:dyDescent="0.15">
      <c r="N253" s="51"/>
    </row>
    <row r="254" spans="14:14" ht="12.75" customHeight="1" x14ac:dyDescent="0.15">
      <c r="N254" s="51"/>
    </row>
    <row r="255" spans="14:14" ht="12.75" customHeight="1" x14ac:dyDescent="0.15">
      <c r="N255" s="51"/>
    </row>
    <row r="256" spans="14:14" ht="12.75" customHeight="1" x14ac:dyDescent="0.15">
      <c r="N256" s="51"/>
    </row>
    <row r="257" spans="14:14" ht="12.75" customHeight="1" x14ac:dyDescent="0.15">
      <c r="N257" s="51"/>
    </row>
    <row r="258" spans="14:14" ht="12.75" customHeight="1" x14ac:dyDescent="0.15">
      <c r="N258" s="51"/>
    </row>
    <row r="259" spans="14:14" ht="12.75" customHeight="1" x14ac:dyDescent="0.15">
      <c r="N259" s="51"/>
    </row>
    <row r="260" spans="14:14" ht="12.75" customHeight="1" x14ac:dyDescent="0.15">
      <c r="N260" s="51"/>
    </row>
    <row r="261" spans="14:14" ht="12.75" customHeight="1" x14ac:dyDescent="0.15">
      <c r="N261" s="51"/>
    </row>
    <row r="262" spans="14:14" ht="12.75" customHeight="1" x14ac:dyDescent="0.15">
      <c r="N262" s="51"/>
    </row>
    <row r="263" spans="14:14" ht="12.75" customHeight="1" x14ac:dyDescent="0.15">
      <c r="N263" s="51"/>
    </row>
    <row r="264" spans="14:14" ht="12.75" customHeight="1" x14ac:dyDescent="0.15">
      <c r="N264" s="51"/>
    </row>
    <row r="265" spans="14:14" ht="12.75" customHeight="1" x14ac:dyDescent="0.15">
      <c r="N265" s="51"/>
    </row>
    <row r="266" spans="14:14" ht="12.75" customHeight="1" x14ac:dyDescent="0.15">
      <c r="N266" s="51"/>
    </row>
    <row r="267" spans="14:14" ht="12.75" customHeight="1" x14ac:dyDescent="0.15">
      <c r="N267" s="51"/>
    </row>
    <row r="268" spans="14:14" ht="12.75" customHeight="1" x14ac:dyDescent="0.15">
      <c r="N268" s="51"/>
    </row>
    <row r="269" spans="14:14" ht="12.75" customHeight="1" x14ac:dyDescent="0.15">
      <c r="N269" s="51"/>
    </row>
    <row r="270" spans="14:14" ht="12.75" customHeight="1" x14ac:dyDescent="0.15">
      <c r="N270" s="51"/>
    </row>
    <row r="271" spans="14:14" ht="12.75" customHeight="1" x14ac:dyDescent="0.15">
      <c r="N271" s="51"/>
    </row>
    <row r="272" spans="14:14" ht="12.75" customHeight="1" x14ac:dyDescent="0.15">
      <c r="N272" s="51"/>
    </row>
    <row r="273" spans="14:14" ht="12.75" customHeight="1" x14ac:dyDescent="0.15">
      <c r="N273" s="51"/>
    </row>
    <row r="274" spans="14:14" ht="12.75" customHeight="1" x14ac:dyDescent="0.15">
      <c r="N274" s="51"/>
    </row>
    <row r="275" spans="14:14" ht="12.75" customHeight="1" x14ac:dyDescent="0.15">
      <c r="N275" s="51"/>
    </row>
    <row r="276" spans="14:14" ht="12.75" customHeight="1" x14ac:dyDescent="0.15">
      <c r="N276" s="51"/>
    </row>
    <row r="277" spans="14:14" ht="12.75" customHeight="1" x14ac:dyDescent="0.15">
      <c r="N277" s="51"/>
    </row>
    <row r="278" spans="14:14" ht="12.75" customHeight="1" x14ac:dyDescent="0.15">
      <c r="N278" s="51"/>
    </row>
    <row r="279" spans="14:14" ht="12.75" customHeight="1" x14ac:dyDescent="0.15">
      <c r="N279" s="51"/>
    </row>
    <row r="280" spans="14:14" ht="12.75" customHeight="1" x14ac:dyDescent="0.15">
      <c r="N280" s="51"/>
    </row>
    <row r="281" spans="14:14" ht="12.75" customHeight="1" x14ac:dyDescent="0.15">
      <c r="N281" s="51"/>
    </row>
    <row r="282" spans="14:14" ht="12.75" customHeight="1" x14ac:dyDescent="0.15">
      <c r="N282" s="51"/>
    </row>
    <row r="283" spans="14:14" ht="12.75" customHeight="1" x14ac:dyDescent="0.15">
      <c r="N283" s="51"/>
    </row>
    <row r="284" spans="14:14" ht="12.75" customHeight="1" x14ac:dyDescent="0.15">
      <c r="N284" s="51"/>
    </row>
    <row r="285" spans="14:14" ht="12.75" customHeight="1" x14ac:dyDescent="0.15">
      <c r="N285" s="51"/>
    </row>
    <row r="286" spans="14:14" ht="12.75" customHeight="1" x14ac:dyDescent="0.15">
      <c r="N286" s="51"/>
    </row>
    <row r="287" spans="14:14" ht="12.75" customHeight="1" x14ac:dyDescent="0.15">
      <c r="N287" s="51"/>
    </row>
    <row r="288" spans="14:14" ht="12.75" customHeight="1" x14ac:dyDescent="0.15">
      <c r="N288" s="51"/>
    </row>
    <row r="289" spans="14:14" ht="12.75" customHeight="1" x14ac:dyDescent="0.15">
      <c r="N289" s="51"/>
    </row>
    <row r="290" spans="14:14" ht="12.75" customHeight="1" x14ac:dyDescent="0.15">
      <c r="N290" s="51"/>
    </row>
    <row r="291" spans="14:14" ht="12.75" customHeight="1" x14ac:dyDescent="0.15">
      <c r="N291" s="51"/>
    </row>
    <row r="292" spans="14:14" ht="12.75" customHeight="1" x14ac:dyDescent="0.15">
      <c r="N292" s="51"/>
    </row>
    <row r="293" spans="14:14" ht="12.75" customHeight="1" x14ac:dyDescent="0.15">
      <c r="N293" s="51"/>
    </row>
    <row r="294" spans="14:14" ht="12.75" customHeight="1" x14ac:dyDescent="0.15">
      <c r="N294" s="51"/>
    </row>
    <row r="295" spans="14:14" ht="12.75" customHeight="1" x14ac:dyDescent="0.15">
      <c r="N295" s="51"/>
    </row>
    <row r="296" spans="14:14" ht="12.75" customHeight="1" x14ac:dyDescent="0.15">
      <c r="N296" s="51"/>
    </row>
    <row r="297" spans="14:14" ht="12.75" customHeight="1" x14ac:dyDescent="0.15">
      <c r="N297" s="51"/>
    </row>
    <row r="298" spans="14:14" ht="12.75" customHeight="1" x14ac:dyDescent="0.15">
      <c r="N298" s="51"/>
    </row>
    <row r="299" spans="14:14" ht="12.75" customHeight="1" x14ac:dyDescent="0.15">
      <c r="N299" s="51"/>
    </row>
    <row r="300" spans="14:14" ht="12.75" customHeight="1" x14ac:dyDescent="0.15">
      <c r="N300" s="51"/>
    </row>
    <row r="301" spans="14:14" ht="12.75" customHeight="1" x14ac:dyDescent="0.15">
      <c r="N301" s="51"/>
    </row>
    <row r="302" spans="14:14" ht="12.75" customHeight="1" x14ac:dyDescent="0.15">
      <c r="N302" s="51"/>
    </row>
    <row r="303" spans="14:14" ht="12.75" customHeight="1" x14ac:dyDescent="0.15">
      <c r="N303" s="51"/>
    </row>
    <row r="304" spans="14:14" ht="12.75" customHeight="1" x14ac:dyDescent="0.15">
      <c r="N304" s="51"/>
    </row>
    <row r="305" spans="14:14" ht="12.75" customHeight="1" x14ac:dyDescent="0.15">
      <c r="N305" s="51"/>
    </row>
    <row r="306" spans="14:14" ht="12.75" customHeight="1" x14ac:dyDescent="0.15">
      <c r="N306" s="51"/>
    </row>
    <row r="307" spans="14:14" ht="12.75" customHeight="1" x14ac:dyDescent="0.15">
      <c r="N307" s="51"/>
    </row>
    <row r="308" spans="14:14" ht="12.75" customHeight="1" x14ac:dyDescent="0.15">
      <c r="N308" s="51"/>
    </row>
    <row r="309" spans="14:14" ht="12.75" customHeight="1" x14ac:dyDescent="0.15">
      <c r="N309" s="51"/>
    </row>
    <row r="310" spans="14:14" ht="12.75" customHeight="1" x14ac:dyDescent="0.15">
      <c r="N310" s="51"/>
    </row>
    <row r="311" spans="14:14" ht="12.75" customHeight="1" x14ac:dyDescent="0.15">
      <c r="N311" s="51"/>
    </row>
    <row r="312" spans="14:14" ht="12.75" customHeight="1" x14ac:dyDescent="0.15">
      <c r="N312" s="51"/>
    </row>
    <row r="313" spans="14:14" ht="12.75" customHeight="1" x14ac:dyDescent="0.15">
      <c r="N313" s="51"/>
    </row>
    <row r="314" spans="14:14" ht="12.75" customHeight="1" x14ac:dyDescent="0.15">
      <c r="N314" s="51"/>
    </row>
    <row r="315" spans="14:14" ht="12.75" customHeight="1" x14ac:dyDescent="0.15">
      <c r="N315" s="51"/>
    </row>
    <row r="316" spans="14:14" ht="12.75" customHeight="1" x14ac:dyDescent="0.15">
      <c r="N316" s="51"/>
    </row>
    <row r="317" spans="14:14" ht="12.75" customHeight="1" x14ac:dyDescent="0.15">
      <c r="N317" s="51"/>
    </row>
    <row r="318" spans="14:14" ht="12.75" customHeight="1" x14ac:dyDescent="0.15">
      <c r="N318" s="51"/>
    </row>
    <row r="319" spans="14:14" ht="12.75" customHeight="1" x14ac:dyDescent="0.15">
      <c r="N319" s="51"/>
    </row>
    <row r="320" spans="14:14" ht="12.75" customHeight="1" x14ac:dyDescent="0.15">
      <c r="N320" s="51"/>
    </row>
    <row r="321" spans="14:14" ht="12.75" customHeight="1" x14ac:dyDescent="0.15">
      <c r="N321" s="51"/>
    </row>
    <row r="322" spans="14:14" ht="12.75" customHeight="1" x14ac:dyDescent="0.15">
      <c r="N322" s="51"/>
    </row>
    <row r="323" spans="14:14" ht="12.75" customHeight="1" x14ac:dyDescent="0.15">
      <c r="N323" s="51"/>
    </row>
    <row r="324" spans="14:14" ht="12.75" customHeight="1" x14ac:dyDescent="0.15">
      <c r="N324" s="51"/>
    </row>
    <row r="325" spans="14:14" ht="12.75" customHeight="1" x14ac:dyDescent="0.15">
      <c r="N325" s="51"/>
    </row>
    <row r="326" spans="14:14" ht="12.75" customHeight="1" x14ac:dyDescent="0.15">
      <c r="N326" s="51"/>
    </row>
    <row r="327" spans="14:14" ht="12.75" customHeight="1" x14ac:dyDescent="0.15">
      <c r="N327" s="51"/>
    </row>
    <row r="328" spans="14:14" ht="12.75" customHeight="1" x14ac:dyDescent="0.15">
      <c r="N328" s="51"/>
    </row>
    <row r="329" spans="14:14" ht="12.75" customHeight="1" x14ac:dyDescent="0.15">
      <c r="N329" s="51"/>
    </row>
    <row r="330" spans="14:14" ht="12.75" customHeight="1" x14ac:dyDescent="0.15">
      <c r="N330" s="51"/>
    </row>
    <row r="331" spans="14:14" ht="12.75" customHeight="1" x14ac:dyDescent="0.15">
      <c r="N331" s="51"/>
    </row>
    <row r="332" spans="14:14" ht="12.75" customHeight="1" x14ac:dyDescent="0.15">
      <c r="N332" s="51"/>
    </row>
    <row r="333" spans="14:14" ht="12.75" customHeight="1" x14ac:dyDescent="0.15">
      <c r="N333" s="51"/>
    </row>
    <row r="334" spans="14:14" ht="12.75" customHeight="1" x14ac:dyDescent="0.15">
      <c r="N334" s="51"/>
    </row>
    <row r="335" spans="14:14" ht="12.75" customHeight="1" x14ac:dyDescent="0.15">
      <c r="N335" s="51"/>
    </row>
    <row r="336" spans="14:14" ht="12.75" customHeight="1" x14ac:dyDescent="0.15">
      <c r="N336" s="51"/>
    </row>
    <row r="337" spans="14:14" ht="12.75" customHeight="1" x14ac:dyDescent="0.15">
      <c r="N337" s="51"/>
    </row>
    <row r="338" spans="14:14" ht="12.75" customHeight="1" x14ac:dyDescent="0.15">
      <c r="N338" s="51"/>
    </row>
    <row r="339" spans="14:14" ht="12.75" customHeight="1" x14ac:dyDescent="0.15">
      <c r="N339" s="51"/>
    </row>
    <row r="340" spans="14:14" ht="12.75" customHeight="1" x14ac:dyDescent="0.15">
      <c r="N340" s="51"/>
    </row>
    <row r="341" spans="14:14" ht="12.75" customHeight="1" x14ac:dyDescent="0.15">
      <c r="N341" s="51"/>
    </row>
    <row r="342" spans="14:14" ht="12.75" customHeight="1" x14ac:dyDescent="0.15">
      <c r="N342" s="51"/>
    </row>
    <row r="343" spans="14:14" ht="12.75" customHeight="1" x14ac:dyDescent="0.15">
      <c r="N343" s="51"/>
    </row>
    <row r="344" spans="14:14" ht="12.75" customHeight="1" x14ac:dyDescent="0.15">
      <c r="N344" s="51"/>
    </row>
    <row r="345" spans="14:14" ht="12.75" customHeight="1" x14ac:dyDescent="0.15">
      <c r="N345" s="51"/>
    </row>
    <row r="346" spans="14:14" ht="12.75" customHeight="1" x14ac:dyDescent="0.15">
      <c r="N346" s="51"/>
    </row>
    <row r="347" spans="14:14" ht="12.75" customHeight="1" x14ac:dyDescent="0.15">
      <c r="N347" s="51"/>
    </row>
    <row r="348" spans="14:14" ht="12.75" customHeight="1" x14ac:dyDescent="0.15">
      <c r="N348" s="51"/>
    </row>
    <row r="349" spans="14:14" ht="12.75" customHeight="1" x14ac:dyDescent="0.15">
      <c r="N349" s="51"/>
    </row>
    <row r="350" spans="14:14" ht="12.75" customHeight="1" x14ac:dyDescent="0.15">
      <c r="N350" s="51"/>
    </row>
    <row r="351" spans="14:14" ht="12.75" customHeight="1" x14ac:dyDescent="0.15">
      <c r="N351" s="51"/>
    </row>
    <row r="352" spans="14:14" ht="12.75" customHeight="1" x14ac:dyDescent="0.15">
      <c r="N352" s="51"/>
    </row>
    <row r="353" spans="14:14" ht="12.75" customHeight="1" x14ac:dyDescent="0.15">
      <c r="N353" s="51"/>
    </row>
    <row r="354" spans="14:14" ht="12.75" customHeight="1" x14ac:dyDescent="0.15">
      <c r="N354" s="51"/>
    </row>
    <row r="355" spans="14:14" ht="12.75" customHeight="1" x14ac:dyDescent="0.15">
      <c r="N355" s="51"/>
    </row>
    <row r="356" spans="14:14" ht="12.75" customHeight="1" x14ac:dyDescent="0.15">
      <c r="N356" s="51"/>
    </row>
    <row r="357" spans="14:14" ht="12.75" customHeight="1" x14ac:dyDescent="0.15">
      <c r="N357" s="51"/>
    </row>
    <row r="358" spans="14:14" ht="12.75" customHeight="1" x14ac:dyDescent="0.15">
      <c r="N358" s="51"/>
    </row>
    <row r="359" spans="14:14" ht="12.75" customHeight="1" x14ac:dyDescent="0.15">
      <c r="N359" s="51"/>
    </row>
    <row r="360" spans="14:14" ht="12.75" customHeight="1" x14ac:dyDescent="0.15">
      <c r="N360" s="51"/>
    </row>
    <row r="361" spans="14:14" ht="12.75" customHeight="1" x14ac:dyDescent="0.15">
      <c r="N361" s="51"/>
    </row>
    <row r="362" spans="14:14" ht="12.75" customHeight="1" x14ac:dyDescent="0.15">
      <c r="N362" s="51"/>
    </row>
    <row r="363" spans="14:14" ht="12.75" customHeight="1" x14ac:dyDescent="0.15">
      <c r="N363" s="51"/>
    </row>
    <row r="364" spans="14:14" ht="12.75" customHeight="1" x14ac:dyDescent="0.15">
      <c r="N364" s="51"/>
    </row>
    <row r="365" spans="14:14" ht="12.75" customHeight="1" x14ac:dyDescent="0.15">
      <c r="N365" s="51"/>
    </row>
    <row r="366" spans="14:14" ht="12.75" customHeight="1" x14ac:dyDescent="0.15">
      <c r="N366" s="51"/>
    </row>
    <row r="367" spans="14:14" ht="12.75" customHeight="1" x14ac:dyDescent="0.15">
      <c r="N367" s="51"/>
    </row>
    <row r="368" spans="14:14" ht="12.75" customHeight="1" x14ac:dyDescent="0.15">
      <c r="N368" s="51"/>
    </row>
    <row r="369" spans="14:14" ht="12.75" customHeight="1" x14ac:dyDescent="0.15">
      <c r="N369" s="51"/>
    </row>
    <row r="370" spans="14:14" ht="12.75" customHeight="1" x14ac:dyDescent="0.15">
      <c r="N370" s="51"/>
    </row>
    <row r="371" spans="14:14" ht="12.75" customHeight="1" x14ac:dyDescent="0.15">
      <c r="N371" s="51"/>
    </row>
    <row r="372" spans="14:14" ht="12.75" customHeight="1" x14ac:dyDescent="0.15">
      <c r="N372" s="51"/>
    </row>
    <row r="373" spans="14:14" ht="12.75" customHeight="1" x14ac:dyDescent="0.15">
      <c r="N373" s="51"/>
    </row>
    <row r="374" spans="14:14" ht="12.75" customHeight="1" x14ac:dyDescent="0.15">
      <c r="N374" s="51"/>
    </row>
    <row r="375" spans="14:14" ht="12.75" customHeight="1" x14ac:dyDescent="0.15">
      <c r="N375" s="51"/>
    </row>
    <row r="376" spans="14:14" ht="12.75" customHeight="1" x14ac:dyDescent="0.15">
      <c r="N376" s="51"/>
    </row>
    <row r="377" spans="14:14" ht="12.75" customHeight="1" x14ac:dyDescent="0.15">
      <c r="N377" s="51"/>
    </row>
    <row r="378" spans="14:14" ht="12.75" customHeight="1" x14ac:dyDescent="0.15">
      <c r="N378" s="51"/>
    </row>
    <row r="379" spans="14:14" ht="12.75" customHeight="1" x14ac:dyDescent="0.15">
      <c r="N379" s="51"/>
    </row>
    <row r="380" spans="14:14" ht="12.75" customHeight="1" x14ac:dyDescent="0.15">
      <c r="N380" s="51"/>
    </row>
    <row r="381" spans="14:14" ht="12.75" customHeight="1" x14ac:dyDescent="0.15">
      <c r="N381" s="51"/>
    </row>
    <row r="382" spans="14:14" ht="12.75" customHeight="1" x14ac:dyDescent="0.15">
      <c r="N382" s="51"/>
    </row>
    <row r="383" spans="14:14" ht="12.75" customHeight="1" x14ac:dyDescent="0.15">
      <c r="N383" s="51"/>
    </row>
    <row r="384" spans="14:14" ht="12.75" customHeight="1" x14ac:dyDescent="0.15">
      <c r="N384" s="51"/>
    </row>
    <row r="385" spans="14:14" ht="12.75" customHeight="1" x14ac:dyDescent="0.15">
      <c r="N385" s="51"/>
    </row>
    <row r="386" spans="14:14" ht="12.75" customHeight="1" x14ac:dyDescent="0.15">
      <c r="N386" s="51"/>
    </row>
    <row r="387" spans="14:14" ht="12.75" customHeight="1" x14ac:dyDescent="0.15">
      <c r="N387" s="51"/>
    </row>
    <row r="388" spans="14:14" ht="12.75" customHeight="1" x14ac:dyDescent="0.15">
      <c r="N388" s="51"/>
    </row>
    <row r="389" spans="14:14" ht="12.75" customHeight="1" x14ac:dyDescent="0.15">
      <c r="N389" s="51"/>
    </row>
    <row r="390" spans="14:14" ht="12.75" customHeight="1" x14ac:dyDescent="0.15">
      <c r="N390" s="51"/>
    </row>
    <row r="391" spans="14:14" ht="12.75" customHeight="1" x14ac:dyDescent="0.15">
      <c r="N391" s="51"/>
    </row>
    <row r="392" spans="14:14" ht="12.75" customHeight="1" x14ac:dyDescent="0.15">
      <c r="N392" s="51"/>
    </row>
    <row r="393" spans="14:14" ht="12.75" customHeight="1" x14ac:dyDescent="0.15">
      <c r="N393" s="51"/>
    </row>
    <row r="394" spans="14:14" ht="12.75" customHeight="1" x14ac:dyDescent="0.15">
      <c r="N394" s="51"/>
    </row>
    <row r="395" spans="14:14" ht="12.75" customHeight="1" x14ac:dyDescent="0.15">
      <c r="N395" s="51"/>
    </row>
    <row r="396" spans="14:14" ht="12.75" customHeight="1" x14ac:dyDescent="0.15">
      <c r="N396" s="51"/>
    </row>
    <row r="397" spans="14:14" ht="12.75" customHeight="1" x14ac:dyDescent="0.15">
      <c r="N397" s="51"/>
    </row>
    <row r="398" spans="14:14" ht="12.75" customHeight="1" x14ac:dyDescent="0.15">
      <c r="N398" s="51"/>
    </row>
    <row r="399" spans="14:14" ht="12.75" customHeight="1" x14ac:dyDescent="0.15">
      <c r="N399" s="51"/>
    </row>
    <row r="400" spans="14:14" ht="12.75" customHeight="1" x14ac:dyDescent="0.15">
      <c r="N400" s="51"/>
    </row>
    <row r="401" spans="14:14" ht="12.75" customHeight="1" x14ac:dyDescent="0.15">
      <c r="N401" s="51"/>
    </row>
    <row r="402" spans="14:14" ht="12.75" customHeight="1" x14ac:dyDescent="0.15">
      <c r="N402" s="51"/>
    </row>
    <row r="403" spans="14:14" ht="12.75" customHeight="1" x14ac:dyDescent="0.15">
      <c r="N403" s="51"/>
    </row>
    <row r="404" spans="14:14" ht="12.75" customHeight="1" x14ac:dyDescent="0.15">
      <c r="N404" s="51"/>
    </row>
    <row r="405" spans="14:14" ht="12.75" customHeight="1" x14ac:dyDescent="0.15">
      <c r="N405" s="51"/>
    </row>
    <row r="406" spans="14:14" ht="12.75" customHeight="1" x14ac:dyDescent="0.15">
      <c r="N406" s="51"/>
    </row>
    <row r="407" spans="14:14" ht="12.75" customHeight="1" x14ac:dyDescent="0.15">
      <c r="N407" s="51"/>
    </row>
    <row r="408" spans="14:14" ht="12.75" customHeight="1" x14ac:dyDescent="0.15">
      <c r="N408" s="51"/>
    </row>
    <row r="409" spans="14:14" ht="12.75" customHeight="1" x14ac:dyDescent="0.15">
      <c r="N409" s="51"/>
    </row>
    <row r="410" spans="14:14" ht="12.75" customHeight="1" x14ac:dyDescent="0.15">
      <c r="N410" s="51"/>
    </row>
    <row r="411" spans="14:14" ht="12.75" customHeight="1" x14ac:dyDescent="0.15">
      <c r="N411" s="51"/>
    </row>
    <row r="412" spans="14:14" ht="12.75" customHeight="1" x14ac:dyDescent="0.15">
      <c r="N412" s="51"/>
    </row>
    <row r="413" spans="14:14" ht="12.75" customHeight="1" x14ac:dyDescent="0.15">
      <c r="N413" s="51"/>
    </row>
    <row r="414" spans="14:14" ht="12.75" customHeight="1" x14ac:dyDescent="0.15">
      <c r="N414" s="51"/>
    </row>
    <row r="415" spans="14:14" ht="12.75" customHeight="1" x14ac:dyDescent="0.15">
      <c r="N415" s="51"/>
    </row>
    <row r="416" spans="14:14" ht="12.75" customHeight="1" x14ac:dyDescent="0.15">
      <c r="N416" s="51"/>
    </row>
    <row r="417" spans="14:14" ht="12.75" customHeight="1" x14ac:dyDescent="0.15">
      <c r="N417" s="51"/>
    </row>
    <row r="418" spans="14:14" ht="12.75" customHeight="1" x14ac:dyDescent="0.15">
      <c r="N418" s="51"/>
    </row>
    <row r="419" spans="14:14" ht="12.75" customHeight="1" x14ac:dyDescent="0.15">
      <c r="N419" s="51"/>
    </row>
    <row r="420" spans="14:14" ht="12.75" customHeight="1" x14ac:dyDescent="0.15">
      <c r="N420" s="51"/>
    </row>
    <row r="421" spans="14:14" ht="12.75" customHeight="1" x14ac:dyDescent="0.15">
      <c r="N421" s="51"/>
    </row>
    <row r="422" spans="14:14" ht="12.75" customHeight="1" x14ac:dyDescent="0.15">
      <c r="N422" s="51"/>
    </row>
    <row r="423" spans="14:14" ht="12.75" customHeight="1" x14ac:dyDescent="0.15">
      <c r="N423" s="51"/>
    </row>
    <row r="424" spans="14:14" ht="12.75" customHeight="1" x14ac:dyDescent="0.15">
      <c r="N424" s="51"/>
    </row>
    <row r="425" spans="14:14" ht="12.75" customHeight="1" x14ac:dyDescent="0.15">
      <c r="N425" s="51"/>
    </row>
    <row r="426" spans="14:14" ht="12.75" customHeight="1" x14ac:dyDescent="0.15">
      <c r="N426" s="51"/>
    </row>
    <row r="427" spans="14:14" ht="12.75" customHeight="1" x14ac:dyDescent="0.15">
      <c r="N427" s="51"/>
    </row>
    <row r="428" spans="14:14" ht="12.75" customHeight="1" x14ac:dyDescent="0.15">
      <c r="N428" s="51"/>
    </row>
    <row r="429" spans="14:14" ht="12.75" customHeight="1" x14ac:dyDescent="0.15">
      <c r="N429" s="51"/>
    </row>
    <row r="430" spans="14:14" ht="12.75" customHeight="1" x14ac:dyDescent="0.15">
      <c r="N430" s="51"/>
    </row>
    <row r="431" spans="14:14" ht="12.75" customHeight="1" x14ac:dyDescent="0.15">
      <c r="N431" s="51"/>
    </row>
    <row r="432" spans="14:14" ht="12.75" customHeight="1" x14ac:dyDescent="0.15">
      <c r="N432" s="51"/>
    </row>
    <row r="433" spans="14:14" ht="12.75" customHeight="1" x14ac:dyDescent="0.15">
      <c r="N433" s="51"/>
    </row>
    <row r="434" spans="14:14" ht="12.75" customHeight="1" x14ac:dyDescent="0.15">
      <c r="N434" s="51"/>
    </row>
    <row r="435" spans="14:14" ht="12.75" customHeight="1" x14ac:dyDescent="0.15">
      <c r="N435" s="51"/>
    </row>
    <row r="436" spans="14:14" ht="12.75" customHeight="1" x14ac:dyDescent="0.15">
      <c r="N436" s="51"/>
    </row>
    <row r="437" spans="14:14" ht="12.75" customHeight="1" x14ac:dyDescent="0.15">
      <c r="N437" s="51"/>
    </row>
    <row r="438" spans="14:14" ht="12.75" customHeight="1" x14ac:dyDescent="0.15">
      <c r="N438" s="51"/>
    </row>
    <row r="439" spans="14:14" ht="12.75" customHeight="1" x14ac:dyDescent="0.15">
      <c r="N439" s="51"/>
    </row>
    <row r="440" spans="14:14" ht="12.75" customHeight="1" x14ac:dyDescent="0.15">
      <c r="N440" s="51"/>
    </row>
    <row r="441" spans="14:14" ht="12.75" customHeight="1" x14ac:dyDescent="0.15">
      <c r="N441" s="51"/>
    </row>
    <row r="442" spans="14:14" ht="12.75" customHeight="1" x14ac:dyDescent="0.15">
      <c r="N442" s="51"/>
    </row>
    <row r="443" spans="14:14" ht="12.75" customHeight="1" x14ac:dyDescent="0.15">
      <c r="N443" s="51"/>
    </row>
    <row r="444" spans="14:14" ht="12.75" customHeight="1" x14ac:dyDescent="0.15">
      <c r="N444" s="51"/>
    </row>
    <row r="445" spans="14:14" ht="12.75" customHeight="1" x14ac:dyDescent="0.15">
      <c r="N445" s="51"/>
    </row>
    <row r="446" spans="14:14" ht="12.75" customHeight="1" x14ac:dyDescent="0.15">
      <c r="N446" s="51"/>
    </row>
    <row r="447" spans="14:14" ht="12.75" customHeight="1" x14ac:dyDescent="0.15">
      <c r="N447" s="51"/>
    </row>
    <row r="448" spans="14:14" ht="12.75" customHeight="1" x14ac:dyDescent="0.15">
      <c r="N448" s="51"/>
    </row>
    <row r="449" spans="14:14" ht="12.75" customHeight="1" x14ac:dyDescent="0.15">
      <c r="N449" s="51"/>
    </row>
    <row r="450" spans="14:14" ht="12.75" customHeight="1" x14ac:dyDescent="0.15">
      <c r="N450" s="51"/>
    </row>
    <row r="451" spans="14:14" ht="12.75" customHeight="1" x14ac:dyDescent="0.15">
      <c r="N451" s="51"/>
    </row>
    <row r="452" spans="14:14" ht="12.75" customHeight="1" x14ac:dyDescent="0.15">
      <c r="N452" s="51"/>
    </row>
    <row r="453" spans="14:14" ht="12.75" customHeight="1" x14ac:dyDescent="0.15">
      <c r="N453" s="51"/>
    </row>
    <row r="454" spans="14:14" ht="12.75" customHeight="1" x14ac:dyDescent="0.15">
      <c r="N454" s="51"/>
    </row>
    <row r="455" spans="14:14" ht="12.75" customHeight="1" x14ac:dyDescent="0.15">
      <c r="N455" s="51"/>
    </row>
    <row r="456" spans="14:14" ht="12.75" customHeight="1" x14ac:dyDescent="0.15">
      <c r="N456" s="51"/>
    </row>
    <row r="457" spans="14:14" ht="12.75" customHeight="1" x14ac:dyDescent="0.15">
      <c r="N457" s="51"/>
    </row>
    <row r="458" spans="14:14" ht="12.75" customHeight="1" x14ac:dyDescent="0.15">
      <c r="N458" s="51"/>
    </row>
    <row r="459" spans="14:14" ht="12.75" customHeight="1" x14ac:dyDescent="0.15">
      <c r="N459" s="51"/>
    </row>
    <row r="460" spans="14:14" ht="12.75" customHeight="1" x14ac:dyDescent="0.15">
      <c r="N460" s="51"/>
    </row>
    <row r="461" spans="14:14" ht="12.75" customHeight="1" x14ac:dyDescent="0.15">
      <c r="N461" s="51"/>
    </row>
    <row r="462" spans="14:14" ht="12.75" customHeight="1" x14ac:dyDescent="0.15">
      <c r="N462" s="51"/>
    </row>
    <row r="463" spans="14:14" ht="12.75" customHeight="1" x14ac:dyDescent="0.15">
      <c r="N463" s="51"/>
    </row>
    <row r="464" spans="14:14" ht="12.75" customHeight="1" x14ac:dyDescent="0.15">
      <c r="N464" s="51"/>
    </row>
    <row r="465" spans="14:14" ht="12.75" customHeight="1" x14ac:dyDescent="0.15">
      <c r="N465" s="51"/>
    </row>
    <row r="466" spans="14:14" ht="12.75" customHeight="1" x14ac:dyDescent="0.15">
      <c r="N466" s="51"/>
    </row>
    <row r="467" spans="14:14" ht="12.75" customHeight="1" x14ac:dyDescent="0.15">
      <c r="N467" s="51"/>
    </row>
    <row r="468" spans="14:14" ht="12.75" customHeight="1" x14ac:dyDescent="0.15">
      <c r="N468" s="51"/>
    </row>
    <row r="469" spans="14:14" ht="12.75" customHeight="1" x14ac:dyDescent="0.15">
      <c r="N469" s="51"/>
    </row>
    <row r="470" spans="14:14" ht="12.75" customHeight="1" x14ac:dyDescent="0.15">
      <c r="N470" s="51"/>
    </row>
    <row r="471" spans="14:14" ht="12.75" customHeight="1" x14ac:dyDescent="0.15">
      <c r="N471" s="51"/>
    </row>
    <row r="472" spans="14:14" ht="12.75" customHeight="1" x14ac:dyDescent="0.15">
      <c r="N472" s="51"/>
    </row>
    <row r="473" spans="14:14" ht="12.75" customHeight="1" x14ac:dyDescent="0.15">
      <c r="N473" s="51"/>
    </row>
    <row r="474" spans="14:14" ht="12.75" customHeight="1" x14ac:dyDescent="0.15">
      <c r="N474" s="51"/>
    </row>
    <row r="475" spans="14:14" ht="12.75" customHeight="1" x14ac:dyDescent="0.15">
      <c r="N475" s="51"/>
    </row>
    <row r="476" spans="14:14" ht="12.75" customHeight="1" x14ac:dyDescent="0.15">
      <c r="N476" s="51"/>
    </row>
    <row r="477" spans="14:14" ht="12.75" customHeight="1" x14ac:dyDescent="0.15">
      <c r="N477" s="51"/>
    </row>
    <row r="478" spans="14:14" ht="12.75" customHeight="1" x14ac:dyDescent="0.15">
      <c r="N478" s="51"/>
    </row>
    <row r="479" spans="14:14" ht="12.75" customHeight="1" x14ac:dyDescent="0.15">
      <c r="N479" s="51"/>
    </row>
    <row r="480" spans="14:14" ht="12.75" customHeight="1" x14ac:dyDescent="0.15">
      <c r="N480" s="51"/>
    </row>
    <row r="481" spans="14:14" ht="12.75" customHeight="1" x14ac:dyDescent="0.15">
      <c r="N481" s="51"/>
    </row>
    <row r="482" spans="14:14" ht="12.75" customHeight="1" x14ac:dyDescent="0.15">
      <c r="N482" s="51"/>
    </row>
    <row r="483" spans="14:14" ht="12.75" customHeight="1" x14ac:dyDescent="0.15">
      <c r="N483" s="51"/>
    </row>
    <row r="484" spans="14:14" ht="12.75" customHeight="1" x14ac:dyDescent="0.15">
      <c r="N484" s="51"/>
    </row>
    <row r="485" spans="14:14" ht="12.75" customHeight="1" x14ac:dyDescent="0.15">
      <c r="N485" s="51"/>
    </row>
    <row r="486" spans="14:14" ht="12.75" customHeight="1" x14ac:dyDescent="0.15">
      <c r="N486" s="51"/>
    </row>
    <row r="487" spans="14:14" ht="12.75" customHeight="1" x14ac:dyDescent="0.15">
      <c r="N487" s="51"/>
    </row>
    <row r="488" spans="14:14" ht="12.75" customHeight="1" x14ac:dyDescent="0.15">
      <c r="N488" s="51"/>
    </row>
    <row r="489" spans="14:14" ht="12.75" customHeight="1" x14ac:dyDescent="0.15">
      <c r="N489" s="51"/>
    </row>
    <row r="490" spans="14:14" ht="12.75" customHeight="1" x14ac:dyDescent="0.15">
      <c r="N490" s="51"/>
    </row>
    <row r="491" spans="14:14" ht="12.75" customHeight="1" x14ac:dyDescent="0.15">
      <c r="N491" s="51"/>
    </row>
    <row r="492" spans="14:14" ht="12.75" customHeight="1" x14ac:dyDescent="0.15">
      <c r="N492" s="51"/>
    </row>
    <row r="493" spans="14:14" ht="12.75" customHeight="1" x14ac:dyDescent="0.15">
      <c r="N493" s="51"/>
    </row>
    <row r="494" spans="14:14" ht="12.75" customHeight="1" x14ac:dyDescent="0.15">
      <c r="N494" s="51"/>
    </row>
    <row r="495" spans="14:14" ht="12.75" customHeight="1" x14ac:dyDescent="0.15">
      <c r="N495" s="51"/>
    </row>
    <row r="496" spans="14:14" ht="12.75" customHeight="1" x14ac:dyDescent="0.15">
      <c r="N496" s="51"/>
    </row>
    <row r="497" spans="14:14" ht="12.75" customHeight="1" x14ac:dyDescent="0.15">
      <c r="N497" s="51"/>
    </row>
    <row r="498" spans="14:14" ht="12.75" customHeight="1" x14ac:dyDescent="0.15">
      <c r="N498" s="51"/>
    </row>
    <row r="499" spans="14:14" ht="12.75" customHeight="1" x14ac:dyDescent="0.15">
      <c r="N499" s="51"/>
    </row>
    <row r="500" spans="14:14" ht="12.75" customHeight="1" x14ac:dyDescent="0.15">
      <c r="N500" s="51"/>
    </row>
    <row r="501" spans="14:14" ht="12.75" customHeight="1" x14ac:dyDescent="0.15">
      <c r="N501" s="51"/>
    </row>
    <row r="502" spans="14:14" ht="12.75" customHeight="1" x14ac:dyDescent="0.15">
      <c r="N502" s="51"/>
    </row>
    <row r="503" spans="14:14" ht="12.75" customHeight="1" x14ac:dyDescent="0.15">
      <c r="N503" s="51"/>
    </row>
    <row r="504" spans="14:14" ht="12.75" customHeight="1" x14ac:dyDescent="0.15">
      <c r="N504" s="51"/>
    </row>
    <row r="505" spans="14:14" ht="12.75" customHeight="1" x14ac:dyDescent="0.15">
      <c r="N505" s="51"/>
    </row>
    <row r="506" spans="14:14" ht="12.75" customHeight="1" x14ac:dyDescent="0.15">
      <c r="N506" s="51"/>
    </row>
    <row r="507" spans="14:14" ht="12.75" customHeight="1" x14ac:dyDescent="0.15">
      <c r="N507" s="51"/>
    </row>
    <row r="508" spans="14:14" ht="12.75" customHeight="1" x14ac:dyDescent="0.15">
      <c r="N508" s="51"/>
    </row>
    <row r="509" spans="14:14" ht="12.75" customHeight="1" x14ac:dyDescent="0.15">
      <c r="N509" s="51"/>
    </row>
    <row r="510" spans="14:14" ht="12.75" customHeight="1" x14ac:dyDescent="0.15">
      <c r="N510" s="51"/>
    </row>
    <row r="511" spans="14:14" ht="12.75" customHeight="1" x14ac:dyDescent="0.15">
      <c r="N511" s="51"/>
    </row>
    <row r="512" spans="14:14" ht="12.75" customHeight="1" x14ac:dyDescent="0.15">
      <c r="N512" s="51"/>
    </row>
    <row r="513" spans="14:14" ht="12.75" customHeight="1" x14ac:dyDescent="0.15">
      <c r="N513" s="51"/>
    </row>
    <row r="514" spans="14:14" ht="12.75" customHeight="1" x14ac:dyDescent="0.15">
      <c r="N514" s="51"/>
    </row>
    <row r="515" spans="14:14" ht="12.75" customHeight="1" x14ac:dyDescent="0.15">
      <c r="N515" s="51"/>
    </row>
    <row r="516" spans="14:14" ht="12.75" customHeight="1" x14ac:dyDescent="0.15">
      <c r="N516" s="51"/>
    </row>
    <row r="517" spans="14:14" ht="12.75" customHeight="1" x14ac:dyDescent="0.15">
      <c r="N517" s="51"/>
    </row>
    <row r="518" spans="14:14" ht="12.75" customHeight="1" x14ac:dyDescent="0.15">
      <c r="N518" s="51"/>
    </row>
    <row r="519" spans="14:14" ht="12.75" customHeight="1" x14ac:dyDescent="0.15">
      <c r="N519" s="51"/>
    </row>
    <row r="520" spans="14:14" ht="12.75" customHeight="1" x14ac:dyDescent="0.15">
      <c r="N520" s="51"/>
    </row>
    <row r="521" spans="14:14" ht="12.75" customHeight="1" x14ac:dyDescent="0.15">
      <c r="N521" s="51"/>
    </row>
    <row r="522" spans="14:14" ht="12.75" customHeight="1" x14ac:dyDescent="0.15">
      <c r="N522" s="51"/>
    </row>
    <row r="523" spans="14:14" ht="12.75" customHeight="1" x14ac:dyDescent="0.15">
      <c r="N523" s="51"/>
    </row>
    <row r="524" spans="14:14" ht="12.75" customHeight="1" x14ac:dyDescent="0.15">
      <c r="N524" s="51"/>
    </row>
    <row r="525" spans="14:14" ht="12.75" customHeight="1" x14ac:dyDescent="0.15">
      <c r="N525" s="51"/>
    </row>
    <row r="526" spans="14:14" ht="12.75" customHeight="1" x14ac:dyDescent="0.15">
      <c r="N526" s="51"/>
    </row>
    <row r="527" spans="14:14" ht="12.75" customHeight="1" x14ac:dyDescent="0.15">
      <c r="N527" s="51"/>
    </row>
    <row r="528" spans="14:14" ht="12.75" customHeight="1" x14ac:dyDescent="0.15">
      <c r="N528" s="51"/>
    </row>
    <row r="529" spans="14:14" ht="12.75" customHeight="1" x14ac:dyDescent="0.15">
      <c r="N529" s="51"/>
    </row>
    <row r="530" spans="14:14" ht="12.75" customHeight="1" x14ac:dyDescent="0.15">
      <c r="N530" s="51"/>
    </row>
    <row r="531" spans="14:14" ht="12.75" customHeight="1" x14ac:dyDescent="0.15">
      <c r="N531" s="51"/>
    </row>
    <row r="532" spans="14:14" ht="12.75" customHeight="1" x14ac:dyDescent="0.15">
      <c r="N532" s="51"/>
    </row>
    <row r="533" spans="14:14" ht="12.75" customHeight="1" x14ac:dyDescent="0.15">
      <c r="N533" s="51"/>
    </row>
    <row r="534" spans="14:14" ht="12.75" customHeight="1" x14ac:dyDescent="0.15">
      <c r="N534" s="51"/>
    </row>
    <row r="535" spans="14:14" ht="12.75" customHeight="1" x14ac:dyDescent="0.15">
      <c r="N535" s="51"/>
    </row>
    <row r="536" spans="14:14" ht="12.75" customHeight="1" x14ac:dyDescent="0.15">
      <c r="N536" s="51"/>
    </row>
    <row r="537" spans="14:14" ht="12.75" customHeight="1" x14ac:dyDescent="0.15">
      <c r="N537" s="51"/>
    </row>
    <row r="538" spans="14:14" ht="12.75" customHeight="1" x14ac:dyDescent="0.15">
      <c r="N538" s="51"/>
    </row>
    <row r="539" spans="14:14" ht="12.75" customHeight="1" x14ac:dyDescent="0.15">
      <c r="N539" s="51"/>
    </row>
    <row r="540" spans="14:14" ht="12.75" customHeight="1" x14ac:dyDescent="0.15">
      <c r="N540" s="51"/>
    </row>
    <row r="541" spans="14:14" ht="12.75" customHeight="1" x14ac:dyDescent="0.15">
      <c r="N541" s="51"/>
    </row>
    <row r="542" spans="14:14" ht="12.75" customHeight="1" x14ac:dyDescent="0.15">
      <c r="N542" s="51"/>
    </row>
    <row r="543" spans="14:14" ht="12.75" customHeight="1" x14ac:dyDescent="0.15">
      <c r="N543" s="51"/>
    </row>
    <row r="544" spans="14:14" ht="12.75" customHeight="1" x14ac:dyDescent="0.15">
      <c r="N544" s="51"/>
    </row>
    <row r="545" spans="14:14" ht="12.75" customHeight="1" x14ac:dyDescent="0.15">
      <c r="N545" s="51"/>
    </row>
    <row r="546" spans="14:14" ht="12.75" customHeight="1" x14ac:dyDescent="0.15">
      <c r="N546" s="51"/>
    </row>
    <row r="547" spans="14:14" ht="12.75" customHeight="1" x14ac:dyDescent="0.15">
      <c r="N547" s="51"/>
    </row>
    <row r="548" spans="14:14" ht="12.75" customHeight="1" x14ac:dyDescent="0.15">
      <c r="N548" s="51"/>
    </row>
    <row r="549" spans="14:14" ht="12.75" customHeight="1" x14ac:dyDescent="0.15">
      <c r="N549" s="51"/>
    </row>
    <row r="550" spans="14:14" ht="12.75" customHeight="1" x14ac:dyDescent="0.15">
      <c r="N550" s="51"/>
    </row>
    <row r="551" spans="14:14" ht="12.75" customHeight="1" x14ac:dyDescent="0.15">
      <c r="N551" s="51"/>
    </row>
    <row r="552" spans="14:14" ht="12.75" customHeight="1" x14ac:dyDescent="0.15">
      <c r="N552" s="51"/>
    </row>
    <row r="553" spans="14:14" ht="12.75" customHeight="1" x14ac:dyDescent="0.15">
      <c r="N553" s="51"/>
    </row>
    <row r="554" spans="14:14" ht="12.75" customHeight="1" x14ac:dyDescent="0.15">
      <c r="N554" s="51"/>
    </row>
    <row r="555" spans="14:14" ht="12.75" customHeight="1" x14ac:dyDescent="0.15">
      <c r="N555" s="51"/>
    </row>
    <row r="556" spans="14:14" ht="12.75" customHeight="1" x14ac:dyDescent="0.15">
      <c r="N556" s="51"/>
    </row>
    <row r="557" spans="14:14" ht="12.75" customHeight="1" x14ac:dyDescent="0.15">
      <c r="N557" s="51"/>
    </row>
    <row r="558" spans="14:14" ht="12.75" customHeight="1" x14ac:dyDescent="0.15">
      <c r="N558" s="51"/>
    </row>
    <row r="559" spans="14:14" ht="12.75" customHeight="1" x14ac:dyDescent="0.15">
      <c r="N559" s="51"/>
    </row>
    <row r="560" spans="14:14" ht="12.75" customHeight="1" x14ac:dyDescent="0.15">
      <c r="N560" s="51"/>
    </row>
    <row r="561" spans="14:14" ht="12.75" customHeight="1" x14ac:dyDescent="0.15">
      <c r="N561" s="51"/>
    </row>
    <row r="562" spans="14:14" ht="12.75" customHeight="1" x14ac:dyDescent="0.15">
      <c r="N562" s="51"/>
    </row>
    <row r="563" spans="14:14" ht="12.75" customHeight="1" x14ac:dyDescent="0.15">
      <c r="N563" s="51"/>
    </row>
    <row r="564" spans="14:14" ht="12.75" customHeight="1" x14ac:dyDescent="0.15">
      <c r="N564" s="51"/>
    </row>
    <row r="565" spans="14:14" ht="12.75" customHeight="1" x14ac:dyDescent="0.15">
      <c r="N565" s="51"/>
    </row>
    <row r="566" spans="14:14" ht="12.75" customHeight="1" x14ac:dyDescent="0.15">
      <c r="N566" s="51"/>
    </row>
    <row r="567" spans="14:14" ht="12.75" customHeight="1" x14ac:dyDescent="0.15">
      <c r="N567" s="51"/>
    </row>
    <row r="568" spans="14:14" ht="12.75" customHeight="1" x14ac:dyDescent="0.15">
      <c r="N568" s="51"/>
    </row>
    <row r="569" spans="14:14" ht="12.75" customHeight="1" x14ac:dyDescent="0.15">
      <c r="N569" s="51"/>
    </row>
    <row r="570" spans="14:14" ht="12.75" customHeight="1" x14ac:dyDescent="0.15">
      <c r="N570" s="51"/>
    </row>
    <row r="571" spans="14:14" ht="12.75" customHeight="1" x14ac:dyDescent="0.15">
      <c r="N571" s="51"/>
    </row>
    <row r="572" spans="14:14" ht="12.75" customHeight="1" x14ac:dyDescent="0.15">
      <c r="N572" s="51"/>
    </row>
    <row r="573" spans="14:14" ht="12.75" customHeight="1" x14ac:dyDescent="0.15">
      <c r="N573" s="51"/>
    </row>
    <row r="574" spans="14:14" ht="12.75" customHeight="1" x14ac:dyDescent="0.15">
      <c r="N574" s="51"/>
    </row>
    <row r="575" spans="14:14" ht="12.75" customHeight="1" x14ac:dyDescent="0.15">
      <c r="N575" s="51"/>
    </row>
    <row r="576" spans="14:14" ht="12.75" customHeight="1" x14ac:dyDescent="0.15">
      <c r="N576" s="51"/>
    </row>
    <row r="577" spans="14:14" ht="12.75" customHeight="1" x14ac:dyDescent="0.15">
      <c r="N577" s="51"/>
    </row>
    <row r="578" spans="14:14" ht="12.75" customHeight="1" x14ac:dyDescent="0.15">
      <c r="N578" s="51"/>
    </row>
    <row r="579" spans="14:14" ht="12.75" customHeight="1" x14ac:dyDescent="0.15">
      <c r="N579" s="51"/>
    </row>
    <row r="580" spans="14:14" ht="12.75" customHeight="1" x14ac:dyDescent="0.15">
      <c r="N580" s="51"/>
    </row>
    <row r="581" spans="14:14" ht="12.75" customHeight="1" x14ac:dyDescent="0.15">
      <c r="N581" s="51"/>
    </row>
    <row r="582" spans="14:14" ht="12.75" customHeight="1" x14ac:dyDescent="0.15">
      <c r="N582" s="51"/>
    </row>
    <row r="583" spans="14:14" ht="12.75" customHeight="1" x14ac:dyDescent="0.15">
      <c r="N583" s="51"/>
    </row>
    <row r="584" spans="14:14" ht="12.75" customHeight="1" x14ac:dyDescent="0.15">
      <c r="N584" s="51"/>
    </row>
    <row r="585" spans="14:14" ht="12.75" customHeight="1" x14ac:dyDescent="0.15">
      <c r="N585" s="51"/>
    </row>
    <row r="586" spans="14:14" ht="12.75" customHeight="1" x14ac:dyDescent="0.15">
      <c r="N586" s="51"/>
    </row>
    <row r="587" spans="14:14" ht="12.75" customHeight="1" x14ac:dyDescent="0.15">
      <c r="N587" s="51"/>
    </row>
    <row r="588" spans="14:14" ht="12.75" customHeight="1" x14ac:dyDescent="0.15">
      <c r="N588" s="51"/>
    </row>
    <row r="589" spans="14:14" ht="12.75" customHeight="1" x14ac:dyDescent="0.15">
      <c r="N589" s="51"/>
    </row>
    <row r="590" spans="14:14" ht="12.75" customHeight="1" x14ac:dyDescent="0.15">
      <c r="N590" s="51"/>
    </row>
    <row r="591" spans="14:14" ht="12.75" customHeight="1" x14ac:dyDescent="0.15">
      <c r="N591" s="51"/>
    </row>
    <row r="592" spans="14:14" ht="12.75" customHeight="1" x14ac:dyDescent="0.15">
      <c r="N592" s="51"/>
    </row>
    <row r="593" spans="14:14" ht="12.75" customHeight="1" x14ac:dyDescent="0.15">
      <c r="N593" s="51"/>
    </row>
    <row r="594" spans="14:14" ht="12.75" customHeight="1" x14ac:dyDescent="0.15">
      <c r="N594" s="51"/>
    </row>
    <row r="595" spans="14:14" ht="12.75" customHeight="1" x14ac:dyDescent="0.15">
      <c r="N595" s="51"/>
    </row>
    <row r="596" spans="14:14" ht="12.75" customHeight="1" x14ac:dyDescent="0.15">
      <c r="N596" s="51"/>
    </row>
    <row r="597" spans="14:14" ht="12.75" customHeight="1" x14ac:dyDescent="0.15">
      <c r="N597" s="51"/>
    </row>
    <row r="598" spans="14:14" ht="12.75" customHeight="1" x14ac:dyDescent="0.15">
      <c r="N598" s="51"/>
    </row>
    <row r="599" spans="14:14" ht="12.75" customHeight="1" x14ac:dyDescent="0.15">
      <c r="N599" s="51"/>
    </row>
    <row r="600" spans="14:14" ht="12.75" customHeight="1" x14ac:dyDescent="0.15">
      <c r="N600" s="51"/>
    </row>
    <row r="601" spans="14:14" ht="12.75" customHeight="1" x14ac:dyDescent="0.15">
      <c r="N601" s="51"/>
    </row>
    <row r="602" spans="14:14" ht="12.75" customHeight="1" x14ac:dyDescent="0.15">
      <c r="N602" s="51"/>
    </row>
    <row r="603" spans="14:14" ht="12.75" customHeight="1" x14ac:dyDescent="0.15">
      <c r="N603" s="51"/>
    </row>
    <row r="604" spans="14:14" ht="12.75" customHeight="1" x14ac:dyDescent="0.15">
      <c r="N604" s="51"/>
    </row>
    <row r="605" spans="14:14" ht="12.75" customHeight="1" x14ac:dyDescent="0.15">
      <c r="N605" s="51"/>
    </row>
    <row r="606" spans="14:14" ht="12.75" customHeight="1" x14ac:dyDescent="0.15">
      <c r="N606" s="51"/>
    </row>
    <row r="607" spans="14:14" ht="12.75" customHeight="1" x14ac:dyDescent="0.15">
      <c r="N607" s="51"/>
    </row>
    <row r="608" spans="14:14" ht="12.75" customHeight="1" x14ac:dyDescent="0.15">
      <c r="N608" s="51"/>
    </row>
    <row r="609" spans="14:14" ht="12.75" customHeight="1" x14ac:dyDescent="0.15">
      <c r="N609" s="51"/>
    </row>
    <row r="610" spans="14:14" ht="12.75" customHeight="1" x14ac:dyDescent="0.15">
      <c r="N610" s="51"/>
    </row>
    <row r="611" spans="14:14" ht="12.75" customHeight="1" x14ac:dyDescent="0.15">
      <c r="N611" s="51"/>
    </row>
    <row r="612" spans="14:14" ht="12.75" customHeight="1" x14ac:dyDescent="0.15">
      <c r="N612" s="51"/>
    </row>
    <row r="613" spans="14:14" ht="12.75" customHeight="1" x14ac:dyDescent="0.15">
      <c r="N613" s="51"/>
    </row>
    <row r="614" spans="14:14" ht="12.75" customHeight="1" x14ac:dyDescent="0.15">
      <c r="N614" s="51"/>
    </row>
    <row r="615" spans="14:14" ht="12.75" customHeight="1" x14ac:dyDescent="0.15">
      <c r="N615" s="51"/>
    </row>
    <row r="616" spans="14:14" ht="12.75" customHeight="1" x14ac:dyDescent="0.15">
      <c r="N616" s="51"/>
    </row>
    <row r="617" spans="14:14" ht="12.75" customHeight="1" x14ac:dyDescent="0.15">
      <c r="N617" s="51"/>
    </row>
    <row r="618" spans="14:14" ht="12.75" customHeight="1" x14ac:dyDescent="0.15">
      <c r="N618" s="51"/>
    </row>
    <row r="619" spans="14:14" ht="12.75" customHeight="1" x14ac:dyDescent="0.15">
      <c r="N619" s="51"/>
    </row>
    <row r="620" spans="14:14" ht="12.75" customHeight="1" x14ac:dyDescent="0.15">
      <c r="N620" s="51"/>
    </row>
    <row r="621" spans="14:14" ht="12.75" customHeight="1" x14ac:dyDescent="0.15">
      <c r="N621" s="51"/>
    </row>
    <row r="622" spans="14:14" ht="12.75" customHeight="1" x14ac:dyDescent="0.15">
      <c r="N622" s="51"/>
    </row>
    <row r="623" spans="14:14" ht="12.75" customHeight="1" x14ac:dyDescent="0.15">
      <c r="N623" s="51"/>
    </row>
    <row r="624" spans="14:14" ht="12.75" customHeight="1" x14ac:dyDescent="0.15">
      <c r="N624" s="51"/>
    </row>
    <row r="625" spans="14:14" ht="12.75" customHeight="1" x14ac:dyDescent="0.15">
      <c r="N625" s="51"/>
    </row>
    <row r="626" spans="14:14" ht="12.75" customHeight="1" x14ac:dyDescent="0.15">
      <c r="N626" s="51"/>
    </row>
    <row r="627" spans="14:14" ht="12.75" customHeight="1" x14ac:dyDescent="0.15">
      <c r="N627" s="51"/>
    </row>
    <row r="628" spans="14:14" ht="12.75" customHeight="1" x14ac:dyDescent="0.15">
      <c r="N628" s="51"/>
    </row>
    <row r="629" spans="14:14" ht="12.75" customHeight="1" x14ac:dyDescent="0.15">
      <c r="N629" s="51"/>
    </row>
    <row r="630" spans="14:14" ht="12.75" customHeight="1" x14ac:dyDescent="0.15">
      <c r="N630" s="51"/>
    </row>
    <row r="631" spans="14:14" ht="12.75" customHeight="1" x14ac:dyDescent="0.15">
      <c r="N631" s="51"/>
    </row>
    <row r="632" spans="14:14" ht="12.75" customHeight="1" x14ac:dyDescent="0.15">
      <c r="N632" s="51"/>
    </row>
    <row r="633" spans="14:14" ht="12.75" customHeight="1" x14ac:dyDescent="0.15">
      <c r="N633" s="51"/>
    </row>
    <row r="634" spans="14:14" ht="12.75" customHeight="1" x14ac:dyDescent="0.15">
      <c r="N634" s="51"/>
    </row>
    <row r="635" spans="14:14" ht="12.75" customHeight="1" x14ac:dyDescent="0.15">
      <c r="N635" s="51"/>
    </row>
    <row r="636" spans="14:14" ht="12.75" customHeight="1" x14ac:dyDescent="0.15">
      <c r="N636" s="51"/>
    </row>
    <row r="637" spans="14:14" ht="12.75" customHeight="1" x14ac:dyDescent="0.15">
      <c r="N637" s="51"/>
    </row>
    <row r="638" spans="14:14" ht="12.75" customHeight="1" x14ac:dyDescent="0.15">
      <c r="N638" s="51"/>
    </row>
    <row r="639" spans="14:14" ht="12.75" customHeight="1" x14ac:dyDescent="0.15">
      <c r="N639" s="51"/>
    </row>
    <row r="640" spans="14:14" ht="12.75" customHeight="1" x14ac:dyDescent="0.15">
      <c r="N640" s="51"/>
    </row>
    <row r="641" spans="14:14" ht="12.75" customHeight="1" x14ac:dyDescent="0.15">
      <c r="N641" s="51"/>
    </row>
    <row r="642" spans="14:14" ht="12.75" customHeight="1" x14ac:dyDescent="0.15">
      <c r="N642" s="51"/>
    </row>
    <row r="643" spans="14:14" ht="12.75" customHeight="1" x14ac:dyDescent="0.15">
      <c r="N643" s="51"/>
    </row>
    <row r="644" spans="14:14" ht="12.75" customHeight="1" x14ac:dyDescent="0.15">
      <c r="N644" s="51"/>
    </row>
    <row r="645" spans="14:14" ht="12.75" customHeight="1" x14ac:dyDescent="0.15">
      <c r="N645" s="51"/>
    </row>
    <row r="646" spans="14:14" ht="12.75" customHeight="1" x14ac:dyDescent="0.15">
      <c r="N646" s="51"/>
    </row>
    <row r="647" spans="14:14" ht="12.75" customHeight="1" x14ac:dyDescent="0.15">
      <c r="N647" s="51"/>
    </row>
    <row r="648" spans="14:14" ht="12.75" customHeight="1" x14ac:dyDescent="0.15">
      <c r="N648" s="51"/>
    </row>
    <row r="649" spans="14:14" ht="12.75" customHeight="1" x14ac:dyDescent="0.15">
      <c r="N649" s="51"/>
    </row>
    <row r="650" spans="14:14" ht="12.75" customHeight="1" x14ac:dyDescent="0.15">
      <c r="N650" s="51"/>
    </row>
    <row r="651" spans="14:14" ht="12.75" customHeight="1" x14ac:dyDescent="0.15">
      <c r="N651" s="51"/>
    </row>
    <row r="652" spans="14:14" ht="12.75" customHeight="1" x14ac:dyDescent="0.15">
      <c r="N652" s="51"/>
    </row>
    <row r="653" spans="14:14" ht="12.75" customHeight="1" x14ac:dyDescent="0.15">
      <c r="N653" s="51"/>
    </row>
    <row r="654" spans="14:14" ht="12.75" customHeight="1" x14ac:dyDescent="0.15">
      <c r="N654" s="51"/>
    </row>
    <row r="655" spans="14:14" ht="12.75" customHeight="1" x14ac:dyDescent="0.15">
      <c r="N655" s="51"/>
    </row>
    <row r="656" spans="14:14" ht="12.75" customHeight="1" x14ac:dyDescent="0.15">
      <c r="N656" s="51"/>
    </row>
    <row r="657" spans="14:14" ht="12.75" customHeight="1" x14ac:dyDescent="0.15">
      <c r="N657" s="51"/>
    </row>
    <row r="658" spans="14:14" ht="12.75" customHeight="1" x14ac:dyDescent="0.15">
      <c r="N658" s="51"/>
    </row>
    <row r="659" spans="14:14" ht="12.75" customHeight="1" x14ac:dyDescent="0.15">
      <c r="N659" s="51"/>
    </row>
    <row r="660" spans="14:14" ht="12.75" customHeight="1" x14ac:dyDescent="0.15">
      <c r="N660" s="51"/>
    </row>
    <row r="661" spans="14:14" ht="12.75" customHeight="1" x14ac:dyDescent="0.15">
      <c r="N661" s="51"/>
    </row>
    <row r="662" spans="14:14" ht="12.75" customHeight="1" x14ac:dyDescent="0.15">
      <c r="N662" s="51"/>
    </row>
    <row r="663" spans="14:14" ht="12.75" customHeight="1" x14ac:dyDescent="0.15">
      <c r="N663" s="51"/>
    </row>
    <row r="664" spans="14:14" ht="12.75" customHeight="1" x14ac:dyDescent="0.15">
      <c r="N664" s="51"/>
    </row>
    <row r="665" spans="14:14" ht="12.75" customHeight="1" x14ac:dyDescent="0.15">
      <c r="N665" s="51"/>
    </row>
    <row r="666" spans="14:14" ht="12.75" customHeight="1" x14ac:dyDescent="0.15">
      <c r="N666" s="51"/>
    </row>
    <row r="667" spans="14:14" ht="12.75" customHeight="1" x14ac:dyDescent="0.15">
      <c r="N667" s="51"/>
    </row>
    <row r="668" spans="14:14" ht="12.75" customHeight="1" x14ac:dyDescent="0.15">
      <c r="N668" s="51"/>
    </row>
    <row r="669" spans="14:14" ht="12.75" customHeight="1" x14ac:dyDescent="0.15">
      <c r="N669" s="51"/>
    </row>
    <row r="670" spans="14:14" ht="12.75" customHeight="1" x14ac:dyDescent="0.15">
      <c r="N670" s="51"/>
    </row>
    <row r="671" spans="14:14" ht="12.75" customHeight="1" x14ac:dyDescent="0.15">
      <c r="N671" s="51"/>
    </row>
    <row r="672" spans="14:14" ht="12.75" customHeight="1" x14ac:dyDescent="0.15">
      <c r="N672" s="51"/>
    </row>
    <row r="673" spans="14:14" ht="12.75" customHeight="1" x14ac:dyDescent="0.15">
      <c r="N673" s="51"/>
    </row>
    <row r="674" spans="14:14" ht="12.75" customHeight="1" x14ac:dyDescent="0.15">
      <c r="N674" s="51"/>
    </row>
    <row r="675" spans="14:14" ht="12.75" customHeight="1" x14ac:dyDescent="0.15">
      <c r="N675" s="51"/>
    </row>
    <row r="676" spans="14:14" ht="12.75" customHeight="1" x14ac:dyDescent="0.15">
      <c r="N676" s="51"/>
    </row>
    <row r="677" spans="14:14" ht="12.75" customHeight="1" x14ac:dyDescent="0.15">
      <c r="N677" s="51"/>
    </row>
    <row r="678" spans="14:14" ht="12.75" customHeight="1" x14ac:dyDescent="0.15">
      <c r="N678" s="51"/>
    </row>
    <row r="679" spans="14:14" ht="12.75" customHeight="1" x14ac:dyDescent="0.15">
      <c r="N679" s="51"/>
    </row>
    <row r="680" spans="14:14" ht="12.75" customHeight="1" x14ac:dyDescent="0.15">
      <c r="N680" s="51"/>
    </row>
    <row r="681" spans="14:14" ht="12.75" customHeight="1" x14ac:dyDescent="0.15">
      <c r="N681" s="51"/>
    </row>
    <row r="682" spans="14:14" ht="12.75" customHeight="1" x14ac:dyDescent="0.15">
      <c r="N682" s="51"/>
    </row>
    <row r="683" spans="14:14" ht="12.75" customHeight="1" x14ac:dyDescent="0.15">
      <c r="N683" s="51"/>
    </row>
    <row r="684" spans="14:14" ht="12.75" customHeight="1" x14ac:dyDescent="0.15">
      <c r="N684" s="51"/>
    </row>
    <row r="685" spans="14:14" ht="12.75" customHeight="1" x14ac:dyDescent="0.15">
      <c r="N685" s="51"/>
    </row>
    <row r="686" spans="14:14" ht="12.75" customHeight="1" x14ac:dyDescent="0.15">
      <c r="N686" s="51"/>
    </row>
    <row r="687" spans="14:14" ht="12.75" customHeight="1" x14ac:dyDescent="0.15">
      <c r="N687" s="51"/>
    </row>
    <row r="688" spans="14:14" ht="12.75" customHeight="1" x14ac:dyDescent="0.15">
      <c r="N688" s="51"/>
    </row>
    <row r="689" spans="14:14" ht="12.75" customHeight="1" x14ac:dyDescent="0.15">
      <c r="N689" s="51"/>
    </row>
    <row r="690" spans="14:14" ht="12.75" customHeight="1" x14ac:dyDescent="0.15">
      <c r="N690" s="51"/>
    </row>
    <row r="691" spans="14:14" ht="12.75" customHeight="1" x14ac:dyDescent="0.15">
      <c r="N691" s="51"/>
    </row>
    <row r="692" spans="14:14" ht="12.75" customHeight="1" x14ac:dyDescent="0.15">
      <c r="N692" s="51"/>
    </row>
    <row r="693" spans="14:14" ht="12.75" customHeight="1" x14ac:dyDescent="0.15">
      <c r="N693" s="51"/>
    </row>
    <row r="694" spans="14:14" ht="12.75" customHeight="1" x14ac:dyDescent="0.15">
      <c r="N694" s="51"/>
    </row>
    <row r="695" spans="14:14" ht="12.75" customHeight="1" x14ac:dyDescent="0.15">
      <c r="N695" s="51"/>
    </row>
    <row r="696" spans="14:14" ht="12.75" customHeight="1" x14ac:dyDescent="0.15">
      <c r="N696" s="51"/>
    </row>
    <row r="697" spans="14:14" ht="12.75" customHeight="1" x14ac:dyDescent="0.15">
      <c r="N697" s="51"/>
    </row>
    <row r="698" spans="14:14" ht="12.75" customHeight="1" x14ac:dyDescent="0.15">
      <c r="N698" s="51"/>
    </row>
    <row r="699" spans="14:14" ht="12.75" customHeight="1" x14ac:dyDescent="0.15">
      <c r="N699" s="51"/>
    </row>
    <row r="700" spans="14:14" ht="12.75" customHeight="1" x14ac:dyDescent="0.15">
      <c r="N700" s="51"/>
    </row>
    <row r="701" spans="14:14" ht="12.75" customHeight="1" x14ac:dyDescent="0.15">
      <c r="N701" s="51"/>
    </row>
    <row r="702" spans="14:14" ht="12.75" customHeight="1" x14ac:dyDescent="0.15">
      <c r="N702" s="51"/>
    </row>
    <row r="703" spans="14:14" ht="12.75" customHeight="1" x14ac:dyDescent="0.15">
      <c r="N703" s="51"/>
    </row>
    <row r="704" spans="14:14" ht="12.75" customHeight="1" x14ac:dyDescent="0.15">
      <c r="N704" s="51"/>
    </row>
    <row r="705" spans="14:14" ht="12.75" customHeight="1" x14ac:dyDescent="0.15">
      <c r="N705" s="51"/>
    </row>
    <row r="706" spans="14:14" ht="12.75" customHeight="1" x14ac:dyDescent="0.15">
      <c r="N706" s="51"/>
    </row>
    <row r="707" spans="14:14" ht="12.75" customHeight="1" x14ac:dyDescent="0.15">
      <c r="N707" s="51"/>
    </row>
    <row r="708" spans="14:14" ht="12.75" customHeight="1" x14ac:dyDescent="0.15">
      <c r="N708" s="51"/>
    </row>
    <row r="709" spans="14:14" ht="12.75" customHeight="1" x14ac:dyDescent="0.15">
      <c r="N709" s="51"/>
    </row>
    <row r="710" spans="14:14" ht="12.75" customHeight="1" x14ac:dyDescent="0.15">
      <c r="N710" s="51"/>
    </row>
    <row r="711" spans="14:14" ht="12.75" customHeight="1" x14ac:dyDescent="0.15">
      <c r="N711" s="51"/>
    </row>
    <row r="712" spans="14:14" ht="12.75" customHeight="1" x14ac:dyDescent="0.15">
      <c r="N712" s="51"/>
    </row>
    <row r="713" spans="14:14" ht="12.75" customHeight="1" x14ac:dyDescent="0.15">
      <c r="N713" s="51"/>
    </row>
    <row r="714" spans="14:14" ht="12.75" customHeight="1" x14ac:dyDescent="0.15">
      <c r="N714" s="51"/>
    </row>
    <row r="715" spans="14:14" ht="12.75" customHeight="1" x14ac:dyDescent="0.15">
      <c r="N715" s="51"/>
    </row>
    <row r="716" spans="14:14" ht="12.75" customHeight="1" x14ac:dyDescent="0.15">
      <c r="N716" s="51"/>
    </row>
    <row r="717" spans="14:14" ht="12.75" customHeight="1" x14ac:dyDescent="0.15">
      <c r="N717" s="51"/>
    </row>
    <row r="718" spans="14:14" ht="12.75" customHeight="1" x14ac:dyDescent="0.15">
      <c r="N718" s="51"/>
    </row>
    <row r="719" spans="14:14" ht="12.75" customHeight="1" x14ac:dyDescent="0.15">
      <c r="N719" s="51"/>
    </row>
    <row r="720" spans="14:14" ht="12.75" customHeight="1" x14ac:dyDescent="0.15">
      <c r="N720" s="51"/>
    </row>
    <row r="721" spans="14:14" ht="12.75" customHeight="1" x14ac:dyDescent="0.15">
      <c r="N721" s="51"/>
    </row>
    <row r="722" spans="14:14" ht="12.75" customHeight="1" x14ac:dyDescent="0.15">
      <c r="N722" s="51"/>
    </row>
    <row r="723" spans="14:14" ht="12.75" customHeight="1" x14ac:dyDescent="0.15">
      <c r="N723" s="51"/>
    </row>
    <row r="724" spans="14:14" ht="12.75" customHeight="1" x14ac:dyDescent="0.15">
      <c r="N724" s="51"/>
    </row>
    <row r="725" spans="14:14" ht="12.75" customHeight="1" x14ac:dyDescent="0.15">
      <c r="N725" s="51"/>
    </row>
    <row r="726" spans="14:14" ht="12.75" customHeight="1" x14ac:dyDescent="0.15">
      <c r="N726" s="51"/>
    </row>
    <row r="727" spans="14:14" ht="12.75" customHeight="1" x14ac:dyDescent="0.15">
      <c r="N727" s="51"/>
    </row>
    <row r="728" spans="14:14" ht="12.75" customHeight="1" x14ac:dyDescent="0.15">
      <c r="N728" s="51"/>
    </row>
    <row r="729" spans="14:14" ht="12.75" customHeight="1" x14ac:dyDescent="0.15">
      <c r="N729" s="51"/>
    </row>
    <row r="730" spans="14:14" ht="12.75" customHeight="1" x14ac:dyDescent="0.15">
      <c r="N730" s="51"/>
    </row>
    <row r="731" spans="14:14" ht="12.75" customHeight="1" x14ac:dyDescent="0.15">
      <c r="N731" s="51"/>
    </row>
    <row r="732" spans="14:14" ht="12.75" customHeight="1" x14ac:dyDescent="0.15">
      <c r="N732" s="51"/>
    </row>
    <row r="733" spans="14:14" ht="12.75" customHeight="1" x14ac:dyDescent="0.15">
      <c r="N733" s="51"/>
    </row>
    <row r="734" spans="14:14" ht="12.75" customHeight="1" x14ac:dyDescent="0.15">
      <c r="N734" s="51"/>
    </row>
    <row r="735" spans="14:14" ht="12.75" customHeight="1" x14ac:dyDescent="0.15">
      <c r="N735" s="51"/>
    </row>
    <row r="736" spans="14:14" ht="12.75" customHeight="1" x14ac:dyDescent="0.15">
      <c r="N736" s="51"/>
    </row>
    <row r="737" spans="14:14" ht="15" customHeight="1" x14ac:dyDescent="0.15">
      <c r="N737" s="51"/>
    </row>
    <row r="738" spans="14:14" ht="15" customHeight="1" x14ac:dyDescent="0.15">
      <c r="N738" s="51"/>
    </row>
    <row r="739" spans="14:14" ht="15" customHeight="1" x14ac:dyDescent="0.15">
      <c r="N739" s="51"/>
    </row>
    <row r="740" spans="14:14" ht="15" customHeight="1" x14ac:dyDescent="0.15">
      <c r="N740" s="51"/>
    </row>
    <row r="741" spans="14:14" ht="15" customHeight="1" x14ac:dyDescent="0.15">
      <c r="N741" s="51"/>
    </row>
    <row r="742" spans="14:14" ht="15" customHeight="1" x14ac:dyDescent="0.15">
      <c r="N742" s="51"/>
    </row>
    <row r="743" spans="14:14" ht="15" customHeight="1" x14ac:dyDescent="0.15">
      <c r="N743" s="51"/>
    </row>
    <row r="744" spans="14:14" ht="15" customHeight="1" x14ac:dyDescent="0.15">
      <c r="N744" s="51"/>
    </row>
    <row r="745" spans="14:14" ht="15" customHeight="1" x14ac:dyDescent="0.15">
      <c r="N745" s="51"/>
    </row>
  </sheetData>
  <mergeCells count="4">
    <mergeCell ref="A2:N2"/>
    <mergeCell ref="A12:N12"/>
    <mergeCell ref="A21:N21"/>
    <mergeCell ref="A30:N30"/>
  </mergeCells>
  <pageMargins left="0.7" right="0.7" top="0.75" bottom="0.75" header="0" footer="0"/>
  <pageSetup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EEDBE-F0B0-694F-ACDB-1C2CB778F51B}">
  <sheetPr>
    <pageSetUpPr fitToPage="1"/>
  </sheetPr>
  <dimension ref="A1:P54"/>
  <sheetViews>
    <sheetView tabSelected="1" topLeftCell="A16" zoomScale="135" workbookViewId="0">
      <pane xSplit="1" topLeftCell="E1" activePane="topRight" state="frozen"/>
      <selection pane="topRight" activeCell="O34" sqref="O34"/>
    </sheetView>
  </sheetViews>
  <sheetFormatPr baseColWidth="10" defaultColWidth="11.5" defaultRowHeight="13" x14ac:dyDescent="0.15"/>
  <cols>
    <col min="1" max="1" width="11" customWidth="1"/>
    <col min="2" max="3" width="13.33203125" style="788" customWidth="1"/>
    <col min="4" max="4" width="14.33203125" style="788" customWidth="1"/>
    <col min="5" max="5" width="13.33203125" style="788" customWidth="1"/>
    <col min="6" max="6" width="11.5" style="788" bestFit="1" customWidth="1"/>
    <col min="7" max="8" width="11.1640625" style="788" bestFit="1" customWidth="1"/>
    <col min="9" max="9" width="12.83203125" style="788" customWidth="1"/>
    <col min="10" max="10" width="13.5" style="788" customWidth="1"/>
    <col min="11" max="11" width="11.5" style="788" bestFit="1" customWidth="1"/>
    <col min="12" max="12" width="13.6640625" customWidth="1"/>
    <col min="13" max="13" width="11.5" style="788" customWidth="1"/>
    <col min="14" max="14" width="13.6640625" customWidth="1"/>
    <col min="15" max="15" width="11.5" style="788"/>
    <col min="16" max="16" width="13.6640625" style="57" customWidth="1"/>
  </cols>
  <sheetData>
    <row r="1" spans="1:16" s="773" customFormat="1" ht="16" x14ac:dyDescent="0.2">
      <c r="A1" s="771" t="s">
        <v>12</v>
      </c>
      <c r="B1" s="772">
        <v>2015</v>
      </c>
      <c r="C1" s="772">
        <v>2016</v>
      </c>
      <c r="D1" s="772">
        <v>2017</v>
      </c>
      <c r="E1" s="772">
        <v>2018</v>
      </c>
      <c r="F1" s="772">
        <v>2019</v>
      </c>
      <c r="G1" s="772">
        <v>2020</v>
      </c>
      <c r="H1" s="772">
        <v>2021</v>
      </c>
      <c r="I1" s="772">
        <v>2022</v>
      </c>
      <c r="J1" s="772">
        <v>2023</v>
      </c>
      <c r="K1" s="772">
        <v>2024</v>
      </c>
      <c r="L1" s="845" t="s">
        <v>226</v>
      </c>
      <c r="M1" s="772">
        <v>2025</v>
      </c>
      <c r="N1" s="845" t="s">
        <v>227</v>
      </c>
      <c r="O1" s="772">
        <v>2026</v>
      </c>
      <c r="P1" s="845" t="s">
        <v>228</v>
      </c>
    </row>
    <row r="2" spans="1:16" x14ac:dyDescent="0.15">
      <c r="A2" s="774" t="s">
        <v>88</v>
      </c>
      <c r="B2" s="775">
        <v>1718793</v>
      </c>
      <c r="C2" s="775">
        <v>2023712</v>
      </c>
      <c r="D2" s="775">
        <v>2418238</v>
      </c>
      <c r="E2" s="775">
        <v>1623338</v>
      </c>
      <c r="F2" s="775">
        <v>1207727</v>
      </c>
      <c r="G2" s="775">
        <v>1522489</v>
      </c>
      <c r="H2" s="775">
        <v>72956</v>
      </c>
      <c r="I2" s="775">
        <v>659046</v>
      </c>
      <c r="J2" s="775">
        <v>2498047</v>
      </c>
      <c r="K2" s="775">
        <v>2485056</v>
      </c>
      <c r="L2" s="846">
        <f>K2-J2</f>
        <v>-12991</v>
      </c>
      <c r="M2" s="775">
        <v>3204276</v>
      </c>
      <c r="N2" s="847">
        <f>M2-K2</f>
        <v>719220</v>
      </c>
      <c r="O2" s="775">
        <v>3549116.2782607521</v>
      </c>
      <c r="P2" s="874">
        <f>O2-M2</f>
        <v>344840.27826075209</v>
      </c>
    </row>
    <row r="3" spans="1:16" x14ac:dyDescent="0.15">
      <c r="A3" s="774" t="s">
        <v>89</v>
      </c>
      <c r="B3" s="775">
        <v>1765442</v>
      </c>
      <c r="C3" s="775">
        <v>1975466</v>
      </c>
      <c r="D3" s="775">
        <v>2216803</v>
      </c>
      <c r="E3" s="775">
        <v>2361566</v>
      </c>
      <c r="F3" s="775">
        <v>1612636</v>
      </c>
      <c r="G3" s="775">
        <v>1444683</v>
      </c>
      <c r="H3" s="775">
        <v>83348</v>
      </c>
      <c r="I3" s="775">
        <v>840294</v>
      </c>
      <c r="J3" s="775">
        <v>2499745</v>
      </c>
      <c r="K3" s="775">
        <v>3228558</v>
      </c>
      <c r="L3" s="847">
        <f>K3-J3</f>
        <v>728813</v>
      </c>
      <c r="M3" s="775">
        <v>2887163</v>
      </c>
      <c r="N3" s="846">
        <f>M3-K3</f>
        <v>-341395</v>
      </c>
      <c r="O3" s="775">
        <v>3704860.6782607581</v>
      </c>
      <c r="P3" s="874">
        <f>O3-M3</f>
        <v>817697.67826075805</v>
      </c>
    </row>
    <row r="4" spans="1:16" x14ac:dyDescent="0.15">
      <c r="A4" s="774" t="s">
        <v>90</v>
      </c>
      <c r="B4" s="775">
        <v>1471651</v>
      </c>
      <c r="C4" s="775">
        <v>1659573</v>
      </c>
      <c r="D4" s="775">
        <v>1463345</v>
      </c>
      <c r="E4" s="775">
        <v>1408186</v>
      </c>
      <c r="F4" s="775">
        <v>1175922</v>
      </c>
      <c r="G4" s="775">
        <v>602778</v>
      </c>
      <c r="H4" s="775">
        <v>277529</v>
      </c>
      <c r="I4" s="775">
        <v>1467641</v>
      </c>
      <c r="J4" s="775">
        <v>1749406</v>
      </c>
      <c r="K4" s="775">
        <v>2361474</v>
      </c>
      <c r="L4" s="847">
        <f>K4-J4</f>
        <v>612068</v>
      </c>
      <c r="M4" s="775">
        <v>2027095</v>
      </c>
      <c r="N4" s="846">
        <f t="shared" ref="N4:N13" si="0">M4-K4</f>
        <v>-334379</v>
      </c>
      <c r="O4" s="775">
        <v>2617605.313043647</v>
      </c>
      <c r="P4" s="874">
        <f t="shared" ref="P4:P13" si="1">O4-M4</f>
        <v>590510.31304364698</v>
      </c>
    </row>
    <row r="5" spans="1:16" x14ac:dyDescent="0.15">
      <c r="A5" s="774" t="s">
        <v>123</v>
      </c>
      <c r="B5" s="775">
        <v>824985</v>
      </c>
      <c r="C5" s="775">
        <v>968707</v>
      </c>
      <c r="D5" s="775">
        <v>1008032</v>
      </c>
      <c r="E5" s="775">
        <v>728074</v>
      </c>
      <c r="F5" s="775">
        <v>613675</v>
      </c>
      <c r="G5" s="775">
        <v>0</v>
      </c>
      <c r="H5" s="775">
        <v>224332</v>
      </c>
      <c r="I5" s="775">
        <v>574007</v>
      </c>
      <c r="J5" s="775">
        <v>1086555</v>
      </c>
      <c r="K5" s="775">
        <v>1265502</v>
      </c>
      <c r="L5" s="847">
        <f>K5-J5</f>
        <v>178947</v>
      </c>
      <c r="M5" s="775">
        <v>907467</v>
      </c>
      <c r="N5" s="846">
        <f t="shared" si="0"/>
        <v>-358035</v>
      </c>
      <c r="O5" s="775">
        <v>1256934.4608696629</v>
      </c>
      <c r="P5" s="874">
        <f t="shared" si="1"/>
        <v>349467.46086966293</v>
      </c>
    </row>
    <row r="6" spans="1:16" x14ac:dyDescent="0.15">
      <c r="A6" s="774" t="s">
        <v>124</v>
      </c>
      <c r="B6" s="775">
        <v>459536</v>
      </c>
      <c r="C6" s="775">
        <v>618319</v>
      </c>
      <c r="D6" s="775">
        <v>565371</v>
      </c>
      <c r="E6" s="775">
        <v>550572</v>
      </c>
      <c r="F6" s="775">
        <v>375263</v>
      </c>
      <c r="G6" s="775">
        <v>0</v>
      </c>
      <c r="H6" s="775">
        <v>219470</v>
      </c>
      <c r="I6" s="775">
        <v>807859</v>
      </c>
      <c r="J6" s="775">
        <v>654864</v>
      </c>
      <c r="K6" s="775">
        <v>1103983</v>
      </c>
      <c r="L6" s="847">
        <f>K6-J6</f>
        <v>449119</v>
      </c>
      <c r="M6" s="775">
        <v>924687</v>
      </c>
      <c r="N6" s="846">
        <f t="shared" si="0"/>
        <v>-179296</v>
      </c>
      <c r="O6" s="775">
        <v>1047829.77391306</v>
      </c>
      <c r="P6" s="874">
        <f t="shared" si="1"/>
        <v>123142.77391305997</v>
      </c>
    </row>
    <row r="7" spans="1:16" x14ac:dyDescent="0.15">
      <c r="A7" s="774" t="s">
        <v>125</v>
      </c>
      <c r="B7" s="775">
        <v>214357</v>
      </c>
      <c r="C7" s="775">
        <v>242401</v>
      </c>
      <c r="D7" s="775">
        <v>74892</v>
      </c>
      <c r="E7" s="775">
        <v>17834</v>
      </c>
      <c r="F7" s="775">
        <v>0</v>
      </c>
      <c r="G7" s="775">
        <v>0</v>
      </c>
      <c r="H7" s="775">
        <v>110446</v>
      </c>
      <c r="I7" s="775">
        <v>512847</v>
      </c>
      <c r="J7" s="775">
        <v>696645</v>
      </c>
      <c r="K7" s="775">
        <v>563280</v>
      </c>
      <c r="L7" s="846">
        <f t="shared" ref="L7:L13" si="2">K7-J7</f>
        <v>-133365</v>
      </c>
      <c r="M7" s="775">
        <v>110096.243478248</v>
      </c>
      <c r="N7" s="846">
        <f t="shared" si="0"/>
        <v>-453183.75652175199</v>
      </c>
      <c r="O7" s="775">
        <v>156811.45217390501</v>
      </c>
      <c r="P7" s="874">
        <f t="shared" si="1"/>
        <v>46715.208695657013</v>
      </c>
    </row>
    <row r="8" spans="1:16" x14ac:dyDescent="0.15">
      <c r="A8" s="774" t="s">
        <v>160</v>
      </c>
      <c r="B8" s="775">
        <v>332063</v>
      </c>
      <c r="C8" s="775">
        <v>531416</v>
      </c>
      <c r="D8" s="775">
        <v>374229</v>
      </c>
      <c r="E8" s="775">
        <v>454148</v>
      </c>
      <c r="F8" s="775">
        <v>153553</v>
      </c>
      <c r="G8" s="775">
        <v>0</v>
      </c>
      <c r="H8" s="775">
        <v>9730</v>
      </c>
      <c r="I8" s="775">
        <v>307176</v>
      </c>
      <c r="J8" s="775">
        <v>494973</v>
      </c>
      <c r="K8" s="775">
        <v>312573</v>
      </c>
      <c r="L8" s="846">
        <f t="shared" si="2"/>
        <v>-182400</v>
      </c>
      <c r="M8" s="775">
        <v>791881</v>
      </c>
      <c r="N8" s="847">
        <f t="shared" si="0"/>
        <v>479308</v>
      </c>
      <c r="O8" s="775">
        <v>435432.82608695398</v>
      </c>
      <c r="P8" s="874">
        <f t="shared" si="1"/>
        <v>-356448.17391304602</v>
      </c>
    </row>
    <row r="9" spans="1:16" x14ac:dyDescent="0.15">
      <c r="A9" s="774" t="s">
        <v>127</v>
      </c>
      <c r="B9" s="775">
        <v>537492</v>
      </c>
      <c r="C9" s="775">
        <v>623992</v>
      </c>
      <c r="D9" s="775">
        <v>570476</v>
      </c>
      <c r="E9" s="775">
        <v>599899</v>
      </c>
      <c r="F9" s="775">
        <v>208432</v>
      </c>
      <c r="G9" s="775">
        <v>97630</v>
      </c>
      <c r="H9" s="775">
        <v>124240</v>
      </c>
      <c r="I9" s="775">
        <v>683405</v>
      </c>
      <c r="J9" s="775">
        <v>915373</v>
      </c>
      <c r="K9" s="775">
        <v>679553</v>
      </c>
      <c r="L9" s="846">
        <f t="shared" si="2"/>
        <v>-235820</v>
      </c>
      <c r="M9" s="775">
        <v>727788</v>
      </c>
      <c r="N9" s="847">
        <f t="shared" si="0"/>
        <v>48235</v>
      </c>
      <c r="O9" s="775"/>
      <c r="P9" s="874">
        <f t="shared" si="1"/>
        <v>-727788</v>
      </c>
    </row>
    <row r="10" spans="1:16" x14ac:dyDescent="0.15">
      <c r="A10" s="774" t="s">
        <v>128</v>
      </c>
      <c r="B10" s="775">
        <v>620453</v>
      </c>
      <c r="C10" s="775">
        <v>742639</v>
      </c>
      <c r="D10" s="775">
        <v>862336</v>
      </c>
      <c r="E10" s="775">
        <v>632926</v>
      </c>
      <c r="F10" s="775">
        <v>447850</v>
      </c>
      <c r="G10" s="775">
        <v>91121</v>
      </c>
      <c r="H10" s="775">
        <v>166491</v>
      </c>
      <c r="I10" s="775">
        <v>533400</v>
      </c>
      <c r="J10" s="775">
        <v>1119922</v>
      </c>
      <c r="K10" s="775">
        <v>731645</v>
      </c>
      <c r="L10" s="846">
        <f t="shared" si="2"/>
        <v>-388277</v>
      </c>
      <c r="M10" s="775">
        <v>740532</v>
      </c>
      <c r="N10" s="847">
        <f t="shared" si="0"/>
        <v>8887</v>
      </c>
      <c r="O10" s="775"/>
      <c r="P10" s="874">
        <f t="shared" si="1"/>
        <v>-740532</v>
      </c>
    </row>
    <row r="11" spans="1:16" x14ac:dyDescent="0.15">
      <c r="A11" s="774" t="s">
        <v>129</v>
      </c>
      <c r="B11" s="775">
        <v>620453</v>
      </c>
      <c r="C11" s="775">
        <v>1265295</v>
      </c>
      <c r="D11" s="775">
        <v>1190523</v>
      </c>
      <c r="E11" s="775">
        <v>1026027</v>
      </c>
      <c r="F11" s="775">
        <v>702864</v>
      </c>
      <c r="G11" s="775">
        <v>23158</v>
      </c>
      <c r="H11" s="775">
        <v>417374</v>
      </c>
      <c r="I11" s="775">
        <v>888602</v>
      </c>
      <c r="J11" s="775"/>
      <c r="K11" s="775">
        <v>1449720</v>
      </c>
      <c r="L11" s="847">
        <f t="shared" si="2"/>
        <v>1449720</v>
      </c>
      <c r="M11" s="775">
        <v>1689533.895652178</v>
      </c>
      <c r="N11" s="847">
        <f t="shared" si="0"/>
        <v>239813.89565217798</v>
      </c>
      <c r="O11" s="775"/>
      <c r="P11" s="874">
        <f t="shared" si="1"/>
        <v>-1689533.895652178</v>
      </c>
    </row>
    <row r="12" spans="1:16" x14ac:dyDescent="0.15">
      <c r="A12" s="774" t="s">
        <v>86</v>
      </c>
      <c r="B12" s="775">
        <v>1690415</v>
      </c>
      <c r="C12" s="775">
        <v>2330335</v>
      </c>
      <c r="D12" s="775">
        <v>2072040</v>
      </c>
      <c r="E12" s="775">
        <v>1420642</v>
      </c>
      <c r="F12" s="775">
        <v>985451</v>
      </c>
      <c r="G12" s="775">
        <v>194846</v>
      </c>
      <c r="H12" s="775">
        <v>896516</v>
      </c>
      <c r="I12" s="775">
        <v>1295261</v>
      </c>
      <c r="J12" s="775">
        <v>2266072</v>
      </c>
      <c r="K12" s="775">
        <v>2219563</v>
      </c>
      <c r="L12" s="846">
        <f t="shared" si="2"/>
        <v>-46509</v>
      </c>
      <c r="M12" s="775">
        <v>2476242</v>
      </c>
      <c r="N12" s="847">
        <f t="shared" si="0"/>
        <v>256679</v>
      </c>
      <c r="O12" s="775"/>
      <c r="P12" s="874">
        <f t="shared" si="1"/>
        <v>-2476242</v>
      </c>
    </row>
    <row r="13" spans="1:16" x14ac:dyDescent="0.15">
      <c r="A13" s="774" t="s">
        <v>87</v>
      </c>
      <c r="B13" s="775">
        <v>1556105</v>
      </c>
      <c r="C13" s="775">
        <v>1772437</v>
      </c>
      <c r="D13" s="775">
        <v>1870761</v>
      </c>
      <c r="E13" s="775">
        <v>1217273</v>
      </c>
      <c r="F13" s="775">
        <v>1115715</v>
      </c>
      <c r="G13" s="775">
        <v>101357</v>
      </c>
      <c r="H13" s="775">
        <v>545030</v>
      </c>
      <c r="I13" s="775">
        <v>2355614</v>
      </c>
      <c r="J13" s="775">
        <v>2209046</v>
      </c>
      <c r="K13" s="775">
        <v>2918132</v>
      </c>
      <c r="L13" s="847">
        <f t="shared" si="2"/>
        <v>709086</v>
      </c>
      <c r="M13" s="775">
        <v>2575263.1217390429</v>
      </c>
      <c r="N13" s="847">
        <f t="shared" si="0"/>
        <v>-342868.87826095708</v>
      </c>
      <c r="O13" s="775"/>
      <c r="P13" s="874">
        <f t="shared" si="1"/>
        <v>-2575263.1217390429</v>
      </c>
    </row>
    <row r="14" spans="1:16" s="773" customFormat="1" ht="16" x14ac:dyDescent="0.2">
      <c r="A14" s="771" t="s">
        <v>161</v>
      </c>
      <c r="B14" s="776">
        <f>SUM(B2:B13)</f>
        <v>11811745</v>
      </c>
      <c r="C14" s="776">
        <f t="shared" ref="C14:I14" si="3">SUM(C2:C13)</f>
        <v>14754292</v>
      </c>
      <c r="D14" s="776">
        <f t="shared" si="3"/>
        <v>14687046</v>
      </c>
      <c r="E14" s="776">
        <f t="shared" si="3"/>
        <v>12040485</v>
      </c>
      <c r="F14" s="776">
        <f t="shared" si="3"/>
        <v>8599088</v>
      </c>
      <c r="G14" s="776">
        <f t="shared" si="3"/>
        <v>4078062</v>
      </c>
      <c r="H14" s="776">
        <f t="shared" si="3"/>
        <v>3147462</v>
      </c>
      <c r="I14" s="776">
        <f t="shared" si="3"/>
        <v>10925152</v>
      </c>
      <c r="J14" s="776">
        <f>SUM(J2:J13)</f>
        <v>16190648</v>
      </c>
      <c r="K14" s="776">
        <f>SUM(K2:K13)</f>
        <v>19319039</v>
      </c>
      <c r="L14" s="861">
        <f>K14-J14</f>
        <v>3128391</v>
      </c>
      <c r="M14" s="776">
        <f>SUM(M2:M13)</f>
        <v>19062024.260869469</v>
      </c>
      <c r="N14" s="862">
        <f>M14-K14</f>
        <v>-257014.73913053051</v>
      </c>
      <c r="O14" s="776">
        <f>SUM(O2:O13)</f>
        <v>12768590.782608738</v>
      </c>
      <c r="P14" s="875">
        <f>O14-M14</f>
        <v>-6293433.4782607313</v>
      </c>
    </row>
    <row r="15" spans="1:16" ht="16" x14ac:dyDescent="0.2">
      <c r="A15" s="777" t="s">
        <v>135</v>
      </c>
      <c r="B15" s="778">
        <v>2015</v>
      </c>
      <c r="C15" s="778">
        <v>2016</v>
      </c>
      <c r="D15" s="778">
        <v>2017</v>
      </c>
      <c r="E15" s="778">
        <v>2018</v>
      </c>
      <c r="F15" s="778">
        <v>2019</v>
      </c>
      <c r="G15" s="778">
        <v>2020</v>
      </c>
      <c r="H15" s="778">
        <v>2021</v>
      </c>
      <c r="I15" s="778">
        <v>2022</v>
      </c>
      <c r="J15" s="778">
        <v>2023</v>
      </c>
      <c r="K15" s="778">
        <v>2024</v>
      </c>
      <c r="L15" s="848" t="s">
        <v>226</v>
      </c>
      <c r="M15" s="778">
        <v>2025</v>
      </c>
      <c r="N15" s="845" t="s">
        <v>227</v>
      </c>
      <c r="O15" s="778">
        <v>2026</v>
      </c>
      <c r="P15" s="845" t="s">
        <v>228</v>
      </c>
    </row>
    <row r="16" spans="1:16" x14ac:dyDescent="0.15">
      <c r="A16" s="779" t="s">
        <v>88</v>
      </c>
      <c r="B16" s="780">
        <v>0.76139999999999997</v>
      </c>
      <c r="C16" s="780">
        <v>0.71919999999999995</v>
      </c>
      <c r="D16" s="780">
        <v>0.73529999999999995</v>
      </c>
      <c r="E16" s="780">
        <v>0.52090000000000003</v>
      </c>
      <c r="F16" s="780">
        <v>0.39270000000000005</v>
      </c>
      <c r="G16" s="780">
        <v>0.48100000000000004</v>
      </c>
      <c r="H16" s="780">
        <v>3.8699999999999998E-2</v>
      </c>
      <c r="I16" s="780">
        <v>0.21690000000000001</v>
      </c>
      <c r="J16" s="780">
        <v>0.55509999999999993</v>
      </c>
      <c r="K16" s="780">
        <v>0.52029999999999998</v>
      </c>
      <c r="L16" s="849">
        <f>K16-J16</f>
        <v>-3.4799999999999942E-2</v>
      </c>
      <c r="M16" s="780">
        <v>0.58899999999999997</v>
      </c>
      <c r="N16" s="850">
        <f>M16-K16</f>
        <v>6.8699999999999983E-2</v>
      </c>
      <c r="O16" s="780">
        <v>0.65429999999999999</v>
      </c>
      <c r="P16" s="876">
        <f>O16-M16</f>
        <v>6.5300000000000025E-2</v>
      </c>
    </row>
    <row r="17" spans="1:16" x14ac:dyDescent="0.15">
      <c r="A17" s="779" t="s">
        <v>89</v>
      </c>
      <c r="B17" s="780">
        <v>0.86099999999999999</v>
      </c>
      <c r="C17" s="780">
        <v>0.79190000000000005</v>
      </c>
      <c r="D17" s="780">
        <v>0.81499999999999995</v>
      </c>
      <c r="E17" s="780">
        <v>0.76719999999999999</v>
      </c>
      <c r="F17" s="780">
        <v>0.52180000000000004</v>
      </c>
      <c r="G17" s="780">
        <v>0.48259999999999997</v>
      </c>
      <c r="H17" s="780">
        <v>3.3000000000000002E-2</v>
      </c>
      <c r="I17" s="780">
        <v>0.27</v>
      </c>
      <c r="J17" s="780">
        <v>0.67779999999999996</v>
      </c>
      <c r="K17" s="780">
        <v>0.70409999999999995</v>
      </c>
      <c r="L17" s="850">
        <f>K17-J17</f>
        <v>2.629999999999999E-2</v>
      </c>
      <c r="M17" s="780">
        <v>0.65090000000000003</v>
      </c>
      <c r="N17" s="849">
        <f>M17-K17</f>
        <v>-5.3199999999999914E-2</v>
      </c>
      <c r="O17" s="780">
        <v>0.74050000000000005</v>
      </c>
      <c r="P17" s="876">
        <f>O17-M17</f>
        <v>8.9600000000000013E-2</v>
      </c>
    </row>
    <row r="18" spans="1:16" x14ac:dyDescent="0.15">
      <c r="A18" s="779" t="s">
        <v>90</v>
      </c>
      <c r="B18" s="780">
        <v>0.74590000000000001</v>
      </c>
      <c r="C18" s="780">
        <v>0.66010000000000002</v>
      </c>
      <c r="D18" s="780">
        <v>0.55579999999999996</v>
      </c>
      <c r="E18" s="780">
        <v>0.49680000000000002</v>
      </c>
      <c r="F18" s="780">
        <v>0.42149999999999999</v>
      </c>
      <c r="G18" s="780">
        <v>0.3579</v>
      </c>
      <c r="H18" s="780">
        <v>0.11810000000000001</v>
      </c>
      <c r="I18" s="780">
        <v>0.53659999999999997</v>
      </c>
      <c r="J18" s="780">
        <v>0.5665</v>
      </c>
      <c r="K18" s="780">
        <v>0.57020000000000004</v>
      </c>
      <c r="L18" s="850">
        <f>K18-J18</f>
        <v>3.7000000000000366E-3</v>
      </c>
      <c r="M18" s="780">
        <v>0.47449999999999998</v>
      </c>
      <c r="N18" s="849">
        <f t="shared" ref="N18:N28" si="4">M18-K18</f>
        <v>-9.5700000000000063E-2</v>
      </c>
      <c r="O18" s="780">
        <v>0.56289999999999996</v>
      </c>
      <c r="P18" s="876">
        <f t="shared" ref="P18:P28" si="5">O18-M18</f>
        <v>8.8399999999999979E-2</v>
      </c>
    </row>
    <row r="19" spans="1:16" x14ac:dyDescent="0.15">
      <c r="A19" s="779" t="s">
        <v>123</v>
      </c>
      <c r="B19" s="780">
        <v>0.63690000000000002</v>
      </c>
      <c r="C19" s="780">
        <v>0.60589999999999999</v>
      </c>
      <c r="D19" s="780">
        <v>0.45829999999999999</v>
      </c>
      <c r="E19" s="780">
        <v>0.38290000000000002</v>
      </c>
      <c r="F19" s="780">
        <v>0.3196</v>
      </c>
      <c r="G19" s="780">
        <v>0</v>
      </c>
      <c r="H19" s="780">
        <v>0.10300000000000001</v>
      </c>
      <c r="I19" s="780">
        <v>0.20699999999999999</v>
      </c>
      <c r="J19" s="780">
        <v>0.41549999999999998</v>
      </c>
      <c r="K19" s="780">
        <v>0.3473</v>
      </c>
      <c r="L19" s="849">
        <f>K19-J19</f>
        <v>-6.8199999999999983E-2</v>
      </c>
      <c r="M19" s="780">
        <v>0.22900000000000001</v>
      </c>
      <c r="N19" s="849">
        <f t="shared" si="4"/>
        <v>-0.11829999999999999</v>
      </c>
      <c r="O19" s="780">
        <v>0.31509999999999999</v>
      </c>
      <c r="P19" s="876">
        <f t="shared" si="5"/>
        <v>8.6099999999999982E-2</v>
      </c>
    </row>
    <row r="20" spans="1:16" x14ac:dyDescent="0.15">
      <c r="A20" s="779" t="s">
        <v>124</v>
      </c>
      <c r="B20" s="780">
        <v>0.40110000000000001</v>
      </c>
      <c r="C20" s="780">
        <v>0.41820000000000002</v>
      </c>
      <c r="D20" s="780">
        <v>0.30170000000000002</v>
      </c>
      <c r="E20" s="780">
        <v>0.27560000000000001</v>
      </c>
      <c r="F20" s="780">
        <v>0.23120000000000002</v>
      </c>
      <c r="G20" s="780">
        <v>0</v>
      </c>
      <c r="H20" s="780">
        <v>0.1065</v>
      </c>
      <c r="I20" s="780">
        <v>0.2994</v>
      </c>
      <c r="J20" s="780">
        <v>0.37769999999999998</v>
      </c>
      <c r="K20" s="780">
        <v>0.3392</v>
      </c>
      <c r="L20" s="849">
        <f>K20-J20</f>
        <v>-3.8499999999999979E-2</v>
      </c>
      <c r="M20" s="780">
        <v>0.26329999999999998</v>
      </c>
      <c r="N20" s="849">
        <f t="shared" si="4"/>
        <v>-7.5900000000000023E-2</v>
      </c>
      <c r="O20" s="780">
        <v>0.2868</v>
      </c>
      <c r="P20" s="876">
        <f t="shared" si="5"/>
        <v>2.3500000000000021E-2</v>
      </c>
    </row>
    <row r="21" spans="1:16" x14ac:dyDescent="0.15">
      <c r="A21" s="779" t="s">
        <v>125</v>
      </c>
      <c r="B21" s="780">
        <v>0.22800000000000001</v>
      </c>
      <c r="C21" s="780">
        <v>0.24010000000000001</v>
      </c>
      <c r="D21" s="780">
        <v>0.42659999999999998</v>
      </c>
      <c r="E21" s="780">
        <v>1.1399999999999999E-2</v>
      </c>
      <c r="F21" s="780">
        <v>0</v>
      </c>
      <c r="G21" s="780">
        <v>0</v>
      </c>
      <c r="H21" s="780">
        <v>5.3600000000000002E-2</v>
      </c>
      <c r="I21" s="780">
        <v>0.19140000000000001</v>
      </c>
      <c r="J21" s="780">
        <v>0.3695</v>
      </c>
      <c r="K21" s="780">
        <v>0.19</v>
      </c>
      <c r="L21" s="849">
        <f t="shared" ref="L21:L28" si="6">K21-J21</f>
        <v>-0.17949999999999999</v>
      </c>
      <c r="M21" s="780">
        <v>4.9500000000000002E-2</v>
      </c>
      <c r="N21" s="849">
        <f t="shared" si="4"/>
        <v>-0.14050000000000001</v>
      </c>
      <c r="O21" s="780">
        <v>5.28E-2</v>
      </c>
      <c r="P21" s="876">
        <f t="shared" si="5"/>
        <v>3.2999999999999974E-3</v>
      </c>
    </row>
    <row r="22" spans="1:16" x14ac:dyDescent="0.15">
      <c r="A22" s="779" t="s">
        <v>160</v>
      </c>
      <c r="B22" s="780">
        <v>0.21529999999999999</v>
      </c>
      <c r="C22" s="780">
        <v>0.37530000000000002</v>
      </c>
      <c r="D22" s="780">
        <v>0.28989999999999999</v>
      </c>
      <c r="E22" s="780">
        <v>0.19269999999999998</v>
      </c>
      <c r="F22" s="780">
        <v>0.161</v>
      </c>
      <c r="G22" s="780">
        <v>0</v>
      </c>
      <c r="H22" s="780">
        <v>2.58E-2</v>
      </c>
      <c r="I22" s="780">
        <v>0.38990000000000002</v>
      </c>
      <c r="J22" s="780">
        <v>0.24790000000000001</v>
      </c>
      <c r="K22" s="780">
        <v>0.107</v>
      </c>
      <c r="L22" s="849">
        <f t="shared" si="6"/>
        <v>-0.14090000000000003</v>
      </c>
      <c r="M22" s="780">
        <v>0.223</v>
      </c>
      <c r="N22" s="850">
        <f t="shared" si="4"/>
        <v>0.11600000000000001</v>
      </c>
      <c r="O22" s="780">
        <v>0.12379999999999999</v>
      </c>
      <c r="P22" s="876">
        <f t="shared" si="5"/>
        <v>-9.920000000000001E-2</v>
      </c>
    </row>
    <row r="23" spans="1:16" x14ac:dyDescent="0.15">
      <c r="A23" s="779" t="s">
        <v>127</v>
      </c>
      <c r="B23" s="780">
        <v>0.40229999999999999</v>
      </c>
      <c r="C23" s="780">
        <v>0.35210000000000002</v>
      </c>
      <c r="D23" s="780">
        <v>0.3392</v>
      </c>
      <c r="E23" s="780">
        <v>0.32380000000000003</v>
      </c>
      <c r="F23" s="780">
        <v>0.23010000000000003</v>
      </c>
      <c r="G23" s="780">
        <v>1</v>
      </c>
      <c r="H23" s="780">
        <v>8.8000000000000009E-2</v>
      </c>
      <c r="I23" s="780">
        <v>0.40049999999999997</v>
      </c>
      <c r="J23" s="780">
        <v>0.48110000000000003</v>
      </c>
      <c r="K23" s="780">
        <v>0.22370000000000001</v>
      </c>
      <c r="L23" s="849">
        <f t="shared" si="6"/>
        <v>-0.25740000000000002</v>
      </c>
      <c r="M23" s="780">
        <v>0.22900000000000001</v>
      </c>
      <c r="N23" s="850">
        <f t="shared" si="4"/>
        <v>5.2999999999999992E-3</v>
      </c>
      <c r="O23" s="780"/>
      <c r="P23" s="876">
        <f t="shared" si="5"/>
        <v>-0.22900000000000001</v>
      </c>
    </row>
    <row r="24" spans="1:16" x14ac:dyDescent="0.15">
      <c r="A24" s="779" t="s">
        <v>128</v>
      </c>
      <c r="B24" s="780">
        <v>0.439</v>
      </c>
      <c r="C24" s="780">
        <v>0.45619999999999999</v>
      </c>
      <c r="D24" s="780">
        <v>0.48499999999999999</v>
      </c>
      <c r="E24" s="780">
        <v>0.32780000000000004</v>
      </c>
      <c r="F24" s="780">
        <v>0.33689999999999998</v>
      </c>
      <c r="G24" s="780">
        <v>1</v>
      </c>
      <c r="H24" s="780">
        <v>7.0400000000000004E-2</v>
      </c>
      <c r="I24" s="780">
        <v>0.2268</v>
      </c>
      <c r="J24" s="780">
        <v>0.41160000000000002</v>
      </c>
      <c r="K24" s="857">
        <v>0.22700000000000001</v>
      </c>
      <c r="L24" s="849">
        <f t="shared" si="6"/>
        <v>-0.18460000000000001</v>
      </c>
      <c r="M24" s="857">
        <v>0.24840000000000001</v>
      </c>
      <c r="N24" s="850">
        <f t="shared" si="4"/>
        <v>2.1400000000000002E-2</v>
      </c>
      <c r="O24" s="857"/>
      <c r="P24" s="876">
        <f t="shared" si="5"/>
        <v>-0.24840000000000001</v>
      </c>
    </row>
    <row r="25" spans="1:16" x14ac:dyDescent="0.15">
      <c r="A25" s="779" t="s">
        <v>129</v>
      </c>
      <c r="B25" s="780">
        <v>0.439</v>
      </c>
      <c r="C25" s="780">
        <v>0.66849999999999998</v>
      </c>
      <c r="D25" s="780">
        <v>0.56910000000000005</v>
      </c>
      <c r="E25" s="780">
        <v>0.49049999999999999</v>
      </c>
      <c r="F25" s="780">
        <v>0.442</v>
      </c>
      <c r="G25" s="780">
        <v>9.0899999999999995E-2</v>
      </c>
      <c r="H25" s="780">
        <v>0.18989999999999999</v>
      </c>
      <c r="I25" s="780">
        <v>0.28360000000000002</v>
      </c>
      <c r="J25" s="781"/>
      <c r="K25" s="857">
        <v>0.36730000000000002</v>
      </c>
      <c r="L25" s="850">
        <f t="shared" si="6"/>
        <v>0.36730000000000002</v>
      </c>
      <c r="M25" s="871">
        <v>0.439</v>
      </c>
      <c r="N25" s="849">
        <f t="shared" si="4"/>
        <v>7.1699999999999986E-2</v>
      </c>
      <c r="O25" s="781"/>
      <c r="P25" s="876">
        <f t="shared" si="5"/>
        <v>-0.439</v>
      </c>
    </row>
    <row r="26" spans="1:16" x14ac:dyDescent="0.15">
      <c r="A26" s="779" t="s">
        <v>86</v>
      </c>
      <c r="B26" s="780">
        <v>0.75960000000000005</v>
      </c>
      <c r="C26" s="780">
        <v>0.82599999999999996</v>
      </c>
      <c r="D26" s="780">
        <v>0.67090000000000005</v>
      </c>
      <c r="E26" s="780">
        <v>0.4587</v>
      </c>
      <c r="F26" s="780">
        <v>0.37009999999999998</v>
      </c>
      <c r="G26" s="780">
        <v>0.1099</v>
      </c>
      <c r="H26" s="780">
        <v>0.247</v>
      </c>
      <c r="I26" s="780">
        <v>0.3296</v>
      </c>
      <c r="J26" s="780">
        <v>0.56020000000000003</v>
      </c>
      <c r="K26" s="780">
        <v>0.49459999999999998</v>
      </c>
      <c r="L26" s="849">
        <f t="shared" si="6"/>
        <v>-6.5600000000000047E-2</v>
      </c>
      <c r="M26" s="780">
        <v>0.48899999999999999</v>
      </c>
      <c r="N26" s="849">
        <f t="shared" si="4"/>
        <v>-5.5999999999999939E-3</v>
      </c>
      <c r="O26" s="780"/>
      <c r="P26" s="876">
        <f t="shared" si="5"/>
        <v>-0.48899999999999999</v>
      </c>
    </row>
    <row r="27" spans="1:16" x14ac:dyDescent="0.15">
      <c r="A27" s="779" t="s">
        <v>87</v>
      </c>
      <c r="B27" s="780">
        <v>0.58979999999999999</v>
      </c>
      <c r="C27" s="780">
        <v>0.61070000000000002</v>
      </c>
      <c r="D27" s="780">
        <v>0.51539999999999997</v>
      </c>
      <c r="E27" s="780">
        <v>0.34990000000000004</v>
      </c>
      <c r="F27" s="780">
        <v>0.36399999999999999</v>
      </c>
      <c r="G27" s="780">
        <v>4.7400000000000005E-2</v>
      </c>
      <c r="H27" s="780">
        <v>0.15130000000000002</v>
      </c>
      <c r="I27" s="780">
        <v>0.5363</v>
      </c>
      <c r="J27" s="780">
        <v>0.49640000000000001</v>
      </c>
      <c r="K27" s="780">
        <v>0.53280000000000005</v>
      </c>
      <c r="L27" s="850">
        <f t="shared" si="6"/>
        <v>3.6400000000000043E-2</v>
      </c>
      <c r="M27" s="871">
        <v>0.4632</v>
      </c>
      <c r="N27" s="849">
        <f t="shared" si="4"/>
        <v>-6.9600000000000051E-2</v>
      </c>
      <c r="O27" s="781"/>
      <c r="P27" s="876">
        <f t="shared" si="5"/>
        <v>-0.4632</v>
      </c>
    </row>
    <row r="28" spans="1:16" s="773" customFormat="1" ht="16" x14ac:dyDescent="0.2">
      <c r="A28" s="777" t="s">
        <v>161</v>
      </c>
      <c r="B28" s="782">
        <f>SUM(B16:B27)/12</f>
        <v>0.53994166666666665</v>
      </c>
      <c r="C28" s="782">
        <f t="shared" ref="C28:I28" si="7">SUM(C16:C27)/12</f>
        <v>0.56035000000000001</v>
      </c>
      <c r="D28" s="782">
        <f t="shared" si="7"/>
        <v>0.51351666666666651</v>
      </c>
      <c r="E28" s="782">
        <f t="shared" si="7"/>
        <v>0.38318333333333326</v>
      </c>
      <c r="F28" s="782">
        <f t="shared" si="7"/>
        <v>0.31590833333333335</v>
      </c>
      <c r="G28" s="782">
        <f t="shared" si="7"/>
        <v>0.29747499999999999</v>
      </c>
      <c r="H28" s="782">
        <f t="shared" si="7"/>
        <v>0.10210833333333331</v>
      </c>
      <c r="I28" s="782">
        <f t="shared" si="7"/>
        <v>0.32400000000000001</v>
      </c>
      <c r="J28" s="782">
        <f>SUM(J16:J27)/11</f>
        <v>0.46902727272727279</v>
      </c>
      <c r="K28" s="782">
        <f>SUM(K16:K27)/12</f>
        <v>0.38529166666666664</v>
      </c>
      <c r="L28" s="858">
        <f t="shared" si="6"/>
        <v>-8.3735606060606149E-2</v>
      </c>
      <c r="M28" s="782">
        <f>SUM(M16:M27)/12</f>
        <v>0.36231666666666668</v>
      </c>
      <c r="N28" s="858">
        <f t="shared" si="4"/>
        <v>-2.2974999999999968E-2</v>
      </c>
      <c r="O28" s="782">
        <f>SUM(O16:O27)/6</f>
        <v>0.45603333333333335</v>
      </c>
      <c r="P28" s="877">
        <f t="shared" si="5"/>
        <v>9.371666666666667E-2</v>
      </c>
    </row>
    <row r="29" spans="1:16" ht="16" x14ac:dyDescent="0.2">
      <c r="A29" s="783" t="s">
        <v>213</v>
      </c>
      <c r="B29" s="784">
        <v>2015</v>
      </c>
      <c r="C29" s="784">
        <v>2016</v>
      </c>
      <c r="D29" s="784">
        <v>2017</v>
      </c>
      <c r="E29" s="784">
        <v>2018</v>
      </c>
      <c r="F29" s="784">
        <v>2019</v>
      </c>
      <c r="G29" s="784">
        <v>2020</v>
      </c>
      <c r="H29" s="784">
        <v>2021</v>
      </c>
      <c r="I29" s="784">
        <v>2022</v>
      </c>
      <c r="J29" s="784">
        <v>2023</v>
      </c>
      <c r="K29" s="784">
        <v>2024</v>
      </c>
      <c r="L29" s="848" t="s">
        <v>226</v>
      </c>
      <c r="M29" s="784">
        <v>2025</v>
      </c>
      <c r="N29" s="845" t="s">
        <v>227</v>
      </c>
      <c r="O29" s="784">
        <v>2026</v>
      </c>
      <c r="P29" s="845" t="s">
        <v>228</v>
      </c>
    </row>
    <row r="30" spans="1:16" x14ac:dyDescent="0.15">
      <c r="A30" s="785" t="s">
        <v>88</v>
      </c>
      <c r="B30" s="786">
        <v>2516</v>
      </c>
      <c r="C30" s="786">
        <v>2687</v>
      </c>
      <c r="D30" s="786">
        <v>3076</v>
      </c>
      <c r="E30" s="786">
        <v>2956</v>
      </c>
      <c r="F30" s="786">
        <v>2960</v>
      </c>
      <c r="G30" s="786">
        <v>3346</v>
      </c>
      <c r="H30" s="786">
        <v>2026</v>
      </c>
      <c r="I30" s="786">
        <v>3414</v>
      </c>
      <c r="J30" s="786">
        <v>4722</v>
      </c>
      <c r="K30" s="786">
        <v>4970</v>
      </c>
      <c r="L30" s="851">
        <f>K30-J30</f>
        <v>248</v>
      </c>
      <c r="M30" s="863">
        <v>5661.27</v>
      </c>
      <c r="N30" s="864">
        <f>M30-K30</f>
        <v>691.27000000000044</v>
      </c>
      <c r="O30" s="863">
        <v>5780.3196714344494</v>
      </c>
      <c r="P30" s="878">
        <f>O30-M30</f>
        <v>119.04967143444901</v>
      </c>
    </row>
    <row r="31" spans="1:16" x14ac:dyDescent="0.15">
      <c r="A31" s="785" t="s">
        <v>89</v>
      </c>
      <c r="B31" s="786">
        <v>2272</v>
      </c>
      <c r="C31" s="786">
        <v>2460</v>
      </c>
      <c r="D31" s="786">
        <v>2795</v>
      </c>
      <c r="E31" s="786">
        <v>3157</v>
      </c>
      <c r="F31" s="786">
        <v>3366</v>
      </c>
      <c r="G31" s="786">
        <v>3602</v>
      </c>
      <c r="H31" s="786">
        <v>2976</v>
      </c>
      <c r="I31" s="786">
        <v>3718</v>
      </c>
      <c r="J31" s="786">
        <v>4385</v>
      </c>
      <c r="K31" s="786">
        <v>5100</v>
      </c>
      <c r="L31" s="851">
        <f>K31-J31</f>
        <v>715</v>
      </c>
      <c r="M31" s="863">
        <v>5110.0200000000004</v>
      </c>
      <c r="N31" s="864">
        <f>M31-K31</f>
        <v>10.020000000000437</v>
      </c>
      <c r="O31" s="863">
        <v>5806.9916587159214</v>
      </c>
      <c r="P31" s="878">
        <f>O31-M31</f>
        <v>696.97165871592097</v>
      </c>
    </row>
    <row r="32" spans="1:16" x14ac:dyDescent="0.15">
      <c r="A32" s="785" t="s">
        <v>90</v>
      </c>
      <c r="B32" s="786">
        <v>2180</v>
      </c>
      <c r="C32" s="786">
        <v>2469</v>
      </c>
      <c r="D32" s="786">
        <v>2426</v>
      </c>
      <c r="E32" s="786">
        <v>2612</v>
      </c>
      <c r="F32" s="786">
        <v>2806</v>
      </c>
      <c r="G32" s="786">
        <v>3107</v>
      </c>
      <c r="H32" s="786">
        <v>2477</v>
      </c>
      <c r="I32" s="786">
        <v>3641</v>
      </c>
      <c r="J32" s="786">
        <v>3450</v>
      </c>
      <c r="K32" s="786">
        <v>4309</v>
      </c>
      <c r="L32" s="851">
        <f>K32-J32</f>
        <v>859</v>
      </c>
      <c r="M32" s="863">
        <v>4445.3900000000003</v>
      </c>
      <c r="N32" s="864">
        <f t="shared" ref="N32:N42" si="8">M32-K32</f>
        <v>136.39000000000033</v>
      </c>
      <c r="O32" s="863">
        <v>4874.4977896529736</v>
      </c>
      <c r="P32" s="878">
        <f t="shared" ref="P32:P42" si="9">O32-M32</f>
        <v>429.10778965297322</v>
      </c>
    </row>
    <row r="33" spans="1:16" x14ac:dyDescent="0.15">
      <c r="A33" s="785" t="s">
        <v>123</v>
      </c>
      <c r="B33" s="786">
        <v>1465</v>
      </c>
      <c r="C33" s="786">
        <v>1800</v>
      </c>
      <c r="D33" s="786">
        <v>2108</v>
      </c>
      <c r="E33" s="786">
        <v>1811</v>
      </c>
      <c r="F33" s="786">
        <v>1923</v>
      </c>
      <c r="G33" s="786">
        <v>0</v>
      </c>
      <c r="H33" s="786">
        <v>2412</v>
      </c>
      <c r="I33" s="786">
        <v>3224</v>
      </c>
      <c r="J33" s="786">
        <v>2851</v>
      </c>
      <c r="K33" s="786">
        <v>3918</v>
      </c>
      <c r="L33" s="851">
        <f>K33-J33</f>
        <v>1067</v>
      </c>
      <c r="M33" s="863">
        <v>4260.41</v>
      </c>
      <c r="N33" s="864">
        <f t="shared" si="8"/>
        <v>342.40999999999985</v>
      </c>
      <c r="O33" s="863">
        <v>4290</v>
      </c>
      <c r="P33" s="878">
        <f t="shared" si="9"/>
        <v>29.590000000000146</v>
      </c>
    </row>
    <row r="34" spans="1:16" x14ac:dyDescent="0.15">
      <c r="A34" s="785" t="s">
        <v>124</v>
      </c>
      <c r="B34" s="786">
        <v>1272</v>
      </c>
      <c r="C34" s="786">
        <v>1530</v>
      </c>
      <c r="D34" s="786">
        <v>1728</v>
      </c>
      <c r="E34" s="786">
        <v>1841</v>
      </c>
      <c r="F34" s="786">
        <v>1653</v>
      </c>
      <c r="G34" s="786">
        <v>0</v>
      </c>
      <c r="H34" s="786">
        <v>2172</v>
      </c>
      <c r="I34" s="786">
        <v>2864</v>
      </c>
      <c r="J34" s="786">
        <v>1804</v>
      </c>
      <c r="K34" s="786">
        <v>3386</v>
      </c>
      <c r="L34" s="851">
        <f>K34-J34</f>
        <v>1582</v>
      </c>
      <c r="M34" s="863">
        <v>3654.89</v>
      </c>
      <c r="N34" s="864">
        <f t="shared" si="8"/>
        <v>268.88999999999987</v>
      </c>
      <c r="O34" s="863">
        <v>3838</v>
      </c>
      <c r="P34" s="878">
        <f t="shared" si="9"/>
        <v>183.11000000000013</v>
      </c>
    </row>
    <row r="35" spans="1:16" x14ac:dyDescent="0.15">
      <c r="A35" s="785" t="s">
        <v>125</v>
      </c>
      <c r="B35" s="786">
        <v>1134</v>
      </c>
      <c r="C35" s="786">
        <v>1731</v>
      </c>
      <c r="D35" s="786">
        <v>1227</v>
      </c>
      <c r="E35" s="786">
        <v>1486</v>
      </c>
      <c r="F35" s="786">
        <v>0</v>
      </c>
      <c r="G35" s="786">
        <v>0</v>
      </c>
      <c r="H35" s="786">
        <v>2300</v>
      </c>
      <c r="I35" s="786">
        <v>2897</v>
      </c>
      <c r="J35" s="786">
        <v>2067</v>
      </c>
      <c r="K35" s="786">
        <v>3182.38</v>
      </c>
      <c r="L35" s="851">
        <f t="shared" ref="L35:L42" si="10">K35-J35</f>
        <v>1115.3800000000001</v>
      </c>
      <c r="M35" s="863">
        <v>2393.3965973532172</v>
      </c>
      <c r="N35" s="865">
        <f t="shared" si="8"/>
        <v>-788.98340264678291</v>
      </c>
      <c r="O35" s="863">
        <v>3200.2337178347998</v>
      </c>
      <c r="P35" s="878">
        <f t="shared" si="9"/>
        <v>806.83712048158259</v>
      </c>
    </row>
    <row r="36" spans="1:16" x14ac:dyDescent="0.15">
      <c r="A36" s="785" t="s">
        <v>160</v>
      </c>
      <c r="B36" s="786">
        <v>1573</v>
      </c>
      <c r="C36" s="786">
        <v>1312</v>
      </c>
      <c r="D36" s="786">
        <v>1218</v>
      </c>
      <c r="E36" s="786">
        <v>2193</v>
      </c>
      <c r="F36" s="786">
        <v>1476</v>
      </c>
      <c r="G36" s="786">
        <v>0</v>
      </c>
      <c r="H36" s="786">
        <v>2432</v>
      </c>
      <c r="I36" s="786">
        <v>2477</v>
      </c>
      <c r="J36" s="786">
        <v>2115</v>
      </c>
      <c r="K36" s="786">
        <v>3034.69</v>
      </c>
      <c r="L36" s="851">
        <f t="shared" si="10"/>
        <v>919.69</v>
      </c>
      <c r="M36" s="863">
        <v>3535.19</v>
      </c>
      <c r="N36" s="864">
        <f t="shared" si="8"/>
        <v>500.5</v>
      </c>
      <c r="O36" s="863">
        <v>3690.1086956521499</v>
      </c>
      <c r="P36" s="878">
        <f t="shared" si="9"/>
        <v>154.91869565214984</v>
      </c>
    </row>
    <row r="37" spans="1:16" x14ac:dyDescent="0.15">
      <c r="A37" s="785" t="s">
        <v>127</v>
      </c>
      <c r="B37" s="786">
        <v>1273</v>
      </c>
      <c r="C37" s="786">
        <v>1633</v>
      </c>
      <c r="D37" s="786">
        <v>1728</v>
      </c>
      <c r="E37" s="786">
        <v>1759</v>
      </c>
      <c r="F37" s="786">
        <v>1680</v>
      </c>
      <c r="G37" s="786">
        <v>2169</v>
      </c>
      <c r="H37" s="786">
        <v>1592</v>
      </c>
      <c r="I37" s="786">
        <v>2648</v>
      </c>
      <c r="J37" s="786">
        <v>2878</v>
      </c>
      <c r="K37" s="786">
        <v>3160.71</v>
      </c>
      <c r="L37" s="851">
        <f t="shared" si="10"/>
        <v>282.71000000000004</v>
      </c>
      <c r="M37" s="863">
        <v>3465.66</v>
      </c>
      <c r="N37" s="864">
        <f t="shared" si="8"/>
        <v>304.94999999999982</v>
      </c>
      <c r="O37" s="863"/>
      <c r="P37" s="878">
        <f t="shared" si="9"/>
        <v>-3465.66</v>
      </c>
    </row>
    <row r="38" spans="1:16" x14ac:dyDescent="0.15">
      <c r="A38" s="785" t="s">
        <v>128</v>
      </c>
      <c r="B38" s="786">
        <v>1449</v>
      </c>
      <c r="C38" s="786">
        <v>1550</v>
      </c>
      <c r="D38" s="786">
        <v>1774</v>
      </c>
      <c r="E38" s="786">
        <v>1872</v>
      </c>
      <c r="F38" s="786">
        <v>1777</v>
      </c>
      <c r="G38" s="786">
        <v>2169</v>
      </c>
      <c r="H38" s="786">
        <v>2729</v>
      </c>
      <c r="I38" s="786">
        <v>2540</v>
      </c>
      <c r="J38" s="786">
        <v>3209</v>
      </c>
      <c r="K38" s="786">
        <v>3167.29</v>
      </c>
      <c r="L38" s="860">
        <f t="shared" si="10"/>
        <v>-41.710000000000036</v>
      </c>
      <c r="M38" s="863">
        <v>3509.63</v>
      </c>
      <c r="N38" s="864">
        <f t="shared" si="8"/>
        <v>342.34000000000015</v>
      </c>
      <c r="O38" s="863"/>
      <c r="P38" s="878">
        <f t="shared" si="9"/>
        <v>-3509.63</v>
      </c>
    </row>
    <row r="39" spans="1:16" x14ac:dyDescent="0.15">
      <c r="A39" s="785" t="s">
        <v>129</v>
      </c>
      <c r="B39" s="786">
        <v>1449</v>
      </c>
      <c r="C39" s="786">
        <v>1757</v>
      </c>
      <c r="D39" s="786">
        <v>1980</v>
      </c>
      <c r="E39" s="786">
        <v>1976</v>
      </c>
      <c r="F39" s="786">
        <v>1920</v>
      </c>
      <c r="G39" s="786">
        <v>1929</v>
      </c>
      <c r="H39" s="786">
        <v>2358</v>
      </c>
      <c r="I39" s="786">
        <v>3340</v>
      </c>
      <c r="J39" s="786"/>
      <c r="K39" s="786">
        <v>4106.8599999999997</v>
      </c>
      <c r="L39" s="851">
        <f t="shared" si="10"/>
        <v>4106.8599999999997</v>
      </c>
      <c r="M39" s="863">
        <v>4100.8100000000004</v>
      </c>
      <c r="N39" s="864">
        <f t="shared" si="8"/>
        <v>-6.0499999999992724</v>
      </c>
      <c r="O39" s="863"/>
      <c r="P39" s="878">
        <f t="shared" si="9"/>
        <v>-4100.8100000000004</v>
      </c>
    </row>
    <row r="40" spans="1:16" x14ac:dyDescent="0.15">
      <c r="A40" s="785" t="s">
        <v>86</v>
      </c>
      <c r="B40" s="786">
        <v>2184</v>
      </c>
      <c r="C40" s="786">
        <v>2596</v>
      </c>
      <c r="D40" s="786">
        <v>3033</v>
      </c>
      <c r="E40" s="786">
        <v>3009</v>
      </c>
      <c r="F40" s="786">
        <v>2941</v>
      </c>
      <c r="G40" s="786">
        <v>2706</v>
      </c>
      <c r="H40" s="786">
        <v>4020</v>
      </c>
      <c r="I40" s="786">
        <v>4375</v>
      </c>
      <c r="J40" s="786">
        <v>4349</v>
      </c>
      <c r="K40" s="786">
        <v>4825.1400000000003</v>
      </c>
      <c r="L40" s="851">
        <f t="shared" si="10"/>
        <v>476.14000000000033</v>
      </c>
      <c r="M40" s="863">
        <v>2662.6258064516128</v>
      </c>
      <c r="N40" s="864">
        <f t="shared" si="8"/>
        <v>-2162.5141935483875</v>
      </c>
      <c r="O40" s="863"/>
      <c r="P40" s="878">
        <f t="shared" si="9"/>
        <v>-2662.6258064516128</v>
      </c>
    </row>
    <row r="41" spans="1:16" x14ac:dyDescent="0.15">
      <c r="A41" s="785" t="s">
        <v>87</v>
      </c>
      <c r="B41" s="786">
        <v>2481</v>
      </c>
      <c r="C41" s="786">
        <v>2868</v>
      </c>
      <c r="D41" s="786">
        <v>3389</v>
      </c>
      <c r="E41" s="786">
        <v>3254</v>
      </c>
      <c r="F41" s="786">
        <v>3254</v>
      </c>
      <c r="G41" s="786">
        <v>2598</v>
      </c>
      <c r="H41" s="786">
        <v>3921</v>
      </c>
      <c r="I41" s="786">
        <v>4692</v>
      </c>
      <c r="J41" s="786">
        <v>4621</v>
      </c>
      <c r="K41" s="786">
        <v>5699.48</v>
      </c>
      <c r="L41" s="851">
        <f t="shared" si="10"/>
        <v>1078.4799999999996</v>
      </c>
      <c r="M41" s="863">
        <v>5852.8707312250972</v>
      </c>
      <c r="N41" s="864">
        <f t="shared" si="8"/>
        <v>153.39073122509762</v>
      </c>
      <c r="O41" s="863"/>
      <c r="P41" s="878">
        <f t="shared" si="9"/>
        <v>-5852.8707312250972</v>
      </c>
    </row>
    <row r="42" spans="1:16" s="773" customFormat="1" ht="16" x14ac:dyDescent="0.2">
      <c r="A42" s="783" t="s">
        <v>161</v>
      </c>
      <c r="B42" s="787">
        <f>SUM(B30:B41)/12</f>
        <v>1770.6666666666667</v>
      </c>
      <c r="C42" s="787">
        <f t="shared" ref="C42:I42" si="11">SUM(C30:C41)/12</f>
        <v>2032.75</v>
      </c>
      <c r="D42" s="787">
        <f t="shared" si="11"/>
        <v>2206.8333333333335</v>
      </c>
      <c r="E42" s="787">
        <f t="shared" si="11"/>
        <v>2327.1666666666665</v>
      </c>
      <c r="F42" s="787">
        <f t="shared" si="11"/>
        <v>2146.3333333333335</v>
      </c>
      <c r="G42" s="787">
        <f t="shared" si="11"/>
        <v>1802.1666666666667</v>
      </c>
      <c r="H42" s="787">
        <f t="shared" si="11"/>
        <v>2617.9166666666665</v>
      </c>
      <c r="I42" s="787">
        <f t="shared" si="11"/>
        <v>3319.1666666666665</v>
      </c>
      <c r="J42" s="787">
        <f>SUM(J30:J41)/11</f>
        <v>3313.7272727272725</v>
      </c>
      <c r="K42" s="787">
        <f>SUM(K30:K41)/12</f>
        <v>4071.6291666666671</v>
      </c>
      <c r="L42" s="859">
        <f t="shared" si="10"/>
        <v>757.90189393939454</v>
      </c>
      <c r="M42" s="787">
        <f>SUM(M30:M41)/9</f>
        <v>5405.7959038922145</v>
      </c>
      <c r="N42" s="866">
        <f t="shared" si="8"/>
        <v>1334.1667372255474</v>
      </c>
      <c r="O42" s="787">
        <f>SUM(O30:O41)/6</f>
        <v>5246.6919222150491</v>
      </c>
      <c r="P42" s="879">
        <f t="shared" si="9"/>
        <v>-159.10398167716539</v>
      </c>
    </row>
    <row r="43" spans="1:16" x14ac:dyDescent="0.15">
      <c r="A43" t="s">
        <v>214</v>
      </c>
    </row>
    <row r="44" spans="1:16" x14ac:dyDescent="0.15">
      <c r="A44" t="s">
        <v>215</v>
      </c>
    </row>
    <row r="45" spans="1:16" x14ac:dyDescent="0.15">
      <c r="A45" t="s">
        <v>216</v>
      </c>
    </row>
    <row r="46" spans="1:16" x14ac:dyDescent="0.15">
      <c r="A46" t="s">
        <v>217</v>
      </c>
    </row>
    <row r="47" spans="1:16" x14ac:dyDescent="0.15">
      <c r="A47" t="s">
        <v>218</v>
      </c>
    </row>
    <row r="48" spans="1:16" x14ac:dyDescent="0.15">
      <c r="A48" t="s">
        <v>219</v>
      </c>
    </row>
    <row r="49" spans="1:1" x14ac:dyDescent="0.15">
      <c r="A49" t="s">
        <v>220</v>
      </c>
    </row>
    <row r="50" spans="1:1" x14ac:dyDescent="0.15">
      <c r="A50" t="s">
        <v>221</v>
      </c>
    </row>
    <row r="51" spans="1:1" x14ac:dyDescent="0.15">
      <c r="A51" t="s">
        <v>222</v>
      </c>
    </row>
    <row r="52" spans="1:1" x14ac:dyDescent="0.15">
      <c r="A52" t="s">
        <v>223</v>
      </c>
    </row>
    <row r="53" spans="1:1" x14ac:dyDescent="0.15">
      <c r="A53" t="s">
        <v>224</v>
      </c>
    </row>
    <row r="54" spans="1:1" x14ac:dyDescent="0.15">
      <c r="A54" t="s">
        <v>225</v>
      </c>
    </row>
  </sheetData>
  <conditionalFormatting sqref="P2:P14 P16:P28 P30:P1048576">
    <cfRule type="cellIs" dxfId="1" priority="1" operator="lessThan">
      <formula>-0.09</formula>
    </cfRule>
    <cfRule type="cellIs" dxfId="0" priority="2" operator="greaterThan">
      <formula>0.009</formula>
    </cfRule>
  </conditionalFormatting>
  <pageMargins left="0.7" right="0.7" top="0.75" bottom="0.75" header="0.3" footer="0.3"/>
  <pageSetup paperSize="9" scale="54" orientation="portrait" horizontalDpi="0" verticalDpi="0"/>
  <ignoredErrors>
    <ignoredError sqref="B14:K14 B28:I28 B42:J42" formulaRange="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91A68-59F9-F440-94D5-25DB85A5E291}">
  <dimension ref="A1:AD818"/>
  <sheetViews>
    <sheetView topLeftCell="A786" zoomScale="179" workbookViewId="0">
      <selection activeCell="E2" sqref="E2"/>
    </sheetView>
  </sheetViews>
  <sheetFormatPr baseColWidth="10" defaultRowHeight="13" x14ac:dyDescent="0.15"/>
  <cols>
    <col min="1" max="1" width="24" style="788" customWidth="1"/>
    <col min="2" max="2" width="24.5" customWidth="1"/>
    <col min="3" max="3" width="10.6640625" customWidth="1"/>
    <col min="4" max="4" width="9.1640625" customWidth="1"/>
    <col min="5" max="5" width="16.1640625" customWidth="1"/>
    <col min="6" max="6" width="23.5" customWidth="1"/>
    <col min="7" max="7" width="13.5" bestFit="1" customWidth="1"/>
    <col min="8" max="8" width="56.1640625" customWidth="1"/>
    <col min="9" max="10" width="15.1640625" bestFit="1" customWidth="1"/>
    <col min="11" max="11" width="16.83203125" bestFit="1" customWidth="1"/>
    <col min="12" max="12" width="12.6640625" bestFit="1" customWidth="1"/>
    <col min="14" max="14" width="13" customWidth="1"/>
    <col min="15" max="15" width="15.6640625" bestFit="1" customWidth="1"/>
    <col min="16" max="16" width="19.6640625" bestFit="1" customWidth="1"/>
    <col min="17" max="17" width="9" bestFit="1" customWidth="1"/>
    <col min="18" max="18" width="14.5" customWidth="1"/>
    <col min="19" max="19" width="14" customWidth="1"/>
    <col min="20" max="20" width="14.33203125" bestFit="1" customWidth="1"/>
    <col min="21" max="21" width="44.83203125" bestFit="1" customWidth="1"/>
    <col min="22" max="22" width="29" bestFit="1" customWidth="1"/>
    <col min="23" max="23" width="14" bestFit="1" customWidth="1"/>
    <col min="24" max="24" width="13.5" bestFit="1" customWidth="1"/>
    <col min="25" max="25" width="17.6640625" bestFit="1" customWidth="1"/>
    <col min="26" max="26" width="32.1640625" bestFit="1" customWidth="1"/>
    <col min="27" max="27" width="16.33203125" bestFit="1" customWidth="1"/>
    <col min="28" max="28" width="12.6640625" bestFit="1" customWidth="1"/>
    <col min="29" max="29" width="23" bestFit="1" customWidth="1"/>
    <col min="30" max="30" width="10.5" bestFit="1" customWidth="1"/>
  </cols>
  <sheetData>
    <row r="1" spans="1:30" s="798" customFormat="1" x14ac:dyDescent="0.15">
      <c r="A1" s="887" t="s">
        <v>232</v>
      </c>
      <c r="B1" s="798" t="s">
        <v>233</v>
      </c>
      <c r="C1" s="798" t="s">
        <v>234</v>
      </c>
      <c r="D1" s="798" t="s">
        <v>235</v>
      </c>
      <c r="E1" s="798" t="s">
        <v>236</v>
      </c>
      <c r="F1" s="798" t="s">
        <v>237</v>
      </c>
      <c r="G1" s="798" t="s">
        <v>238</v>
      </c>
      <c r="H1" s="798" t="s">
        <v>239</v>
      </c>
      <c r="I1" s="798" t="s">
        <v>240</v>
      </c>
      <c r="J1" s="798" t="s">
        <v>241</v>
      </c>
      <c r="K1" s="798" t="s">
        <v>242</v>
      </c>
      <c r="L1" s="798" t="s">
        <v>243</v>
      </c>
      <c r="M1" s="798" t="s">
        <v>135</v>
      </c>
      <c r="N1" s="798" t="s">
        <v>244</v>
      </c>
      <c r="O1" s="798" t="s">
        <v>245</v>
      </c>
      <c r="P1" s="798" t="s">
        <v>246</v>
      </c>
      <c r="Q1" s="798" t="s">
        <v>247</v>
      </c>
      <c r="R1" s="798" t="s">
        <v>248</v>
      </c>
      <c r="S1" s="798" t="s">
        <v>249</v>
      </c>
      <c r="T1" s="798" t="s">
        <v>250</v>
      </c>
      <c r="U1" s="798" t="s">
        <v>251</v>
      </c>
      <c r="V1" s="798" t="s">
        <v>252</v>
      </c>
      <c r="W1" s="798" t="s">
        <v>253</v>
      </c>
      <c r="X1" s="798" t="s">
        <v>254</v>
      </c>
      <c r="Y1" s="798" t="s">
        <v>255</v>
      </c>
      <c r="Z1" s="798" t="s">
        <v>256</v>
      </c>
      <c r="AA1" s="798" t="s">
        <v>257</v>
      </c>
      <c r="AB1" s="798" t="s">
        <v>258</v>
      </c>
      <c r="AC1" s="798" t="s">
        <v>259</v>
      </c>
      <c r="AD1" s="798" t="s">
        <v>260</v>
      </c>
    </row>
    <row r="2" spans="1:30" x14ac:dyDescent="0.15">
      <c r="A2" s="788">
        <v>567284087</v>
      </c>
      <c r="B2" t="s">
        <v>926</v>
      </c>
      <c r="C2" s="884">
        <v>45889</v>
      </c>
      <c r="D2" s="884">
        <v>45894</v>
      </c>
      <c r="E2" t="s">
        <v>927</v>
      </c>
      <c r="F2" t="s">
        <v>928</v>
      </c>
      <c r="H2" t="s">
        <v>674</v>
      </c>
      <c r="I2" s="885">
        <v>45880.405648148146</v>
      </c>
      <c r="K2" s="885">
        <v>45880.445347222223</v>
      </c>
      <c r="L2" t="s">
        <v>264</v>
      </c>
      <c r="M2" t="s">
        <v>265</v>
      </c>
      <c r="N2" t="s">
        <v>929</v>
      </c>
      <c r="O2" t="s">
        <v>267</v>
      </c>
      <c r="P2" s="885">
        <v>45880.447384259256</v>
      </c>
      <c r="Q2" t="s">
        <v>268</v>
      </c>
      <c r="R2" t="s">
        <v>269</v>
      </c>
    </row>
    <row r="3" spans="1:30" x14ac:dyDescent="0.15">
      <c r="A3" s="788">
        <v>1970859923</v>
      </c>
      <c r="B3" t="s">
        <v>2316</v>
      </c>
      <c r="C3" s="884">
        <v>46033</v>
      </c>
      <c r="D3" s="884">
        <v>46036</v>
      </c>
      <c r="E3" t="s">
        <v>927</v>
      </c>
      <c r="F3" t="s">
        <v>2317</v>
      </c>
      <c r="H3" t="s">
        <v>1788</v>
      </c>
      <c r="I3" s="885">
        <v>46029.470590277779</v>
      </c>
      <c r="K3" s="885">
        <v>46034.327615740738</v>
      </c>
      <c r="L3" t="s">
        <v>264</v>
      </c>
      <c r="M3" t="s">
        <v>265</v>
      </c>
      <c r="N3" t="s">
        <v>1722</v>
      </c>
      <c r="O3" t="s">
        <v>267</v>
      </c>
      <c r="P3" s="885">
        <v>46034.334340277775</v>
      </c>
      <c r="Q3" t="s">
        <v>268</v>
      </c>
      <c r="R3" t="s">
        <v>269</v>
      </c>
    </row>
    <row r="4" spans="1:30" x14ac:dyDescent="0.15">
      <c r="A4" s="788">
        <v>1972277093</v>
      </c>
      <c r="B4" t="s">
        <v>2370</v>
      </c>
      <c r="C4" s="884">
        <v>46037</v>
      </c>
      <c r="D4" s="884">
        <v>46041</v>
      </c>
      <c r="E4" t="s">
        <v>927</v>
      </c>
      <c r="F4" t="s">
        <v>2317</v>
      </c>
      <c r="H4" t="s">
        <v>1788</v>
      </c>
      <c r="I4" s="885">
        <v>46033.711562500001</v>
      </c>
      <c r="K4" s="885">
        <v>46038.373518518521</v>
      </c>
      <c r="L4" t="s">
        <v>264</v>
      </c>
      <c r="M4" t="s">
        <v>265</v>
      </c>
      <c r="N4" t="s">
        <v>2371</v>
      </c>
      <c r="O4" t="s">
        <v>267</v>
      </c>
      <c r="P4" s="885">
        <v>46038.377442129633</v>
      </c>
      <c r="Q4" t="s">
        <v>268</v>
      </c>
      <c r="R4" t="s">
        <v>269</v>
      </c>
    </row>
    <row r="5" spans="1:30" x14ac:dyDescent="0.15">
      <c r="A5" s="788">
        <v>620361463</v>
      </c>
      <c r="B5" t="s">
        <v>2496</v>
      </c>
      <c r="C5" s="884">
        <v>46072</v>
      </c>
      <c r="D5" s="884">
        <v>46073</v>
      </c>
      <c r="E5" t="s">
        <v>927</v>
      </c>
      <c r="F5" t="s">
        <v>928</v>
      </c>
      <c r="H5" t="s">
        <v>2054</v>
      </c>
      <c r="I5" s="885">
        <v>46045.447245370371</v>
      </c>
      <c r="K5" s="885">
        <v>46045.448645833334</v>
      </c>
      <c r="L5" t="s">
        <v>264</v>
      </c>
      <c r="M5" t="s">
        <v>279</v>
      </c>
      <c r="N5" t="s">
        <v>2497</v>
      </c>
      <c r="O5" t="s">
        <v>267</v>
      </c>
      <c r="P5" s="885">
        <v>46045.455787037034</v>
      </c>
      <c r="Q5" t="s">
        <v>268</v>
      </c>
      <c r="R5" t="s">
        <v>269</v>
      </c>
    </row>
    <row r="6" spans="1:30" x14ac:dyDescent="0.15">
      <c r="A6" s="788" t="s">
        <v>377</v>
      </c>
      <c r="B6" s="885">
        <v>45822.554074074076</v>
      </c>
      <c r="E6" t="s">
        <v>274</v>
      </c>
      <c r="F6" t="s">
        <v>292</v>
      </c>
      <c r="G6" t="s">
        <v>378</v>
      </c>
      <c r="H6" t="s">
        <v>267</v>
      </c>
      <c r="I6" s="885">
        <v>45822.559502314813</v>
      </c>
      <c r="K6" t="s">
        <v>375</v>
      </c>
      <c r="L6" t="s">
        <v>379</v>
      </c>
      <c r="M6" t="s">
        <v>380</v>
      </c>
      <c r="N6" t="s">
        <v>381</v>
      </c>
      <c r="O6" t="s">
        <v>382</v>
      </c>
      <c r="Q6">
        <v>3610</v>
      </c>
      <c r="R6" t="s">
        <v>299</v>
      </c>
      <c r="S6" t="s">
        <v>381</v>
      </c>
      <c r="T6">
        <v>728774036</v>
      </c>
      <c r="U6" t="b">
        <v>0</v>
      </c>
      <c r="V6" t="s">
        <v>383</v>
      </c>
    </row>
    <row r="7" spans="1:30" x14ac:dyDescent="0.15">
      <c r="A7" s="788" t="s">
        <v>446</v>
      </c>
      <c r="B7" s="885">
        <v>45832.8280787037</v>
      </c>
      <c r="E7" t="s">
        <v>274</v>
      </c>
      <c r="F7" t="s">
        <v>292</v>
      </c>
      <c r="G7" t="s">
        <v>447</v>
      </c>
      <c r="H7" t="s">
        <v>267</v>
      </c>
      <c r="I7" s="885">
        <v>45832.833749999998</v>
      </c>
      <c r="K7" t="s">
        <v>444</v>
      </c>
      <c r="L7" t="s">
        <v>448</v>
      </c>
      <c r="M7" t="s">
        <v>449</v>
      </c>
      <c r="N7" t="s">
        <v>450</v>
      </c>
      <c r="O7" t="s">
        <v>451</v>
      </c>
      <c r="Q7">
        <v>2195</v>
      </c>
      <c r="R7" t="s">
        <v>299</v>
      </c>
      <c r="S7" t="s">
        <v>452</v>
      </c>
      <c r="T7">
        <v>823301640</v>
      </c>
      <c r="U7" t="b">
        <v>1</v>
      </c>
      <c r="V7" t="s">
        <v>453</v>
      </c>
    </row>
    <row r="8" spans="1:30" x14ac:dyDescent="0.15">
      <c r="A8" s="788" t="s">
        <v>446</v>
      </c>
      <c r="B8" s="885">
        <v>45832.838819444441</v>
      </c>
      <c r="E8" t="s">
        <v>274</v>
      </c>
      <c r="F8" t="s">
        <v>292</v>
      </c>
      <c r="G8" t="s">
        <v>457</v>
      </c>
      <c r="H8" t="s">
        <v>267</v>
      </c>
      <c r="I8" s="885">
        <v>45832.840740740743</v>
      </c>
      <c r="K8" t="s">
        <v>444</v>
      </c>
      <c r="L8" t="s">
        <v>448</v>
      </c>
      <c r="M8" t="s">
        <v>449</v>
      </c>
      <c r="N8" t="s">
        <v>450</v>
      </c>
      <c r="O8" t="s">
        <v>451</v>
      </c>
      <c r="Q8">
        <v>2195</v>
      </c>
      <c r="R8" t="s">
        <v>299</v>
      </c>
      <c r="S8" t="s">
        <v>452</v>
      </c>
      <c r="T8">
        <v>823301640</v>
      </c>
      <c r="U8" t="b">
        <v>1</v>
      </c>
      <c r="V8" t="s">
        <v>453</v>
      </c>
    </row>
    <row r="9" spans="1:30" x14ac:dyDescent="0.15">
      <c r="A9" s="788" t="s">
        <v>497</v>
      </c>
      <c r="B9" s="885">
        <v>45834.418425925927</v>
      </c>
      <c r="E9" t="s">
        <v>274</v>
      </c>
      <c r="F9" t="s">
        <v>292</v>
      </c>
      <c r="G9" t="s">
        <v>498</v>
      </c>
      <c r="H9" t="s">
        <v>267</v>
      </c>
      <c r="I9" s="885">
        <v>45834.421006944445</v>
      </c>
      <c r="K9" t="s">
        <v>495</v>
      </c>
      <c r="L9" t="s">
        <v>499</v>
      </c>
      <c r="M9" t="s">
        <v>500</v>
      </c>
      <c r="N9" t="s">
        <v>501</v>
      </c>
      <c r="Q9">
        <v>2192</v>
      </c>
      <c r="R9" t="s">
        <v>299</v>
      </c>
      <c r="S9" t="s">
        <v>502</v>
      </c>
      <c r="T9">
        <v>27825626099</v>
      </c>
      <c r="U9" t="b">
        <v>0</v>
      </c>
      <c r="V9" t="s">
        <v>503</v>
      </c>
    </row>
    <row r="10" spans="1:30" x14ac:dyDescent="0.15">
      <c r="A10" s="788" t="s">
        <v>497</v>
      </c>
      <c r="B10" s="885">
        <v>45876.872245370374</v>
      </c>
      <c r="E10" t="s">
        <v>274</v>
      </c>
      <c r="F10" s="884">
        <v>36528</v>
      </c>
      <c r="G10" t="s">
        <v>864</v>
      </c>
      <c r="H10" t="s">
        <v>267</v>
      </c>
      <c r="I10" s="885">
        <v>45876.875810185185</v>
      </c>
      <c r="K10" t="s">
        <v>863</v>
      </c>
      <c r="L10" t="s">
        <v>865</v>
      </c>
      <c r="M10" t="s">
        <v>866</v>
      </c>
      <c r="N10" t="s">
        <v>867</v>
      </c>
      <c r="P10" t="s">
        <v>868</v>
      </c>
      <c r="Q10">
        <v>2000</v>
      </c>
      <c r="R10" t="s">
        <v>869</v>
      </c>
      <c r="S10" t="s">
        <v>870</v>
      </c>
      <c r="T10">
        <v>4528558665</v>
      </c>
      <c r="U10" t="b">
        <v>0</v>
      </c>
      <c r="V10" t="s">
        <v>871</v>
      </c>
    </row>
    <row r="11" spans="1:30" x14ac:dyDescent="0.15">
      <c r="A11" s="788" t="s">
        <v>1470</v>
      </c>
      <c r="B11" s="885">
        <v>45939.41033564815</v>
      </c>
      <c r="E11" t="s">
        <v>274</v>
      </c>
      <c r="F11" t="s">
        <v>1471</v>
      </c>
      <c r="G11" t="s">
        <v>1472</v>
      </c>
      <c r="H11" t="s">
        <v>267</v>
      </c>
      <c r="I11" s="885">
        <v>45939.415138888886</v>
      </c>
      <c r="J11" t="s">
        <v>268</v>
      </c>
      <c r="K11" t="s">
        <v>269</v>
      </c>
    </row>
    <row r="12" spans="1:30" x14ac:dyDescent="0.15">
      <c r="A12" s="788" t="s">
        <v>1605</v>
      </c>
      <c r="B12" s="885">
        <v>45953.886666666665</v>
      </c>
      <c r="E12" t="s">
        <v>274</v>
      </c>
      <c r="F12" s="884">
        <v>36559</v>
      </c>
      <c r="G12" t="s">
        <v>1606</v>
      </c>
      <c r="H12" t="s">
        <v>267</v>
      </c>
      <c r="I12" s="885">
        <v>45953.889143518521</v>
      </c>
      <c r="J12" t="s">
        <v>268</v>
      </c>
      <c r="K12" t="s">
        <v>269</v>
      </c>
    </row>
    <row r="13" spans="1:30" x14ac:dyDescent="0.15">
      <c r="A13" s="788" t="s">
        <v>1800</v>
      </c>
      <c r="B13" s="885">
        <v>45974.642361111109</v>
      </c>
      <c r="E13" t="s">
        <v>274</v>
      </c>
      <c r="F13" t="s">
        <v>520</v>
      </c>
      <c r="G13" t="s">
        <v>1801</v>
      </c>
      <c r="H13" t="s">
        <v>267</v>
      </c>
      <c r="I13" s="885">
        <v>45974.646597222221</v>
      </c>
      <c r="J13" t="s">
        <v>268</v>
      </c>
      <c r="K13" t="s">
        <v>269</v>
      </c>
    </row>
    <row r="14" spans="1:30" x14ac:dyDescent="0.15">
      <c r="A14" s="788" t="s">
        <v>1839</v>
      </c>
      <c r="B14" s="885">
        <v>45978.650266203702</v>
      </c>
      <c r="E14" t="s">
        <v>274</v>
      </c>
      <c r="F14" t="s">
        <v>265</v>
      </c>
      <c r="G14" t="s">
        <v>1840</v>
      </c>
      <c r="H14" t="s">
        <v>267</v>
      </c>
      <c r="I14" s="885">
        <v>45978.654618055552</v>
      </c>
      <c r="J14" t="s">
        <v>268</v>
      </c>
      <c r="K14" t="s">
        <v>269</v>
      </c>
    </row>
    <row r="15" spans="1:30" x14ac:dyDescent="0.15">
      <c r="A15" s="788" t="s">
        <v>2142</v>
      </c>
      <c r="B15" s="885">
        <v>46009.063935185186</v>
      </c>
      <c r="E15" t="s">
        <v>274</v>
      </c>
      <c r="F15" t="s">
        <v>292</v>
      </c>
      <c r="G15" t="s">
        <v>2143</v>
      </c>
      <c r="H15" t="s">
        <v>267</v>
      </c>
      <c r="I15" s="885">
        <v>46009.067835648151</v>
      </c>
      <c r="J15" t="s">
        <v>268</v>
      </c>
      <c r="K15" t="s">
        <v>269</v>
      </c>
    </row>
    <row r="16" spans="1:30" x14ac:dyDescent="0.15">
      <c r="A16" s="788" t="s">
        <v>2183</v>
      </c>
      <c r="B16" s="885">
        <v>46024.515439814815</v>
      </c>
      <c r="E16" t="s">
        <v>274</v>
      </c>
      <c r="F16" s="884">
        <v>36560</v>
      </c>
      <c r="G16" t="s">
        <v>2260</v>
      </c>
      <c r="H16" t="s">
        <v>267</v>
      </c>
      <c r="I16" s="885">
        <v>46024.520405092589</v>
      </c>
      <c r="J16" t="s">
        <v>268</v>
      </c>
      <c r="K16" t="s">
        <v>269</v>
      </c>
    </row>
    <row r="17" spans="1:22" x14ac:dyDescent="0.15">
      <c r="A17" s="788" t="s">
        <v>2422</v>
      </c>
      <c r="B17" s="885">
        <v>46037.413437499999</v>
      </c>
      <c r="E17" t="s">
        <v>274</v>
      </c>
      <c r="F17" t="s">
        <v>292</v>
      </c>
      <c r="G17" t="s">
        <v>2423</v>
      </c>
      <c r="H17" t="s">
        <v>267</v>
      </c>
      <c r="I17" s="885">
        <v>46037.416597222225</v>
      </c>
      <c r="J17" t="s">
        <v>268</v>
      </c>
      <c r="K17" t="s">
        <v>269</v>
      </c>
    </row>
    <row r="18" spans="1:22" x14ac:dyDescent="0.15">
      <c r="A18" s="788" t="s">
        <v>497</v>
      </c>
      <c r="B18" s="885">
        <v>46037.868067129632</v>
      </c>
      <c r="E18" t="s">
        <v>274</v>
      </c>
      <c r="F18" t="s">
        <v>292</v>
      </c>
      <c r="G18" t="s">
        <v>2429</v>
      </c>
      <c r="H18" t="s">
        <v>267</v>
      </c>
      <c r="I18" s="885">
        <v>46037.872314814813</v>
      </c>
      <c r="K18" t="s">
        <v>2428</v>
      </c>
      <c r="L18" t="s">
        <v>2430</v>
      </c>
      <c r="M18" t="s">
        <v>2431</v>
      </c>
      <c r="N18" t="s">
        <v>2432</v>
      </c>
      <c r="Q18" t="s">
        <v>2433</v>
      </c>
      <c r="R18" t="s">
        <v>327</v>
      </c>
      <c r="S18" t="s">
        <v>2434</v>
      </c>
      <c r="T18">
        <v>447586328973</v>
      </c>
      <c r="U18" t="b">
        <v>0</v>
      </c>
      <c r="V18" t="s">
        <v>2435</v>
      </c>
    </row>
    <row r="19" spans="1:22" x14ac:dyDescent="0.15">
      <c r="A19" s="788" t="s">
        <v>2422</v>
      </c>
      <c r="B19" s="885">
        <v>46044.722974537035</v>
      </c>
      <c r="E19" t="s">
        <v>274</v>
      </c>
      <c r="F19" t="s">
        <v>520</v>
      </c>
      <c r="G19" t="s">
        <v>2492</v>
      </c>
      <c r="H19" t="s">
        <v>267</v>
      </c>
      <c r="I19" s="885">
        <v>46044.726342592592</v>
      </c>
      <c r="J19" t="s">
        <v>268</v>
      </c>
      <c r="K19" t="s">
        <v>269</v>
      </c>
    </row>
    <row r="20" spans="1:22" x14ac:dyDescent="0.15">
      <c r="A20" s="788">
        <v>5693386589</v>
      </c>
      <c r="B20" t="s">
        <v>313</v>
      </c>
      <c r="C20" s="884">
        <v>45939</v>
      </c>
      <c r="D20" s="884">
        <v>45945</v>
      </c>
      <c r="E20" t="s">
        <v>314</v>
      </c>
      <c r="F20" t="s">
        <v>315</v>
      </c>
      <c r="H20" t="s">
        <v>316</v>
      </c>
      <c r="I20" s="885">
        <v>45814.540370370371</v>
      </c>
      <c r="L20" t="s">
        <v>274</v>
      </c>
      <c r="M20" s="884">
        <v>36527</v>
      </c>
      <c r="N20" t="s">
        <v>317</v>
      </c>
      <c r="O20" t="s">
        <v>267</v>
      </c>
      <c r="P20" s="885">
        <v>45814.54378472222</v>
      </c>
      <c r="Q20" t="s">
        <v>268</v>
      </c>
      <c r="R20" t="s">
        <v>269</v>
      </c>
    </row>
    <row r="21" spans="1:22" x14ac:dyDescent="0.15">
      <c r="A21" s="788">
        <v>6794248259</v>
      </c>
      <c r="B21" t="s">
        <v>335</v>
      </c>
      <c r="C21" s="884">
        <v>45819</v>
      </c>
      <c r="D21" s="884">
        <v>45820</v>
      </c>
      <c r="E21" t="s">
        <v>314</v>
      </c>
      <c r="F21" t="s">
        <v>315</v>
      </c>
      <c r="H21" t="s">
        <v>336</v>
      </c>
      <c r="I21" s="885">
        <v>45816.594641203701</v>
      </c>
      <c r="L21" t="s">
        <v>274</v>
      </c>
      <c r="M21" t="s">
        <v>265</v>
      </c>
      <c r="N21" t="s">
        <v>337</v>
      </c>
      <c r="O21" t="s">
        <v>267</v>
      </c>
      <c r="P21" s="885">
        <v>45816.600393518522</v>
      </c>
      <c r="Q21" t="s">
        <v>268</v>
      </c>
      <c r="R21" t="s">
        <v>269</v>
      </c>
    </row>
    <row r="22" spans="1:22" x14ac:dyDescent="0.15">
      <c r="A22" s="788">
        <v>6640931778</v>
      </c>
      <c r="B22" t="s">
        <v>338</v>
      </c>
      <c r="C22" s="884">
        <v>46073</v>
      </c>
      <c r="D22" s="884">
        <v>46075</v>
      </c>
      <c r="E22" t="s">
        <v>314</v>
      </c>
      <c r="F22" t="s">
        <v>315</v>
      </c>
      <c r="H22" t="s">
        <v>339</v>
      </c>
      <c r="I22" s="885">
        <v>45818.0156712963</v>
      </c>
      <c r="K22" s="885">
        <v>46037.578657407408</v>
      </c>
      <c r="L22" t="s">
        <v>264</v>
      </c>
      <c r="M22" t="s">
        <v>265</v>
      </c>
      <c r="N22" t="s">
        <v>340</v>
      </c>
      <c r="O22" t="s">
        <v>267</v>
      </c>
      <c r="P22" s="885">
        <v>46037.582268518519</v>
      </c>
      <c r="Q22" t="s">
        <v>268</v>
      </c>
      <c r="R22" t="s">
        <v>269</v>
      </c>
    </row>
    <row r="23" spans="1:22" x14ac:dyDescent="0.15">
      <c r="A23" s="788">
        <v>5655435537</v>
      </c>
      <c r="B23" t="s">
        <v>353</v>
      </c>
      <c r="C23" s="884">
        <v>45972</v>
      </c>
      <c r="D23" s="884">
        <v>45973</v>
      </c>
      <c r="E23" t="s">
        <v>314</v>
      </c>
      <c r="F23" t="s">
        <v>315</v>
      </c>
      <c r="H23" t="s">
        <v>354</v>
      </c>
      <c r="I23" s="885">
        <v>45819.375069444446</v>
      </c>
      <c r="L23" t="s">
        <v>274</v>
      </c>
      <c r="M23" t="s">
        <v>265</v>
      </c>
      <c r="N23" t="s">
        <v>355</v>
      </c>
      <c r="O23" t="s">
        <v>267</v>
      </c>
      <c r="P23" s="885">
        <v>45819.378958333335</v>
      </c>
      <c r="Q23" t="s">
        <v>268</v>
      </c>
      <c r="R23" t="s">
        <v>269</v>
      </c>
    </row>
    <row r="24" spans="1:22" x14ac:dyDescent="0.15">
      <c r="A24" s="788">
        <v>5665130610</v>
      </c>
      <c r="B24" t="s">
        <v>367</v>
      </c>
      <c r="C24" s="884">
        <v>45944</v>
      </c>
      <c r="D24" s="884">
        <v>45946</v>
      </c>
      <c r="E24" t="s">
        <v>314</v>
      </c>
      <c r="F24" t="s">
        <v>315</v>
      </c>
      <c r="H24" t="s">
        <v>368</v>
      </c>
      <c r="I24" s="885">
        <v>45821.443819444445</v>
      </c>
      <c r="L24" t="s">
        <v>274</v>
      </c>
      <c r="M24" t="s">
        <v>265</v>
      </c>
      <c r="N24" t="s">
        <v>369</v>
      </c>
      <c r="O24" t="s">
        <v>267</v>
      </c>
      <c r="P24" s="885">
        <v>45821.446736111109</v>
      </c>
      <c r="Q24" t="s">
        <v>268</v>
      </c>
      <c r="R24" t="s">
        <v>269</v>
      </c>
    </row>
    <row r="25" spans="1:22" x14ac:dyDescent="0.15">
      <c r="A25" s="788">
        <v>5357215519</v>
      </c>
      <c r="B25" t="s">
        <v>370</v>
      </c>
      <c r="C25" s="884">
        <v>45828</v>
      </c>
      <c r="D25" s="884">
        <v>45830</v>
      </c>
      <c r="E25" t="s">
        <v>314</v>
      </c>
      <c r="F25" t="s">
        <v>315</v>
      </c>
      <c r="H25" t="s">
        <v>336</v>
      </c>
      <c r="I25" s="885">
        <v>45821.942708333336</v>
      </c>
      <c r="L25" t="s">
        <v>274</v>
      </c>
      <c r="M25" t="s">
        <v>265</v>
      </c>
      <c r="N25" t="s">
        <v>371</v>
      </c>
      <c r="O25" t="s">
        <v>267</v>
      </c>
      <c r="P25" s="885">
        <v>45821.94635416667</v>
      </c>
      <c r="Q25" t="s">
        <v>268</v>
      </c>
      <c r="R25" t="s">
        <v>269</v>
      </c>
    </row>
    <row r="26" spans="1:22" x14ac:dyDescent="0.15">
      <c r="A26" s="788">
        <v>5686314473</v>
      </c>
      <c r="B26" t="s">
        <v>372</v>
      </c>
      <c r="C26" s="884">
        <v>46018</v>
      </c>
      <c r="D26" s="884">
        <v>46021</v>
      </c>
      <c r="E26" t="s">
        <v>314</v>
      </c>
      <c r="F26" t="s">
        <v>315</v>
      </c>
      <c r="H26" t="s">
        <v>354</v>
      </c>
      <c r="I26" s="885">
        <v>45822.487129629626</v>
      </c>
      <c r="K26" s="885">
        <v>45824.368217592593</v>
      </c>
      <c r="L26" t="s">
        <v>264</v>
      </c>
      <c r="M26" t="s">
        <v>265</v>
      </c>
      <c r="N26" t="s">
        <v>373</v>
      </c>
      <c r="O26" t="s">
        <v>267</v>
      </c>
      <c r="P26" s="885">
        <v>45824.371064814812</v>
      </c>
      <c r="Q26" t="s">
        <v>268</v>
      </c>
      <c r="R26" t="s">
        <v>269</v>
      </c>
    </row>
    <row r="27" spans="1:22" x14ac:dyDescent="0.15">
      <c r="A27" s="788">
        <v>5955611653</v>
      </c>
      <c r="B27" t="s">
        <v>387</v>
      </c>
      <c r="C27" s="884">
        <v>46012</v>
      </c>
      <c r="D27" s="884">
        <v>46018</v>
      </c>
      <c r="E27" t="s">
        <v>314</v>
      </c>
      <c r="F27" t="s">
        <v>315</v>
      </c>
      <c r="H27" t="s">
        <v>339</v>
      </c>
      <c r="I27" s="885">
        <v>45823.66810185185</v>
      </c>
      <c r="K27" s="885">
        <v>45824.605231481481</v>
      </c>
      <c r="L27" t="s">
        <v>264</v>
      </c>
      <c r="M27" t="s">
        <v>265</v>
      </c>
      <c r="N27" t="s">
        <v>388</v>
      </c>
      <c r="O27" t="s">
        <v>267</v>
      </c>
      <c r="P27" s="885">
        <v>45824.61105324074</v>
      </c>
      <c r="Q27" t="s">
        <v>268</v>
      </c>
      <c r="R27" t="s">
        <v>269</v>
      </c>
    </row>
    <row r="28" spans="1:22" x14ac:dyDescent="0.15">
      <c r="A28" s="788">
        <v>6755179000</v>
      </c>
      <c r="B28" t="s">
        <v>389</v>
      </c>
      <c r="C28" s="884">
        <v>45870</v>
      </c>
      <c r="D28" s="884">
        <v>45872</v>
      </c>
      <c r="E28" t="s">
        <v>314</v>
      </c>
      <c r="F28" t="s">
        <v>315</v>
      </c>
      <c r="H28" t="s">
        <v>390</v>
      </c>
      <c r="I28" s="885">
        <v>45824.414027777777</v>
      </c>
      <c r="L28" t="s">
        <v>274</v>
      </c>
      <c r="M28" t="s">
        <v>292</v>
      </c>
      <c r="N28" t="s">
        <v>391</v>
      </c>
      <c r="O28" t="s">
        <v>267</v>
      </c>
      <c r="P28" s="885">
        <v>45824.418391203704</v>
      </c>
      <c r="Q28" t="s">
        <v>268</v>
      </c>
      <c r="R28" t="s">
        <v>269</v>
      </c>
    </row>
    <row r="29" spans="1:22" x14ac:dyDescent="0.15">
      <c r="A29" s="788">
        <v>5700688008</v>
      </c>
      <c r="B29" t="s">
        <v>403</v>
      </c>
      <c r="C29" s="884">
        <v>45826</v>
      </c>
      <c r="D29" s="884">
        <v>45830</v>
      </c>
      <c r="E29" t="s">
        <v>314</v>
      </c>
      <c r="F29" t="s">
        <v>315</v>
      </c>
      <c r="H29" t="s">
        <v>404</v>
      </c>
      <c r="I29" s="885">
        <v>45825.582395833335</v>
      </c>
      <c r="L29" t="s">
        <v>274</v>
      </c>
      <c r="M29" t="s">
        <v>265</v>
      </c>
      <c r="N29" t="s">
        <v>405</v>
      </c>
      <c r="O29" t="s">
        <v>267</v>
      </c>
      <c r="P29" s="885">
        <v>45825.587280092594</v>
      </c>
      <c r="Q29" t="s">
        <v>268</v>
      </c>
      <c r="R29" t="s">
        <v>269</v>
      </c>
    </row>
    <row r="30" spans="1:22" x14ac:dyDescent="0.15">
      <c r="A30" s="788">
        <v>5899806030</v>
      </c>
      <c r="B30" t="s">
        <v>489</v>
      </c>
      <c r="C30" s="884">
        <v>45907</v>
      </c>
      <c r="D30" s="884">
        <v>45911</v>
      </c>
      <c r="E30" t="s">
        <v>314</v>
      </c>
      <c r="F30" t="s">
        <v>315</v>
      </c>
      <c r="H30" t="s">
        <v>336</v>
      </c>
      <c r="I30" s="885">
        <v>45833.882199074076</v>
      </c>
      <c r="L30" t="s">
        <v>274</v>
      </c>
      <c r="M30" t="s">
        <v>279</v>
      </c>
      <c r="N30" t="s">
        <v>490</v>
      </c>
      <c r="O30" t="s">
        <v>267</v>
      </c>
      <c r="P30" s="885">
        <v>45833.885763888888</v>
      </c>
      <c r="Q30" t="s">
        <v>268</v>
      </c>
      <c r="R30" t="s">
        <v>269</v>
      </c>
    </row>
    <row r="31" spans="1:22" x14ac:dyDescent="0.15">
      <c r="A31" s="788">
        <v>6259891503</v>
      </c>
      <c r="B31" t="s">
        <v>491</v>
      </c>
      <c r="C31" s="884">
        <v>46006</v>
      </c>
      <c r="D31" s="884">
        <v>46008</v>
      </c>
      <c r="E31" t="s">
        <v>314</v>
      </c>
      <c r="F31" t="s">
        <v>315</v>
      </c>
      <c r="H31" t="s">
        <v>492</v>
      </c>
      <c r="I31" s="885">
        <v>45834.336296296293</v>
      </c>
      <c r="K31" s="885">
        <v>45973.440428240741</v>
      </c>
      <c r="L31" t="s">
        <v>264</v>
      </c>
      <c r="M31" t="s">
        <v>292</v>
      </c>
      <c r="N31" t="s">
        <v>493</v>
      </c>
      <c r="O31" t="s">
        <v>267</v>
      </c>
      <c r="P31" s="885">
        <v>45973.444155092591</v>
      </c>
      <c r="Q31" t="s">
        <v>268</v>
      </c>
      <c r="R31" t="s">
        <v>269</v>
      </c>
    </row>
    <row r="32" spans="1:22" x14ac:dyDescent="0.15">
      <c r="A32" s="788">
        <v>5583792421</v>
      </c>
      <c r="B32" t="s">
        <v>508</v>
      </c>
      <c r="C32" s="884">
        <v>46024</v>
      </c>
      <c r="D32" s="884">
        <v>46026</v>
      </c>
      <c r="E32" t="s">
        <v>314</v>
      </c>
      <c r="F32" t="s">
        <v>315</v>
      </c>
      <c r="H32" t="s">
        <v>509</v>
      </c>
      <c r="I32" s="885">
        <v>45835.460798611108</v>
      </c>
      <c r="L32" t="s">
        <v>274</v>
      </c>
      <c r="M32" t="s">
        <v>510</v>
      </c>
      <c r="N32" t="s">
        <v>511</v>
      </c>
      <c r="O32" t="s">
        <v>267</v>
      </c>
      <c r="P32" s="885">
        <v>45835.464282407411</v>
      </c>
      <c r="Q32" t="s">
        <v>268</v>
      </c>
      <c r="R32" t="s">
        <v>269</v>
      </c>
    </row>
    <row r="33" spans="1:18" x14ac:dyDescent="0.15">
      <c r="A33" s="788">
        <v>6405365691</v>
      </c>
      <c r="B33" t="s">
        <v>512</v>
      </c>
      <c r="C33" s="884">
        <v>45918</v>
      </c>
      <c r="D33" s="884">
        <v>45920</v>
      </c>
      <c r="E33" t="s">
        <v>314</v>
      </c>
      <c r="F33" t="s">
        <v>315</v>
      </c>
      <c r="H33" t="s">
        <v>513</v>
      </c>
      <c r="I33" s="885">
        <v>45835.907013888886</v>
      </c>
      <c r="L33" t="s">
        <v>274</v>
      </c>
      <c r="M33" t="s">
        <v>265</v>
      </c>
      <c r="N33" t="s">
        <v>514</v>
      </c>
      <c r="O33" t="s">
        <v>267</v>
      </c>
      <c r="P33" s="885">
        <v>45835.91202546296</v>
      </c>
      <c r="Q33" t="s">
        <v>268</v>
      </c>
      <c r="R33" t="s">
        <v>269</v>
      </c>
    </row>
    <row r="34" spans="1:18" x14ac:dyDescent="0.15">
      <c r="A34" s="788">
        <v>5426292376</v>
      </c>
      <c r="B34" t="s">
        <v>515</v>
      </c>
      <c r="C34" s="884">
        <v>45953</v>
      </c>
      <c r="D34" s="884">
        <v>45956</v>
      </c>
      <c r="E34" t="s">
        <v>314</v>
      </c>
      <c r="F34" t="s">
        <v>315</v>
      </c>
      <c r="H34" t="s">
        <v>516</v>
      </c>
      <c r="I34" s="885">
        <v>45837.914050925923</v>
      </c>
      <c r="L34" t="s">
        <v>274</v>
      </c>
      <c r="M34" t="s">
        <v>265</v>
      </c>
      <c r="N34" t="s">
        <v>517</v>
      </c>
      <c r="O34" t="s">
        <v>267</v>
      </c>
      <c r="P34" s="885">
        <v>45837.916817129626</v>
      </c>
      <c r="Q34" t="s">
        <v>268</v>
      </c>
      <c r="R34" t="s">
        <v>269</v>
      </c>
    </row>
    <row r="35" spans="1:18" x14ac:dyDescent="0.15">
      <c r="A35" s="788">
        <v>6981190735</v>
      </c>
      <c r="B35" t="s">
        <v>518</v>
      </c>
      <c r="C35" s="884">
        <v>46011</v>
      </c>
      <c r="D35" s="884">
        <v>46018</v>
      </c>
      <c r="E35" t="s">
        <v>314</v>
      </c>
      <c r="F35" t="s">
        <v>315</v>
      </c>
      <c r="H35" t="s">
        <v>519</v>
      </c>
      <c r="I35" s="885">
        <v>45838.370729166665</v>
      </c>
      <c r="L35" t="s">
        <v>274</v>
      </c>
      <c r="M35" t="s">
        <v>520</v>
      </c>
      <c r="N35" t="s">
        <v>521</v>
      </c>
      <c r="O35" t="s">
        <v>267</v>
      </c>
      <c r="P35" s="885">
        <v>45838.376087962963</v>
      </c>
      <c r="Q35" t="s">
        <v>268</v>
      </c>
      <c r="R35" t="s">
        <v>269</v>
      </c>
    </row>
    <row r="36" spans="1:18" x14ac:dyDescent="0.15">
      <c r="A36" s="788">
        <v>6798414745</v>
      </c>
      <c r="B36" t="s">
        <v>529</v>
      </c>
      <c r="C36" s="884">
        <v>46012</v>
      </c>
      <c r="D36" s="884">
        <v>46013</v>
      </c>
      <c r="E36" t="s">
        <v>314</v>
      </c>
      <c r="F36" t="s">
        <v>315</v>
      </c>
      <c r="H36" t="s">
        <v>354</v>
      </c>
      <c r="I36" s="885">
        <v>45838.91814814815</v>
      </c>
      <c r="K36" s="885">
        <v>45948.396805555552</v>
      </c>
      <c r="L36" t="s">
        <v>264</v>
      </c>
      <c r="M36" t="s">
        <v>265</v>
      </c>
      <c r="N36" t="s">
        <v>355</v>
      </c>
      <c r="O36" t="s">
        <v>267</v>
      </c>
      <c r="P36" s="885">
        <v>45948.400405092594</v>
      </c>
      <c r="Q36" t="s">
        <v>268</v>
      </c>
      <c r="R36" t="s">
        <v>269</v>
      </c>
    </row>
    <row r="37" spans="1:18" x14ac:dyDescent="0.15">
      <c r="A37" s="788">
        <v>6463303278</v>
      </c>
      <c r="B37" t="s">
        <v>536</v>
      </c>
      <c r="C37" s="884">
        <v>46036</v>
      </c>
      <c r="D37" s="884">
        <v>46038</v>
      </c>
      <c r="E37" t="s">
        <v>314</v>
      </c>
      <c r="F37" t="s">
        <v>315</v>
      </c>
      <c r="H37" t="s">
        <v>537</v>
      </c>
      <c r="I37" s="885">
        <v>45840.060949074075</v>
      </c>
      <c r="J37" s="885">
        <v>45840.996550925927</v>
      </c>
      <c r="K37" s="885">
        <v>46004.9140625</v>
      </c>
      <c r="L37" t="s">
        <v>264</v>
      </c>
      <c r="M37" t="s">
        <v>265</v>
      </c>
      <c r="N37" t="s">
        <v>538</v>
      </c>
      <c r="O37" t="s">
        <v>267</v>
      </c>
      <c r="P37" s="885">
        <v>46004.917037037034</v>
      </c>
      <c r="Q37" t="s">
        <v>268</v>
      </c>
      <c r="R37" t="s">
        <v>269</v>
      </c>
    </row>
    <row r="38" spans="1:18" x14ac:dyDescent="0.15">
      <c r="A38" s="788">
        <v>6114200722</v>
      </c>
      <c r="B38" t="s">
        <v>539</v>
      </c>
      <c r="C38" s="884">
        <v>45977</v>
      </c>
      <c r="D38" s="884">
        <v>45979</v>
      </c>
      <c r="E38" t="s">
        <v>314</v>
      </c>
      <c r="F38" t="s">
        <v>315</v>
      </c>
      <c r="H38" t="s">
        <v>540</v>
      </c>
      <c r="I38" s="885">
        <v>45841.991828703707</v>
      </c>
      <c r="K38" s="885">
        <v>45842.040671296294</v>
      </c>
      <c r="L38" t="s">
        <v>264</v>
      </c>
      <c r="M38" t="s">
        <v>265</v>
      </c>
      <c r="N38" t="s">
        <v>340</v>
      </c>
      <c r="O38" t="s">
        <v>267</v>
      </c>
      <c r="P38" s="885">
        <v>45842.044351851851</v>
      </c>
      <c r="Q38" t="s">
        <v>268</v>
      </c>
      <c r="R38" t="s">
        <v>269</v>
      </c>
    </row>
    <row r="39" spans="1:18" x14ac:dyDescent="0.15">
      <c r="A39" s="788">
        <v>6759759726</v>
      </c>
      <c r="B39" t="s">
        <v>539</v>
      </c>
      <c r="C39" s="884">
        <v>45977</v>
      </c>
      <c r="D39" s="884">
        <v>45980</v>
      </c>
      <c r="E39" t="s">
        <v>314</v>
      </c>
      <c r="F39" t="s">
        <v>315</v>
      </c>
      <c r="H39" t="s">
        <v>540</v>
      </c>
      <c r="I39" s="885">
        <v>45842.040150462963</v>
      </c>
      <c r="K39" s="885">
        <v>45935.953553240739</v>
      </c>
      <c r="L39" t="s">
        <v>264</v>
      </c>
      <c r="M39" t="s">
        <v>265</v>
      </c>
      <c r="N39" t="s">
        <v>541</v>
      </c>
      <c r="O39" t="s">
        <v>267</v>
      </c>
      <c r="P39" s="885">
        <v>45935.95789351852</v>
      </c>
      <c r="Q39" t="s">
        <v>268</v>
      </c>
      <c r="R39" t="s">
        <v>269</v>
      </c>
    </row>
    <row r="40" spans="1:18" x14ac:dyDescent="0.15">
      <c r="A40" s="788">
        <v>5983995454</v>
      </c>
      <c r="B40" t="s">
        <v>542</v>
      </c>
      <c r="C40" s="884">
        <v>45847</v>
      </c>
      <c r="D40" s="884">
        <v>45848</v>
      </c>
      <c r="E40" t="s">
        <v>314</v>
      </c>
      <c r="F40" t="s">
        <v>315</v>
      </c>
      <c r="H40" t="s">
        <v>336</v>
      </c>
      <c r="I40" s="885">
        <v>45843.488587962966</v>
      </c>
      <c r="L40" t="s">
        <v>274</v>
      </c>
      <c r="M40" t="s">
        <v>279</v>
      </c>
      <c r="N40" t="s">
        <v>543</v>
      </c>
      <c r="O40" t="s">
        <v>267</v>
      </c>
      <c r="P40" s="885">
        <v>45843.490856481483</v>
      </c>
      <c r="Q40" t="s">
        <v>268</v>
      </c>
      <c r="R40" t="s">
        <v>269</v>
      </c>
    </row>
    <row r="41" spans="1:18" x14ac:dyDescent="0.15">
      <c r="A41" s="788">
        <v>5983985236</v>
      </c>
      <c r="B41" t="s">
        <v>544</v>
      </c>
      <c r="C41" s="884">
        <v>45922</v>
      </c>
      <c r="D41" s="884">
        <v>45923</v>
      </c>
      <c r="E41" t="s">
        <v>314</v>
      </c>
      <c r="F41" t="s">
        <v>315</v>
      </c>
      <c r="H41" t="s">
        <v>513</v>
      </c>
      <c r="I41" s="885">
        <v>45844.033252314817</v>
      </c>
      <c r="L41" t="s">
        <v>274</v>
      </c>
      <c r="M41" t="s">
        <v>265</v>
      </c>
      <c r="N41" t="s">
        <v>545</v>
      </c>
      <c r="O41" t="s">
        <v>267</v>
      </c>
      <c r="P41" s="885">
        <v>45844.0391087963</v>
      </c>
      <c r="Q41" t="s">
        <v>268</v>
      </c>
      <c r="R41" t="s">
        <v>269</v>
      </c>
    </row>
    <row r="42" spans="1:18" x14ac:dyDescent="0.15">
      <c r="A42" s="788">
        <v>5173571331</v>
      </c>
      <c r="B42" t="s">
        <v>546</v>
      </c>
      <c r="C42" s="884">
        <v>46082</v>
      </c>
      <c r="D42" s="884">
        <v>46084</v>
      </c>
      <c r="E42" t="s">
        <v>314</v>
      </c>
      <c r="F42" t="s">
        <v>315</v>
      </c>
      <c r="H42" t="s">
        <v>354</v>
      </c>
      <c r="I42" s="885">
        <v>45844.711111111108</v>
      </c>
      <c r="L42" t="s">
        <v>274</v>
      </c>
      <c r="M42" t="s">
        <v>265</v>
      </c>
      <c r="N42" t="s">
        <v>547</v>
      </c>
      <c r="O42" t="s">
        <v>267</v>
      </c>
      <c r="P42" s="885">
        <v>45844.715243055558</v>
      </c>
      <c r="Q42" t="s">
        <v>268</v>
      </c>
      <c r="R42" t="s">
        <v>269</v>
      </c>
    </row>
    <row r="43" spans="1:18" x14ac:dyDescent="0.15">
      <c r="A43" s="788">
        <v>5578142796</v>
      </c>
      <c r="B43" t="s">
        <v>556</v>
      </c>
      <c r="C43" s="884">
        <v>46101</v>
      </c>
      <c r="D43" s="884">
        <v>46104</v>
      </c>
      <c r="E43" t="s">
        <v>314</v>
      </c>
      <c r="F43" t="s">
        <v>315</v>
      </c>
      <c r="H43" t="s">
        <v>354</v>
      </c>
      <c r="I43" s="885">
        <v>45844.954837962963</v>
      </c>
      <c r="K43" s="885">
        <v>46076.634652777779</v>
      </c>
      <c r="L43" t="s">
        <v>264</v>
      </c>
      <c r="M43" t="s">
        <v>265</v>
      </c>
      <c r="N43" t="s">
        <v>557</v>
      </c>
      <c r="O43" t="s">
        <v>267</v>
      </c>
      <c r="P43" s="885">
        <v>46076.638240740744</v>
      </c>
      <c r="Q43" t="s">
        <v>268</v>
      </c>
      <c r="R43" t="s">
        <v>269</v>
      </c>
    </row>
    <row r="44" spans="1:18" x14ac:dyDescent="0.15">
      <c r="A44" s="788">
        <v>5173549672</v>
      </c>
      <c r="B44" t="s">
        <v>570</v>
      </c>
      <c r="C44" s="884">
        <v>45847</v>
      </c>
      <c r="D44" s="884">
        <v>45848</v>
      </c>
      <c r="E44" t="s">
        <v>314</v>
      </c>
      <c r="F44" t="s">
        <v>315</v>
      </c>
      <c r="H44" t="s">
        <v>336</v>
      </c>
      <c r="I44" s="885">
        <v>45845.588645833333</v>
      </c>
      <c r="L44" t="s">
        <v>274</v>
      </c>
      <c r="M44" t="s">
        <v>279</v>
      </c>
      <c r="N44" t="s">
        <v>543</v>
      </c>
      <c r="O44" t="s">
        <v>267</v>
      </c>
      <c r="P44" s="885">
        <v>45845.591770833336</v>
      </c>
      <c r="Q44" t="s">
        <v>268</v>
      </c>
      <c r="R44" t="s">
        <v>269</v>
      </c>
    </row>
    <row r="45" spans="1:18" x14ac:dyDescent="0.15">
      <c r="A45" s="788">
        <v>5048061322</v>
      </c>
      <c r="B45" t="s">
        <v>592</v>
      </c>
      <c r="C45" s="884">
        <v>45871</v>
      </c>
      <c r="D45" s="884">
        <v>45872</v>
      </c>
      <c r="E45" t="s">
        <v>314</v>
      </c>
      <c r="F45" t="s">
        <v>315</v>
      </c>
      <c r="H45" t="s">
        <v>390</v>
      </c>
      <c r="I45" s="885">
        <v>45846.928807870368</v>
      </c>
      <c r="L45" t="s">
        <v>274</v>
      </c>
      <c r="M45" t="s">
        <v>265</v>
      </c>
      <c r="N45" t="s">
        <v>593</v>
      </c>
      <c r="O45" t="s">
        <v>267</v>
      </c>
      <c r="P45" s="885">
        <v>45846.935011574074</v>
      </c>
      <c r="Q45" t="s">
        <v>268</v>
      </c>
      <c r="R45" t="s">
        <v>269</v>
      </c>
    </row>
    <row r="46" spans="1:18" x14ac:dyDescent="0.15">
      <c r="A46" s="788">
        <v>6493567054</v>
      </c>
      <c r="B46" t="s">
        <v>594</v>
      </c>
      <c r="C46" s="884">
        <v>45857</v>
      </c>
      <c r="D46" s="884">
        <v>45858</v>
      </c>
      <c r="E46" t="s">
        <v>314</v>
      </c>
      <c r="F46" t="s">
        <v>315</v>
      </c>
      <c r="H46" t="s">
        <v>339</v>
      </c>
      <c r="I46" s="885">
        <v>45848.718229166669</v>
      </c>
      <c r="L46" t="s">
        <v>274</v>
      </c>
      <c r="M46" t="s">
        <v>265</v>
      </c>
      <c r="N46" t="s">
        <v>595</v>
      </c>
      <c r="O46" t="s">
        <v>267</v>
      </c>
      <c r="P46" s="885">
        <v>45848.724108796298</v>
      </c>
      <c r="Q46" t="s">
        <v>268</v>
      </c>
      <c r="R46" t="s">
        <v>269</v>
      </c>
    </row>
    <row r="47" spans="1:18" x14ac:dyDescent="0.15">
      <c r="A47" s="788">
        <v>5936377075</v>
      </c>
      <c r="B47" t="s">
        <v>596</v>
      </c>
      <c r="C47" s="884">
        <v>46062</v>
      </c>
      <c r="D47" s="884">
        <v>46065</v>
      </c>
      <c r="E47" t="s">
        <v>314</v>
      </c>
      <c r="F47" t="s">
        <v>315</v>
      </c>
      <c r="H47" t="s">
        <v>354</v>
      </c>
      <c r="I47" s="885">
        <v>45849.546851851854</v>
      </c>
      <c r="K47" s="885">
        <v>45855.801307870373</v>
      </c>
      <c r="L47" t="s">
        <v>264</v>
      </c>
      <c r="M47" t="s">
        <v>265</v>
      </c>
      <c r="N47" t="s">
        <v>597</v>
      </c>
      <c r="O47" t="s">
        <v>267</v>
      </c>
      <c r="P47" s="885">
        <v>45855.8046875</v>
      </c>
      <c r="Q47" t="s">
        <v>268</v>
      </c>
      <c r="R47" t="s">
        <v>269</v>
      </c>
    </row>
    <row r="48" spans="1:18" x14ac:dyDescent="0.15">
      <c r="A48" s="788">
        <v>5220284127</v>
      </c>
      <c r="B48" t="s">
        <v>598</v>
      </c>
      <c r="C48" s="884">
        <v>45958</v>
      </c>
      <c r="D48" s="884">
        <v>45961</v>
      </c>
      <c r="E48" t="s">
        <v>314</v>
      </c>
      <c r="F48" t="s">
        <v>315</v>
      </c>
      <c r="H48" t="s">
        <v>540</v>
      </c>
      <c r="I48" s="885">
        <v>45849.664398148147</v>
      </c>
      <c r="K48" s="885">
        <v>45925.679907407408</v>
      </c>
      <c r="L48" t="s">
        <v>264</v>
      </c>
      <c r="M48" t="s">
        <v>265</v>
      </c>
      <c r="N48" t="s">
        <v>599</v>
      </c>
      <c r="O48" t="s">
        <v>267</v>
      </c>
      <c r="P48" s="885">
        <v>45925.681689814817</v>
      </c>
      <c r="Q48" t="s">
        <v>268</v>
      </c>
      <c r="R48" t="s">
        <v>269</v>
      </c>
    </row>
    <row r="49" spans="1:18" x14ac:dyDescent="0.15">
      <c r="A49" s="788">
        <v>6997808780</v>
      </c>
      <c r="B49" t="s">
        <v>600</v>
      </c>
      <c r="C49" s="884">
        <v>45990</v>
      </c>
      <c r="D49" s="884">
        <v>45992</v>
      </c>
      <c r="E49" t="s">
        <v>314</v>
      </c>
      <c r="F49" t="s">
        <v>315</v>
      </c>
      <c r="H49" t="s">
        <v>540</v>
      </c>
      <c r="I49" s="885">
        <v>45849.864849537036</v>
      </c>
      <c r="K49" s="885">
        <v>45874.869317129633</v>
      </c>
      <c r="L49" t="s">
        <v>264</v>
      </c>
      <c r="M49" t="s">
        <v>265</v>
      </c>
      <c r="N49" t="s">
        <v>340</v>
      </c>
      <c r="O49" t="s">
        <v>267</v>
      </c>
      <c r="P49" s="885">
        <v>45874.872083333335</v>
      </c>
      <c r="Q49" t="s">
        <v>268</v>
      </c>
      <c r="R49" t="s">
        <v>269</v>
      </c>
    </row>
    <row r="50" spans="1:18" x14ac:dyDescent="0.15">
      <c r="A50" s="788">
        <v>5515685126</v>
      </c>
      <c r="B50" t="s">
        <v>601</v>
      </c>
      <c r="C50" s="884">
        <v>45870</v>
      </c>
      <c r="D50" s="884">
        <v>45873</v>
      </c>
      <c r="E50" t="s">
        <v>314</v>
      </c>
      <c r="F50" t="s">
        <v>315</v>
      </c>
      <c r="H50" t="s">
        <v>513</v>
      </c>
      <c r="I50" s="885">
        <v>45853.246435185189</v>
      </c>
      <c r="L50" t="s">
        <v>274</v>
      </c>
      <c r="M50" t="s">
        <v>279</v>
      </c>
      <c r="N50" t="s">
        <v>602</v>
      </c>
      <c r="O50" t="s">
        <v>267</v>
      </c>
      <c r="P50" s="885">
        <v>45853.247881944444</v>
      </c>
      <c r="Q50" t="s">
        <v>268</v>
      </c>
      <c r="R50" t="s">
        <v>269</v>
      </c>
    </row>
    <row r="51" spans="1:18" x14ac:dyDescent="0.15">
      <c r="A51" s="788">
        <v>6930843731</v>
      </c>
      <c r="B51" t="s">
        <v>603</v>
      </c>
      <c r="C51" s="884">
        <v>46000</v>
      </c>
      <c r="D51" s="884">
        <v>46003</v>
      </c>
      <c r="E51" t="s">
        <v>314</v>
      </c>
      <c r="F51" t="s">
        <v>315</v>
      </c>
      <c r="H51" t="s">
        <v>606</v>
      </c>
      <c r="I51" s="885">
        <v>45853.909710648149</v>
      </c>
      <c r="K51" s="885">
        <v>45872.475104166668</v>
      </c>
      <c r="L51" t="s">
        <v>264</v>
      </c>
      <c r="M51" t="s">
        <v>265</v>
      </c>
      <c r="N51" t="s">
        <v>607</v>
      </c>
      <c r="O51" t="s">
        <v>267</v>
      </c>
      <c r="P51" s="885">
        <v>45872.478043981479</v>
      </c>
      <c r="Q51" t="s">
        <v>268</v>
      </c>
      <c r="R51" t="s">
        <v>269</v>
      </c>
    </row>
    <row r="52" spans="1:18" x14ac:dyDescent="0.15">
      <c r="A52" s="788">
        <v>5695099447</v>
      </c>
      <c r="B52" t="s">
        <v>596</v>
      </c>
      <c r="C52" s="884">
        <v>46062</v>
      </c>
      <c r="D52" s="884">
        <v>46065</v>
      </c>
      <c r="E52" t="s">
        <v>314</v>
      </c>
      <c r="F52" t="s">
        <v>315</v>
      </c>
      <c r="H52" t="s">
        <v>354</v>
      </c>
      <c r="I52" s="885">
        <v>45855.806967592594</v>
      </c>
      <c r="L52" t="s">
        <v>274</v>
      </c>
      <c r="M52" t="s">
        <v>265</v>
      </c>
      <c r="N52" t="s">
        <v>373</v>
      </c>
      <c r="O52" t="s">
        <v>267</v>
      </c>
      <c r="P52" s="885">
        <v>45855.811724537038</v>
      </c>
      <c r="Q52" t="s">
        <v>268</v>
      </c>
      <c r="R52" t="s">
        <v>269</v>
      </c>
    </row>
    <row r="53" spans="1:18" x14ac:dyDescent="0.15">
      <c r="A53" s="788">
        <v>5318200120</v>
      </c>
      <c r="B53" t="s">
        <v>631</v>
      </c>
      <c r="C53" s="884">
        <v>45857</v>
      </c>
      <c r="D53" s="884">
        <v>45858</v>
      </c>
      <c r="E53" t="s">
        <v>314</v>
      </c>
      <c r="F53" t="s">
        <v>315</v>
      </c>
      <c r="H53" t="s">
        <v>632</v>
      </c>
      <c r="I53" s="885">
        <v>45857.483020833337</v>
      </c>
      <c r="L53" t="s">
        <v>274</v>
      </c>
      <c r="M53" t="s">
        <v>265</v>
      </c>
      <c r="N53" t="s">
        <v>337</v>
      </c>
      <c r="O53" t="s">
        <v>267</v>
      </c>
      <c r="P53" s="885">
        <v>45857.487673611111</v>
      </c>
      <c r="Q53" t="s">
        <v>268</v>
      </c>
      <c r="R53" t="s">
        <v>269</v>
      </c>
    </row>
    <row r="54" spans="1:18" x14ac:dyDescent="0.15">
      <c r="A54" s="788">
        <v>5220167394</v>
      </c>
      <c r="B54" t="s">
        <v>635</v>
      </c>
      <c r="C54" s="884">
        <v>45884</v>
      </c>
      <c r="D54" s="884">
        <v>45886</v>
      </c>
      <c r="E54" t="s">
        <v>314</v>
      </c>
      <c r="F54" t="s">
        <v>315</v>
      </c>
      <c r="H54" t="s">
        <v>636</v>
      </c>
      <c r="I54" s="885">
        <v>45859.337731481479</v>
      </c>
      <c r="L54" t="s">
        <v>274</v>
      </c>
      <c r="M54" s="884">
        <v>36558</v>
      </c>
      <c r="N54" t="s">
        <v>637</v>
      </c>
      <c r="O54" t="s">
        <v>267</v>
      </c>
      <c r="P54" s="885">
        <v>45859.340196759258</v>
      </c>
      <c r="Q54" t="s">
        <v>268</v>
      </c>
      <c r="R54" t="s">
        <v>269</v>
      </c>
    </row>
    <row r="55" spans="1:18" x14ac:dyDescent="0.15">
      <c r="A55" s="788">
        <v>5650458299</v>
      </c>
      <c r="B55" t="s">
        <v>638</v>
      </c>
      <c r="C55" s="884">
        <v>45866</v>
      </c>
      <c r="D55" s="884">
        <v>45867</v>
      </c>
      <c r="E55" t="s">
        <v>314</v>
      </c>
      <c r="F55" t="s">
        <v>315</v>
      </c>
      <c r="H55" t="s">
        <v>336</v>
      </c>
      <c r="I55" s="885">
        <v>45859.601446759261</v>
      </c>
      <c r="L55" t="s">
        <v>274</v>
      </c>
      <c r="M55" t="s">
        <v>279</v>
      </c>
      <c r="N55" t="s">
        <v>337</v>
      </c>
      <c r="O55" t="s">
        <v>267</v>
      </c>
      <c r="P55" s="885">
        <v>45859.604131944441</v>
      </c>
      <c r="Q55" t="s">
        <v>268</v>
      </c>
      <c r="R55" t="s">
        <v>269</v>
      </c>
    </row>
    <row r="56" spans="1:18" x14ac:dyDescent="0.15">
      <c r="A56" s="788">
        <v>5531625113</v>
      </c>
      <c r="B56" t="s">
        <v>648</v>
      </c>
      <c r="C56" s="884">
        <v>45932</v>
      </c>
      <c r="D56" s="884">
        <v>45933</v>
      </c>
      <c r="E56" t="s">
        <v>314</v>
      </c>
      <c r="F56" t="s">
        <v>315</v>
      </c>
      <c r="H56" t="s">
        <v>339</v>
      </c>
      <c r="I56" s="885">
        <v>45860.459675925929</v>
      </c>
      <c r="K56" s="885">
        <v>45864.89099537037</v>
      </c>
      <c r="L56" t="s">
        <v>264</v>
      </c>
      <c r="M56" t="s">
        <v>265</v>
      </c>
      <c r="N56" t="s">
        <v>649</v>
      </c>
      <c r="O56" t="s">
        <v>267</v>
      </c>
      <c r="P56" s="885">
        <v>45864.894849537035</v>
      </c>
      <c r="Q56" t="s">
        <v>268</v>
      </c>
      <c r="R56" t="s">
        <v>269</v>
      </c>
    </row>
    <row r="57" spans="1:18" x14ac:dyDescent="0.15">
      <c r="A57" s="788">
        <v>5508435483</v>
      </c>
      <c r="B57" t="s">
        <v>650</v>
      </c>
      <c r="C57" s="884">
        <v>45869</v>
      </c>
      <c r="D57" s="884">
        <v>45870</v>
      </c>
      <c r="E57" t="s">
        <v>314</v>
      </c>
      <c r="F57" t="s">
        <v>315</v>
      </c>
      <c r="H57" t="s">
        <v>404</v>
      </c>
      <c r="I57" s="885">
        <v>45861.45826388889</v>
      </c>
      <c r="L57" t="s">
        <v>274</v>
      </c>
      <c r="M57" t="s">
        <v>265</v>
      </c>
      <c r="N57" t="s">
        <v>651</v>
      </c>
      <c r="O57" t="s">
        <v>267</v>
      </c>
      <c r="P57" s="885">
        <v>45861.461875000001</v>
      </c>
      <c r="Q57" t="s">
        <v>268</v>
      </c>
      <c r="R57" t="s">
        <v>269</v>
      </c>
    </row>
    <row r="58" spans="1:18" x14ac:dyDescent="0.15">
      <c r="A58" s="788">
        <v>6230423477</v>
      </c>
      <c r="B58" t="s">
        <v>676</v>
      </c>
      <c r="C58" s="884">
        <v>46024</v>
      </c>
      <c r="D58" s="884">
        <v>46026</v>
      </c>
      <c r="E58" t="s">
        <v>314</v>
      </c>
      <c r="F58" t="s">
        <v>315</v>
      </c>
      <c r="H58" t="s">
        <v>368</v>
      </c>
      <c r="I58" s="885">
        <v>45862.972870370373</v>
      </c>
      <c r="K58" s="885">
        <v>45864.454270833332</v>
      </c>
      <c r="L58" t="s">
        <v>264</v>
      </c>
      <c r="M58" t="s">
        <v>265</v>
      </c>
      <c r="N58" t="s">
        <v>333</v>
      </c>
      <c r="O58" t="s">
        <v>267</v>
      </c>
      <c r="P58" s="885">
        <v>45864.459872685184</v>
      </c>
      <c r="Q58" t="s">
        <v>268</v>
      </c>
      <c r="R58" t="s">
        <v>269</v>
      </c>
    </row>
    <row r="59" spans="1:18" x14ac:dyDescent="0.15">
      <c r="A59" s="788">
        <v>5838244850</v>
      </c>
      <c r="B59" t="s">
        <v>677</v>
      </c>
      <c r="C59" s="884">
        <v>46024</v>
      </c>
      <c r="D59" s="884">
        <v>46026</v>
      </c>
      <c r="E59" t="s">
        <v>314</v>
      </c>
      <c r="F59" t="s">
        <v>315</v>
      </c>
      <c r="H59" t="s">
        <v>354</v>
      </c>
      <c r="I59" s="885">
        <v>45862.974861111114</v>
      </c>
      <c r="K59" s="885">
        <v>45964.628009259257</v>
      </c>
      <c r="L59" t="s">
        <v>264</v>
      </c>
      <c r="M59" t="s">
        <v>265</v>
      </c>
      <c r="N59" t="s">
        <v>333</v>
      </c>
      <c r="O59" t="s">
        <v>267</v>
      </c>
      <c r="P59" s="885">
        <v>45964.632754629631</v>
      </c>
      <c r="Q59" t="s">
        <v>268</v>
      </c>
      <c r="R59" t="s">
        <v>269</v>
      </c>
    </row>
    <row r="60" spans="1:18" x14ac:dyDescent="0.15">
      <c r="A60" s="788">
        <v>5673461464</v>
      </c>
      <c r="B60" t="s">
        <v>678</v>
      </c>
      <c r="C60" s="884">
        <v>46024</v>
      </c>
      <c r="D60" s="884">
        <v>46026</v>
      </c>
      <c r="E60" t="s">
        <v>314</v>
      </c>
      <c r="F60" t="s">
        <v>315</v>
      </c>
      <c r="H60" t="s">
        <v>679</v>
      </c>
      <c r="I60" s="885">
        <v>45862.978495370371</v>
      </c>
      <c r="K60" s="885">
        <v>45863.865694444445</v>
      </c>
      <c r="L60" t="s">
        <v>264</v>
      </c>
      <c r="M60" t="s">
        <v>265</v>
      </c>
      <c r="N60" t="s">
        <v>680</v>
      </c>
      <c r="O60" t="s">
        <v>267</v>
      </c>
      <c r="P60" s="885">
        <v>45863.869305555556</v>
      </c>
      <c r="Q60" t="s">
        <v>268</v>
      </c>
      <c r="R60" t="s">
        <v>269</v>
      </c>
    </row>
    <row r="61" spans="1:18" x14ac:dyDescent="0.15">
      <c r="A61" s="788">
        <v>6876224456</v>
      </c>
      <c r="B61" t="s">
        <v>681</v>
      </c>
      <c r="C61" s="884">
        <v>46024</v>
      </c>
      <c r="D61" s="884">
        <v>46026</v>
      </c>
      <c r="E61" t="s">
        <v>314</v>
      </c>
      <c r="F61" t="s">
        <v>315</v>
      </c>
      <c r="H61" t="s">
        <v>682</v>
      </c>
      <c r="I61" s="885">
        <v>45863.371481481481</v>
      </c>
      <c r="K61" s="885">
        <v>45992.252337962964</v>
      </c>
      <c r="L61" t="s">
        <v>264</v>
      </c>
      <c r="M61" t="s">
        <v>265</v>
      </c>
      <c r="N61" t="s">
        <v>683</v>
      </c>
      <c r="O61" t="s">
        <v>267</v>
      </c>
      <c r="P61" s="885">
        <v>45992.257094907407</v>
      </c>
      <c r="Q61" t="s">
        <v>268</v>
      </c>
      <c r="R61" t="s">
        <v>269</v>
      </c>
    </row>
    <row r="62" spans="1:18" x14ac:dyDescent="0.15">
      <c r="A62" s="788">
        <v>5134309634</v>
      </c>
      <c r="B62" t="s">
        <v>687</v>
      </c>
      <c r="C62" s="884">
        <v>45872</v>
      </c>
      <c r="D62" s="884">
        <v>45875</v>
      </c>
      <c r="E62" t="s">
        <v>314</v>
      </c>
      <c r="F62" t="s">
        <v>315</v>
      </c>
      <c r="H62" t="s">
        <v>513</v>
      </c>
      <c r="I62" s="885">
        <v>45863.61141203704</v>
      </c>
      <c r="L62" t="s">
        <v>274</v>
      </c>
      <c r="M62" s="884">
        <v>36526</v>
      </c>
      <c r="N62" t="s">
        <v>688</v>
      </c>
      <c r="O62" t="s">
        <v>267</v>
      </c>
      <c r="P62" s="885">
        <v>45863.614837962959</v>
      </c>
      <c r="Q62" t="s">
        <v>268</v>
      </c>
      <c r="R62" t="s">
        <v>269</v>
      </c>
    </row>
    <row r="63" spans="1:18" x14ac:dyDescent="0.15">
      <c r="A63" s="788">
        <v>5198348952</v>
      </c>
      <c r="B63" t="s">
        <v>692</v>
      </c>
      <c r="C63" s="884">
        <v>45868</v>
      </c>
      <c r="D63" s="884">
        <v>45870</v>
      </c>
      <c r="E63" t="s">
        <v>314</v>
      </c>
      <c r="F63" t="s">
        <v>315</v>
      </c>
      <c r="H63" t="s">
        <v>336</v>
      </c>
      <c r="I63" s="885">
        <v>45863.873692129629</v>
      </c>
      <c r="L63" t="s">
        <v>274</v>
      </c>
      <c r="M63" t="s">
        <v>265</v>
      </c>
      <c r="N63" t="s">
        <v>693</v>
      </c>
      <c r="O63" t="s">
        <v>267</v>
      </c>
      <c r="P63" s="885">
        <v>45863.876354166663</v>
      </c>
      <c r="Q63" t="s">
        <v>268</v>
      </c>
      <c r="R63" t="s">
        <v>269</v>
      </c>
    </row>
    <row r="64" spans="1:18" x14ac:dyDescent="0.15">
      <c r="A64" s="788">
        <v>5132559571</v>
      </c>
      <c r="B64" t="s">
        <v>696</v>
      </c>
      <c r="C64" s="884">
        <v>45902</v>
      </c>
      <c r="D64" s="884">
        <v>45904</v>
      </c>
      <c r="E64" t="s">
        <v>314</v>
      </c>
      <c r="F64" t="s">
        <v>315</v>
      </c>
      <c r="H64" t="s">
        <v>336</v>
      </c>
      <c r="I64" s="885">
        <v>45864.670590277776</v>
      </c>
      <c r="L64" t="s">
        <v>274</v>
      </c>
      <c r="M64" t="s">
        <v>265</v>
      </c>
      <c r="N64" t="s">
        <v>697</v>
      </c>
      <c r="O64" t="s">
        <v>267</v>
      </c>
      <c r="P64" s="885">
        <v>45864.676342592589</v>
      </c>
      <c r="Q64" t="s">
        <v>268</v>
      </c>
      <c r="R64" t="s">
        <v>269</v>
      </c>
    </row>
    <row r="65" spans="1:18" x14ac:dyDescent="0.15">
      <c r="A65" s="788">
        <v>6234656403</v>
      </c>
      <c r="B65" t="s">
        <v>687</v>
      </c>
      <c r="C65" s="884">
        <v>45879</v>
      </c>
      <c r="D65" s="884">
        <v>45882</v>
      </c>
      <c r="E65" t="s">
        <v>314</v>
      </c>
      <c r="F65" t="s">
        <v>315</v>
      </c>
      <c r="H65" t="s">
        <v>513</v>
      </c>
      <c r="I65" s="885">
        <v>45866.432881944442</v>
      </c>
      <c r="L65" t="s">
        <v>274</v>
      </c>
      <c r="M65" s="884">
        <v>36526</v>
      </c>
      <c r="N65" t="s">
        <v>707</v>
      </c>
      <c r="O65" t="s">
        <v>267</v>
      </c>
      <c r="P65" s="885">
        <v>45866.43644675926</v>
      </c>
      <c r="Q65" t="s">
        <v>268</v>
      </c>
      <c r="R65" t="s">
        <v>269</v>
      </c>
    </row>
    <row r="66" spans="1:18" x14ac:dyDescent="0.15">
      <c r="A66" s="788">
        <v>5531775661</v>
      </c>
      <c r="B66" t="s">
        <v>715</v>
      </c>
      <c r="C66" s="884">
        <v>46024</v>
      </c>
      <c r="D66" s="884">
        <v>46026</v>
      </c>
      <c r="E66" t="s">
        <v>314</v>
      </c>
      <c r="F66" t="s">
        <v>315</v>
      </c>
      <c r="H66" t="s">
        <v>679</v>
      </c>
      <c r="I66" s="885">
        <v>45866.639027777775</v>
      </c>
      <c r="K66" s="885">
        <v>45956.906076388892</v>
      </c>
      <c r="L66" t="s">
        <v>264</v>
      </c>
      <c r="M66" t="s">
        <v>265</v>
      </c>
      <c r="N66" t="s">
        <v>716</v>
      </c>
      <c r="O66" t="s">
        <v>267</v>
      </c>
      <c r="P66" s="885">
        <v>45956.910532407404</v>
      </c>
      <c r="Q66" t="s">
        <v>268</v>
      </c>
      <c r="R66" t="s">
        <v>269</v>
      </c>
    </row>
    <row r="67" spans="1:18" x14ac:dyDescent="0.15">
      <c r="A67" s="788">
        <v>6499083761</v>
      </c>
      <c r="B67" t="s">
        <v>731</v>
      </c>
      <c r="C67" s="884">
        <v>46157</v>
      </c>
      <c r="D67" s="884">
        <v>46159</v>
      </c>
      <c r="E67" t="s">
        <v>314</v>
      </c>
      <c r="F67" t="s">
        <v>315</v>
      </c>
      <c r="H67" t="s">
        <v>732</v>
      </c>
      <c r="I67" s="885">
        <v>45866.66511574074</v>
      </c>
      <c r="J67" s="885">
        <v>46018.985752314817</v>
      </c>
      <c r="L67" t="s">
        <v>720</v>
      </c>
      <c r="M67" t="s">
        <v>265</v>
      </c>
      <c r="N67" t="s">
        <v>733</v>
      </c>
      <c r="O67" t="s">
        <v>267</v>
      </c>
      <c r="P67" s="885">
        <v>46018.987662037034</v>
      </c>
      <c r="Q67" t="s">
        <v>268</v>
      </c>
      <c r="R67" t="s">
        <v>269</v>
      </c>
    </row>
    <row r="68" spans="1:18" x14ac:dyDescent="0.15">
      <c r="A68" s="788">
        <v>5457454166</v>
      </c>
      <c r="B68" t="s">
        <v>735</v>
      </c>
      <c r="C68" s="884">
        <v>45975</v>
      </c>
      <c r="D68" s="884">
        <v>45977</v>
      </c>
      <c r="E68" t="s">
        <v>314</v>
      </c>
      <c r="F68" t="s">
        <v>315</v>
      </c>
      <c r="H68" t="s">
        <v>354</v>
      </c>
      <c r="I68" s="885">
        <v>45867.711342592593</v>
      </c>
      <c r="L68" t="s">
        <v>274</v>
      </c>
      <c r="M68" t="s">
        <v>265</v>
      </c>
      <c r="N68" t="s">
        <v>340</v>
      </c>
      <c r="O68" t="s">
        <v>267</v>
      </c>
      <c r="P68" s="885">
        <v>45867.714305555557</v>
      </c>
      <c r="Q68" t="s">
        <v>268</v>
      </c>
      <c r="R68" t="s">
        <v>269</v>
      </c>
    </row>
    <row r="69" spans="1:18" x14ac:dyDescent="0.15">
      <c r="A69" s="788">
        <v>6544307413</v>
      </c>
      <c r="B69" t="s">
        <v>736</v>
      </c>
      <c r="C69" s="884">
        <v>45940</v>
      </c>
      <c r="D69" s="884">
        <v>45942</v>
      </c>
      <c r="E69" t="s">
        <v>314</v>
      </c>
      <c r="F69" t="s">
        <v>315</v>
      </c>
      <c r="H69" t="s">
        <v>737</v>
      </c>
      <c r="I69" s="885">
        <v>45867.762037037035</v>
      </c>
      <c r="L69" t="s">
        <v>274</v>
      </c>
      <c r="M69" t="s">
        <v>265</v>
      </c>
      <c r="N69" t="s">
        <v>738</v>
      </c>
      <c r="O69" t="s">
        <v>267</v>
      </c>
      <c r="P69" s="885">
        <v>45867.768240740741</v>
      </c>
      <c r="Q69" t="s">
        <v>268</v>
      </c>
      <c r="R69" t="s">
        <v>269</v>
      </c>
    </row>
    <row r="70" spans="1:18" x14ac:dyDescent="0.15">
      <c r="A70" s="788">
        <v>6014216652</v>
      </c>
      <c r="B70" t="s">
        <v>739</v>
      </c>
      <c r="C70" s="884">
        <v>45941</v>
      </c>
      <c r="D70" s="884">
        <v>45942</v>
      </c>
      <c r="E70" t="s">
        <v>314</v>
      </c>
      <c r="F70" t="s">
        <v>315</v>
      </c>
      <c r="H70" t="s">
        <v>740</v>
      </c>
      <c r="I70" s="885">
        <v>45867.76425925926</v>
      </c>
      <c r="L70" t="s">
        <v>274</v>
      </c>
      <c r="M70" t="s">
        <v>265</v>
      </c>
      <c r="N70" t="s">
        <v>741</v>
      </c>
      <c r="O70" t="s">
        <v>267</v>
      </c>
      <c r="P70" s="885">
        <v>45867.768240740741</v>
      </c>
      <c r="Q70" t="s">
        <v>268</v>
      </c>
      <c r="R70" t="s">
        <v>269</v>
      </c>
    </row>
    <row r="71" spans="1:18" x14ac:dyDescent="0.15">
      <c r="A71" s="788">
        <v>6512576000</v>
      </c>
      <c r="B71" t="s">
        <v>742</v>
      </c>
      <c r="C71" s="884">
        <v>46084</v>
      </c>
      <c r="D71" s="884">
        <v>46089</v>
      </c>
      <c r="E71" t="s">
        <v>314</v>
      </c>
      <c r="F71" t="s">
        <v>315</v>
      </c>
      <c r="H71" t="s">
        <v>516</v>
      </c>
      <c r="I71" s="885">
        <v>45867.831006944441</v>
      </c>
      <c r="K71" s="885">
        <v>46029.602534722224</v>
      </c>
      <c r="L71" t="s">
        <v>264</v>
      </c>
      <c r="M71" s="884">
        <v>36527</v>
      </c>
      <c r="N71" t="s">
        <v>743</v>
      </c>
      <c r="O71" t="s">
        <v>267</v>
      </c>
      <c r="P71" s="885">
        <v>46029.608263888891</v>
      </c>
      <c r="Q71" t="s">
        <v>268</v>
      </c>
      <c r="R71" t="s">
        <v>269</v>
      </c>
    </row>
    <row r="72" spans="1:18" x14ac:dyDescent="0.15">
      <c r="A72" s="788">
        <v>5827638662</v>
      </c>
      <c r="B72" t="s">
        <v>752</v>
      </c>
      <c r="C72" s="884">
        <v>45870</v>
      </c>
      <c r="D72" s="884">
        <v>45871</v>
      </c>
      <c r="E72" t="s">
        <v>314</v>
      </c>
      <c r="F72" t="s">
        <v>315</v>
      </c>
      <c r="H72" t="s">
        <v>336</v>
      </c>
      <c r="I72" s="885">
        <v>45868.414375</v>
      </c>
      <c r="L72" t="s">
        <v>274</v>
      </c>
      <c r="M72" t="s">
        <v>265</v>
      </c>
      <c r="N72" t="s">
        <v>753</v>
      </c>
      <c r="O72" t="s">
        <v>267</v>
      </c>
      <c r="P72" s="885">
        <v>45868.416539351849</v>
      </c>
      <c r="Q72" t="s">
        <v>268</v>
      </c>
      <c r="R72" t="s">
        <v>269</v>
      </c>
    </row>
    <row r="73" spans="1:18" x14ac:dyDescent="0.15">
      <c r="A73" s="788">
        <v>6512540871</v>
      </c>
      <c r="B73" t="s">
        <v>754</v>
      </c>
      <c r="C73" s="884">
        <v>45953</v>
      </c>
      <c r="D73" s="884">
        <v>45955</v>
      </c>
      <c r="E73" t="s">
        <v>314</v>
      </c>
      <c r="F73" t="s">
        <v>315</v>
      </c>
      <c r="H73" t="s">
        <v>755</v>
      </c>
      <c r="I73" s="885">
        <v>45868.421388888892</v>
      </c>
      <c r="K73" s="885">
        <v>45886.903252314813</v>
      </c>
      <c r="L73" t="s">
        <v>264</v>
      </c>
      <c r="M73" t="s">
        <v>265</v>
      </c>
      <c r="N73" t="s">
        <v>756</v>
      </c>
      <c r="O73" t="s">
        <v>267</v>
      </c>
      <c r="P73" s="885">
        <v>45886.906215277777</v>
      </c>
      <c r="Q73" t="s">
        <v>268</v>
      </c>
      <c r="R73" t="s">
        <v>269</v>
      </c>
    </row>
    <row r="74" spans="1:18" x14ac:dyDescent="0.15">
      <c r="A74" s="788">
        <v>5672997986</v>
      </c>
      <c r="B74" t="s">
        <v>757</v>
      </c>
      <c r="C74" s="884">
        <v>46022</v>
      </c>
      <c r="D74" s="884">
        <v>46023</v>
      </c>
      <c r="E74" t="s">
        <v>314</v>
      </c>
      <c r="F74" t="s">
        <v>315</v>
      </c>
      <c r="H74" t="s">
        <v>758</v>
      </c>
      <c r="I74" s="885">
        <v>45868.595312500001</v>
      </c>
      <c r="K74" s="885">
        <v>45868.73101851852</v>
      </c>
      <c r="L74" t="s">
        <v>264</v>
      </c>
      <c r="M74" t="s">
        <v>265</v>
      </c>
      <c r="N74" t="s">
        <v>759</v>
      </c>
      <c r="O74" t="s">
        <v>267</v>
      </c>
      <c r="P74" s="885">
        <v>45868.733831018515</v>
      </c>
      <c r="Q74" t="s">
        <v>268</v>
      </c>
      <c r="R74" t="s">
        <v>269</v>
      </c>
    </row>
    <row r="75" spans="1:18" x14ac:dyDescent="0.15">
      <c r="A75" s="788">
        <v>6507221371</v>
      </c>
      <c r="B75" t="s">
        <v>760</v>
      </c>
      <c r="C75" s="884">
        <v>45881</v>
      </c>
      <c r="D75" s="884">
        <v>45884</v>
      </c>
      <c r="E75" t="s">
        <v>314</v>
      </c>
      <c r="F75" t="s">
        <v>315</v>
      </c>
      <c r="H75" t="s">
        <v>336</v>
      </c>
      <c r="I75" s="885">
        <v>45868.755752314813</v>
      </c>
      <c r="L75" t="s">
        <v>274</v>
      </c>
      <c r="M75" t="s">
        <v>265</v>
      </c>
      <c r="N75" t="s">
        <v>761</v>
      </c>
      <c r="O75" t="s">
        <v>267</v>
      </c>
      <c r="P75" s="885">
        <v>45868.760104166664</v>
      </c>
      <c r="Q75" t="s">
        <v>268</v>
      </c>
      <c r="R75" t="s">
        <v>269</v>
      </c>
    </row>
    <row r="76" spans="1:18" x14ac:dyDescent="0.15">
      <c r="A76" s="788">
        <v>6757991890</v>
      </c>
      <c r="B76" t="s">
        <v>766</v>
      </c>
      <c r="C76" s="884">
        <v>45888</v>
      </c>
      <c r="D76" s="884">
        <v>45891</v>
      </c>
      <c r="E76" t="s">
        <v>314</v>
      </c>
      <c r="F76" t="s">
        <v>315</v>
      </c>
      <c r="H76" t="s">
        <v>336</v>
      </c>
      <c r="I76" s="885">
        <v>45869.663229166668</v>
      </c>
      <c r="L76" t="s">
        <v>274</v>
      </c>
      <c r="M76" t="s">
        <v>279</v>
      </c>
      <c r="N76" t="s">
        <v>767</v>
      </c>
      <c r="O76" t="s">
        <v>267</v>
      </c>
      <c r="P76" s="885">
        <v>45869.666666666664</v>
      </c>
      <c r="Q76" t="s">
        <v>268</v>
      </c>
      <c r="R76" t="s">
        <v>269</v>
      </c>
    </row>
    <row r="77" spans="1:18" x14ac:dyDescent="0.15">
      <c r="A77" s="788">
        <v>5713978343</v>
      </c>
      <c r="B77" t="s">
        <v>768</v>
      </c>
      <c r="C77" s="884">
        <v>45871</v>
      </c>
      <c r="D77" s="884">
        <v>45872</v>
      </c>
      <c r="E77" t="s">
        <v>314</v>
      </c>
      <c r="F77" t="s">
        <v>315</v>
      </c>
      <c r="H77" t="s">
        <v>769</v>
      </c>
      <c r="I77" s="885">
        <v>45870.289733796293</v>
      </c>
      <c r="L77" t="s">
        <v>274</v>
      </c>
      <c r="M77" s="884">
        <v>36527</v>
      </c>
      <c r="N77" t="s">
        <v>770</v>
      </c>
      <c r="O77" t="s">
        <v>267</v>
      </c>
      <c r="P77" s="885">
        <v>45870.295474537037</v>
      </c>
      <c r="Q77" t="s">
        <v>268</v>
      </c>
      <c r="R77" t="s">
        <v>269</v>
      </c>
    </row>
    <row r="78" spans="1:18" x14ac:dyDescent="0.15">
      <c r="A78" s="788">
        <v>5918527070</v>
      </c>
      <c r="B78" t="s">
        <v>771</v>
      </c>
      <c r="C78" s="884">
        <v>45955</v>
      </c>
      <c r="D78" s="884">
        <v>45956</v>
      </c>
      <c r="E78" t="s">
        <v>314</v>
      </c>
      <c r="F78" t="s">
        <v>315</v>
      </c>
      <c r="H78" t="s">
        <v>772</v>
      </c>
    </row>
    <row r="79" spans="1:18" x14ac:dyDescent="0.15">
      <c r="A79" s="788">
        <v>5898156494</v>
      </c>
      <c r="B79" t="s">
        <v>785</v>
      </c>
      <c r="C79" s="884">
        <v>46100</v>
      </c>
      <c r="D79" s="884">
        <v>46103</v>
      </c>
      <c r="E79" t="s">
        <v>314</v>
      </c>
      <c r="F79" t="s">
        <v>315</v>
      </c>
      <c r="H79" t="s">
        <v>368</v>
      </c>
      <c r="I79" s="885">
        <v>45870.580555555556</v>
      </c>
      <c r="L79" t="s">
        <v>274</v>
      </c>
      <c r="M79" t="s">
        <v>265</v>
      </c>
      <c r="N79" t="s">
        <v>786</v>
      </c>
      <c r="O79" t="s">
        <v>267</v>
      </c>
      <c r="P79" s="885">
        <v>45870.586377314816</v>
      </c>
      <c r="Q79" t="s">
        <v>268</v>
      </c>
      <c r="R79" t="s">
        <v>269</v>
      </c>
    </row>
    <row r="80" spans="1:18" x14ac:dyDescent="0.15">
      <c r="A80" s="788">
        <v>6381637911</v>
      </c>
      <c r="B80" t="s">
        <v>787</v>
      </c>
      <c r="C80" s="884">
        <v>45881</v>
      </c>
      <c r="D80" s="884">
        <v>45883</v>
      </c>
      <c r="E80" t="s">
        <v>314</v>
      </c>
      <c r="F80" t="s">
        <v>315</v>
      </c>
      <c r="H80" t="s">
        <v>404</v>
      </c>
      <c r="I80" s="885">
        <v>45870.833761574075</v>
      </c>
      <c r="L80" t="s">
        <v>274</v>
      </c>
      <c r="M80" t="s">
        <v>265</v>
      </c>
      <c r="N80" t="s">
        <v>788</v>
      </c>
      <c r="O80" t="s">
        <v>267</v>
      </c>
      <c r="P80" s="885">
        <v>45870.83766203704</v>
      </c>
      <c r="Q80" t="s">
        <v>268</v>
      </c>
      <c r="R80" t="s">
        <v>269</v>
      </c>
    </row>
    <row r="81" spans="1:18" x14ac:dyDescent="0.15">
      <c r="A81" s="788">
        <v>5769566829</v>
      </c>
      <c r="B81" t="s">
        <v>796</v>
      </c>
      <c r="C81" s="884">
        <v>45877</v>
      </c>
      <c r="D81" s="884">
        <v>45880</v>
      </c>
      <c r="E81" t="s">
        <v>314</v>
      </c>
      <c r="F81" t="s">
        <v>315</v>
      </c>
      <c r="H81" t="s">
        <v>636</v>
      </c>
      <c r="I81" s="885">
        <v>45871.781319444446</v>
      </c>
      <c r="L81" t="s">
        <v>274</v>
      </c>
      <c r="M81" t="s">
        <v>265</v>
      </c>
      <c r="N81" t="s">
        <v>797</v>
      </c>
      <c r="O81" t="s">
        <v>267</v>
      </c>
      <c r="P81" s="885">
        <v>45871.784571759257</v>
      </c>
      <c r="Q81" t="s">
        <v>268</v>
      </c>
      <c r="R81" t="s">
        <v>269</v>
      </c>
    </row>
    <row r="82" spans="1:18" x14ac:dyDescent="0.15">
      <c r="A82" s="788">
        <v>6493724300</v>
      </c>
      <c r="B82" t="s">
        <v>798</v>
      </c>
      <c r="C82" s="884">
        <v>45898</v>
      </c>
      <c r="D82" s="884">
        <v>45900</v>
      </c>
      <c r="E82" t="s">
        <v>314</v>
      </c>
      <c r="F82" t="s">
        <v>315</v>
      </c>
      <c r="H82" t="s">
        <v>513</v>
      </c>
      <c r="I82" s="885">
        <v>45872.654803240737</v>
      </c>
      <c r="L82" t="s">
        <v>274</v>
      </c>
      <c r="M82" s="884">
        <v>36558</v>
      </c>
      <c r="N82" t="s">
        <v>799</v>
      </c>
      <c r="O82" t="s">
        <v>267</v>
      </c>
      <c r="P82" s="885">
        <v>45872.657997685186</v>
      </c>
      <c r="Q82" t="s">
        <v>268</v>
      </c>
      <c r="R82" t="s">
        <v>269</v>
      </c>
    </row>
    <row r="83" spans="1:18" x14ac:dyDescent="0.15">
      <c r="A83" s="788">
        <v>6517425437</v>
      </c>
      <c r="B83" t="s">
        <v>800</v>
      </c>
      <c r="C83" s="884">
        <v>45958</v>
      </c>
      <c r="D83" s="884">
        <v>45961</v>
      </c>
      <c r="E83" t="s">
        <v>314</v>
      </c>
      <c r="F83" t="s">
        <v>315</v>
      </c>
      <c r="H83" t="s">
        <v>606</v>
      </c>
      <c r="I83" s="885">
        <v>45872.680092592593</v>
      </c>
      <c r="K83" s="885">
        <v>45917.836400462962</v>
      </c>
      <c r="L83" t="s">
        <v>264</v>
      </c>
      <c r="M83" t="s">
        <v>265</v>
      </c>
      <c r="N83" t="s">
        <v>801</v>
      </c>
      <c r="O83" t="s">
        <v>267</v>
      </c>
      <c r="P83" s="885">
        <v>45917.838472222225</v>
      </c>
      <c r="Q83" t="s">
        <v>268</v>
      </c>
      <c r="R83" t="s">
        <v>269</v>
      </c>
    </row>
    <row r="84" spans="1:18" x14ac:dyDescent="0.15">
      <c r="A84" s="788">
        <v>6680618343</v>
      </c>
      <c r="B84" t="s">
        <v>802</v>
      </c>
      <c r="C84" s="884">
        <v>45982</v>
      </c>
      <c r="D84" s="884">
        <v>45985</v>
      </c>
      <c r="E84" t="s">
        <v>314</v>
      </c>
      <c r="F84" t="s">
        <v>315</v>
      </c>
      <c r="H84" t="s">
        <v>339</v>
      </c>
      <c r="I84" s="885">
        <v>45872.696064814816</v>
      </c>
      <c r="L84" t="s">
        <v>274</v>
      </c>
      <c r="M84" t="s">
        <v>265</v>
      </c>
      <c r="N84" t="s">
        <v>803</v>
      </c>
      <c r="O84" t="s">
        <v>267</v>
      </c>
      <c r="P84" s="885">
        <v>45872.699108796296</v>
      </c>
      <c r="Q84" t="s">
        <v>268</v>
      </c>
      <c r="R84" t="s">
        <v>269</v>
      </c>
    </row>
    <row r="85" spans="1:18" x14ac:dyDescent="0.15">
      <c r="A85" s="788">
        <v>6022441761</v>
      </c>
      <c r="B85" t="s">
        <v>814</v>
      </c>
      <c r="C85" s="884">
        <v>45877</v>
      </c>
      <c r="D85" s="884">
        <v>45879</v>
      </c>
      <c r="E85" t="s">
        <v>314</v>
      </c>
      <c r="F85" t="s">
        <v>315</v>
      </c>
      <c r="H85" t="s">
        <v>404</v>
      </c>
      <c r="I85" s="885">
        <v>45873.861087962963</v>
      </c>
      <c r="L85" t="s">
        <v>274</v>
      </c>
      <c r="M85" t="s">
        <v>265</v>
      </c>
      <c r="N85" t="s">
        <v>815</v>
      </c>
      <c r="O85" t="s">
        <v>267</v>
      </c>
      <c r="P85" s="885">
        <v>45873.866168981483</v>
      </c>
      <c r="Q85" t="s">
        <v>268</v>
      </c>
      <c r="R85" t="s">
        <v>269</v>
      </c>
    </row>
    <row r="86" spans="1:18" x14ac:dyDescent="0.15">
      <c r="A86" s="788">
        <v>5247740969</v>
      </c>
      <c r="B86" t="s">
        <v>823</v>
      </c>
      <c r="C86" s="884">
        <v>45954</v>
      </c>
      <c r="D86" s="884">
        <v>45956</v>
      </c>
      <c r="E86" t="s">
        <v>314</v>
      </c>
      <c r="F86" t="s">
        <v>315</v>
      </c>
      <c r="H86" t="s">
        <v>682</v>
      </c>
      <c r="I86" s="885">
        <v>45874.356377314813</v>
      </c>
      <c r="L86" t="s">
        <v>274</v>
      </c>
      <c r="M86" t="s">
        <v>265</v>
      </c>
      <c r="N86" t="s">
        <v>824</v>
      </c>
      <c r="O86" t="s">
        <v>267</v>
      </c>
      <c r="P86" s="885">
        <v>45874.359826388885</v>
      </c>
      <c r="Q86" t="s">
        <v>268</v>
      </c>
      <c r="R86" t="s">
        <v>269</v>
      </c>
    </row>
    <row r="87" spans="1:18" x14ac:dyDescent="0.15">
      <c r="A87" s="788">
        <v>6609995357</v>
      </c>
      <c r="B87" t="s">
        <v>840</v>
      </c>
      <c r="C87" s="884">
        <v>46101</v>
      </c>
      <c r="D87" s="884">
        <v>46104</v>
      </c>
      <c r="E87" t="s">
        <v>314</v>
      </c>
      <c r="F87" t="s">
        <v>315</v>
      </c>
      <c r="H87" t="s">
        <v>339</v>
      </c>
      <c r="I87" s="885">
        <v>45874.818796296298</v>
      </c>
      <c r="K87" s="885">
        <v>46068.821423611109</v>
      </c>
      <c r="L87" t="s">
        <v>264</v>
      </c>
      <c r="M87" t="s">
        <v>265</v>
      </c>
      <c r="N87" t="s">
        <v>841</v>
      </c>
      <c r="O87" t="s">
        <v>267</v>
      </c>
      <c r="P87" s="885">
        <v>46068.826655092591</v>
      </c>
      <c r="Q87" t="s">
        <v>268</v>
      </c>
      <c r="R87" t="s">
        <v>269</v>
      </c>
    </row>
    <row r="88" spans="1:18" x14ac:dyDescent="0.15">
      <c r="A88" s="788">
        <v>5941879223</v>
      </c>
      <c r="B88" t="s">
        <v>600</v>
      </c>
      <c r="C88" s="884">
        <v>45967</v>
      </c>
      <c r="D88" s="884">
        <v>45969</v>
      </c>
      <c r="E88" t="s">
        <v>314</v>
      </c>
      <c r="F88" t="s">
        <v>315</v>
      </c>
      <c r="H88" t="s">
        <v>758</v>
      </c>
      <c r="I88" s="885">
        <v>45874.884502314817</v>
      </c>
      <c r="K88" s="885">
        <v>45874.887118055558</v>
      </c>
      <c r="L88" t="s">
        <v>264</v>
      </c>
      <c r="M88" t="s">
        <v>265</v>
      </c>
      <c r="N88" t="s">
        <v>695</v>
      </c>
      <c r="O88" t="s">
        <v>267</v>
      </c>
      <c r="P88" s="885">
        <v>45874.891064814816</v>
      </c>
      <c r="Q88" t="s">
        <v>268</v>
      </c>
      <c r="R88" t="s">
        <v>269</v>
      </c>
    </row>
    <row r="89" spans="1:18" x14ac:dyDescent="0.15">
      <c r="A89" s="788">
        <v>6966304464</v>
      </c>
      <c r="B89" t="s">
        <v>600</v>
      </c>
      <c r="C89" s="884">
        <v>45967</v>
      </c>
      <c r="D89" s="884">
        <v>45969</v>
      </c>
      <c r="E89" t="s">
        <v>314</v>
      </c>
      <c r="F89" t="s">
        <v>315</v>
      </c>
      <c r="H89" t="s">
        <v>540</v>
      </c>
      <c r="I89" s="885">
        <v>45874.888136574074</v>
      </c>
      <c r="L89" t="s">
        <v>274</v>
      </c>
      <c r="M89" t="s">
        <v>265</v>
      </c>
      <c r="N89" t="s">
        <v>340</v>
      </c>
      <c r="O89" t="s">
        <v>267</v>
      </c>
      <c r="P89" s="885">
        <v>45874.891064814816</v>
      </c>
      <c r="Q89" t="s">
        <v>268</v>
      </c>
      <c r="R89" t="s">
        <v>269</v>
      </c>
    </row>
    <row r="90" spans="1:18" x14ac:dyDescent="0.15">
      <c r="A90" s="788">
        <v>6938222973</v>
      </c>
      <c r="B90" t="s">
        <v>842</v>
      </c>
      <c r="C90" s="884">
        <v>45984</v>
      </c>
      <c r="D90" s="884">
        <v>45986</v>
      </c>
      <c r="E90" t="s">
        <v>314</v>
      </c>
      <c r="F90" t="s">
        <v>315</v>
      </c>
      <c r="H90" t="s">
        <v>354</v>
      </c>
      <c r="I90" s="885">
        <v>45874.907719907409</v>
      </c>
      <c r="K90" s="885">
        <v>45886.842997685184</v>
      </c>
      <c r="L90" t="s">
        <v>264</v>
      </c>
      <c r="M90" t="s">
        <v>265</v>
      </c>
      <c r="N90" t="s">
        <v>547</v>
      </c>
      <c r="O90" t="s">
        <v>267</v>
      </c>
      <c r="P90" s="885">
        <v>45886.848854166667</v>
      </c>
      <c r="Q90" t="s">
        <v>268</v>
      </c>
      <c r="R90" t="s">
        <v>269</v>
      </c>
    </row>
    <row r="91" spans="1:18" x14ac:dyDescent="0.15">
      <c r="A91" s="788">
        <v>6813271658</v>
      </c>
      <c r="B91" t="s">
        <v>843</v>
      </c>
      <c r="C91" s="884">
        <v>45910</v>
      </c>
      <c r="D91" s="884">
        <v>45911</v>
      </c>
      <c r="E91" t="s">
        <v>314</v>
      </c>
      <c r="F91" t="s">
        <v>315</v>
      </c>
      <c r="H91" t="s">
        <v>336</v>
      </c>
      <c r="I91" s="885">
        <v>45875.529953703706</v>
      </c>
      <c r="L91" t="s">
        <v>274</v>
      </c>
      <c r="M91" t="s">
        <v>265</v>
      </c>
      <c r="N91" t="s">
        <v>844</v>
      </c>
      <c r="O91" t="s">
        <v>267</v>
      </c>
      <c r="P91" s="885">
        <v>45875.535104166665</v>
      </c>
      <c r="Q91" t="s">
        <v>268</v>
      </c>
      <c r="R91" t="s">
        <v>269</v>
      </c>
    </row>
    <row r="92" spans="1:18" x14ac:dyDescent="0.15">
      <c r="A92" s="788">
        <v>6813283244</v>
      </c>
      <c r="B92" t="s">
        <v>856</v>
      </c>
      <c r="C92" s="884">
        <v>46072</v>
      </c>
      <c r="D92" s="884">
        <v>46075</v>
      </c>
      <c r="E92" t="s">
        <v>314</v>
      </c>
      <c r="F92" t="s">
        <v>315</v>
      </c>
      <c r="H92" t="s">
        <v>537</v>
      </c>
      <c r="I92" s="885">
        <v>45875.564398148148</v>
      </c>
      <c r="L92" t="s">
        <v>274</v>
      </c>
      <c r="M92" t="s">
        <v>265</v>
      </c>
      <c r="N92" t="s">
        <v>857</v>
      </c>
      <c r="O92" t="s">
        <v>267</v>
      </c>
      <c r="P92" s="885">
        <v>45875.568703703706</v>
      </c>
      <c r="Q92" t="s">
        <v>268</v>
      </c>
      <c r="R92" t="s">
        <v>269</v>
      </c>
    </row>
    <row r="93" spans="1:18" x14ac:dyDescent="0.15">
      <c r="A93" s="788">
        <v>6939549593</v>
      </c>
      <c r="B93" t="s">
        <v>891</v>
      </c>
      <c r="C93" s="884">
        <v>45901</v>
      </c>
      <c r="D93" s="884">
        <v>45902</v>
      </c>
      <c r="E93" t="s">
        <v>314</v>
      </c>
      <c r="F93" t="s">
        <v>315</v>
      </c>
      <c r="H93" t="s">
        <v>336</v>
      </c>
      <c r="I93" s="885">
        <v>45877.735833333332</v>
      </c>
      <c r="L93" t="s">
        <v>274</v>
      </c>
      <c r="M93" t="s">
        <v>265</v>
      </c>
      <c r="N93" t="s">
        <v>844</v>
      </c>
      <c r="O93" t="s">
        <v>267</v>
      </c>
      <c r="P93" s="885">
        <v>45877.739386574074</v>
      </c>
      <c r="Q93" t="s">
        <v>268</v>
      </c>
      <c r="R93" t="s">
        <v>269</v>
      </c>
    </row>
    <row r="94" spans="1:18" x14ac:dyDescent="0.15">
      <c r="A94" s="788">
        <v>6067328679</v>
      </c>
      <c r="B94" t="s">
        <v>892</v>
      </c>
      <c r="C94" s="884">
        <v>45878</v>
      </c>
      <c r="D94" s="884">
        <v>45879</v>
      </c>
      <c r="E94" t="s">
        <v>314</v>
      </c>
      <c r="F94" t="s">
        <v>315</v>
      </c>
      <c r="H94" t="s">
        <v>769</v>
      </c>
      <c r="I94" s="885">
        <v>45877.793923611112</v>
      </c>
      <c r="K94" s="885">
        <v>45878.633368055554</v>
      </c>
      <c r="L94" t="s">
        <v>264</v>
      </c>
      <c r="M94" t="s">
        <v>279</v>
      </c>
      <c r="N94" t="s">
        <v>770</v>
      </c>
      <c r="O94" t="s">
        <v>267</v>
      </c>
      <c r="P94" s="885">
        <v>45878.638368055559</v>
      </c>
      <c r="Q94" t="s">
        <v>268</v>
      </c>
      <c r="R94" t="s">
        <v>269</v>
      </c>
    </row>
    <row r="95" spans="1:18" x14ac:dyDescent="0.15">
      <c r="A95" s="788">
        <v>5543592412</v>
      </c>
      <c r="B95" t="s">
        <v>893</v>
      </c>
      <c r="C95" s="884">
        <v>45878</v>
      </c>
      <c r="D95" s="884">
        <v>45879</v>
      </c>
      <c r="E95" t="s">
        <v>314</v>
      </c>
      <c r="F95" t="s">
        <v>315</v>
      </c>
      <c r="H95" t="s">
        <v>632</v>
      </c>
      <c r="I95" s="885">
        <v>45878.451122685183</v>
      </c>
      <c r="L95" t="s">
        <v>274</v>
      </c>
      <c r="M95" t="s">
        <v>265</v>
      </c>
      <c r="N95" t="s">
        <v>894</v>
      </c>
      <c r="O95" t="s">
        <v>267</v>
      </c>
      <c r="P95" s="885">
        <v>45878.455509259256</v>
      </c>
      <c r="Q95" t="s">
        <v>268</v>
      </c>
      <c r="R95" t="s">
        <v>269</v>
      </c>
    </row>
    <row r="96" spans="1:18" x14ac:dyDescent="0.15">
      <c r="A96" s="788">
        <v>6545109730</v>
      </c>
      <c r="B96" t="s">
        <v>787</v>
      </c>
      <c r="C96" s="884">
        <v>45880</v>
      </c>
      <c r="D96" s="884">
        <v>45881</v>
      </c>
      <c r="E96" t="s">
        <v>314</v>
      </c>
      <c r="F96" t="s">
        <v>315</v>
      </c>
      <c r="H96" t="s">
        <v>336</v>
      </c>
      <c r="I96" s="885">
        <v>45878.528124999997</v>
      </c>
      <c r="L96" t="s">
        <v>274</v>
      </c>
      <c r="M96" t="s">
        <v>265</v>
      </c>
      <c r="N96" t="s">
        <v>543</v>
      </c>
      <c r="O96" t="s">
        <v>267</v>
      </c>
      <c r="P96" s="885">
        <v>45878.533043981479</v>
      </c>
      <c r="Q96" t="s">
        <v>268</v>
      </c>
      <c r="R96" t="s">
        <v>269</v>
      </c>
    </row>
    <row r="97" spans="1:18" x14ac:dyDescent="0.15">
      <c r="A97" s="788">
        <v>6786093929</v>
      </c>
      <c r="B97" t="s">
        <v>910</v>
      </c>
      <c r="C97" s="884">
        <v>45878</v>
      </c>
      <c r="D97" s="884">
        <v>45880</v>
      </c>
      <c r="E97" t="s">
        <v>314</v>
      </c>
      <c r="F97" t="s">
        <v>315</v>
      </c>
      <c r="H97" t="s">
        <v>632</v>
      </c>
      <c r="I97" s="885">
        <v>45878.596724537034</v>
      </c>
      <c r="K97" s="885">
        <v>45880.413599537038</v>
      </c>
      <c r="L97" t="s">
        <v>264</v>
      </c>
      <c r="M97" t="s">
        <v>265</v>
      </c>
      <c r="N97" t="s">
        <v>911</v>
      </c>
      <c r="O97" t="s">
        <v>267</v>
      </c>
      <c r="P97" s="885">
        <v>45880.418090277781</v>
      </c>
      <c r="Q97" t="s">
        <v>268</v>
      </c>
      <c r="R97" t="s">
        <v>269</v>
      </c>
    </row>
    <row r="98" spans="1:18" x14ac:dyDescent="0.15">
      <c r="A98" s="788">
        <v>5606585924</v>
      </c>
      <c r="B98" t="s">
        <v>912</v>
      </c>
      <c r="C98" s="884">
        <v>45975</v>
      </c>
      <c r="D98" s="884">
        <v>45981</v>
      </c>
      <c r="E98" t="s">
        <v>314</v>
      </c>
      <c r="F98" t="s">
        <v>315</v>
      </c>
      <c r="H98" t="s">
        <v>606</v>
      </c>
      <c r="I98" s="885">
        <v>45878.810486111113</v>
      </c>
      <c r="L98" t="s">
        <v>274</v>
      </c>
      <c r="M98" t="s">
        <v>265</v>
      </c>
      <c r="N98" t="s">
        <v>913</v>
      </c>
      <c r="O98" t="s">
        <v>267</v>
      </c>
      <c r="P98" s="885">
        <v>45878.814803240741</v>
      </c>
      <c r="Q98" t="s">
        <v>268</v>
      </c>
      <c r="R98" t="s">
        <v>269</v>
      </c>
    </row>
    <row r="99" spans="1:18" x14ac:dyDescent="0.15">
      <c r="A99" s="788">
        <v>5449219706</v>
      </c>
      <c r="B99" t="s">
        <v>914</v>
      </c>
      <c r="C99" s="884">
        <v>45892</v>
      </c>
      <c r="D99" s="884">
        <v>45895</v>
      </c>
      <c r="E99" t="s">
        <v>314</v>
      </c>
      <c r="F99" t="s">
        <v>315</v>
      </c>
      <c r="H99" t="s">
        <v>336</v>
      </c>
      <c r="I99" s="885">
        <v>45879.434201388889</v>
      </c>
      <c r="L99" t="s">
        <v>274</v>
      </c>
      <c r="M99" t="s">
        <v>265</v>
      </c>
      <c r="N99" t="s">
        <v>761</v>
      </c>
      <c r="O99" t="s">
        <v>267</v>
      </c>
      <c r="P99" s="885">
        <v>45879.438715277778</v>
      </c>
      <c r="Q99" t="s">
        <v>268</v>
      </c>
      <c r="R99" t="s">
        <v>269</v>
      </c>
    </row>
    <row r="100" spans="1:18" x14ac:dyDescent="0.15">
      <c r="A100" s="788">
        <v>6315767245</v>
      </c>
      <c r="B100" t="s">
        <v>930</v>
      </c>
      <c r="C100" s="884">
        <v>45881</v>
      </c>
      <c r="D100" s="884">
        <v>45882</v>
      </c>
      <c r="E100" t="s">
        <v>314</v>
      </c>
      <c r="F100" t="s">
        <v>315</v>
      </c>
      <c r="H100" t="s">
        <v>632</v>
      </c>
      <c r="I100" s="885">
        <v>45880.605300925927</v>
      </c>
      <c r="L100" t="s">
        <v>274</v>
      </c>
      <c r="M100" t="s">
        <v>279</v>
      </c>
      <c r="N100" t="s">
        <v>931</v>
      </c>
      <c r="O100" t="s">
        <v>267</v>
      </c>
      <c r="P100" s="885">
        <v>45880.610775462963</v>
      </c>
      <c r="Q100" t="s">
        <v>268</v>
      </c>
      <c r="R100" t="s">
        <v>269</v>
      </c>
    </row>
    <row r="101" spans="1:18" x14ac:dyDescent="0.15">
      <c r="A101" s="788">
        <v>6990772778</v>
      </c>
      <c r="B101" t="s">
        <v>932</v>
      </c>
      <c r="C101" s="884">
        <v>45880</v>
      </c>
      <c r="D101" s="884">
        <v>45881</v>
      </c>
      <c r="E101" t="s">
        <v>314</v>
      </c>
      <c r="F101" t="s">
        <v>315</v>
      </c>
      <c r="H101" t="s">
        <v>769</v>
      </c>
      <c r="I101" s="885">
        <v>45880.76153935185</v>
      </c>
      <c r="L101" t="s">
        <v>274</v>
      </c>
      <c r="M101" t="s">
        <v>265</v>
      </c>
      <c r="N101" t="s">
        <v>933</v>
      </c>
      <c r="O101" t="s">
        <v>267</v>
      </c>
      <c r="P101" s="885">
        <v>45880.766875000001</v>
      </c>
      <c r="Q101" t="s">
        <v>268</v>
      </c>
      <c r="R101" t="s">
        <v>269</v>
      </c>
    </row>
    <row r="102" spans="1:18" x14ac:dyDescent="0.15">
      <c r="A102" s="788">
        <v>5372055506</v>
      </c>
      <c r="B102" t="s">
        <v>934</v>
      </c>
      <c r="C102" s="884">
        <v>45941</v>
      </c>
      <c r="D102" s="884">
        <v>45942</v>
      </c>
      <c r="E102" t="s">
        <v>314</v>
      </c>
      <c r="F102" t="s">
        <v>315</v>
      </c>
      <c r="H102" t="s">
        <v>935</v>
      </c>
      <c r="I102" s="885">
        <v>45880.844189814816</v>
      </c>
      <c r="L102" t="s">
        <v>274</v>
      </c>
      <c r="M102" t="s">
        <v>265</v>
      </c>
      <c r="N102" t="s">
        <v>936</v>
      </c>
      <c r="O102" t="s">
        <v>267</v>
      </c>
      <c r="P102" s="885">
        <v>45880.848854166667</v>
      </c>
      <c r="Q102" t="s">
        <v>268</v>
      </c>
      <c r="R102" t="s">
        <v>269</v>
      </c>
    </row>
    <row r="103" spans="1:18" x14ac:dyDescent="0.15">
      <c r="A103" s="788">
        <v>6772660215</v>
      </c>
      <c r="B103" t="s">
        <v>937</v>
      </c>
      <c r="C103" s="884">
        <v>45884</v>
      </c>
      <c r="D103" s="884">
        <v>45886</v>
      </c>
      <c r="E103" t="s">
        <v>314</v>
      </c>
      <c r="F103" t="s">
        <v>315</v>
      </c>
      <c r="H103" t="s">
        <v>513</v>
      </c>
      <c r="I103" s="885">
        <v>45881.462569444448</v>
      </c>
      <c r="L103" t="s">
        <v>274</v>
      </c>
      <c r="M103" s="884">
        <v>36527</v>
      </c>
      <c r="N103" t="s">
        <v>938</v>
      </c>
      <c r="O103" t="s">
        <v>267</v>
      </c>
      <c r="P103" s="885">
        <v>45881.46607638889</v>
      </c>
      <c r="Q103" t="s">
        <v>268</v>
      </c>
      <c r="R103" t="s">
        <v>269</v>
      </c>
    </row>
    <row r="104" spans="1:18" x14ac:dyDescent="0.15">
      <c r="A104" s="788">
        <v>5311591778</v>
      </c>
      <c r="B104" t="s">
        <v>939</v>
      </c>
      <c r="C104" s="884">
        <v>45991</v>
      </c>
      <c r="D104" s="884">
        <v>45993</v>
      </c>
      <c r="E104" t="s">
        <v>314</v>
      </c>
      <c r="F104" t="s">
        <v>315</v>
      </c>
      <c r="H104" t="s">
        <v>606</v>
      </c>
      <c r="I104" s="885">
        <v>45881.668483796297</v>
      </c>
      <c r="K104" s="885">
        <v>45924.954340277778</v>
      </c>
      <c r="L104" t="s">
        <v>264</v>
      </c>
      <c r="M104" t="s">
        <v>265</v>
      </c>
      <c r="N104" t="s">
        <v>940</v>
      </c>
      <c r="O104" t="s">
        <v>267</v>
      </c>
      <c r="P104" s="885">
        <v>45924.95815972222</v>
      </c>
      <c r="Q104" t="s">
        <v>268</v>
      </c>
      <c r="R104" t="s">
        <v>269</v>
      </c>
    </row>
    <row r="105" spans="1:18" x14ac:dyDescent="0.15">
      <c r="A105" s="788">
        <v>6858947324</v>
      </c>
      <c r="B105" t="s">
        <v>950</v>
      </c>
      <c r="C105" s="884">
        <v>46015</v>
      </c>
      <c r="D105" s="884">
        <v>46017</v>
      </c>
      <c r="E105" t="s">
        <v>314</v>
      </c>
      <c r="F105" t="s">
        <v>315</v>
      </c>
      <c r="H105" t="s">
        <v>951</v>
      </c>
      <c r="I105" s="885">
        <v>45881.734513888892</v>
      </c>
      <c r="L105" t="s">
        <v>274</v>
      </c>
      <c r="M105" t="s">
        <v>265</v>
      </c>
      <c r="N105" t="s">
        <v>952</v>
      </c>
      <c r="O105" t="s">
        <v>267</v>
      </c>
      <c r="P105" s="885">
        <v>45881.738518518519</v>
      </c>
      <c r="Q105" t="s">
        <v>268</v>
      </c>
      <c r="R105" t="s">
        <v>269</v>
      </c>
    </row>
    <row r="106" spans="1:18" x14ac:dyDescent="0.15">
      <c r="A106" s="788">
        <v>6955994990</v>
      </c>
      <c r="B106" t="s">
        <v>953</v>
      </c>
      <c r="C106" s="884">
        <v>46051</v>
      </c>
      <c r="D106" s="884">
        <v>46054</v>
      </c>
      <c r="E106" t="s">
        <v>314</v>
      </c>
      <c r="F106" t="s">
        <v>315</v>
      </c>
      <c r="H106" t="s">
        <v>954</v>
      </c>
      <c r="I106" s="885">
        <v>45882.711793981478</v>
      </c>
      <c r="K106" s="885">
        <v>45882.734270833331</v>
      </c>
      <c r="L106" t="s">
        <v>264</v>
      </c>
      <c r="M106" t="s">
        <v>292</v>
      </c>
      <c r="N106" t="s">
        <v>955</v>
      </c>
      <c r="O106" t="s">
        <v>267</v>
      </c>
      <c r="P106" s="885">
        <v>45882.737835648149</v>
      </c>
      <c r="Q106" t="s">
        <v>268</v>
      </c>
      <c r="R106" t="s">
        <v>269</v>
      </c>
    </row>
    <row r="107" spans="1:18" x14ac:dyDescent="0.15">
      <c r="A107" s="788">
        <v>6452095937</v>
      </c>
      <c r="B107" t="s">
        <v>956</v>
      </c>
      <c r="C107" s="884">
        <v>45883</v>
      </c>
      <c r="D107" s="884">
        <v>45884</v>
      </c>
      <c r="E107" t="s">
        <v>314</v>
      </c>
      <c r="F107" t="s">
        <v>315</v>
      </c>
      <c r="H107" t="s">
        <v>632</v>
      </c>
      <c r="I107" s="885">
        <v>45882.906342592592</v>
      </c>
      <c r="L107" t="s">
        <v>274</v>
      </c>
      <c r="M107" t="s">
        <v>265</v>
      </c>
      <c r="N107" t="s">
        <v>337</v>
      </c>
      <c r="O107" t="s">
        <v>267</v>
      </c>
      <c r="P107" s="885">
        <v>45882.910798611112</v>
      </c>
      <c r="Q107" t="s">
        <v>268</v>
      </c>
      <c r="R107" t="s">
        <v>269</v>
      </c>
    </row>
    <row r="108" spans="1:18" x14ac:dyDescent="0.15">
      <c r="A108" s="788">
        <v>6360666189</v>
      </c>
      <c r="B108" t="s">
        <v>963</v>
      </c>
      <c r="C108" s="884">
        <v>45922</v>
      </c>
      <c r="D108" s="884">
        <v>45924</v>
      </c>
      <c r="E108" t="s">
        <v>314</v>
      </c>
      <c r="F108" t="s">
        <v>315</v>
      </c>
      <c r="H108" t="s">
        <v>964</v>
      </c>
      <c r="I108" s="885">
        <v>45884.54582175926</v>
      </c>
      <c r="L108" t="s">
        <v>274</v>
      </c>
      <c r="M108" t="s">
        <v>279</v>
      </c>
      <c r="N108" t="s">
        <v>965</v>
      </c>
      <c r="O108" t="s">
        <v>267</v>
      </c>
      <c r="P108" s="885">
        <v>45884.550671296296</v>
      </c>
      <c r="Q108" t="s">
        <v>268</v>
      </c>
      <c r="R108" t="s">
        <v>269</v>
      </c>
    </row>
    <row r="109" spans="1:18" x14ac:dyDescent="0.15">
      <c r="A109" s="788">
        <v>6009854752</v>
      </c>
      <c r="B109" t="s">
        <v>966</v>
      </c>
      <c r="C109" s="884">
        <v>46032</v>
      </c>
      <c r="D109" s="884">
        <v>46034</v>
      </c>
      <c r="E109" t="s">
        <v>314</v>
      </c>
      <c r="F109" t="s">
        <v>315</v>
      </c>
      <c r="H109" t="s">
        <v>951</v>
      </c>
      <c r="I109" s="885">
        <v>45886.48945601852</v>
      </c>
      <c r="L109" t="s">
        <v>274</v>
      </c>
      <c r="M109" t="s">
        <v>265</v>
      </c>
      <c r="N109" t="s">
        <v>967</v>
      </c>
      <c r="O109" t="s">
        <v>267</v>
      </c>
      <c r="P109" s="885">
        <v>45886.491412037038</v>
      </c>
      <c r="Q109" t="s">
        <v>268</v>
      </c>
      <c r="R109" t="s">
        <v>269</v>
      </c>
    </row>
    <row r="110" spans="1:18" x14ac:dyDescent="0.15">
      <c r="A110" s="788">
        <v>5251976612</v>
      </c>
      <c r="B110" t="s">
        <v>968</v>
      </c>
      <c r="C110" s="884">
        <v>45946</v>
      </c>
      <c r="D110" s="884">
        <v>45947</v>
      </c>
      <c r="E110" t="s">
        <v>314</v>
      </c>
      <c r="F110" t="s">
        <v>315</v>
      </c>
      <c r="H110" t="s">
        <v>969</v>
      </c>
      <c r="I110" s="885">
        <v>45886.540555555555</v>
      </c>
      <c r="L110" t="s">
        <v>274</v>
      </c>
      <c r="M110" t="s">
        <v>292</v>
      </c>
      <c r="N110" t="s">
        <v>970</v>
      </c>
      <c r="O110" t="s">
        <v>267</v>
      </c>
      <c r="P110" s="885">
        <v>45886.545439814814</v>
      </c>
      <c r="Q110" t="s">
        <v>268</v>
      </c>
      <c r="R110" t="s">
        <v>269</v>
      </c>
    </row>
    <row r="111" spans="1:18" x14ac:dyDescent="0.15">
      <c r="A111" s="788">
        <v>5446982569</v>
      </c>
      <c r="B111" t="s">
        <v>974</v>
      </c>
      <c r="C111" s="884">
        <v>45890</v>
      </c>
      <c r="D111" s="884">
        <v>45895</v>
      </c>
      <c r="E111" t="s">
        <v>314</v>
      </c>
      <c r="F111" t="s">
        <v>315</v>
      </c>
      <c r="H111" t="s">
        <v>513</v>
      </c>
      <c r="I111" s="885">
        <v>45886.737372685187</v>
      </c>
      <c r="L111" t="s">
        <v>274</v>
      </c>
      <c r="M111" t="s">
        <v>265</v>
      </c>
      <c r="N111" t="s">
        <v>975</v>
      </c>
      <c r="O111" t="s">
        <v>267</v>
      </c>
      <c r="P111" s="885">
        <v>45886.740636574075</v>
      </c>
      <c r="Q111" t="s">
        <v>268</v>
      </c>
      <c r="R111" t="s">
        <v>269</v>
      </c>
    </row>
    <row r="112" spans="1:18" x14ac:dyDescent="0.15">
      <c r="A112" s="788">
        <v>6257201117</v>
      </c>
      <c r="B112" t="s">
        <v>976</v>
      </c>
      <c r="C112" s="884">
        <v>46101</v>
      </c>
      <c r="D112" s="884">
        <v>46105</v>
      </c>
      <c r="E112" t="s">
        <v>314</v>
      </c>
      <c r="F112" t="s">
        <v>315</v>
      </c>
      <c r="H112" t="s">
        <v>977</v>
      </c>
      <c r="I112" s="885">
        <v>45886.798368055555</v>
      </c>
      <c r="K112" s="885">
        <v>46018.173796296294</v>
      </c>
      <c r="L112" t="s">
        <v>264</v>
      </c>
      <c r="M112" t="s">
        <v>265</v>
      </c>
      <c r="N112" t="s">
        <v>978</v>
      </c>
      <c r="O112" t="s">
        <v>267</v>
      </c>
      <c r="P112" s="885">
        <v>46018.178726851853</v>
      </c>
      <c r="Q112" t="s">
        <v>268</v>
      </c>
      <c r="R112" t="s">
        <v>269</v>
      </c>
    </row>
    <row r="113" spans="1:18" x14ac:dyDescent="0.15">
      <c r="A113" s="788">
        <v>5988538753</v>
      </c>
      <c r="B113" t="s">
        <v>985</v>
      </c>
      <c r="C113" s="884">
        <v>45958</v>
      </c>
      <c r="D113" s="884">
        <v>45960</v>
      </c>
      <c r="E113" t="s">
        <v>314</v>
      </c>
      <c r="F113" t="s">
        <v>315</v>
      </c>
      <c r="H113" t="s">
        <v>758</v>
      </c>
      <c r="I113" s="885">
        <v>45887.766840277778</v>
      </c>
      <c r="J113" s="885">
        <v>45924.411099537036</v>
      </c>
      <c r="K113" s="885">
        <v>45927.001620370371</v>
      </c>
      <c r="L113" t="s">
        <v>264</v>
      </c>
      <c r="M113" t="s">
        <v>265</v>
      </c>
      <c r="N113" t="s">
        <v>986</v>
      </c>
      <c r="O113" t="s">
        <v>267</v>
      </c>
      <c r="P113" s="885">
        <v>45927.005486111113</v>
      </c>
      <c r="Q113" t="s">
        <v>268</v>
      </c>
      <c r="R113" t="s">
        <v>269</v>
      </c>
    </row>
    <row r="114" spans="1:18" x14ac:dyDescent="0.15">
      <c r="A114" s="788">
        <v>5950133898</v>
      </c>
      <c r="B114" t="s">
        <v>987</v>
      </c>
      <c r="C114" s="884">
        <v>46015</v>
      </c>
      <c r="D114" s="884">
        <v>46018</v>
      </c>
      <c r="E114" t="s">
        <v>314</v>
      </c>
      <c r="F114" t="s">
        <v>315</v>
      </c>
      <c r="H114" t="s">
        <v>537</v>
      </c>
      <c r="I114" s="885">
        <v>45888.569374999999</v>
      </c>
      <c r="K114" s="885">
        <v>45888.588877314818</v>
      </c>
      <c r="L114" t="s">
        <v>264</v>
      </c>
      <c r="M114" t="s">
        <v>265</v>
      </c>
      <c r="N114" t="s">
        <v>607</v>
      </c>
      <c r="O114" t="s">
        <v>267</v>
      </c>
      <c r="P114" s="885">
        <v>45888.594236111108</v>
      </c>
      <c r="Q114" t="s">
        <v>268</v>
      </c>
      <c r="R114" t="s">
        <v>269</v>
      </c>
    </row>
    <row r="115" spans="1:18" x14ac:dyDescent="0.15">
      <c r="A115" s="788">
        <v>6505083608</v>
      </c>
      <c r="B115" t="s">
        <v>993</v>
      </c>
      <c r="C115" s="884">
        <v>45977</v>
      </c>
      <c r="D115" s="884">
        <v>45981</v>
      </c>
      <c r="E115" t="s">
        <v>314</v>
      </c>
      <c r="F115" t="s">
        <v>315</v>
      </c>
      <c r="H115" t="s">
        <v>951</v>
      </c>
      <c r="I115" s="885">
        <v>45889.428969907407</v>
      </c>
      <c r="L115" t="s">
        <v>274</v>
      </c>
      <c r="M115" t="s">
        <v>279</v>
      </c>
      <c r="N115" t="s">
        <v>994</v>
      </c>
      <c r="O115" t="s">
        <v>267</v>
      </c>
      <c r="P115" s="885">
        <v>45889.432175925926</v>
      </c>
      <c r="Q115" t="s">
        <v>268</v>
      </c>
      <c r="R115" t="s">
        <v>269</v>
      </c>
    </row>
    <row r="116" spans="1:18" x14ac:dyDescent="0.15">
      <c r="A116" s="788">
        <v>6186388339</v>
      </c>
      <c r="B116" t="s">
        <v>995</v>
      </c>
      <c r="C116" s="884">
        <v>46086</v>
      </c>
      <c r="D116" s="884">
        <v>46089</v>
      </c>
      <c r="E116" t="s">
        <v>314</v>
      </c>
      <c r="F116" t="s">
        <v>315</v>
      </c>
      <c r="H116" t="s">
        <v>951</v>
      </c>
      <c r="I116" s="885">
        <v>45889.437106481484</v>
      </c>
      <c r="L116" t="s">
        <v>274</v>
      </c>
      <c r="M116" t="s">
        <v>265</v>
      </c>
      <c r="N116" t="s">
        <v>996</v>
      </c>
      <c r="O116" t="s">
        <v>267</v>
      </c>
      <c r="P116" s="885">
        <v>45889.442673611113</v>
      </c>
      <c r="Q116" t="s">
        <v>268</v>
      </c>
      <c r="R116" t="s">
        <v>269</v>
      </c>
    </row>
    <row r="117" spans="1:18" x14ac:dyDescent="0.15">
      <c r="A117" s="788">
        <v>6054547312</v>
      </c>
      <c r="B117" t="s">
        <v>997</v>
      </c>
      <c r="C117" s="884">
        <v>45976</v>
      </c>
      <c r="D117" s="884">
        <v>45981</v>
      </c>
      <c r="E117" t="s">
        <v>314</v>
      </c>
      <c r="F117" t="s">
        <v>315</v>
      </c>
      <c r="H117" t="s">
        <v>951</v>
      </c>
      <c r="I117" s="885">
        <v>45889.514513888891</v>
      </c>
      <c r="L117" t="s">
        <v>274</v>
      </c>
      <c r="M117" t="s">
        <v>279</v>
      </c>
      <c r="N117" t="s">
        <v>998</v>
      </c>
      <c r="O117" t="s">
        <v>267</v>
      </c>
      <c r="P117" s="885">
        <v>45889.518460648149</v>
      </c>
      <c r="Q117" t="s">
        <v>268</v>
      </c>
      <c r="R117" t="s">
        <v>269</v>
      </c>
    </row>
    <row r="118" spans="1:18" x14ac:dyDescent="0.15">
      <c r="A118" s="788">
        <v>6537977332</v>
      </c>
      <c r="B118" t="s">
        <v>999</v>
      </c>
      <c r="C118" s="884">
        <v>46021</v>
      </c>
      <c r="D118" s="884">
        <v>46024</v>
      </c>
      <c r="E118" t="s">
        <v>314</v>
      </c>
      <c r="F118" t="s">
        <v>315</v>
      </c>
      <c r="H118" t="s">
        <v>537</v>
      </c>
      <c r="I118" s="885">
        <v>45889.644282407404</v>
      </c>
      <c r="K118" s="885">
        <v>45905.920428240737</v>
      </c>
      <c r="L118" t="s">
        <v>264</v>
      </c>
      <c r="M118" t="s">
        <v>265</v>
      </c>
      <c r="N118" t="s">
        <v>1000</v>
      </c>
      <c r="O118" t="s">
        <v>267</v>
      </c>
      <c r="P118" s="885">
        <v>45905.92528935185</v>
      </c>
      <c r="Q118" t="s">
        <v>268</v>
      </c>
      <c r="R118" t="s">
        <v>269</v>
      </c>
    </row>
    <row r="119" spans="1:18" x14ac:dyDescent="0.15">
      <c r="A119" s="788">
        <v>5770249526</v>
      </c>
      <c r="B119" t="s">
        <v>1026</v>
      </c>
      <c r="C119" s="884">
        <v>45934</v>
      </c>
      <c r="D119" s="884">
        <v>45937</v>
      </c>
      <c r="E119" t="s">
        <v>314</v>
      </c>
      <c r="F119" t="s">
        <v>315</v>
      </c>
      <c r="H119" t="s">
        <v>951</v>
      </c>
      <c r="I119" s="885">
        <v>45890.909351851849</v>
      </c>
      <c r="L119" t="s">
        <v>274</v>
      </c>
      <c r="M119" t="s">
        <v>265</v>
      </c>
      <c r="N119" t="s">
        <v>1027</v>
      </c>
      <c r="O119" t="s">
        <v>267</v>
      </c>
      <c r="P119" s="885">
        <v>45890.911666666667</v>
      </c>
      <c r="Q119" t="s">
        <v>268</v>
      </c>
      <c r="R119" t="s">
        <v>269</v>
      </c>
    </row>
    <row r="120" spans="1:18" x14ac:dyDescent="0.15">
      <c r="A120" s="788">
        <v>5814663687</v>
      </c>
      <c r="B120" t="s">
        <v>1031</v>
      </c>
      <c r="C120" s="884">
        <v>45891</v>
      </c>
      <c r="D120" s="884">
        <v>45892</v>
      </c>
      <c r="E120" t="s">
        <v>314</v>
      </c>
      <c r="F120" t="s">
        <v>315</v>
      </c>
      <c r="H120" t="s">
        <v>632</v>
      </c>
      <c r="I120" s="885">
        <v>45891.533020833333</v>
      </c>
      <c r="L120" t="s">
        <v>274</v>
      </c>
      <c r="M120" t="s">
        <v>279</v>
      </c>
      <c r="N120" t="s">
        <v>931</v>
      </c>
      <c r="O120" t="s">
        <v>267</v>
      </c>
      <c r="P120" s="885">
        <v>45891.534537037034</v>
      </c>
      <c r="Q120" t="s">
        <v>268</v>
      </c>
      <c r="R120" t="s">
        <v>269</v>
      </c>
    </row>
    <row r="121" spans="1:18" x14ac:dyDescent="0.15">
      <c r="A121" s="788">
        <v>6142092609</v>
      </c>
      <c r="B121" t="s">
        <v>1032</v>
      </c>
      <c r="C121" s="884">
        <v>45891</v>
      </c>
      <c r="D121" s="884">
        <v>45892</v>
      </c>
      <c r="E121" t="s">
        <v>314</v>
      </c>
      <c r="F121" t="s">
        <v>315</v>
      </c>
      <c r="H121" t="s">
        <v>632</v>
      </c>
      <c r="I121" s="885">
        <v>45891.739768518521</v>
      </c>
      <c r="L121" t="s">
        <v>274</v>
      </c>
      <c r="M121" t="s">
        <v>265</v>
      </c>
      <c r="N121" t="s">
        <v>931</v>
      </c>
      <c r="O121" t="s">
        <v>267</v>
      </c>
      <c r="P121" s="885">
        <v>45891.745057870372</v>
      </c>
      <c r="Q121" t="s">
        <v>268</v>
      </c>
      <c r="R121" t="s">
        <v>269</v>
      </c>
    </row>
    <row r="122" spans="1:18" x14ac:dyDescent="0.15">
      <c r="A122" s="788">
        <v>6409712500</v>
      </c>
      <c r="B122" t="s">
        <v>1033</v>
      </c>
      <c r="C122" s="884">
        <v>46026</v>
      </c>
      <c r="D122" s="884">
        <v>46028</v>
      </c>
      <c r="E122" t="s">
        <v>314</v>
      </c>
      <c r="F122" t="s">
        <v>315</v>
      </c>
      <c r="H122" t="s">
        <v>951</v>
      </c>
      <c r="I122" s="885">
        <v>45891.977303240739</v>
      </c>
      <c r="L122" t="s">
        <v>274</v>
      </c>
      <c r="M122" t="s">
        <v>265</v>
      </c>
      <c r="N122" t="s">
        <v>1034</v>
      </c>
      <c r="O122" t="s">
        <v>267</v>
      </c>
      <c r="P122" s="885">
        <v>45891.980312500003</v>
      </c>
      <c r="Q122" t="s">
        <v>268</v>
      </c>
      <c r="R122" t="s">
        <v>269</v>
      </c>
    </row>
    <row r="123" spans="1:18" x14ac:dyDescent="0.15">
      <c r="A123" s="788">
        <v>5275543003</v>
      </c>
      <c r="B123" t="s">
        <v>1035</v>
      </c>
      <c r="C123" s="884">
        <v>45892</v>
      </c>
      <c r="D123" s="884">
        <v>45893</v>
      </c>
      <c r="E123" t="s">
        <v>314</v>
      </c>
      <c r="F123" t="s">
        <v>315</v>
      </c>
      <c r="H123" t="s">
        <v>1036</v>
      </c>
      <c r="I123" s="885">
        <v>45892.768946759257</v>
      </c>
      <c r="L123" t="s">
        <v>274</v>
      </c>
      <c r="M123" s="884">
        <v>36527</v>
      </c>
      <c r="N123" t="s">
        <v>1037</v>
      </c>
      <c r="O123" t="s">
        <v>267</v>
      </c>
      <c r="P123" s="885">
        <v>45892.772962962961</v>
      </c>
      <c r="Q123" t="s">
        <v>268</v>
      </c>
      <c r="R123" t="s">
        <v>269</v>
      </c>
    </row>
    <row r="124" spans="1:18" x14ac:dyDescent="0.15">
      <c r="A124" s="788">
        <v>5914605650</v>
      </c>
      <c r="B124" t="s">
        <v>1038</v>
      </c>
      <c r="C124" s="884">
        <v>46085</v>
      </c>
      <c r="D124" s="884">
        <v>46089</v>
      </c>
      <c r="E124" t="s">
        <v>314</v>
      </c>
      <c r="F124" t="s">
        <v>315</v>
      </c>
      <c r="H124" t="s">
        <v>1039</v>
      </c>
      <c r="I124" s="885">
        <v>45892.836157407408</v>
      </c>
      <c r="L124" t="s">
        <v>274</v>
      </c>
      <c r="M124" t="s">
        <v>265</v>
      </c>
      <c r="N124" t="s">
        <v>1040</v>
      </c>
      <c r="O124" t="s">
        <v>267</v>
      </c>
      <c r="P124" s="885">
        <v>45892.84065972222</v>
      </c>
      <c r="Q124" t="s">
        <v>268</v>
      </c>
      <c r="R124" t="s">
        <v>269</v>
      </c>
    </row>
    <row r="125" spans="1:18" x14ac:dyDescent="0.15">
      <c r="A125" s="788">
        <v>6001655331</v>
      </c>
      <c r="B125" t="s">
        <v>1041</v>
      </c>
      <c r="C125" s="884">
        <v>45935</v>
      </c>
      <c r="D125" s="884">
        <v>45937</v>
      </c>
      <c r="E125" t="s">
        <v>314</v>
      </c>
      <c r="F125" t="s">
        <v>315</v>
      </c>
      <c r="H125" t="s">
        <v>1039</v>
      </c>
      <c r="I125" s="885">
        <v>45892.968402777777</v>
      </c>
      <c r="L125" t="s">
        <v>274</v>
      </c>
      <c r="M125" s="884">
        <v>36558</v>
      </c>
      <c r="N125" t="s">
        <v>1042</v>
      </c>
      <c r="O125" t="s">
        <v>267</v>
      </c>
      <c r="P125" s="885">
        <v>45892.970972222225</v>
      </c>
      <c r="Q125" t="s">
        <v>268</v>
      </c>
      <c r="R125" t="s">
        <v>269</v>
      </c>
    </row>
    <row r="126" spans="1:18" x14ac:dyDescent="0.15">
      <c r="A126" s="788">
        <v>6235768414</v>
      </c>
      <c r="B126" t="s">
        <v>1043</v>
      </c>
      <c r="C126" s="884">
        <v>45947</v>
      </c>
      <c r="D126" s="884">
        <v>45949</v>
      </c>
      <c r="E126" t="s">
        <v>314</v>
      </c>
      <c r="F126" t="s">
        <v>315</v>
      </c>
      <c r="H126" t="s">
        <v>1044</v>
      </c>
    </row>
    <row r="127" spans="1:18" x14ac:dyDescent="0.15">
      <c r="A127" s="788">
        <v>6782593256</v>
      </c>
      <c r="B127" t="s">
        <v>1047</v>
      </c>
      <c r="C127" s="884">
        <v>46062</v>
      </c>
      <c r="D127" s="884">
        <v>46063</v>
      </c>
      <c r="E127" t="s">
        <v>314</v>
      </c>
      <c r="F127" t="s">
        <v>315</v>
      </c>
      <c r="H127" t="s">
        <v>316</v>
      </c>
      <c r="I127" s="885">
        <v>45894.40960648148</v>
      </c>
      <c r="L127" t="s">
        <v>274</v>
      </c>
      <c r="M127" s="884">
        <v>36527</v>
      </c>
      <c r="N127" t="s">
        <v>1048</v>
      </c>
      <c r="O127" t="s">
        <v>267</v>
      </c>
      <c r="P127" s="885">
        <v>45894.413078703707</v>
      </c>
      <c r="Q127" t="s">
        <v>268</v>
      </c>
      <c r="R127" t="s">
        <v>269</v>
      </c>
    </row>
    <row r="128" spans="1:18" x14ac:dyDescent="0.15">
      <c r="A128" s="788">
        <v>5606458565</v>
      </c>
      <c r="B128" t="s">
        <v>1076</v>
      </c>
      <c r="C128" s="884">
        <v>46082</v>
      </c>
      <c r="D128" s="884">
        <v>46085</v>
      </c>
      <c r="E128" t="s">
        <v>314</v>
      </c>
      <c r="F128" t="s">
        <v>315</v>
      </c>
      <c r="H128" t="s">
        <v>1077</v>
      </c>
      <c r="I128" s="885">
        <v>45895.585902777777</v>
      </c>
      <c r="J128" s="885">
        <v>46029.938877314817</v>
      </c>
      <c r="L128" t="s">
        <v>720</v>
      </c>
      <c r="M128" t="s">
        <v>265</v>
      </c>
      <c r="N128" t="s">
        <v>1078</v>
      </c>
      <c r="O128" t="s">
        <v>267</v>
      </c>
      <c r="P128" s="885">
        <v>46029.942187499997</v>
      </c>
      <c r="Q128" t="s">
        <v>268</v>
      </c>
      <c r="R128" t="s">
        <v>269</v>
      </c>
    </row>
    <row r="129" spans="1:18" x14ac:dyDescent="0.15">
      <c r="A129" s="788">
        <v>6649123071</v>
      </c>
      <c r="B129" t="s">
        <v>1082</v>
      </c>
      <c r="C129" s="884">
        <v>45899</v>
      </c>
      <c r="D129" s="884">
        <v>45900</v>
      </c>
      <c r="E129" t="s">
        <v>314</v>
      </c>
      <c r="F129" t="s">
        <v>315</v>
      </c>
      <c r="H129" t="s">
        <v>336</v>
      </c>
      <c r="I129" s="885">
        <v>45896.552569444444</v>
      </c>
      <c r="L129" t="s">
        <v>274</v>
      </c>
      <c r="M129" t="s">
        <v>265</v>
      </c>
      <c r="N129" t="s">
        <v>931</v>
      </c>
      <c r="O129" t="s">
        <v>267</v>
      </c>
      <c r="P129" s="885">
        <v>45896.55741898148</v>
      </c>
      <c r="Q129" t="s">
        <v>268</v>
      </c>
      <c r="R129" t="s">
        <v>269</v>
      </c>
    </row>
    <row r="130" spans="1:18" x14ac:dyDescent="0.15">
      <c r="A130" s="788">
        <v>6972831263</v>
      </c>
      <c r="B130" t="s">
        <v>1092</v>
      </c>
      <c r="C130" s="884">
        <v>46071</v>
      </c>
      <c r="D130" s="884">
        <v>46074</v>
      </c>
      <c r="E130" t="s">
        <v>314</v>
      </c>
      <c r="F130" t="s">
        <v>315</v>
      </c>
      <c r="H130" t="s">
        <v>964</v>
      </c>
      <c r="I130" s="885">
        <v>45897.421319444446</v>
      </c>
      <c r="J130" s="885">
        <v>45930.711712962962</v>
      </c>
      <c r="K130" s="885">
        <v>46063.000763888886</v>
      </c>
      <c r="L130" t="s">
        <v>264</v>
      </c>
      <c r="M130" t="s">
        <v>265</v>
      </c>
      <c r="N130" t="s">
        <v>1093</v>
      </c>
      <c r="O130" t="s">
        <v>730</v>
      </c>
      <c r="P130" s="885">
        <v>46063.006516203706</v>
      </c>
      <c r="Q130" t="s">
        <v>268</v>
      </c>
      <c r="R130" t="s">
        <v>269</v>
      </c>
    </row>
    <row r="131" spans="1:18" x14ac:dyDescent="0.15">
      <c r="A131" s="788">
        <v>6483758734</v>
      </c>
      <c r="B131" t="s">
        <v>1103</v>
      </c>
      <c r="C131" s="884">
        <v>45920</v>
      </c>
      <c r="D131" s="884">
        <v>45921</v>
      </c>
      <c r="E131" t="s">
        <v>314</v>
      </c>
      <c r="F131" t="s">
        <v>315</v>
      </c>
      <c r="H131" t="s">
        <v>336</v>
      </c>
      <c r="I131" s="885">
        <v>45897.553587962961</v>
      </c>
      <c r="J131" s="885">
        <v>45925.672812500001</v>
      </c>
      <c r="L131" t="s">
        <v>720</v>
      </c>
      <c r="M131" t="s">
        <v>265</v>
      </c>
      <c r="N131" t="s">
        <v>1104</v>
      </c>
      <c r="O131" t="s">
        <v>730</v>
      </c>
      <c r="P131" s="885">
        <v>45925.674675925926</v>
      </c>
      <c r="Q131" t="s">
        <v>268</v>
      </c>
      <c r="R131" t="s">
        <v>269</v>
      </c>
    </row>
    <row r="132" spans="1:18" x14ac:dyDescent="0.15">
      <c r="A132" s="788">
        <v>6898942858</v>
      </c>
      <c r="B132" t="s">
        <v>1105</v>
      </c>
      <c r="C132" s="884">
        <v>46008</v>
      </c>
      <c r="D132" s="884">
        <v>46010</v>
      </c>
      <c r="E132" t="s">
        <v>314</v>
      </c>
      <c r="F132" t="s">
        <v>315</v>
      </c>
      <c r="H132" t="s">
        <v>682</v>
      </c>
      <c r="I132" s="885">
        <v>45897.787349537037</v>
      </c>
      <c r="J132" s="885">
        <v>45910.926064814812</v>
      </c>
      <c r="K132" s="885">
        <v>45933.586817129632</v>
      </c>
      <c r="L132" t="s">
        <v>264</v>
      </c>
      <c r="M132" s="884">
        <v>36558</v>
      </c>
      <c r="N132" t="s">
        <v>1106</v>
      </c>
      <c r="O132" t="s">
        <v>267</v>
      </c>
      <c r="P132" s="885">
        <v>45933.591157407405</v>
      </c>
      <c r="Q132" t="s">
        <v>268</v>
      </c>
      <c r="R132" t="s">
        <v>269</v>
      </c>
    </row>
    <row r="133" spans="1:18" x14ac:dyDescent="0.15">
      <c r="A133" s="788">
        <v>5505846267</v>
      </c>
      <c r="B133" t="s">
        <v>1114</v>
      </c>
      <c r="C133" s="884">
        <v>45920</v>
      </c>
      <c r="D133" s="884">
        <v>45930</v>
      </c>
      <c r="E133" t="s">
        <v>314</v>
      </c>
      <c r="F133" t="s">
        <v>315</v>
      </c>
      <c r="H133" t="s">
        <v>1115</v>
      </c>
      <c r="I133" s="885">
        <v>45898.272928240738</v>
      </c>
      <c r="J133" s="885">
        <v>45909.434583333335</v>
      </c>
      <c r="K133" s="885">
        <v>45909.482141203705</v>
      </c>
      <c r="L133" t="s">
        <v>264</v>
      </c>
      <c r="M133" t="s">
        <v>265</v>
      </c>
      <c r="N133" t="s">
        <v>1116</v>
      </c>
      <c r="O133" t="s">
        <v>267</v>
      </c>
      <c r="P133" s="885">
        <v>45909.48474537037</v>
      </c>
      <c r="Q133" t="s">
        <v>268</v>
      </c>
      <c r="R133" t="s">
        <v>269</v>
      </c>
    </row>
    <row r="134" spans="1:18" x14ac:dyDescent="0.15">
      <c r="A134" s="788">
        <v>5493139202</v>
      </c>
      <c r="B134" t="s">
        <v>1117</v>
      </c>
      <c r="C134" s="884">
        <v>46021</v>
      </c>
      <c r="D134" s="884">
        <v>46024</v>
      </c>
      <c r="E134" t="s">
        <v>314</v>
      </c>
      <c r="F134" t="s">
        <v>315</v>
      </c>
      <c r="H134" t="s">
        <v>1118</v>
      </c>
      <c r="I134" s="885">
        <v>45898.988194444442</v>
      </c>
      <c r="J134" s="885">
        <v>45929.531469907408</v>
      </c>
      <c r="K134" s="885">
        <v>45990.000648148147</v>
      </c>
      <c r="L134" t="s">
        <v>264</v>
      </c>
      <c r="M134" t="s">
        <v>774</v>
      </c>
      <c r="N134" t="s">
        <v>1119</v>
      </c>
      <c r="O134" t="s">
        <v>267</v>
      </c>
      <c r="P134" s="885">
        <v>45990.00372685185</v>
      </c>
      <c r="Q134" t="s">
        <v>268</v>
      </c>
      <c r="R134" t="s">
        <v>269</v>
      </c>
    </row>
    <row r="135" spans="1:18" x14ac:dyDescent="0.15">
      <c r="A135" s="788">
        <v>5122069108</v>
      </c>
      <c r="B135" t="s">
        <v>1120</v>
      </c>
      <c r="C135" s="884">
        <v>45995</v>
      </c>
      <c r="D135" s="884">
        <v>45998</v>
      </c>
      <c r="E135" t="s">
        <v>314</v>
      </c>
      <c r="F135" t="s">
        <v>315</v>
      </c>
      <c r="H135" t="s">
        <v>1039</v>
      </c>
      <c r="I135" s="885">
        <v>45900.878298611111</v>
      </c>
      <c r="J135" s="885">
        <v>45926.489930555559</v>
      </c>
      <c r="L135" t="s">
        <v>720</v>
      </c>
      <c r="M135" s="884">
        <v>36527</v>
      </c>
      <c r="N135" t="s">
        <v>1121</v>
      </c>
      <c r="O135" t="s">
        <v>267</v>
      </c>
      <c r="P135" s="885">
        <v>45926.492569444446</v>
      </c>
      <c r="Q135" t="s">
        <v>268</v>
      </c>
      <c r="R135" t="s">
        <v>269</v>
      </c>
    </row>
    <row r="136" spans="1:18" x14ac:dyDescent="0.15">
      <c r="A136" s="788">
        <v>5227118845</v>
      </c>
      <c r="B136" t="s">
        <v>1124</v>
      </c>
      <c r="C136" s="884">
        <v>46026</v>
      </c>
      <c r="D136" s="884">
        <v>46027</v>
      </c>
      <c r="E136" t="s">
        <v>314</v>
      </c>
      <c r="F136" t="s">
        <v>315</v>
      </c>
      <c r="H136" t="s">
        <v>537</v>
      </c>
      <c r="I136" s="885">
        <v>45901.480787037035</v>
      </c>
      <c r="J136" s="885">
        <v>45926.564722222225</v>
      </c>
      <c r="K136" s="885">
        <v>45995.00037037037</v>
      </c>
      <c r="L136" t="s">
        <v>264</v>
      </c>
      <c r="M136" t="s">
        <v>265</v>
      </c>
      <c r="N136" t="s">
        <v>1125</v>
      </c>
      <c r="O136" t="s">
        <v>267</v>
      </c>
      <c r="P136" s="885">
        <v>45995.005127314813</v>
      </c>
      <c r="Q136" t="s">
        <v>268</v>
      </c>
      <c r="R136" t="s">
        <v>269</v>
      </c>
    </row>
    <row r="137" spans="1:18" x14ac:dyDescent="0.15">
      <c r="A137" s="788">
        <v>5626813105</v>
      </c>
      <c r="B137" t="s">
        <v>1126</v>
      </c>
      <c r="C137" s="884">
        <v>46011</v>
      </c>
      <c r="D137" s="884">
        <v>46012</v>
      </c>
      <c r="E137" t="s">
        <v>314</v>
      </c>
      <c r="F137" t="s">
        <v>315</v>
      </c>
      <c r="H137" t="s">
        <v>935</v>
      </c>
      <c r="I137" s="885">
        <v>45901.652002314811</v>
      </c>
      <c r="K137" s="885">
        <v>45922.903553240743</v>
      </c>
      <c r="L137" t="s">
        <v>264</v>
      </c>
      <c r="M137" t="s">
        <v>279</v>
      </c>
      <c r="N137" t="s">
        <v>1127</v>
      </c>
      <c r="O137" t="s">
        <v>267</v>
      </c>
      <c r="P137" s="885">
        <v>45922.90730324074</v>
      </c>
      <c r="Q137" t="s">
        <v>268</v>
      </c>
      <c r="R137" t="s">
        <v>269</v>
      </c>
    </row>
    <row r="138" spans="1:18" x14ac:dyDescent="0.15">
      <c r="A138" s="788">
        <v>6403905455</v>
      </c>
      <c r="B138" t="s">
        <v>1131</v>
      </c>
      <c r="C138" s="884">
        <v>46023</v>
      </c>
      <c r="D138" s="884">
        <v>46025</v>
      </c>
      <c r="E138" t="s">
        <v>314</v>
      </c>
      <c r="F138" t="s">
        <v>315</v>
      </c>
      <c r="H138" t="s">
        <v>740</v>
      </c>
      <c r="I138" s="885">
        <v>45902.320405092592</v>
      </c>
      <c r="K138" s="885">
        <v>45913.846585648149</v>
      </c>
      <c r="L138" t="s">
        <v>264</v>
      </c>
      <c r="M138" s="884">
        <v>36527</v>
      </c>
      <c r="N138" t="s">
        <v>1132</v>
      </c>
      <c r="O138" t="s">
        <v>267</v>
      </c>
      <c r="P138" s="885">
        <v>45913.850659722222</v>
      </c>
      <c r="Q138" t="s">
        <v>268</v>
      </c>
      <c r="R138" t="s">
        <v>269</v>
      </c>
    </row>
    <row r="139" spans="1:18" x14ac:dyDescent="0.15">
      <c r="A139" s="788">
        <v>6734134899</v>
      </c>
      <c r="B139" t="s">
        <v>1133</v>
      </c>
      <c r="C139" s="884">
        <v>45960</v>
      </c>
      <c r="D139" s="884">
        <v>45962</v>
      </c>
      <c r="E139" t="s">
        <v>314</v>
      </c>
      <c r="F139" t="s">
        <v>315</v>
      </c>
      <c r="H139" t="s">
        <v>354</v>
      </c>
      <c r="I139" s="885">
        <v>45902.927974537037</v>
      </c>
      <c r="K139" s="885">
        <v>45909.407939814817</v>
      </c>
      <c r="L139" t="s">
        <v>264</v>
      </c>
      <c r="M139" t="s">
        <v>279</v>
      </c>
      <c r="N139" t="s">
        <v>1134</v>
      </c>
      <c r="O139" t="s">
        <v>267</v>
      </c>
      <c r="P139" s="885">
        <v>45909.412951388891</v>
      </c>
      <c r="Q139" t="s">
        <v>268</v>
      </c>
      <c r="R139" t="s">
        <v>269</v>
      </c>
    </row>
    <row r="140" spans="1:18" x14ac:dyDescent="0.15">
      <c r="A140" s="788">
        <v>5449092546</v>
      </c>
      <c r="B140" t="s">
        <v>1152</v>
      </c>
      <c r="C140" s="884">
        <v>46068</v>
      </c>
      <c r="D140" s="884">
        <v>46076</v>
      </c>
      <c r="E140" t="s">
        <v>314</v>
      </c>
      <c r="F140" t="s">
        <v>315</v>
      </c>
      <c r="H140" t="s">
        <v>354</v>
      </c>
      <c r="I140" s="885">
        <v>45903.789502314816</v>
      </c>
      <c r="L140" t="s">
        <v>274</v>
      </c>
      <c r="M140" t="s">
        <v>265</v>
      </c>
      <c r="N140" t="s">
        <v>1153</v>
      </c>
      <c r="O140" t="s">
        <v>267</v>
      </c>
      <c r="P140" s="885">
        <v>45903.791122685187</v>
      </c>
      <c r="Q140" t="s">
        <v>268</v>
      </c>
      <c r="R140" t="s">
        <v>269</v>
      </c>
    </row>
    <row r="141" spans="1:18" x14ac:dyDescent="0.15">
      <c r="A141" s="788">
        <v>6296555659</v>
      </c>
      <c r="B141" t="s">
        <v>1154</v>
      </c>
      <c r="C141" s="884">
        <v>46034</v>
      </c>
      <c r="D141" s="884">
        <v>46044</v>
      </c>
      <c r="E141" t="s">
        <v>314</v>
      </c>
      <c r="F141" t="s">
        <v>315</v>
      </c>
      <c r="H141" t="s">
        <v>1039</v>
      </c>
      <c r="I141" s="885">
        <v>45903.93954861111</v>
      </c>
      <c r="L141" t="s">
        <v>274</v>
      </c>
      <c r="M141" t="s">
        <v>265</v>
      </c>
      <c r="N141" t="s">
        <v>1155</v>
      </c>
      <c r="O141" t="s">
        <v>267</v>
      </c>
      <c r="P141" s="885">
        <v>45903.94226851852</v>
      </c>
      <c r="Q141" t="s">
        <v>268</v>
      </c>
      <c r="R141" t="s">
        <v>269</v>
      </c>
    </row>
    <row r="142" spans="1:18" x14ac:dyDescent="0.15">
      <c r="A142" s="788">
        <v>5781357464</v>
      </c>
      <c r="B142" t="s">
        <v>1164</v>
      </c>
      <c r="C142" s="884">
        <v>46043</v>
      </c>
      <c r="D142" s="884">
        <v>46045</v>
      </c>
      <c r="E142" t="s">
        <v>314</v>
      </c>
      <c r="F142" t="s">
        <v>315</v>
      </c>
      <c r="H142" t="s">
        <v>1165</v>
      </c>
      <c r="I142" s="885">
        <v>45904.400543981479</v>
      </c>
      <c r="J142" s="885">
        <v>45989.865023148152</v>
      </c>
      <c r="L142" t="s">
        <v>720</v>
      </c>
      <c r="M142" t="s">
        <v>265</v>
      </c>
      <c r="N142" t="s">
        <v>1166</v>
      </c>
      <c r="O142" t="s">
        <v>267</v>
      </c>
      <c r="P142" s="885">
        <v>45989.868946759256</v>
      </c>
      <c r="Q142" t="s">
        <v>268</v>
      </c>
      <c r="R142" t="s">
        <v>269</v>
      </c>
    </row>
    <row r="143" spans="1:18" x14ac:dyDescent="0.15">
      <c r="A143" s="788">
        <v>5475243907</v>
      </c>
      <c r="B143" t="s">
        <v>1167</v>
      </c>
      <c r="C143" s="884">
        <v>45940</v>
      </c>
      <c r="D143" s="884">
        <v>45941</v>
      </c>
      <c r="E143" t="s">
        <v>314</v>
      </c>
      <c r="F143" t="s">
        <v>315</v>
      </c>
      <c r="H143" t="s">
        <v>1168</v>
      </c>
      <c r="I143" s="885">
        <v>45904.456365740742</v>
      </c>
      <c r="J143" s="885">
        <v>45905.657719907409</v>
      </c>
      <c r="L143" t="s">
        <v>720</v>
      </c>
      <c r="M143" t="s">
        <v>265</v>
      </c>
      <c r="N143" t="s">
        <v>1169</v>
      </c>
      <c r="O143" t="s">
        <v>267</v>
      </c>
      <c r="P143" s="885">
        <v>45905.662141203706</v>
      </c>
      <c r="Q143" t="s">
        <v>268</v>
      </c>
      <c r="R143" t="s">
        <v>269</v>
      </c>
    </row>
    <row r="144" spans="1:18" x14ac:dyDescent="0.15">
      <c r="A144" s="788">
        <v>5276706416</v>
      </c>
      <c r="B144" t="s">
        <v>1170</v>
      </c>
      <c r="C144" s="884">
        <v>45956</v>
      </c>
      <c r="D144" s="884">
        <v>45958</v>
      </c>
      <c r="E144" t="s">
        <v>314</v>
      </c>
      <c r="F144" t="s">
        <v>315</v>
      </c>
      <c r="H144" t="s">
        <v>1171</v>
      </c>
      <c r="I144" s="885">
        <v>45904.904039351852</v>
      </c>
      <c r="L144" t="s">
        <v>274</v>
      </c>
      <c r="M144" t="s">
        <v>510</v>
      </c>
      <c r="N144" t="s">
        <v>1172</v>
      </c>
      <c r="O144" t="s">
        <v>267</v>
      </c>
      <c r="P144" s="885">
        <v>45904.908379629633</v>
      </c>
      <c r="Q144" t="s">
        <v>268</v>
      </c>
      <c r="R144" t="s">
        <v>269</v>
      </c>
    </row>
    <row r="145" spans="1:18" x14ac:dyDescent="0.15">
      <c r="A145" s="788">
        <v>5859291752</v>
      </c>
      <c r="B145" t="s">
        <v>1180</v>
      </c>
      <c r="C145" s="884">
        <v>46100</v>
      </c>
      <c r="D145" s="884">
        <v>46103</v>
      </c>
      <c r="E145" t="s">
        <v>314</v>
      </c>
      <c r="F145" t="s">
        <v>315</v>
      </c>
      <c r="H145" t="s">
        <v>1168</v>
      </c>
      <c r="I145" s="885">
        <v>45907.601423611108</v>
      </c>
      <c r="L145" t="s">
        <v>274</v>
      </c>
      <c r="M145" t="s">
        <v>265</v>
      </c>
      <c r="N145" t="s">
        <v>1181</v>
      </c>
      <c r="O145" t="s">
        <v>267</v>
      </c>
      <c r="P145" s="885">
        <v>45907.603888888887</v>
      </c>
      <c r="Q145" t="s">
        <v>268</v>
      </c>
      <c r="R145" t="s">
        <v>269</v>
      </c>
    </row>
    <row r="146" spans="1:18" x14ac:dyDescent="0.15">
      <c r="A146" s="788">
        <v>5201748200</v>
      </c>
      <c r="B146" t="s">
        <v>1182</v>
      </c>
      <c r="C146" s="884">
        <v>45954</v>
      </c>
      <c r="D146" s="884">
        <v>45955</v>
      </c>
      <c r="E146" t="s">
        <v>314</v>
      </c>
      <c r="F146" t="s">
        <v>315</v>
      </c>
      <c r="H146" t="s">
        <v>1168</v>
      </c>
      <c r="I146" s="885">
        <v>45908.039270833331</v>
      </c>
      <c r="L146" t="s">
        <v>274</v>
      </c>
      <c r="M146" s="884">
        <v>36527</v>
      </c>
      <c r="N146" t="s">
        <v>1183</v>
      </c>
      <c r="O146" t="s">
        <v>267</v>
      </c>
      <c r="P146" s="885">
        <v>45908.041956018518</v>
      </c>
      <c r="Q146" t="s">
        <v>268</v>
      </c>
      <c r="R146" t="s">
        <v>269</v>
      </c>
    </row>
    <row r="147" spans="1:18" x14ac:dyDescent="0.15">
      <c r="A147" s="788">
        <v>6244843187</v>
      </c>
      <c r="B147" t="s">
        <v>1188</v>
      </c>
      <c r="C147" s="884">
        <v>46001</v>
      </c>
      <c r="D147" s="884">
        <v>46003</v>
      </c>
      <c r="E147" t="s">
        <v>314</v>
      </c>
      <c r="F147" t="s">
        <v>315</v>
      </c>
      <c r="H147" t="s">
        <v>1168</v>
      </c>
      <c r="I147" s="885">
        <v>45909.774629629632</v>
      </c>
      <c r="L147" t="s">
        <v>274</v>
      </c>
      <c r="M147" s="884">
        <v>36527</v>
      </c>
      <c r="N147" t="s">
        <v>1189</v>
      </c>
      <c r="O147" t="s">
        <v>267</v>
      </c>
      <c r="P147" s="885">
        <v>45909.777650462966</v>
      </c>
      <c r="Q147" t="s">
        <v>268</v>
      </c>
      <c r="R147" t="s">
        <v>269</v>
      </c>
    </row>
    <row r="148" spans="1:18" x14ac:dyDescent="0.15">
      <c r="A148" s="788">
        <v>5332497535</v>
      </c>
      <c r="B148" t="s">
        <v>1191</v>
      </c>
      <c r="C148" s="884">
        <v>45940</v>
      </c>
      <c r="D148" s="884">
        <v>45943</v>
      </c>
      <c r="E148" t="s">
        <v>314</v>
      </c>
      <c r="F148" t="s">
        <v>315</v>
      </c>
      <c r="H148" t="s">
        <v>951</v>
      </c>
      <c r="I148" s="885">
        <v>45910.603831018518</v>
      </c>
      <c r="L148" t="s">
        <v>274</v>
      </c>
      <c r="M148" t="s">
        <v>265</v>
      </c>
      <c r="N148" t="s">
        <v>1027</v>
      </c>
      <c r="O148" t="s">
        <v>267</v>
      </c>
      <c r="P148" s="885">
        <v>45910.606759259259</v>
      </c>
      <c r="Q148" t="s">
        <v>268</v>
      </c>
      <c r="R148" t="s">
        <v>269</v>
      </c>
    </row>
    <row r="149" spans="1:18" x14ac:dyDescent="0.15">
      <c r="A149" s="788">
        <v>6134523248</v>
      </c>
      <c r="B149" t="s">
        <v>1203</v>
      </c>
      <c r="C149" s="884">
        <v>45980</v>
      </c>
      <c r="D149" s="884">
        <v>45981</v>
      </c>
      <c r="E149" t="s">
        <v>314</v>
      </c>
      <c r="F149" t="s">
        <v>315</v>
      </c>
      <c r="H149" t="s">
        <v>758</v>
      </c>
      <c r="I149" s="885">
        <v>45911.82608796296</v>
      </c>
      <c r="K149" s="885">
        <v>45920.909687500003</v>
      </c>
      <c r="L149" t="s">
        <v>264</v>
      </c>
      <c r="M149" t="s">
        <v>265</v>
      </c>
      <c r="N149" t="s">
        <v>1204</v>
      </c>
      <c r="O149" t="s">
        <v>267</v>
      </c>
      <c r="P149" s="885">
        <v>45920.914641203701</v>
      </c>
      <c r="Q149" t="s">
        <v>268</v>
      </c>
      <c r="R149" t="s">
        <v>269</v>
      </c>
    </row>
    <row r="150" spans="1:18" x14ac:dyDescent="0.15">
      <c r="A150" s="788">
        <v>5541113161</v>
      </c>
      <c r="B150" t="s">
        <v>1221</v>
      </c>
      <c r="C150" s="884">
        <v>46117</v>
      </c>
      <c r="D150" s="884">
        <v>46120</v>
      </c>
      <c r="E150" t="s">
        <v>314</v>
      </c>
      <c r="F150" t="s">
        <v>315</v>
      </c>
      <c r="H150" t="s">
        <v>935</v>
      </c>
      <c r="I150" s="885">
        <v>45912.657627314817</v>
      </c>
      <c r="K150" s="885">
        <v>46068.601122685184</v>
      </c>
      <c r="L150" t="s">
        <v>264</v>
      </c>
      <c r="M150" t="s">
        <v>265</v>
      </c>
      <c r="N150" t="s">
        <v>1222</v>
      </c>
      <c r="O150" t="s">
        <v>267</v>
      </c>
      <c r="P150" s="885">
        <v>46068.604479166665</v>
      </c>
      <c r="Q150" t="s">
        <v>268</v>
      </c>
      <c r="R150" t="s">
        <v>269</v>
      </c>
    </row>
    <row r="151" spans="1:18" x14ac:dyDescent="0.15">
      <c r="A151" s="788">
        <v>5447162266</v>
      </c>
      <c r="B151" t="s">
        <v>1223</v>
      </c>
      <c r="C151" s="884">
        <v>46031</v>
      </c>
      <c r="D151" s="884">
        <v>46033</v>
      </c>
      <c r="E151" t="s">
        <v>314</v>
      </c>
      <c r="F151" t="s">
        <v>315</v>
      </c>
      <c r="H151" t="s">
        <v>516</v>
      </c>
      <c r="I151" s="885">
        <v>45912.942013888889</v>
      </c>
      <c r="L151" t="s">
        <v>274</v>
      </c>
      <c r="M151" t="s">
        <v>265</v>
      </c>
      <c r="N151" t="s">
        <v>386</v>
      </c>
      <c r="O151" t="s">
        <v>267</v>
      </c>
      <c r="P151" s="885">
        <v>45912.94431712963</v>
      </c>
      <c r="Q151" t="s">
        <v>268</v>
      </c>
      <c r="R151" t="s">
        <v>269</v>
      </c>
    </row>
    <row r="152" spans="1:18" x14ac:dyDescent="0.15">
      <c r="A152" s="788">
        <v>5315878817</v>
      </c>
      <c r="B152" t="s">
        <v>1228</v>
      </c>
      <c r="C152" s="884">
        <v>45921</v>
      </c>
      <c r="D152" s="884">
        <v>45922</v>
      </c>
      <c r="E152" t="s">
        <v>314</v>
      </c>
      <c r="F152" t="s">
        <v>315</v>
      </c>
      <c r="H152" t="s">
        <v>336</v>
      </c>
      <c r="I152" s="885">
        <v>45914.433541666665</v>
      </c>
      <c r="L152" t="s">
        <v>274</v>
      </c>
      <c r="M152" t="s">
        <v>265</v>
      </c>
      <c r="N152" t="s">
        <v>1229</v>
      </c>
      <c r="O152" t="s">
        <v>267</v>
      </c>
      <c r="P152" s="885">
        <v>45914.436377314814</v>
      </c>
      <c r="Q152" t="s">
        <v>268</v>
      </c>
      <c r="R152" t="s">
        <v>269</v>
      </c>
    </row>
    <row r="153" spans="1:18" x14ac:dyDescent="0.15">
      <c r="A153" s="788">
        <v>5824379343</v>
      </c>
      <c r="B153" t="s">
        <v>1230</v>
      </c>
      <c r="C153" s="884">
        <v>45975</v>
      </c>
      <c r="D153" s="884">
        <v>45976</v>
      </c>
      <c r="E153" t="s">
        <v>314</v>
      </c>
      <c r="F153" t="s">
        <v>315</v>
      </c>
      <c r="H153" t="s">
        <v>1171</v>
      </c>
      <c r="I153" s="885">
        <v>45914.61891203704</v>
      </c>
      <c r="L153" t="s">
        <v>274</v>
      </c>
      <c r="M153" t="s">
        <v>292</v>
      </c>
      <c r="N153" t="s">
        <v>1231</v>
      </c>
      <c r="O153" t="s">
        <v>267</v>
      </c>
      <c r="P153" s="885">
        <v>45914.622766203705</v>
      </c>
      <c r="Q153" t="s">
        <v>268</v>
      </c>
      <c r="R153" t="s">
        <v>269</v>
      </c>
    </row>
    <row r="154" spans="1:18" x14ac:dyDescent="0.15">
      <c r="A154" s="788">
        <v>6424713960</v>
      </c>
      <c r="B154" t="s">
        <v>1232</v>
      </c>
      <c r="C154" s="884">
        <v>45968</v>
      </c>
      <c r="D154" s="884">
        <v>45969</v>
      </c>
      <c r="E154" t="s">
        <v>314</v>
      </c>
      <c r="F154" t="s">
        <v>315</v>
      </c>
      <c r="H154" t="s">
        <v>354</v>
      </c>
      <c r="I154" s="885">
        <v>45914.679282407407</v>
      </c>
      <c r="L154" t="s">
        <v>274</v>
      </c>
      <c r="M154" t="s">
        <v>265</v>
      </c>
      <c r="N154" t="s">
        <v>1233</v>
      </c>
      <c r="O154" t="s">
        <v>267</v>
      </c>
      <c r="P154" s="885">
        <v>45914.683217592596</v>
      </c>
      <c r="Q154" t="s">
        <v>268</v>
      </c>
      <c r="R154" t="s">
        <v>269</v>
      </c>
    </row>
    <row r="155" spans="1:18" x14ac:dyDescent="0.15">
      <c r="A155" s="788">
        <v>6467894934</v>
      </c>
      <c r="B155" t="s">
        <v>1232</v>
      </c>
      <c r="C155" s="884">
        <v>45968</v>
      </c>
      <c r="D155" s="884">
        <v>45969</v>
      </c>
      <c r="E155" t="s">
        <v>314</v>
      </c>
      <c r="F155" t="s">
        <v>315</v>
      </c>
      <c r="H155" t="s">
        <v>354</v>
      </c>
      <c r="I155" s="885">
        <v>45914.681064814817</v>
      </c>
      <c r="L155" t="s">
        <v>274</v>
      </c>
      <c r="M155" t="s">
        <v>265</v>
      </c>
      <c r="N155" t="s">
        <v>1233</v>
      </c>
      <c r="O155" t="s">
        <v>267</v>
      </c>
      <c r="P155" s="885">
        <v>45914.683217592596</v>
      </c>
      <c r="Q155" t="s">
        <v>268</v>
      </c>
      <c r="R155" t="s">
        <v>269</v>
      </c>
    </row>
    <row r="156" spans="1:18" x14ac:dyDescent="0.15">
      <c r="A156" s="788">
        <v>6550400101</v>
      </c>
      <c r="B156" t="s">
        <v>1238</v>
      </c>
      <c r="C156" s="884">
        <v>46021</v>
      </c>
      <c r="D156" s="884">
        <v>46024</v>
      </c>
      <c r="E156" t="s">
        <v>314</v>
      </c>
      <c r="F156" t="s">
        <v>315</v>
      </c>
      <c r="H156" t="s">
        <v>1239</v>
      </c>
      <c r="I156" s="885">
        <v>45914.756203703706</v>
      </c>
      <c r="K156" s="885">
        <v>45921.381284722222</v>
      </c>
      <c r="L156" t="s">
        <v>264</v>
      </c>
      <c r="M156" s="884">
        <v>36622</v>
      </c>
      <c r="N156" t="s">
        <v>1240</v>
      </c>
      <c r="O156" t="s">
        <v>267</v>
      </c>
      <c r="P156" s="885">
        <v>45921.38585648148</v>
      </c>
      <c r="Q156" t="s">
        <v>268</v>
      </c>
      <c r="R156" t="s">
        <v>269</v>
      </c>
    </row>
    <row r="157" spans="1:18" x14ac:dyDescent="0.15">
      <c r="A157" s="788">
        <v>5627748407</v>
      </c>
      <c r="B157" t="s">
        <v>1241</v>
      </c>
      <c r="C157" s="884">
        <v>45978</v>
      </c>
      <c r="D157" s="884">
        <v>45980</v>
      </c>
      <c r="E157" t="s">
        <v>314</v>
      </c>
      <c r="F157" t="s">
        <v>315</v>
      </c>
      <c r="H157" t="s">
        <v>951</v>
      </c>
      <c r="I157" s="885">
        <v>45914.870057870372</v>
      </c>
      <c r="L157" t="s">
        <v>274</v>
      </c>
      <c r="M157" t="s">
        <v>265</v>
      </c>
      <c r="N157" t="s">
        <v>1242</v>
      </c>
      <c r="O157" t="s">
        <v>267</v>
      </c>
      <c r="P157" s="885">
        <v>45914.874456018515</v>
      </c>
      <c r="Q157" t="s">
        <v>268</v>
      </c>
      <c r="R157" t="s">
        <v>269</v>
      </c>
    </row>
    <row r="158" spans="1:18" x14ac:dyDescent="0.15">
      <c r="A158" s="788">
        <v>5294545751</v>
      </c>
      <c r="B158" t="s">
        <v>1257</v>
      </c>
      <c r="C158" s="884">
        <v>45970</v>
      </c>
      <c r="D158" s="884">
        <v>45971</v>
      </c>
      <c r="E158" t="s">
        <v>314</v>
      </c>
      <c r="F158" t="s">
        <v>315</v>
      </c>
      <c r="H158" t="s">
        <v>1258</v>
      </c>
      <c r="I158" s="885">
        <v>45915.900983796295</v>
      </c>
      <c r="L158" t="s">
        <v>274</v>
      </c>
      <c r="M158" t="s">
        <v>265</v>
      </c>
      <c r="N158" t="s">
        <v>1259</v>
      </c>
      <c r="O158" t="s">
        <v>267</v>
      </c>
      <c r="P158" s="885">
        <v>45915.908703703702</v>
      </c>
      <c r="Q158" t="s">
        <v>268</v>
      </c>
      <c r="R158" t="s">
        <v>269</v>
      </c>
    </row>
    <row r="159" spans="1:18" x14ac:dyDescent="0.15">
      <c r="A159" s="788">
        <v>6455768614</v>
      </c>
      <c r="B159" t="s">
        <v>1260</v>
      </c>
      <c r="C159" s="884">
        <v>46122</v>
      </c>
      <c r="D159" s="884">
        <v>46123</v>
      </c>
      <c r="E159" t="s">
        <v>314</v>
      </c>
      <c r="F159" t="s">
        <v>315</v>
      </c>
      <c r="H159" t="s">
        <v>951</v>
      </c>
      <c r="I159" s="885">
        <v>45916.896192129629</v>
      </c>
      <c r="L159" t="s">
        <v>274</v>
      </c>
      <c r="M159" t="s">
        <v>265</v>
      </c>
      <c r="N159" t="s">
        <v>1261</v>
      </c>
      <c r="O159" t="s">
        <v>267</v>
      </c>
      <c r="P159" s="885">
        <v>45916.900775462964</v>
      </c>
      <c r="Q159" t="s">
        <v>268</v>
      </c>
      <c r="R159" t="s">
        <v>269</v>
      </c>
    </row>
    <row r="160" spans="1:18" x14ac:dyDescent="0.15">
      <c r="A160" s="788">
        <v>6112304195</v>
      </c>
      <c r="B160" t="s">
        <v>1264</v>
      </c>
      <c r="C160" s="884">
        <v>46058</v>
      </c>
      <c r="D160" s="884">
        <v>46059</v>
      </c>
      <c r="E160" t="s">
        <v>314</v>
      </c>
      <c r="F160" t="s">
        <v>315</v>
      </c>
      <c r="H160" t="s">
        <v>1265</v>
      </c>
      <c r="I160" s="885">
        <v>45917.268275462964</v>
      </c>
      <c r="L160" t="s">
        <v>274</v>
      </c>
      <c r="M160" t="s">
        <v>265</v>
      </c>
      <c r="N160" t="s">
        <v>1266</v>
      </c>
      <c r="O160" t="s">
        <v>267</v>
      </c>
      <c r="P160" s="885">
        <v>45917.275104166663</v>
      </c>
      <c r="Q160" t="s">
        <v>268</v>
      </c>
      <c r="R160" t="s">
        <v>269</v>
      </c>
    </row>
    <row r="161" spans="1:18" x14ac:dyDescent="0.15">
      <c r="A161" s="788">
        <v>6630853578</v>
      </c>
      <c r="B161" t="s">
        <v>1267</v>
      </c>
      <c r="C161" s="884">
        <v>46029</v>
      </c>
      <c r="D161" s="884">
        <v>46032</v>
      </c>
      <c r="E161" t="s">
        <v>314</v>
      </c>
      <c r="F161" t="s">
        <v>315</v>
      </c>
      <c r="H161" t="s">
        <v>1039</v>
      </c>
      <c r="I161" s="885">
        <v>45917.587233796294</v>
      </c>
      <c r="L161" t="s">
        <v>274</v>
      </c>
      <c r="M161" s="884">
        <v>36558</v>
      </c>
      <c r="N161" t="s">
        <v>1268</v>
      </c>
      <c r="O161" t="s">
        <v>267</v>
      </c>
      <c r="P161" s="885">
        <v>45917.590624999997</v>
      </c>
      <c r="Q161" t="s">
        <v>268</v>
      </c>
      <c r="R161" t="s">
        <v>269</v>
      </c>
    </row>
    <row r="162" spans="1:18" x14ac:dyDescent="0.15">
      <c r="A162" s="788">
        <v>6112387784</v>
      </c>
      <c r="B162" t="s">
        <v>1274</v>
      </c>
      <c r="C162" s="884">
        <v>46023</v>
      </c>
      <c r="D162" s="884">
        <v>46028</v>
      </c>
      <c r="E162" t="s">
        <v>314</v>
      </c>
      <c r="F162" t="s">
        <v>315</v>
      </c>
      <c r="H162" t="s">
        <v>537</v>
      </c>
      <c r="I162" s="885">
        <v>45917.950624999998</v>
      </c>
      <c r="L162" t="s">
        <v>274</v>
      </c>
      <c r="M162" s="884">
        <v>36527</v>
      </c>
      <c r="N162" t="s">
        <v>1275</v>
      </c>
      <c r="O162" t="s">
        <v>267</v>
      </c>
      <c r="P162" s="885">
        <v>45917.954733796294</v>
      </c>
      <c r="Q162" t="s">
        <v>268</v>
      </c>
      <c r="R162" t="s">
        <v>269</v>
      </c>
    </row>
    <row r="163" spans="1:18" x14ac:dyDescent="0.15">
      <c r="A163" s="788">
        <v>6152192227</v>
      </c>
      <c r="B163" t="s">
        <v>1278</v>
      </c>
      <c r="C163" s="884">
        <v>45981</v>
      </c>
      <c r="D163" s="884">
        <v>45984</v>
      </c>
      <c r="E163" t="s">
        <v>314</v>
      </c>
      <c r="F163" t="s">
        <v>315</v>
      </c>
      <c r="H163" t="s">
        <v>951</v>
      </c>
      <c r="I163" s="885">
        <v>45918.41134259259</v>
      </c>
      <c r="L163" t="s">
        <v>274</v>
      </c>
      <c r="M163" t="s">
        <v>265</v>
      </c>
      <c r="N163" t="s">
        <v>1279</v>
      </c>
      <c r="O163" t="s">
        <v>267</v>
      </c>
      <c r="P163" s="885">
        <v>45918.416631944441</v>
      </c>
      <c r="Q163" t="s">
        <v>268</v>
      </c>
      <c r="R163" t="s">
        <v>269</v>
      </c>
    </row>
    <row r="164" spans="1:18" x14ac:dyDescent="0.15">
      <c r="A164" s="788">
        <v>5522975736</v>
      </c>
      <c r="B164" t="s">
        <v>1280</v>
      </c>
      <c r="C164" s="884">
        <v>45947</v>
      </c>
      <c r="D164" s="884">
        <v>45951</v>
      </c>
      <c r="E164" t="s">
        <v>314</v>
      </c>
      <c r="F164" t="s">
        <v>315</v>
      </c>
      <c r="H164" t="s">
        <v>935</v>
      </c>
      <c r="I164" s="885">
        <v>45918.872013888889</v>
      </c>
      <c r="K164" s="885">
        <v>45936.864965277775</v>
      </c>
      <c r="L164" t="s">
        <v>264</v>
      </c>
      <c r="M164" s="884">
        <v>36558</v>
      </c>
      <c r="N164" t="s">
        <v>1281</v>
      </c>
      <c r="O164" t="s">
        <v>267</v>
      </c>
      <c r="P164" s="885">
        <v>45936.869722222225</v>
      </c>
      <c r="Q164" t="s">
        <v>268</v>
      </c>
      <c r="R164" t="s">
        <v>269</v>
      </c>
    </row>
    <row r="165" spans="1:18" x14ac:dyDescent="0.15">
      <c r="A165" s="788">
        <v>6743888930</v>
      </c>
      <c r="B165" t="s">
        <v>1286</v>
      </c>
      <c r="C165" s="884">
        <v>45993</v>
      </c>
      <c r="D165" s="884">
        <v>45997</v>
      </c>
      <c r="E165" t="s">
        <v>314</v>
      </c>
      <c r="F165" t="s">
        <v>315</v>
      </c>
      <c r="H165" t="s">
        <v>964</v>
      </c>
      <c r="I165" s="885">
        <v>45920.675081018519</v>
      </c>
      <c r="L165" t="s">
        <v>274</v>
      </c>
      <c r="M165" t="s">
        <v>265</v>
      </c>
      <c r="N165" t="s">
        <v>1287</v>
      </c>
      <c r="O165" t="s">
        <v>267</v>
      </c>
      <c r="P165" s="885">
        <v>45920.677951388891</v>
      </c>
      <c r="Q165" t="s">
        <v>268</v>
      </c>
      <c r="R165" t="s">
        <v>269</v>
      </c>
    </row>
    <row r="166" spans="1:18" x14ac:dyDescent="0.15">
      <c r="A166" s="788">
        <v>6244931539</v>
      </c>
      <c r="B166" t="s">
        <v>1289</v>
      </c>
      <c r="C166" s="884">
        <v>46108</v>
      </c>
      <c r="D166" s="884">
        <v>46111</v>
      </c>
      <c r="E166" t="s">
        <v>314</v>
      </c>
      <c r="F166" t="s">
        <v>315</v>
      </c>
      <c r="H166" t="s">
        <v>964</v>
      </c>
      <c r="I166" s="885">
        <v>45921.761597222219</v>
      </c>
      <c r="K166" s="885">
        <v>46089.338703703703</v>
      </c>
      <c r="L166" t="s">
        <v>264</v>
      </c>
      <c r="M166" t="s">
        <v>265</v>
      </c>
      <c r="N166" t="s">
        <v>1290</v>
      </c>
      <c r="O166" t="s">
        <v>267</v>
      </c>
      <c r="P166" s="885">
        <v>46089.343194444446</v>
      </c>
      <c r="Q166" t="s">
        <v>268</v>
      </c>
      <c r="R166" t="s">
        <v>269</v>
      </c>
    </row>
    <row r="167" spans="1:18" x14ac:dyDescent="0.15">
      <c r="A167" s="788">
        <v>6331945667</v>
      </c>
      <c r="B167" t="s">
        <v>603</v>
      </c>
      <c r="C167" s="884">
        <v>46000</v>
      </c>
      <c r="D167" s="884">
        <v>46002</v>
      </c>
      <c r="E167" t="s">
        <v>314</v>
      </c>
      <c r="F167" t="s">
        <v>315</v>
      </c>
      <c r="H167" t="s">
        <v>606</v>
      </c>
      <c r="I167" s="885">
        <v>45921.841574074075</v>
      </c>
      <c r="L167" t="s">
        <v>274</v>
      </c>
      <c r="M167" t="s">
        <v>265</v>
      </c>
      <c r="N167" t="s">
        <v>1292</v>
      </c>
      <c r="O167" t="s">
        <v>267</v>
      </c>
      <c r="P167" s="885">
        <v>45921.8437962963</v>
      </c>
      <c r="Q167" t="s">
        <v>268</v>
      </c>
      <c r="R167" t="s">
        <v>269</v>
      </c>
    </row>
    <row r="168" spans="1:18" x14ac:dyDescent="0.15">
      <c r="A168" s="788">
        <v>5688224458</v>
      </c>
      <c r="B168" t="s">
        <v>1293</v>
      </c>
      <c r="C168" s="884">
        <v>46064</v>
      </c>
      <c r="D168" s="884">
        <v>46066</v>
      </c>
      <c r="E168" t="s">
        <v>314</v>
      </c>
      <c r="F168" t="s">
        <v>315</v>
      </c>
      <c r="H168" t="s">
        <v>316</v>
      </c>
      <c r="I168" s="885">
        <v>45922.403379629628</v>
      </c>
      <c r="K168" s="885">
        <v>45922.687395833331</v>
      </c>
      <c r="L168" t="s">
        <v>264</v>
      </c>
      <c r="M168" s="884">
        <v>36558</v>
      </c>
      <c r="N168" t="s">
        <v>1294</v>
      </c>
      <c r="O168" t="s">
        <v>267</v>
      </c>
      <c r="P168" s="885">
        <v>45922.690625000003</v>
      </c>
      <c r="Q168" t="s">
        <v>268</v>
      </c>
      <c r="R168" t="s">
        <v>269</v>
      </c>
    </row>
    <row r="169" spans="1:18" x14ac:dyDescent="0.15">
      <c r="A169" s="788">
        <v>5479846583</v>
      </c>
      <c r="B169" t="s">
        <v>1293</v>
      </c>
      <c r="C169" s="884">
        <v>46064</v>
      </c>
      <c r="D169" s="884">
        <v>46068</v>
      </c>
      <c r="E169" t="s">
        <v>314</v>
      </c>
      <c r="F169" t="s">
        <v>315</v>
      </c>
      <c r="H169" t="s">
        <v>316</v>
      </c>
      <c r="I169" s="885">
        <v>45922.686863425923</v>
      </c>
      <c r="K169" s="885">
        <v>45922.716145833336</v>
      </c>
      <c r="L169" t="s">
        <v>264</v>
      </c>
      <c r="M169" s="884">
        <v>36558</v>
      </c>
      <c r="N169" t="s">
        <v>1305</v>
      </c>
      <c r="O169" t="s">
        <v>267</v>
      </c>
      <c r="P169" s="885">
        <v>45922.719444444447</v>
      </c>
      <c r="Q169" t="s">
        <v>268</v>
      </c>
      <c r="R169" t="s">
        <v>269</v>
      </c>
    </row>
    <row r="170" spans="1:18" x14ac:dyDescent="0.15">
      <c r="A170" s="788">
        <v>6215569393</v>
      </c>
      <c r="B170" t="s">
        <v>1311</v>
      </c>
      <c r="C170" s="884">
        <v>45977</v>
      </c>
      <c r="D170" s="884">
        <v>45979</v>
      </c>
      <c r="E170" t="s">
        <v>314</v>
      </c>
      <c r="F170" t="s">
        <v>315</v>
      </c>
      <c r="H170" t="s">
        <v>606</v>
      </c>
      <c r="I170" s="885">
        <v>45923.872037037036</v>
      </c>
      <c r="L170" t="s">
        <v>274</v>
      </c>
      <c r="M170" t="s">
        <v>265</v>
      </c>
      <c r="N170" t="s">
        <v>940</v>
      </c>
      <c r="O170" t="s">
        <v>267</v>
      </c>
      <c r="P170" s="885">
        <v>45923.874444444446</v>
      </c>
      <c r="Q170" t="s">
        <v>268</v>
      </c>
      <c r="R170" t="s">
        <v>269</v>
      </c>
    </row>
    <row r="171" spans="1:18" x14ac:dyDescent="0.15">
      <c r="A171" s="788">
        <v>5395584089</v>
      </c>
      <c r="B171" t="s">
        <v>1312</v>
      </c>
      <c r="C171" s="884">
        <v>46108</v>
      </c>
      <c r="D171" s="884">
        <v>46111</v>
      </c>
      <c r="E171" t="s">
        <v>314</v>
      </c>
      <c r="F171" t="s">
        <v>315</v>
      </c>
      <c r="H171" t="s">
        <v>354</v>
      </c>
      <c r="I171" s="885">
        <v>45924.461064814815</v>
      </c>
      <c r="K171" s="885">
        <v>45931.611875000002</v>
      </c>
      <c r="L171" t="s">
        <v>264</v>
      </c>
      <c r="M171" t="s">
        <v>279</v>
      </c>
      <c r="N171" t="s">
        <v>1313</v>
      </c>
      <c r="O171" t="s">
        <v>267</v>
      </c>
      <c r="P171" s="885">
        <v>45931.614050925928</v>
      </c>
      <c r="Q171" t="s">
        <v>268</v>
      </c>
      <c r="R171" t="s">
        <v>269</v>
      </c>
    </row>
    <row r="172" spans="1:18" x14ac:dyDescent="0.15">
      <c r="A172" s="788">
        <v>5243761357</v>
      </c>
      <c r="B172" t="s">
        <v>1314</v>
      </c>
      <c r="C172" s="884">
        <v>46019</v>
      </c>
      <c r="D172" s="884">
        <v>46025</v>
      </c>
      <c r="E172" t="s">
        <v>314</v>
      </c>
      <c r="F172" t="s">
        <v>315</v>
      </c>
      <c r="H172" t="s">
        <v>1315</v>
      </c>
      <c r="I172" s="885">
        <v>45924.537175925929</v>
      </c>
      <c r="J172" s="885">
        <v>45935.550902777781</v>
      </c>
      <c r="L172" t="s">
        <v>720</v>
      </c>
      <c r="M172" s="884">
        <v>36527</v>
      </c>
      <c r="N172" t="s">
        <v>1316</v>
      </c>
      <c r="O172" t="s">
        <v>267</v>
      </c>
      <c r="P172" s="885">
        <v>45935.553703703707</v>
      </c>
      <c r="Q172" t="s">
        <v>268</v>
      </c>
      <c r="R172" t="s">
        <v>269</v>
      </c>
    </row>
    <row r="173" spans="1:18" x14ac:dyDescent="0.15">
      <c r="A173" s="788">
        <v>6147082602</v>
      </c>
      <c r="B173" t="s">
        <v>1317</v>
      </c>
      <c r="C173" s="884">
        <v>46019</v>
      </c>
      <c r="D173" s="884">
        <v>46025</v>
      </c>
      <c r="E173" t="s">
        <v>314</v>
      </c>
      <c r="F173" t="s">
        <v>315</v>
      </c>
      <c r="H173" t="s">
        <v>1318</v>
      </c>
      <c r="I173" s="885">
        <v>45924.621388888889</v>
      </c>
      <c r="J173" s="885">
        <v>45935.55023148148</v>
      </c>
      <c r="L173" t="s">
        <v>720</v>
      </c>
      <c r="M173" s="884">
        <v>36527</v>
      </c>
      <c r="N173" t="s">
        <v>1319</v>
      </c>
      <c r="O173" t="s">
        <v>267</v>
      </c>
      <c r="P173" s="885">
        <v>45935.553703703707</v>
      </c>
      <c r="Q173" t="s">
        <v>268</v>
      </c>
      <c r="R173" t="s">
        <v>269</v>
      </c>
    </row>
    <row r="174" spans="1:18" x14ac:dyDescent="0.15">
      <c r="A174" s="788">
        <v>5251312863</v>
      </c>
      <c r="B174" t="s">
        <v>1320</v>
      </c>
      <c r="C174" s="884">
        <v>45975</v>
      </c>
      <c r="D174" s="884">
        <v>45978</v>
      </c>
      <c r="E174" t="s">
        <v>314</v>
      </c>
      <c r="F174" t="s">
        <v>315</v>
      </c>
      <c r="H174" t="s">
        <v>977</v>
      </c>
      <c r="I174" s="885">
        <v>45924.943159722221</v>
      </c>
      <c r="L174" t="s">
        <v>274</v>
      </c>
      <c r="M174" t="s">
        <v>265</v>
      </c>
      <c r="N174" t="s">
        <v>1321</v>
      </c>
      <c r="O174" t="s">
        <v>267</v>
      </c>
      <c r="P174" s="885">
        <v>45924.94767361111</v>
      </c>
      <c r="Q174" t="s">
        <v>268</v>
      </c>
      <c r="R174" t="s">
        <v>269</v>
      </c>
    </row>
    <row r="175" spans="1:18" x14ac:dyDescent="0.15">
      <c r="A175" s="788">
        <v>6837246527</v>
      </c>
      <c r="B175" t="s">
        <v>1322</v>
      </c>
      <c r="C175" s="884">
        <v>45926</v>
      </c>
      <c r="D175" s="884">
        <v>45927</v>
      </c>
      <c r="E175" t="s">
        <v>314</v>
      </c>
      <c r="F175" t="s">
        <v>315</v>
      </c>
      <c r="H175" t="s">
        <v>632</v>
      </c>
      <c r="I175" s="885">
        <v>45925.475763888891</v>
      </c>
      <c r="L175" t="s">
        <v>274</v>
      </c>
      <c r="M175" t="s">
        <v>265</v>
      </c>
      <c r="N175" t="s">
        <v>1229</v>
      </c>
      <c r="O175" t="s">
        <v>267</v>
      </c>
      <c r="P175" s="885">
        <v>45925.479594907411</v>
      </c>
      <c r="Q175" t="s">
        <v>268</v>
      </c>
      <c r="R175" t="s">
        <v>269</v>
      </c>
    </row>
    <row r="176" spans="1:18" x14ac:dyDescent="0.15">
      <c r="A176" s="788">
        <v>5633550102</v>
      </c>
      <c r="B176" t="s">
        <v>598</v>
      </c>
      <c r="C176" s="884">
        <v>45958</v>
      </c>
      <c r="D176" s="884">
        <v>45961</v>
      </c>
      <c r="E176" t="s">
        <v>314</v>
      </c>
      <c r="F176" t="s">
        <v>315</v>
      </c>
      <c r="H176" t="s">
        <v>964</v>
      </c>
      <c r="I176" s="885">
        <v>45925.679328703707</v>
      </c>
      <c r="K176" s="885">
        <v>45945.854768518519</v>
      </c>
      <c r="L176" t="s">
        <v>264</v>
      </c>
      <c r="M176" t="s">
        <v>265</v>
      </c>
      <c r="N176" t="s">
        <v>1323</v>
      </c>
      <c r="O176" t="s">
        <v>267</v>
      </c>
      <c r="P176" s="885">
        <v>45945.858136574076</v>
      </c>
      <c r="Q176" t="s">
        <v>268</v>
      </c>
      <c r="R176" t="s">
        <v>269</v>
      </c>
    </row>
    <row r="177" spans="1:18" x14ac:dyDescent="0.15">
      <c r="A177" s="788">
        <v>5165113602</v>
      </c>
      <c r="B177" t="s">
        <v>1324</v>
      </c>
      <c r="C177" s="884">
        <v>46088</v>
      </c>
      <c r="D177" s="884">
        <v>46090</v>
      </c>
      <c r="E177" t="s">
        <v>314</v>
      </c>
      <c r="F177" t="s">
        <v>315</v>
      </c>
      <c r="H177" t="s">
        <v>316</v>
      </c>
      <c r="I177" s="885">
        <v>45925.866099537037</v>
      </c>
      <c r="L177" t="s">
        <v>274</v>
      </c>
      <c r="M177" t="s">
        <v>265</v>
      </c>
      <c r="N177" t="s">
        <v>1325</v>
      </c>
      <c r="O177" t="s">
        <v>267</v>
      </c>
      <c r="P177" s="885">
        <v>45925.87122685185</v>
      </c>
      <c r="Q177" t="s">
        <v>268</v>
      </c>
      <c r="R177" t="s">
        <v>269</v>
      </c>
    </row>
    <row r="178" spans="1:18" x14ac:dyDescent="0.15">
      <c r="A178" s="788">
        <v>6604161098</v>
      </c>
      <c r="B178" t="s">
        <v>1326</v>
      </c>
      <c r="C178" s="884">
        <v>45972</v>
      </c>
      <c r="D178" s="884">
        <v>45976</v>
      </c>
      <c r="E178" t="s">
        <v>314</v>
      </c>
      <c r="F178" t="s">
        <v>315</v>
      </c>
      <c r="H178" t="s">
        <v>1168</v>
      </c>
      <c r="I178" s="885">
        <v>45927.473553240743</v>
      </c>
      <c r="L178" t="s">
        <v>274</v>
      </c>
      <c r="M178" t="s">
        <v>265</v>
      </c>
      <c r="N178" t="s">
        <v>1327</v>
      </c>
      <c r="O178" t="s">
        <v>267</v>
      </c>
      <c r="P178" s="885">
        <v>45927.477256944447</v>
      </c>
      <c r="Q178" t="s">
        <v>268</v>
      </c>
      <c r="R178" t="s">
        <v>269</v>
      </c>
    </row>
    <row r="179" spans="1:18" x14ac:dyDescent="0.15">
      <c r="A179" s="788">
        <v>5812493265</v>
      </c>
      <c r="B179" t="s">
        <v>1328</v>
      </c>
      <c r="C179" s="884">
        <v>46046</v>
      </c>
      <c r="D179" s="884">
        <v>46048</v>
      </c>
      <c r="E179" t="s">
        <v>314</v>
      </c>
      <c r="F179" t="s">
        <v>315</v>
      </c>
      <c r="H179" t="s">
        <v>1039</v>
      </c>
      <c r="I179" s="885">
        <v>45928.480613425927</v>
      </c>
      <c r="L179" t="s">
        <v>274</v>
      </c>
      <c r="M179" s="884">
        <v>36527</v>
      </c>
      <c r="N179" t="s">
        <v>1329</v>
      </c>
      <c r="O179" t="s">
        <v>267</v>
      </c>
      <c r="P179" s="885">
        <v>45928.483668981484</v>
      </c>
      <c r="Q179" t="s">
        <v>268</v>
      </c>
      <c r="R179" t="s">
        <v>269</v>
      </c>
    </row>
    <row r="180" spans="1:18" x14ac:dyDescent="0.15">
      <c r="A180" s="788">
        <v>6675948650</v>
      </c>
      <c r="B180" t="s">
        <v>1332</v>
      </c>
      <c r="C180" s="884">
        <v>46027</v>
      </c>
      <c r="D180" s="884">
        <v>46032</v>
      </c>
      <c r="E180" t="s">
        <v>314</v>
      </c>
      <c r="F180" t="s">
        <v>315</v>
      </c>
      <c r="H180" t="s">
        <v>316</v>
      </c>
      <c r="I180" s="885">
        <v>45929.595312500001</v>
      </c>
      <c r="K180" s="885">
        <v>45992.671458333331</v>
      </c>
      <c r="L180" t="s">
        <v>264</v>
      </c>
      <c r="M180" s="884">
        <v>36527</v>
      </c>
      <c r="N180" t="s">
        <v>1333</v>
      </c>
      <c r="O180" t="s">
        <v>267</v>
      </c>
      <c r="P180" s="885">
        <v>45992.675370370373</v>
      </c>
      <c r="Q180" t="s">
        <v>268</v>
      </c>
      <c r="R180" t="s">
        <v>269</v>
      </c>
    </row>
    <row r="181" spans="1:18" x14ac:dyDescent="0.15">
      <c r="A181" s="788">
        <v>6352919352</v>
      </c>
      <c r="B181" t="s">
        <v>1334</v>
      </c>
      <c r="C181" s="884">
        <v>45962</v>
      </c>
      <c r="D181" s="884">
        <v>45964</v>
      </c>
      <c r="E181" t="s">
        <v>314</v>
      </c>
      <c r="F181" t="s">
        <v>315</v>
      </c>
      <c r="H181" t="s">
        <v>1039</v>
      </c>
      <c r="I181" s="885">
        <v>45929.756712962961</v>
      </c>
      <c r="L181" t="s">
        <v>274</v>
      </c>
      <c r="M181" s="884">
        <v>36558</v>
      </c>
      <c r="N181" t="s">
        <v>1335</v>
      </c>
      <c r="O181" t="s">
        <v>267</v>
      </c>
      <c r="P181" s="885">
        <v>45929.762129629627</v>
      </c>
      <c r="Q181" t="s">
        <v>268</v>
      </c>
      <c r="R181" t="s">
        <v>269</v>
      </c>
    </row>
    <row r="182" spans="1:18" x14ac:dyDescent="0.15">
      <c r="A182" s="788">
        <v>5128236699</v>
      </c>
      <c r="B182" t="s">
        <v>1203</v>
      </c>
      <c r="C182" s="884">
        <v>45978</v>
      </c>
      <c r="D182" s="884">
        <v>45979</v>
      </c>
      <c r="E182" t="s">
        <v>314</v>
      </c>
      <c r="F182" t="s">
        <v>315</v>
      </c>
      <c r="H182" t="s">
        <v>1039</v>
      </c>
      <c r="I182" s="885">
        <v>45930.517060185186</v>
      </c>
      <c r="L182" t="s">
        <v>274</v>
      </c>
      <c r="M182" t="s">
        <v>265</v>
      </c>
      <c r="N182" t="s">
        <v>1341</v>
      </c>
      <c r="O182" t="s">
        <v>267</v>
      </c>
      <c r="P182" s="885">
        <v>45930.519907407404</v>
      </c>
      <c r="Q182" t="s">
        <v>268</v>
      </c>
      <c r="R182" t="s">
        <v>269</v>
      </c>
    </row>
    <row r="183" spans="1:18" x14ac:dyDescent="0.15">
      <c r="A183" s="788">
        <v>5769822296</v>
      </c>
      <c r="B183" t="s">
        <v>1342</v>
      </c>
      <c r="C183" s="884">
        <v>46073</v>
      </c>
      <c r="D183" s="884">
        <v>46076</v>
      </c>
      <c r="E183" t="s">
        <v>314</v>
      </c>
      <c r="F183" t="s">
        <v>315</v>
      </c>
      <c r="H183" t="s">
        <v>516</v>
      </c>
      <c r="I183" s="885">
        <v>45930.528020833335</v>
      </c>
      <c r="L183" t="s">
        <v>274</v>
      </c>
      <c r="M183" t="s">
        <v>265</v>
      </c>
      <c r="N183" t="s">
        <v>1343</v>
      </c>
      <c r="O183" t="s">
        <v>267</v>
      </c>
      <c r="P183" s="885">
        <v>45930.530405092592</v>
      </c>
      <c r="Q183" t="s">
        <v>268</v>
      </c>
      <c r="R183" t="s">
        <v>269</v>
      </c>
    </row>
    <row r="184" spans="1:18" x14ac:dyDescent="0.15">
      <c r="A184" s="788">
        <v>5088867804</v>
      </c>
      <c r="B184" t="s">
        <v>1349</v>
      </c>
      <c r="C184" s="884">
        <v>46026</v>
      </c>
      <c r="D184" s="884">
        <v>46027</v>
      </c>
      <c r="E184" t="s">
        <v>314</v>
      </c>
      <c r="F184" t="s">
        <v>315</v>
      </c>
      <c r="H184" t="s">
        <v>951</v>
      </c>
      <c r="I184" s="885">
        <v>45930.648564814815</v>
      </c>
      <c r="L184" t="s">
        <v>274</v>
      </c>
      <c r="M184" t="s">
        <v>265</v>
      </c>
      <c r="N184" t="s">
        <v>1350</v>
      </c>
      <c r="O184" t="s">
        <v>267</v>
      </c>
      <c r="P184" s="885">
        <v>45930.652430555558</v>
      </c>
      <c r="Q184" t="s">
        <v>268</v>
      </c>
      <c r="R184" t="s">
        <v>269</v>
      </c>
    </row>
    <row r="185" spans="1:18" x14ac:dyDescent="0.15">
      <c r="A185" s="788">
        <v>6608377589</v>
      </c>
      <c r="B185" t="s">
        <v>1361</v>
      </c>
      <c r="C185" s="884">
        <v>45955</v>
      </c>
      <c r="D185" s="884">
        <v>45956</v>
      </c>
      <c r="E185" t="s">
        <v>314</v>
      </c>
      <c r="F185" t="s">
        <v>315</v>
      </c>
      <c r="H185" t="s">
        <v>1318</v>
      </c>
      <c r="I185" s="885">
        <v>45931.49114583333</v>
      </c>
      <c r="K185" s="885">
        <v>45933.512233796297</v>
      </c>
      <c r="L185" t="s">
        <v>264</v>
      </c>
      <c r="M185" t="s">
        <v>265</v>
      </c>
      <c r="N185" t="s">
        <v>1362</v>
      </c>
      <c r="O185" t="s">
        <v>267</v>
      </c>
      <c r="P185" s="885">
        <v>45933.515532407408</v>
      </c>
      <c r="Q185" t="s">
        <v>268</v>
      </c>
      <c r="R185" t="s">
        <v>269</v>
      </c>
    </row>
    <row r="186" spans="1:18" x14ac:dyDescent="0.15">
      <c r="A186" s="788">
        <v>5650316911</v>
      </c>
      <c r="B186" t="s">
        <v>1366</v>
      </c>
      <c r="C186" s="884">
        <v>45940</v>
      </c>
      <c r="D186" s="884">
        <v>45942</v>
      </c>
      <c r="E186" t="s">
        <v>314</v>
      </c>
      <c r="F186" t="s">
        <v>315</v>
      </c>
      <c r="H186" t="s">
        <v>1367</v>
      </c>
      <c r="I186" s="885">
        <v>45931.795289351852</v>
      </c>
      <c r="L186" t="s">
        <v>274</v>
      </c>
      <c r="M186" t="s">
        <v>265</v>
      </c>
      <c r="N186" t="s">
        <v>1368</v>
      </c>
      <c r="O186" t="s">
        <v>267</v>
      </c>
      <c r="P186" s="885">
        <v>45931.798634259256</v>
      </c>
      <c r="Q186" t="s">
        <v>268</v>
      </c>
      <c r="R186" t="s">
        <v>269</v>
      </c>
    </row>
    <row r="187" spans="1:18" x14ac:dyDescent="0.15">
      <c r="A187" s="788">
        <v>6463258664</v>
      </c>
      <c r="B187" t="s">
        <v>1369</v>
      </c>
      <c r="C187" s="884">
        <v>45969</v>
      </c>
      <c r="D187" s="884">
        <v>45971</v>
      </c>
      <c r="E187" t="s">
        <v>314</v>
      </c>
      <c r="F187" t="s">
        <v>315</v>
      </c>
      <c r="H187" t="s">
        <v>1318</v>
      </c>
      <c r="I187" s="885">
        <v>45932.790150462963</v>
      </c>
      <c r="L187" t="s">
        <v>274</v>
      </c>
      <c r="M187" t="s">
        <v>265</v>
      </c>
      <c r="N187" t="s">
        <v>1370</v>
      </c>
      <c r="O187" t="s">
        <v>267</v>
      </c>
      <c r="P187" s="885">
        <v>45932.795520833337</v>
      </c>
      <c r="Q187" t="s">
        <v>268</v>
      </c>
      <c r="R187" t="s">
        <v>269</v>
      </c>
    </row>
    <row r="188" spans="1:18" x14ac:dyDescent="0.15">
      <c r="A188" s="788">
        <v>5224730727</v>
      </c>
      <c r="B188" t="s">
        <v>1371</v>
      </c>
      <c r="C188" s="884">
        <v>45939</v>
      </c>
      <c r="D188" s="884">
        <v>45943</v>
      </c>
      <c r="E188" t="s">
        <v>314</v>
      </c>
      <c r="F188" t="s">
        <v>315</v>
      </c>
      <c r="H188" t="s">
        <v>740</v>
      </c>
      <c r="I188" s="885">
        <v>45933.383738425924</v>
      </c>
      <c r="L188" t="s">
        <v>274</v>
      </c>
      <c r="M188" t="s">
        <v>265</v>
      </c>
      <c r="N188" t="s">
        <v>1372</v>
      </c>
      <c r="O188" t="s">
        <v>267</v>
      </c>
      <c r="P188" s="885">
        <v>45933.387141203704</v>
      </c>
      <c r="Q188" t="s">
        <v>268</v>
      </c>
      <c r="R188" t="s">
        <v>269</v>
      </c>
    </row>
    <row r="189" spans="1:18" x14ac:dyDescent="0.15">
      <c r="A189" s="788">
        <v>5718719151</v>
      </c>
      <c r="B189" t="s">
        <v>1380</v>
      </c>
      <c r="C189" s="884">
        <v>46019</v>
      </c>
      <c r="D189" s="884">
        <v>46021</v>
      </c>
      <c r="E189" t="s">
        <v>314</v>
      </c>
      <c r="F189" t="s">
        <v>315</v>
      </c>
      <c r="H189" t="s">
        <v>969</v>
      </c>
      <c r="I189" s="885">
        <v>45933.590821759259</v>
      </c>
      <c r="L189" t="s">
        <v>274</v>
      </c>
      <c r="M189" t="s">
        <v>520</v>
      </c>
      <c r="N189" t="s">
        <v>1381</v>
      </c>
      <c r="O189" t="s">
        <v>267</v>
      </c>
      <c r="P189" s="885">
        <v>45933.594687500001</v>
      </c>
      <c r="Q189" t="s">
        <v>268</v>
      </c>
      <c r="R189" t="s">
        <v>269</v>
      </c>
    </row>
    <row r="190" spans="1:18" x14ac:dyDescent="0.15">
      <c r="A190" s="788">
        <v>6582767698</v>
      </c>
      <c r="B190" t="s">
        <v>1391</v>
      </c>
      <c r="C190" s="884">
        <v>45985</v>
      </c>
      <c r="D190" s="884">
        <v>45987</v>
      </c>
      <c r="E190" t="s">
        <v>314</v>
      </c>
      <c r="F190" t="s">
        <v>315</v>
      </c>
      <c r="H190" t="s">
        <v>1392</v>
      </c>
      <c r="I190" s="885">
        <v>45934.543449074074</v>
      </c>
      <c r="K190" s="885">
        <v>45935.488912037035</v>
      </c>
      <c r="L190" t="s">
        <v>264</v>
      </c>
      <c r="M190" t="s">
        <v>292</v>
      </c>
      <c r="N190" t="s">
        <v>1393</v>
      </c>
      <c r="O190" t="s">
        <v>267</v>
      </c>
      <c r="P190" s="885">
        <v>45935.492418981485</v>
      </c>
      <c r="Q190" t="s">
        <v>268</v>
      </c>
      <c r="R190" t="s">
        <v>269</v>
      </c>
    </row>
    <row r="191" spans="1:18" x14ac:dyDescent="0.15">
      <c r="A191" s="788">
        <v>6731776190</v>
      </c>
      <c r="B191" t="s">
        <v>1394</v>
      </c>
      <c r="C191" s="884">
        <v>45934</v>
      </c>
      <c r="D191" s="884">
        <v>45935</v>
      </c>
      <c r="E191" t="s">
        <v>314</v>
      </c>
      <c r="F191" t="s">
        <v>315</v>
      </c>
      <c r="H191" t="s">
        <v>1395</v>
      </c>
      <c r="I191" s="885">
        <v>45934.685185185182</v>
      </c>
      <c r="L191" t="s">
        <v>274</v>
      </c>
      <c r="M191" t="s">
        <v>265</v>
      </c>
      <c r="N191" t="s">
        <v>1368</v>
      </c>
      <c r="O191" t="s">
        <v>267</v>
      </c>
      <c r="P191" s="885">
        <v>45934.689212962963</v>
      </c>
      <c r="Q191" t="s">
        <v>268</v>
      </c>
      <c r="R191" t="s">
        <v>269</v>
      </c>
    </row>
    <row r="192" spans="1:18" x14ac:dyDescent="0.15">
      <c r="A192" s="788">
        <v>6571423142</v>
      </c>
      <c r="B192" t="s">
        <v>1439</v>
      </c>
      <c r="C192" s="884">
        <v>46023</v>
      </c>
      <c r="D192" s="884">
        <v>46027</v>
      </c>
      <c r="E192" t="s">
        <v>314</v>
      </c>
      <c r="F192" t="s">
        <v>315</v>
      </c>
      <c r="H192" t="s">
        <v>1168</v>
      </c>
      <c r="I192" s="885">
        <v>45935.911249999997</v>
      </c>
      <c r="J192" s="885">
        <v>45950.368472222224</v>
      </c>
      <c r="K192" s="885">
        <v>46008.346331018518</v>
      </c>
      <c r="L192" t="s">
        <v>264</v>
      </c>
      <c r="M192" s="884">
        <v>36526</v>
      </c>
      <c r="N192" t="s">
        <v>1440</v>
      </c>
      <c r="O192" t="s">
        <v>267</v>
      </c>
      <c r="P192" s="885">
        <v>46008.35</v>
      </c>
      <c r="Q192" t="s">
        <v>268</v>
      </c>
      <c r="R192" t="s">
        <v>269</v>
      </c>
    </row>
    <row r="193" spans="1:18" x14ac:dyDescent="0.15">
      <c r="A193" s="788">
        <v>6249915466</v>
      </c>
      <c r="B193" t="s">
        <v>1443</v>
      </c>
      <c r="C193" s="884">
        <v>45980</v>
      </c>
      <c r="D193" s="884">
        <v>45982</v>
      </c>
      <c r="E193" t="s">
        <v>314</v>
      </c>
      <c r="F193" t="s">
        <v>315</v>
      </c>
      <c r="H193" t="s">
        <v>951</v>
      </c>
      <c r="I193" s="885">
        <v>45936.480266203704</v>
      </c>
      <c r="L193" t="s">
        <v>274</v>
      </c>
      <c r="M193" t="s">
        <v>265</v>
      </c>
      <c r="N193" t="s">
        <v>1444</v>
      </c>
      <c r="O193" t="s">
        <v>267</v>
      </c>
      <c r="P193" s="885">
        <v>45936.485613425924</v>
      </c>
      <c r="Q193" t="s">
        <v>268</v>
      </c>
      <c r="R193" t="s">
        <v>269</v>
      </c>
    </row>
    <row r="194" spans="1:18" x14ac:dyDescent="0.15">
      <c r="A194" s="788">
        <v>6568635155</v>
      </c>
      <c r="B194" t="s">
        <v>1447</v>
      </c>
      <c r="C194" s="884">
        <v>46069</v>
      </c>
      <c r="D194" s="884">
        <v>46075</v>
      </c>
      <c r="E194" t="s">
        <v>314</v>
      </c>
      <c r="F194" t="s">
        <v>315</v>
      </c>
      <c r="H194" t="s">
        <v>1039</v>
      </c>
      <c r="I194" s="885">
        <v>45937.749178240738</v>
      </c>
      <c r="L194" t="s">
        <v>274</v>
      </c>
      <c r="M194" t="s">
        <v>265</v>
      </c>
      <c r="N194" t="s">
        <v>1448</v>
      </c>
      <c r="O194" t="s">
        <v>267</v>
      </c>
      <c r="P194" s="885">
        <v>45937.75172453704</v>
      </c>
      <c r="Q194" t="s">
        <v>268</v>
      </c>
      <c r="R194" t="s">
        <v>269</v>
      </c>
    </row>
    <row r="195" spans="1:18" x14ac:dyDescent="0.15">
      <c r="A195" s="788">
        <v>5011480903</v>
      </c>
      <c r="B195" t="s">
        <v>1449</v>
      </c>
      <c r="C195" s="884">
        <v>46039</v>
      </c>
      <c r="D195" s="884">
        <v>46043</v>
      </c>
      <c r="E195" t="s">
        <v>314</v>
      </c>
      <c r="F195" t="s">
        <v>315</v>
      </c>
      <c r="H195" t="s">
        <v>1039</v>
      </c>
      <c r="I195" s="885">
        <v>45937.863692129627</v>
      </c>
      <c r="L195" t="s">
        <v>274</v>
      </c>
      <c r="M195" s="884">
        <v>36558</v>
      </c>
      <c r="N195" t="s">
        <v>1450</v>
      </c>
      <c r="O195" t="s">
        <v>267</v>
      </c>
      <c r="P195" s="885">
        <v>45937.868020833332</v>
      </c>
      <c r="Q195" t="s">
        <v>268</v>
      </c>
      <c r="R195" t="s">
        <v>269</v>
      </c>
    </row>
    <row r="196" spans="1:18" x14ac:dyDescent="0.15">
      <c r="A196" s="788">
        <v>6306525597</v>
      </c>
      <c r="B196" t="s">
        <v>1461</v>
      </c>
      <c r="C196" s="884">
        <v>45989</v>
      </c>
      <c r="D196" s="884">
        <v>45990</v>
      </c>
      <c r="E196" t="s">
        <v>314</v>
      </c>
      <c r="F196" t="s">
        <v>315</v>
      </c>
      <c r="H196" t="s">
        <v>951</v>
      </c>
      <c r="I196" s="885">
        <v>45938.504606481481</v>
      </c>
      <c r="L196" t="s">
        <v>274</v>
      </c>
      <c r="M196" t="s">
        <v>265</v>
      </c>
      <c r="N196" t="s">
        <v>1462</v>
      </c>
      <c r="O196" t="s">
        <v>267</v>
      </c>
      <c r="P196" s="885">
        <v>45938.507453703707</v>
      </c>
      <c r="Q196" t="s">
        <v>268</v>
      </c>
      <c r="R196" t="s">
        <v>269</v>
      </c>
    </row>
    <row r="197" spans="1:18" x14ac:dyDescent="0.15">
      <c r="A197" s="788">
        <v>6306569276</v>
      </c>
      <c r="B197" t="s">
        <v>1463</v>
      </c>
      <c r="C197" s="884">
        <v>46064</v>
      </c>
      <c r="D197" s="884">
        <v>46066</v>
      </c>
      <c r="E197" t="s">
        <v>314</v>
      </c>
      <c r="F197" t="s">
        <v>315</v>
      </c>
      <c r="H197" t="s">
        <v>935</v>
      </c>
      <c r="I197" s="885">
        <v>45938.763321759259</v>
      </c>
      <c r="L197" t="s">
        <v>274</v>
      </c>
      <c r="M197" t="s">
        <v>265</v>
      </c>
      <c r="N197" t="s">
        <v>1464</v>
      </c>
      <c r="O197" t="s">
        <v>267</v>
      </c>
      <c r="P197" s="885">
        <v>45938.764618055553</v>
      </c>
      <c r="Q197" t="s">
        <v>268</v>
      </c>
      <c r="R197" t="s">
        <v>269</v>
      </c>
    </row>
    <row r="198" spans="1:18" x14ac:dyDescent="0.15">
      <c r="A198" s="788">
        <v>6257680673</v>
      </c>
      <c r="B198" t="s">
        <v>1467</v>
      </c>
      <c r="C198" s="884">
        <v>45947</v>
      </c>
      <c r="D198" s="884">
        <v>45949</v>
      </c>
      <c r="E198" t="s">
        <v>314</v>
      </c>
      <c r="F198" t="s">
        <v>315</v>
      </c>
      <c r="H198" t="s">
        <v>1468</v>
      </c>
    </row>
    <row r="199" spans="1:18" x14ac:dyDescent="0.15">
      <c r="A199" s="788">
        <v>5797795661</v>
      </c>
      <c r="B199" t="s">
        <v>1483</v>
      </c>
      <c r="C199" s="884">
        <v>46072</v>
      </c>
      <c r="D199" s="884">
        <v>46073</v>
      </c>
      <c r="E199" t="s">
        <v>314</v>
      </c>
      <c r="F199" t="s">
        <v>315</v>
      </c>
      <c r="H199" t="s">
        <v>1039</v>
      </c>
      <c r="I199" s="885">
        <v>45940.5471875</v>
      </c>
      <c r="L199" t="s">
        <v>274</v>
      </c>
      <c r="M199" t="s">
        <v>265</v>
      </c>
      <c r="N199" t="s">
        <v>1484</v>
      </c>
      <c r="O199" t="s">
        <v>267</v>
      </c>
      <c r="P199" s="885">
        <v>45940.55027777778</v>
      </c>
      <c r="Q199" t="s">
        <v>268</v>
      </c>
      <c r="R199" t="s">
        <v>269</v>
      </c>
    </row>
    <row r="200" spans="1:18" x14ac:dyDescent="0.15">
      <c r="A200" s="788">
        <v>6205309134</v>
      </c>
      <c r="B200" t="s">
        <v>1490</v>
      </c>
      <c r="C200" s="884">
        <v>45946</v>
      </c>
      <c r="D200" s="884">
        <v>45947</v>
      </c>
      <c r="E200" t="s">
        <v>314</v>
      </c>
      <c r="F200" t="s">
        <v>315</v>
      </c>
      <c r="H200" t="s">
        <v>339</v>
      </c>
      <c r="I200" s="885">
        <v>45943.850254629629</v>
      </c>
      <c r="L200" t="s">
        <v>274</v>
      </c>
      <c r="M200" t="s">
        <v>279</v>
      </c>
      <c r="N200" t="s">
        <v>989</v>
      </c>
      <c r="O200" t="s">
        <v>267</v>
      </c>
      <c r="P200" s="885">
        <v>45943.853483796294</v>
      </c>
      <c r="Q200" t="s">
        <v>268</v>
      </c>
      <c r="R200" t="s">
        <v>269</v>
      </c>
    </row>
    <row r="201" spans="1:18" x14ac:dyDescent="0.15">
      <c r="A201" s="788">
        <v>6262901205</v>
      </c>
      <c r="B201" t="s">
        <v>1506</v>
      </c>
      <c r="C201" s="884">
        <v>45963</v>
      </c>
      <c r="D201" s="884">
        <v>45965</v>
      </c>
      <c r="E201" t="s">
        <v>314</v>
      </c>
      <c r="F201" t="s">
        <v>315</v>
      </c>
      <c r="H201" t="s">
        <v>758</v>
      </c>
      <c r="I201" s="885">
        <v>45946.274641203701</v>
      </c>
      <c r="L201" t="s">
        <v>274</v>
      </c>
      <c r="M201" t="s">
        <v>265</v>
      </c>
      <c r="N201" t="s">
        <v>1507</v>
      </c>
      <c r="O201" t="s">
        <v>267</v>
      </c>
      <c r="P201" s="885">
        <v>45946.279953703706</v>
      </c>
      <c r="Q201" t="s">
        <v>268</v>
      </c>
      <c r="R201" t="s">
        <v>269</v>
      </c>
    </row>
    <row r="202" spans="1:18" x14ac:dyDescent="0.15">
      <c r="A202" s="788">
        <v>5340273534</v>
      </c>
      <c r="B202" t="s">
        <v>1531</v>
      </c>
      <c r="C202" s="884">
        <v>45960</v>
      </c>
      <c r="D202" s="884">
        <v>45961</v>
      </c>
      <c r="E202" t="s">
        <v>314</v>
      </c>
      <c r="F202" t="s">
        <v>315</v>
      </c>
      <c r="H202" t="s">
        <v>964</v>
      </c>
      <c r="I202" s="885">
        <v>45948.755601851852</v>
      </c>
      <c r="L202" t="s">
        <v>274</v>
      </c>
      <c r="M202" t="s">
        <v>265</v>
      </c>
      <c r="N202" t="s">
        <v>1532</v>
      </c>
      <c r="O202" t="s">
        <v>267</v>
      </c>
      <c r="P202" s="885">
        <v>45948.758460648147</v>
      </c>
      <c r="Q202" t="s">
        <v>268</v>
      </c>
      <c r="R202" t="s">
        <v>269</v>
      </c>
    </row>
    <row r="203" spans="1:18" x14ac:dyDescent="0.15">
      <c r="A203" s="788">
        <v>6033060652</v>
      </c>
      <c r="B203" t="s">
        <v>1533</v>
      </c>
      <c r="C203" s="884">
        <v>46032</v>
      </c>
      <c r="D203" s="884">
        <v>46035</v>
      </c>
      <c r="E203" t="s">
        <v>314</v>
      </c>
      <c r="F203" t="s">
        <v>315</v>
      </c>
      <c r="H203" t="s">
        <v>316</v>
      </c>
      <c r="I203" s="885">
        <v>45948.860949074071</v>
      </c>
      <c r="K203" s="885">
        <v>45951.562349537038</v>
      </c>
      <c r="L203" t="s">
        <v>264</v>
      </c>
      <c r="M203" s="884">
        <v>36527</v>
      </c>
      <c r="N203" t="s">
        <v>1534</v>
      </c>
      <c r="O203" t="s">
        <v>267</v>
      </c>
      <c r="P203" s="885">
        <v>45951.565763888888</v>
      </c>
      <c r="Q203" t="s">
        <v>268</v>
      </c>
      <c r="R203" t="s">
        <v>269</v>
      </c>
    </row>
    <row r="204" spans="1:18" x14ac:dyDescent="0.15">
      <c r="A204" s="788">
        <v>6958797727</v>
      </c>
      <c r="B204" t="s">
        <v>1535</v>
      </c>
      <c r="C204" s="884">
        <v>46085</v>
      </c>
      <c r="D204" s="884">
        <v>46087</v>
      </c>
      <c r="E204" t="s">
        <v>314</v>
      </c>
      <c r="F204" t="s">
        <v>315</v>
      </c>
      <c r="H204" t="s">
        <v>1536</v>
      </c>
      <c r="I204" s="885">
        <v>45949.339409722219</v>
      </c>
      <c r="K204" s="885">
        <v>46029.963773148149</v>
      </c>
      <c r="L204" t="s">
        <v>264</v>
      </c>
      <c r="M204" s="884">
        <v>36560</v>
      </c>
      <c r="N204" t="s">
        <v>1537</v>
      </c>
      <c r="O204" t="s">
        <v>267</v>
      </c>
      <c r="P204" s="885">
        <v>46029.96837962963</v>
      </c>
      <c r="Q204" t="s">
        <v>268</v>
      </c>
      <c r="R204" t="s">
        <v>269</v>
      </c>
    </row>
    <row r="205" spans="1:18" x14ac:dyDescent="0.15">
      <c r="A205" s="788">
        <v>6249790047</v>
      </c>
      <c r="B205" t="s">
        <v>1533</v>
      </c>
      <c r="C205" s="884">
        <v>46032</v>
      </c>
      <c r="D205" s="884">
        <v>46035</v>
      </c>
      <c r="E205" t="s">
        <v>314</v>
      </c>
      <c r="F205" t="s">
        <v>315</v>
      </c>
      <c r="H205" t="s">
        <v>1039</v>
      </c>
      <c r="I205" s="885">
        <v>45951.561747685184</v>
      </c>
      <c r="L205" t="s">
        <v>274</v>
      </c>
      <c r="M205" s="884">
        <v>36527</v>
      </c>
      <c r="N205" t="s">
        <v>1121</v>
      </c>
      <c r="O205" t="s">
        <v>267</v>
      </c>
      <c r="P205" s="885">
        <v>45951.565763888888</v>
      </c>
      <c r="Q205" t="s">
        <v>268</v>
      </c>
      <c r="R205" t="s">
        <v>269</v>
      </c>
    </row>
    <row r="206" spans="1:18" x14ac:dyDescent="0.15">
      <c r="A206" s="788">
        <v>5930605409</v>
      </c>
      <c r="B206" t="s">
        <v>1596</v>
      </c>
      <c r="C206" s="884">
        <v>46122</v>
      </c>
      <c r="D206" s="884">
        <v>46125</v>
      </c>
      <c r="E206" t="s">
        <v>314</v>
      </c>
      <c r="F206" t="s">
        <v>315</v>
      </c>
      <c r="H206" t="s">
        <v>1039</v>
      </c>
      <c r="I206" s="885">
        <v>45952.970243055555</v>
      </c>
      <c r="L206" t="s">
        <v>274</v>
      </c>
      <c r="M206" t="s">
        <v>265</v>
      </c>
      <c r="N206" t="s">
        <v>1597</v>
      </c>
      <c r="O206" t="s">
        <v>267</v>
      </c>
      <c r="P206" s="885">
        <v>45952.976099537038</v>
      </c>
      <c r="Q206" t="s">
        <v>268</v>
      </c>
      <c r="R206" t="s">
        <v>269</v>
      </c>
    </row>
    <row r="207" spans="1:18" x14ac:dyDescent="0.15">
      <c r="A207" s="788">
        <v>5388381226</v>
      </c>
      <c r="B207" t="s">
        <v>1598</v>
      </c>
      <c r="C207" s="884">
        <v>46122</v>
      </c>
      <c r="D207" s="884">
        <v>46125</v>
      </c>
      <c r="E207" t="s">
        <v>314</v>
      </c>
      <c r="F207" t="s">
        <v>315</v>
      </c>
      <c r="H207" t="s">
        <v>951</v>
      </c>
      <c r="I207" s="885">
        <v>45952.972013888888</v>
      </c>
      <c r="L207" t="s">
        <v>274</v>
      </c>
      <c r="M207" t="s">
        <v>279</v>
      </c>
      <c r="N207" t="s">
        <v>1599</v>
      </c>
      <c r="O207" t="s">
        <v>267</v>
      </c>
      <c r="P207" s="885">
        <v>45952.976099537038</v>
      </c>
      <c r="Q207" t="s">
        <v>268</v>
      </c>
      <c r="R207" t="s">
        <v>269</v>
      </c>
    </row>
    <row r="208" spans="1:18" x14ac:dyDescent="0.15">
      <c r="A208" s="788">
        <v>5172738845</v>
      </c>
      <c r="B208" t="s">
        <v>1600</v>
      </c>
      <c r="C208" s="884">
        <v>45953</v>
      </c>
      <c r="D208" s="884">
        <v>45954</v>
      </c>
      <c r="E208" t="s">
        <v>314</v>
      </c>
      <c r="F208" t="s">
        <v>315</v>
      </c>
      <c r="H208" t="s">
        <v>1601</v>
      </c>
      <c r="I208" s="885">
        <v>45953.406342592592</v>
      </c>
      <c r="L208" t="s">
        <v>274</v>
      </c>
      <c r="M208" t="s">
        <v>265</v>
      </c>
      <c r="N208" t="s">
        <v>1185</v>
      </c>
      <c r="O208" t="s">
        <v>267</v>
      </c>
      <c r="P208" s="885">
        <v>45953.411435185182</v>
      </c>
      <c r="Q208" t="s">
        <v>268</v>
      </c>
      <c r="R208" t="s">
        <v>269</v>
      </c>
    </row>
    <row r="209" spans="1:18" x14ac:dyDescent="0.15">
      <c r="A209" s="788">
        <v>6787471779</v>
      </c>
      <c r="B209" t="s">
        <v>1238</v>
      </c>
      <c r="C209" s="884">
        <v>46014</v>
      </c>
      <c r="D209" s="884">
        <v>46016</v>
      </c>
      <c r="E209" t="s">
        <v>314</v>
      </c>
      <c r="F209" t="s">
        <v>315</v>
      </c>
      <c r="H209" t="s">
        <v>1604</v>
      </c>
    </row>
    <row r="210" spans="1:18" x14ac:dyDescent="0.15">
      <c r="A210" s="788">
        <v>6794764104</v>
      </c>
      <c r="B210" t="s">
        <v>1608</v>
      </c>
      <c r="C210" s="884">
        <v>46068</v>
      </c>
      <c r="D210" s="884">
        <v>46070</v>
      </c>
      <c r="E210" t="s">
        <v>314</v>
      </c>
      <c r="F210" t="s">
        <v>315</v>
      </c>
      <c r="H210" t="s">
        <v>1609</v>
      </c>
      <c r="I210" s="885">
        <v>45954.587754629632</v>
      </c>
      <c r="K210" s="885">
        <v>46037.000254629631</v>
      </c>
      <c r="L210" t="s">
        <v>264</v>
      </c>
      <c r="M210" s="884">
        <v>36529</v>
      </c>
      <c r="N210" t="s">
        <v>1610</v>
      </c>
      <c r="O210" t="s">
        <v>267</v>
      </c>
      <c r="P210" s="885">
        <v>46037.004386574074</v>
      </c>
      <c r="Q210" t="s">
        <v>268</v>
      </c>
      <c r="R210" t="s">
        <v>269</v>
      </c>
    </row>
    <row r="211" spans="1:18" x14ac:dyDescent="0.15">
      <c r="A211" s="788">
        <v>5266851544</v>
      </c>
      <c r="B211" t="s">
        <v>1628</v>
      </c>
      <c r="C211" s="884">
        <v>46025</v>
      </c>
      <c r="D211" s="884">
        <v>46027</v>
      </c>
      <c r="E211" t="s">
        <v>314</v>
      </c>
      <c r="F211" t="s">
        <v>315</v>
      </c>
      <c r="H211" t="s">
        <v>516</v>
      </c>
      <c r="I211" s="885">
        <v>45956.602233796293</v>
      </c>
      <c r="L211" t="s">
        <v>274</v>
      </c>
      <c r="M211" t="s">
        <v>265</v>
      </c>
      <c r="N211" t="s">
        <v>1422</v>
      </c>
      <c r="O211" t="s">
        <v>267</v>
      </c>
      <c r="P211" s="885">
        <v>45956.606423611112</v>
      </c>
      <c r="Q211" t="s">
        <v>268</v>
      </c>
      <c r="R211" t="s">
        <v>269</v>
      </c>
    </row>
    <row r="212" spans="1:18" x14ac:dyDescent="0.15">
      <c r="A212" s="788">
        <v>6181156180</v>
      </c>
      <c r="B212" t="s">
        <v>1643</v>
      </c>
      <c r="C212" s="884">
        <v>46031</v>
      </c>
      <c r="D212" s="884">
        <v>46033</v>
      </c>
      <c r="E212" t="s">
        <v>314</v>
      </c>
      <c r="F212" t="s">
        <v>315</v>
      </c>
      <c r="H212" t="s">
        <v>935</v>
      </c>
      <c r="I212" s="885">
        <v>45957.868449074071</v>
      </c>
      <c r="K212" s="885">
        <v>45958.957129629627</v>
      </c>
      <c r="L212" t="s">
        <v>264</v>
      </c>
      <c r="M212" t="s">
        <v>265</v>
      </c>
      <c r="N212" t="s">
        <v>1644</v>
      </c>
      <c r="O212" t="s">
        <v>267</v>
      </c>
      <c r="P212" s="885">
        <v>45958.960474537038</v>
      </c>
      <c r="Q212" t="s">
        <v>268</v>
      </c>
      <c r="R212" t="s">
        <v>269</v>
      </c>
    </row>
    <row r="213" spans="1:18" x14ac:dyDescent="0.15">
      <c r="A213" s="788">
        <v>5878021219</v>
      </c>
      <c r="B213" t="s">
        <v>1645</v>
      </c>
      <c r="C213" s="884">
        <v>46021</v>
      </c>
      <c r="D213" s="884">
        <v>46022</v>
      </c>
      <c r="E213" t="s">
        <v>314</v>
      </c>
      <c r="F213" t="s">
        <v>315</v>
      </c>
      <c r="H213" t="s">
        <v>1318</v>
      </c>
      <c r="I213" s="885">
        <v>45957.973692129628</v>
      </c>
      <c r="K213" s="885">
        <v>45960.729189814818</v>
      </c>
      <c r="L213" t="s">
        <v>264</v>
      </c>
      <c r="M213" s="884">
        <v>36527</v>
      </c>
      <c r="N213" t="s">
        <v>1646</v>
      </c>
      <c r="O213" t="s">
        <v>267</v>
      </c>
      <c r="P213" s="885">
        <v>45960.732627314814</v>
      </c>
      <c r="Q213" t="s">
        <v>268</v>
      </c>
      <c r="R213" t="s">
        <v>269</v>
      </c>
    </row>
    <row r="214" spans="1:18" x14ac:dyDescent="0.15">
      <c r="A214" s="788">
        <v>5766398527</v>
      </c>
      <c r="B214" t="s">
        <v>1647</v>
      </c>
      <c r="C214" s="884">
        <v>46087</v>
      </c>
      <c r="D214" s="884">
        <v>46095</v>
      </c>
      <c r="E214" t="s">
        <v>314</v>
      </c>
      <c r="F214" t="s">
        <v>315</v>
      </c>
      <c r="H214" t="s">
        <v>732</v>
      </c>
      <c r="I214" s="885">
        <v>45958.989502314813</v>
      </c>
      <c r="J214" s="885">
        <v>46063.462060185186</v>
      </c>
      <c r="L214" t="s">
        <v>720</v>
      </c>
      <c r="M214" t="s">
        <v>279</v>
      </c>
      <c r="N214" t="s">
        <v>1648</v>
      </c>
      <c r="O214" t="s">
        <v>267</v>
      </c>
      <c r="P214" s="885">
        <v>46063.46398148148</v>
      </c>
      <c r="Q214" t="s">
        <v>268</v>
      </c>
      <c r="R214" t="s">
        <v>269</v>
      </c>
    </row>
    <row r="215" spans="1:18" x14ac:dyDescent="0.15">
      <c r="A215" s="788">
        <v>6246191897</v>
      </c>
      <c r="B215" t="s">
        <v>1651</v>
      </c>
      <c r="C215" s="884">
        <v>46028</v>
      </c>
      <c r="D215" s="884">
        <v>46033</v>
      </c>
      <c r="E215" t="s">
        <v>314</v>
      </c>
      <c r="F215" t="s">
        <v>315</v>
      </c>
      <c r="H215" t="s">
        <v>1039</v>
      </c>
      <c r="I215" s="885">
        <v>45959.749062499999</v>
      </c>
      <c r="J215" s="885">
        <v>45960.687997685185</v>
      </c>
      <c r="L215" t="s">
        <v>720</v>
      </c>
      <c r="M215" t="s">
        <v>265</v>
      </c>
      <c r="N215" t="s">
        <v>1652</v>
      </c>
      <c r="O215" t="s">
        <v>730</v>
      </c>
      <c r="P215" s="885">
        <v>45960.691979166666</v>
      </c>
      <c r="Q215" t="s">
        <v>268</v>
      </c>
      <c r="R215" t="s">
        <v>269</v>
      </c>
    </row>
    <row r="216" spans="1:18" x14ac:dyDescent="0.15">
      <c r="A216" s="788">
        <v>6904547739</v>
      </c>
      <c r="B216" t="s">
        <v>1653</v>
      </c>
      <c r="C216" s="884">
        <v>46011</v>
      </c>
      <c r="D216" s="884">
        <v>46015</v>
      </c>
      <c r="E216" t="s">
        <v>314</v>
      </c>
      <c r="F216" t="s">
        <v>315</v>
      </c>
      <c r="H216" t="s">
        <v>951</v>
      </c>
      <c r="I216" s="885">
        <v>45959.835358796299</v>
      </c>
      <c r="J216" s="885">
        <v>45960.753703703704</v>
      </c>
      <c r="L216" t="s">
        <v>720</v>
      </c>
      <c r="M216" t="s">
        <v>265</v>
      </c>
      <c r="N216" t="s">
        <v>1654</v>
      </c>
      <c r="O216" t="s">
        <v>730</v>
      </c>
      <c r="P216" s="885">
        <v>45960.758379629631</v>
      </c>
      <c r="Q216" t="s">
        <v>268</v>
      </c>
      <c r="R216" t="s">
        <v>269</v>
      </c>
    </row>
    <row r="217" spans="1:18" x14ac:dyDescent="0.15">
      <c r="A217" s="788">
        <v>6001588136</v>
      </c>
      <c r="B217" t="s">
        <v>1655</v>
      </c>
      <c r="C217" s="884">
        <v>46218</v>
      </c>
      <c r="D217" s="884">
        <v>46221</v>
      </c>
      <c r="E217" t="s">
        <v>314</v>
      </c>
      <c r="F217" t="s">
        <v>315</v>
      </c>
      <c r="H217" t="s">
        <v>1656</v>
      </c>
      <c r="I217" s="885">
        <v>45959.852268518516</v>
      </c>
      <c r="L217" t="s">
        <v>274</v>
      </c>
      <c r="M217" s="884">
        <v>36558</v>
      </c>
      <c r="N217" t="s">
        <v>1657</v>
      </c>
      <c r="O217" t="s">
        <v>267</v>
      </c>
      <c r="P217" s="885">
        <v>45959.858124999999</v>
      </c>
      <c r="Q217" t="s">
        <v>268</v>
      </c>
      <c r="R217" t="s">
        <v>269</v>
      </c>
    </row>
    <row r="218" spans="1:18" x14ac:dyDescent="0.15">
      <c r="A218" s="788">
        <v>5091214756</v>
      </c>
      <c r="B218" t="s">
        <v>598</v>
      </c>
      <c r="C218" s="884">
        <v>45960</v>
      </c>
      <c r="D218" s="884">
        <v>45961</v>
      </c>
      <c r="E218" t="s">
        <v>314</v>
      </c>
      <c r="F218" t="s">
        <v>315</v>
      </c>
      <c r="H218" t="s">
        <v>1675</v>
      </c>
      <c r="I218" s="885">
        <v>45960.863483796296</v>
      </c>
      <c r="K218" s="885">
        <v>45960.873263888891</v>
      </c>
      <c r="L218" t="s">
        <v>264</v>
      </c>
      <c r="M218" t="s">
        <v>265</v>
      </c>
      <c r="N218" t="s">
        <v>1185</v>
      </c>
      <c r="O218" t="s">
        <v>267</v>
      </c>
      <c r="P218" s="885">
        <v>45960.879305555558</v>
      </c>
      <c r="Q218" t="s">
        <v>268</v>
      </c>
      <c r="R218" t="s">
        <v>269</v>
      </c>
    </row>
    <row r="219" spans="1:18" x14ac:dyDescent="0.15">
      <c r="A219" s="788">
        <v>5819937788</v>
      </c>
      <c r="B219" t="s">
        <v>1676</v>
      </c>
      <c r="C219" s="884">
        <v>46022</v>
      </c>
      <c r="D219" s="884">
        <v>46023</v>
      </c>
      <c r="E219" t="s">
        <v>314</v>
      </c>
      <c r="F219" t="s">
        <v>315</v>
      </c>
      <c r="H219" t="s">
        <v>1039</v>
      </c>
      <c r="I219" s="885">
        <v>45960.885057870371</v>
      </c>
      <c r="L219" t="s">
        <v>274</v>
      </c>
      <c r="M219" t="s">
        <v>265</v>
      </c>
      <c r="N219" t="s">
        <v>1677</v>
      </c>
      <c r="O219" t="s">
        <v>267</v>
      </c>
      <c r="P219" s="885">
        <v>45960.887314814812</v>
      </c>
      <c r="Q219" t="s">
        <v>268</v>
      </c>
      <c r="R219" t="s">
        <v>269</v>
      </c>
    </row>
    <row r="220" spans="1:18" x14ac:dyDescent="0.15">
      <c r="A220" s="788">
        <v>5230020272</v>
      </c>
      <c r="B220" t="s">
        <v>1678</v>
      </c>
      <c r="C220" s="884">
        <v>45961</v>
      </c>
      <c r="D220" s="884">
        <v>45962</v>
      </c>
      <c r="E220" t="s">
        <v>314</v>
      </c>
      <c r="F220" t="s">
        <v>315</v>
      </c>
      <c r="H220" t="s">
        <v>1679</v>
      </c>
      <c r="I220" s="885">
        <v>45960.929120370369</v>
      </c>
      <c r="L220" t="s">
        <v>274</v>
      </c>
      <c r="M220" s="884">
        <v>36558</v>
      </c>
      <c r="N220" t="s">
        <v>1680</v>
      </c>
      <c r="O220" t="s">
        <v>267</v>
      </c>
      <c r="P220" s="885">
        <v>45960.931504629632</v>
      </c>
      <c r="Q220" t="s">
        <v>268</v>
      </c>
      <c r="R220" t="s">
        <v>269</v>
      </c>
    </row>
    <row r="221" spans="1:18" x14ac:dyDescent="0.15">
      <c r="A221" s="788">
        <v>5913733075</v>
      </c>
      <c r="B221" t="s">
        <v>444</v>
      </c>
      <c r="C221" s="884">
        <v>45962</v>
      </c>
      <c r="D221" s="884">
        <v>45964</v>
      </c>
      <c r="E221" t="s">
        <v>314</v>
      </c>
      <c r="F221" t="s">
        <v>315</v>
      </c>
      <c r="H221" t="s">
        <v>1681</v>
      </c>
      <c r="I221" s="885">
        <v>45961.303171296298</v>
      </c>
      <c r="L221" t="s">
        <v>274</v>
      </c>
      <c r="M221" t="s">
        <v>265</v>
      </c>
      <c r="N221" t="s">
        <v>1682</v>
      </c>
      <c r="O221" t="s">
        <v>267</v>
      </c>
      <c r="P221" s="885">
        <v>45961.30804398148</v>
      </c>
      <c r="Q221" t="s">
        <v>268</v>
      </c>
      <c r="R221" t="s">
        <v>269</v>
      </c>
    </row>
    <row r="222" spans="1:18" x14ac:dyDescent="0.15">
      <c r="A222" s="788">
        <v>5504492806</v>
      </c>
      <c r="B222" t="s">
        <v>1683</v>
      </c>
      <c r="C222" s="884">
        <v>45980</v>
      </c>
      <c r="D222" s="884">
        <v>45981</v>
      </c>
      <c r="E222" t="s">
        <v>314</v>
      </c>
      <c r="F222" t="s">
        <v>315</v>
      </c>
      <c r="H222" t="s">
        <v>316</v>
      </c>
      <c r="I222" s="885">
        <v>45961.404340277775</v>
      </c>
      <c r="L222" t="s">
        <v>274</v>
      </c>
      <c r="M222" t="s">
        <v>265</v>
      </c>
      <c r="N222" t="s">
        <v>1259</v>
      </c>
      <c r="O222" t="s">
        <v>267</v>
      </c>
      <c r="P222" s="885">
        <v>45961.408807870372</v>
      </c>
      <c r="Q222" t="s">
        <v>268</v>
      </c>
      <c r="R222" t="s">
        <v>269</v>
      </c>
    </row>
    <row r="223" spans="1:18" x14ac:dyDescent="0.15">
      <c r="A223" s="788">
        <v>5410701013</v>
      </c>
      <c r="B223" t="s">
        <v>1684</v>
      </c>
      <c r="C223" s="884">
        <v>46064</v>
      </c>
      <c r="D223" s="884">
        <v>46066</v>
      </c>
      <c r="E223" t="s">
        <v>314</v>
      </c>
      <c r="F223" t="s">
        <v>315</v>
      </c>
      <c r="H223" t="s">
        <v>951</v>
      </c>
      <c r="I223" s="885">
        <v>45961.488645833335</v>
      </c>
      <c r="L223" t="s">
        <v>274</v>
      </c>
      <c r="M223" t="s">
        <v>265</v>
      </c>
      <c r="N223" t="s">
        <v>1685</v>
      </c>
      <c r="O223" t="s">
        <v>267</v>
      </c>
      <c r="P223" s="885">
        <v>45961.494479166664</v>
      </c>
      <c r="Q223" t="s">
        <v>268</v>
      </c>
      <c r="R223" t="s">
        <v>269</v>
      </c>
    </row>
    <row r="224" spans="1:18" x14ac:dyDescent="0.15">
      <c r="A224" s="788">
        <v>5937666025</v>
      </c>
      <c r="B224" t="s">
        <v>1686</v>
      </c>
      <c r="C224" s="884">
        <v>45980</v>
      </c>
      <c r="D224" s="884">
        <v>45986</v>
      </c>
      <c r="E224" t="s">
        <v>314</v>
      </c>
      <c r="F224" t="s">
        <v>315</v>
      </c>
      <c r="H224" t="s">
        <v>354</v>
      </c>
      <c r="I224" s="885">
        <v>45961.68414351852</v>
      </c>
      <c r="L224" t="s">
        <v>274</v>
      </c>
      <c r="M224" t="s">
        <v>265</v>
      </c>
      <c r="N224" t="s">
        <v>1687</v>
      </c>
      <c r="O224" t="s">
        <v>267</v>
      </c>
      <c r="P224" s="885">
        <v>45961.687847222223</v>
      </c>
      <c r="Q224" t="s">
        <v>268</v>
      </c>
      <c r="R224" t="s">
        <v>269</v>
      </c>
    </row>
    <row r="225" spans="1:18" x14ac:dyDescent="0.15">
      <c r="A225" s="788">
        <v>6303483237</v>
      </c>
      <c r="B225" t="s">
        <v>1689</v>
      </c>
      <c r="C225" s="884">
        <v>46082</v>
      </c>
      <c r="D225" s="884">
        <v>46086</v>
      </c>
      <c r="E225" t="s">
        <v>314</v>
      </c>
      <c r="F225" t="s">
        <v>315</v>
      </c>
      <c r="H225" t="s">
        <v>951</v>
      </c>
      <c r="I225" s="885">
        <v>45962.735196759262</v>
      </c>
      <c r="L225" t="s">
        <v>274</v>
      </c>
      <c r="M225" t="s">
        <v>265</v>
      </c>
      <c r="N225" t="s">
        <v>1690</v>
      </c>
      <c r="O225" t="s">
        <v>267</v>
      </c>
      <c r="P225" s="885">
        <v>45962.737893518519</v>
      </c>
      <c r="Q225" t="s">
        <v>268</v>
      </c>
      <c r="R225" t="s">
        <v>269</v>
      </c>
    </row>
    <row r="226" spans="1:18" x14ac:dyDescent="0.15">
      <c r="A226" s="788">
        <v>5396509070</v>
      </c>
      <c r="B226" t="s">
        <v>1691</v>
      </c>
      <c r="C226" s="884">
        <v>46018</v>
      </c>
      <c r="D226" s="884">
        <v>46022</v>
      </c>
      <c r="E226" t="s">
        <v>314</v>
      </c>
      <c r="F226" t="s">
        <v>315</v>
      </c>
      <c r="H226" t="s">
        <v>537</v>
      </c>
      <c r="I226" s="885">
        <v>45963.014467592591</v>
      </c>
      <c r="J226" s="885">
        <v>45963.751087962963</v>
      </c>
      <c r="L226" t="s">
        <v>720</v>
      </c>
      <c r="M226" s="884">
        <v>36527</v>
      </c>
      <c r="N226" t="s">
        <v>1692</v>
      </c>
      <c r="O226" t="s">
        <v>267</v>
      </c>
      <c r="P226" s="885">
        <v>45963.753865740742</v>
      </c>
      <c r="Q226" t="s">
        <v>268</v>
      </c>
      <c r="R226" t="s">
        <v>269</v>
      </c>
    </row>
    <row r="227" spans="1:18" x14ac:dyDescent="0.15">
      <c r="A227" s="788">
        <v>5531305869</v>
      </c>
      <c r="B227" t="s">
        <v>1701</v>
      </c>
      <c r="C227" s="884">
        <v>45992</v>
      </c>
      <c r="D227" s="884">
        <v>45994</v>
      </c>
      <c r="E227" t="s">
        <v>314</v>
      </c>
      <c r="F227" t="s">
        <v>315</v>
      </c>
      <c r="H227" t="s">
        <v>354</v>
      </c>
      <c r="I227" s="885">
        <v>45963.776006944441</v>
      </c>
      <c r="L227" t="s">
        <v>274</v>
      </c>
      <c r="M227" t="s">
        <v>279</v>
      </c>
      <c r="N227" t="s">
        <v>1702</v>
      </c>
      <c r="O227" t="s">
        <v>267</v>
      </c>
      <c r="P227" s="885">
        <v>45963.779930555553</v>
      </c>
      <c r="Q227" t="s">
        <v>268</v>
      </c>
      <c r="R227" t="s">
        <v>269</v>
      </c>
    </row>
    <row r="228" spans="1:18" x14ac:dyDescent="0.15">
      <c r="A228" s="788">
        <v>5694563516</v>
      </c>
      <c r="B228" t="s">
        <v>1703</v>
      </c>
      <c r="C228" s="884">
        <v>46056</v>
      </c>
      <c r="D228" s="884">
        <v>46059</v>
      </c>
      <c r="E228" t="s">
        <v>314</v>
      </c>
      <c r="F228" t="s">
        <v>315</v>
      </c>
      <c r="H228" t="s">
        <v>354</v>
      </c>
      <c r="I228" s="885">
        <v>45963.861539351848</v>
      </c>
      <c r="L228" t="s">
        <v>274</v>
      </c>
      <c r="M228" t="s">
        <v>265</v>
      </c>
      <c r="N228" t="s">
        <v>1704</v>
      </c>
      <c r="O228" t="s">
        <v>267</v>
      </c>
      <c r="P228" s="885">
        <v>45963.865740740737</v>
      </c>
      <c r="Q228" t="s">
        <v>268</v>
      </c>
      <c r="R228" t="s">
        <v>269</v>
      </c>
    </row>
    <row r="229" spans="1:18" x14ac:dyDescent="0.15">
      <c r="A229" s="788">
        <v>6985618133</v>
      </c>
      <c r="B229" t="s">
        <v>1645</v>
      </c>
      <c r="C229" s="884">
        <v>46023</v>
      </c>
      <c r="D229" s="884">
        <v>46024</v>
      </c>
      <c r="E229" t="s">
        <v>314</v>
      </c>
      <c r="F229" t="s">
        <v>315</v>
      </c>
      <c r="H229" t="s">
        <v>1318</v>
      </c>
      <c r="I229" s="885">
        <v>45963.910740740743</v>
      </c>
      <c r="L229" t="s">
        <v>274</v>
      </c>
      <c r="M229" s="884">
        <v>36527</v>
      </c>
      <c r="N229" t="s">
        <v>1713</v>
      </c>
      <c r="O229" t="s">
        <v>267</v>
      </c>
      <c r="P229" s="885">
        <v>45963.916481481479</v>
      </c>
      <c r="Q229" t="s">
        <v>268</v>
      </c>
      <c r="R229" t="s">
        <v>269</v>
      </c>
    </row>
    <row r="230" spans="1:18" x14ac:dyDescent="0.15">
      <c r="A230" s="788">
        <v>6756037409</v>
      </c>
      <c r="B230" t="s">
        <v>1721</v>
      </c>
      <c r="C230" s="884">
        <v>46022</v>
      </c>
      <c r="D230" s="884">
        <v>46026</v>
      </c>
      <c r="E230" t="s">
        <v>314</v>
      </c>
      <c r="F230" t="s">
        <v>315</v>
      </c>
      <c r="H230" t="s">
        <v>1315</v>
      </c>
      <c r="I230" s="885">
        <v>45964.945115740738</v>
      </c>
      <c r="L230" t="s">
        <v>274</v>
      </c>
      <c r="M230" s="884">
        <v>36527</v>
      </c>
      <c r="N230" t="s">
        <v>1722</v>
      </c>
      <c r="O230" t="s">
        <v>267</v>
      </c>
      <c r="P230" s="885">
        <v>45964.947199074071</v>
      </c>
      <c r="Q230" t="s">
        <v>268</v>
      </c>
      <c r="R230" t="s">
        <v>269</v>
      </c>
    </row>
    <row r="231" spans="1:18" x14ac:dyDescent="0.15">
      <c r="A231" s="788">
        <v>5172543140</v>
      </c>
      <c r="B231" t="s">
        <v>1723</v>
      </c>
      <c r="C231" s="884">
        <v>46300</v>
      </c>
      <c r="D231" s="884">
        <v>46304</v>
      </c>
      <c r="E231" t="s">
        <v>314</v>
      </c>
      <c r="F231" t="s">
        <v>315</v>
      </c>
      <c r="H231" t="s">
        <v>1724</v>
      </c>
      <c r="I231" s="885">
        <v>45965.396898148145</v>
      </c>
      <c r="L231" t="s">
        <v>274</v>
      </c>
      <c r="M231" t="s">
        <v>265</v>
      </c>
      <c r="N231" t="s">
        <v>1725</v>
      </c>
      <c r="O231" t="s">
        <v>267</v>
      </c>
      <c r="P231" s="885">
        <v>45965.399918981479</v>
      </c>
      <c r="Q231" t="s">
        <v>268</v>
      </c>
      <c r="R231" t="s">
        <v>269</v>
      </c>
    </row>
    <row r="232" spans="1:18" x14ac:dyDescent="0.15">
      <c r="A232" s="788">
        <v>6554580490</v>
      </c>
      <c r="B232" t="s">
        <v>1726</v>
      </c>
      <c r="C232" s="884">
        <v>46145</v>
      </c>
      <c r="D232" s="884">
        <v>46146</v>
      </c>
      <c r="E232" t="s">
        <v>314</v>
      </c>
      <c r="F232" t="s">
        <v>315</v>
      </c>
      <c r="H232" t="s">
        <v>354</v>
      </c>
      <c r="I232" s="885">
        <v>45965.604039351849</v>
      </c>
      <c r="L232" t="s">
        <v>274</v>
      </c>
      <c r="M232" t="s">
        <v>265</v>
      </c>
      <c r="N232" t="s">
        <v>1727</v>
      </c>
      <c r="O232" t="s">
        <v>267</v>
      </c>
      <c r="P232" s="885">
        <v>45965.609537037039</v>
      </c>
      <c r="Q232" t="s">
        <v>268</v>
      </c>
      <c r="R232" t="s">
        <v>269</v>
      </c>
    </row>
    <row r="233" spans="1:18" x14ac:dyDescent="0.15">
      <c r="A233" s="788">
        <v>6894975615</v>
      </c>
      <c r="B233" t="s">
        <v>1728</v>
      </c>
      <c r="C233" s="884">
        <v>46145</v>
      </c>
      <c r="D233" s="884">
        <v>46146</v>
      </c>
      <c r="E233" t="s">
        <v>314</v>
      </c>
      <c r="F233" t="s">
        <v>315</v>
      </c>
      <c r="H233" t="s">
        <v>969</v>
      </c>
      <c r="I233" s="885">
        <v>45965.614178240743</v>
      </c>
      <c r="K233" s="885">
        <v>46116.493333333332</v>
      </c>
      <c r="L233" t="s">
        <v>264</v>
      </c>
      <c r="M233" t="s">
        <v>520</v>
      </c>
      <c r="N233" t="s">
        <v>1729</v>
      </c>
      <c r="O233" t="s">
        <v>267</v>
      </c>
      <c r="P233" s="885">
        <v>46116.495381944442</v>
      </c>
      <c r="Q233" t="s">
        <v>268</v>
      </c>
      <c r="R233" t="s">
        <v>269</v>
      </c>
    </row>
    <row r="234" spans="1:18" x14ac:dyDescent="0.15">
      <c r="A234" s="788">
        <v>6666081474</v>
      </c>
      <c r="B234" t="s">
        <v>1730</v>
      </c>
      <c r="C234" s="884">
        <v>46030</v>
      </c>
      <c r="D234" s="884">
        <v>46036</v>
      </c>
      <c r="E234" t="s">
        <v>314</v>
      </c>
      <c r="F234" t="s">
        <v>315</v>
      </c>
      <c r="H234" t="s">
        <v>516</v>
      </c>
      <c r="I234" s="885">
        <v>45965.960717592592</v>
      </c>
      <c r="L234" t="s">
        <v>274</v>
      </c>
      <c r="M234" t="s">
        <v>265</v>
      </c>
      <c r="N234" t="s">
        <v>1731</v>
      </c>
      <c r="O234" t="s">
        <v>267</v>
      </c>
      <c r="P234" s="885">
        <v>45965.965254629627</v>
      </c>
      <c r="Q234" t="s">
        <v>268</v>
      </c>
      <c r="R234" t="s">
        <v>269</v>
      </c>
    </row>
    <row r="235" spans="1:18" x14ac:dyDescent="0.15">
      <c r="A235" s="788">
        <v>6391445756</v>
      </c>
      <c r="B235" t="s">
        <v>1732</v>
      </c>
      <c r="C235" s="884">
        <v>46075</v>
      </c>
      <c r="D235" s="884">
        <v>46076</v>
      </c>
      <c r="E235" t="s">
        <v>314</v>
      </c>
      <c r="F235" t="s">
        <v>315</v>
      </c>
      <c r="H235" t="s">
        <v>951</v>
      </c>
      <c r="I235" s="885">
        <v>45966.560972222222</v>
      </c>
      <c r="L235" t="s">
        <v>274</v>
      </c>
      <c r="M235" t="s">
        <v>265</v>
      </c>
      <c r="N235" t="s">
        <v>1350</v>
      </c>
      <c r="O235" t="s">
        <v>267</v>
      </c>
      <c r="P235" s="885">
        <v>45966.566967592589</v>
      </c>
      <c r="Q235" t="s">
        <v>268</v>
      </c>
      <c r="R235" t="s">
        <v>269</v>
      </c>
    </row>
    <row r="236" spans="1:18" x14ac:dyDescent="0.15">
      <c r="A236" s="788">
        <v>6709833755</v>
      </c>
      <c r="B236" t="s">
        <v>1733</v>
      </c>
      <c r="C236" s="884">
        <v>46025</v>
      </c>
      <c r="D236" s="884">
        <v>46027</v>
      </c>
      <c r="E236" t="s">
        <v>314</v>
      </c>
      <c r="F236" t="s">
        <v>315</v>
      </c>
      <c r="H236" t="s">
        <v>368</v>
      </c>
      <c r="I236" s="885">
        <v>45967.048356481479</v>
      </c>
      <c r="K236" s="885">
        <v>45983.716446759259</v>
      </c>
      <c r="L236" t="s">
        <v>264</v>
      </c>
      <c r="M236" t="s">
        <v>265</v>
      </c>
      <c r="N236" t="s">
        <v>1734</v>
      </c>
      <c r="O236" t="s">
        <v>267</v>
      </c>
      <c r="P236" s="885">
        <v>45983.720034722224</v>
      </c>
      <c r="Q236" t="s">
        <v>268</v>
      </c>
      <c r="R236" t="s">
        <v>269</v>
      </c>
    </row>
    <row r="237" spans="1:18" x14ac:dyDescent="0.15">
      <c r="A237" s="788">
        <v>6965348995</v>
      </c>
      <c r="B237" t="s">
        <v>1735</v>
      </c>
      <c r="C237" s="884">
        <v>46030</v>
      </c>
      <c r="D237" s="884">
        <v>46032</v>
      </c>
      <c r="E237" t="s">
        <v>314</v>
      </c>
      <c r="F237" t="s">
        <v>315</v>
      </c>
      <c r="H237" t="s">
        <v>519</v>
      </c>
      <c r="I237" s="885">
        <v>45967.60396990741</v>
      </c>
      <c r="L237" t="s">
        <v>274</v>
      </c>
      <c r="M237" t="s">
        <v>520</v>
      </c>
      <c r="N237" t="s">
        <v>535</v>
      </c>
      <c r="O237" t="s">
        <v>267</v>
      </c>
      <c r="P237" s="885">
        <v>45967.608425925922</v>
      </c>
      <c r="Q237" t="s">
        <v>268</v>
      </c>
      <c r="R237" t="s">
        <v>269</v>
      </c>
    </row>
    <row r="238" spans="1:18" x14ac:dyDescent="0.15">
      <c r="A238" s="788">
        <v>6370201888</v>
      </c>
      <c r="B238" t="s">
        <v>1738</v>
      </c>
      <c r="C238" s="884">
        <v>46045</v>
      </c>
      <c r="D238" s="884">
        <v>46049</v>
      </c>
      <c r="E238" t="s">
        <v>314</v>
      </c>
      <c r="F238" t="s">
        <v>315</v>
      </c>
      <c r="H238" t="s">
        <v>1739</v>
      </c>
      <c r="I238" s="885">
        <v>45967.795937499999</v>
      </c>
      <c r="L238" t="s">
        <v>274</v>
      </c>
      <c r="M238" t="s">
        <v>265</v>
      </c>
      <c r="N238" t="s">
        <v>1740</v>
      </c>
      <c r="O238" t="s">
        <v>267</v>
      </c>
      <c r="P238" s="885">
        <v>45967.800011574072</v>
      </c>
      <c r="Q238" t="s">
        <v>268</v>
      </c>
      <c r="R238" t="s">
        <v>269</v>
      </c>
    </row>
    <row r="239" spans="1:18" x14ac:dyDescent="0.15">
      <c r="A239" s="788">
        <v>6520689619</v>
      </c>
      <c r="B239" t="s">
        <v>1741</v>
      </c>
      <c r="C239" s="884">
        <v>46024</v>
      </c>
      <c r="D239" s="884">
        <v>46026</v>
      </c>
      <c r="E239" t="s">
        <v>314</v>
      </c>
      <c r="F239" t="s">
        <v>315</v>
      </c>
      <c r="H239" t="s">
        <v>1077</v>
      </c>
      <c r="I239" s="885">
        <v>45968.689826388887</v>
      </c>
      <c r="L239" t="s">
        <v>274</v>
      </c>
      <c r="M239" t="s">
        <v>265</v>
      </c>
      <c r="N239" t="s">
        <v>940</v>
      </c>
      <c r="O239" t="s">
        <v>267</v>
      </c>
      <c r="P239" s="885">
        <v>45968.69390046296</v>
      </c>
      <c r="Q239" t="s">
        <v>268</v>
      </c>
      <c r="R239" t="s">
        <v>269</v>
      </c>
    </row>
    <row r="240" spans="1:18" x14ac:dyDescent="0.15">
      <c r="A240" s="788">
        <v>6838678899</v>
      </c>
      <c r="B240" t="s">
        <v>1742</v>
      </c>
      <c r="C240" s="884">
        <v>46016</v>
      </c>
      <c r="D240" s="884">
        <v>46019</v>
      </c>
      <c r="E240" t="s">
        <v>314</v>
      </c>
      <c r="F240" t="s">
        <v>315</v>
      </c>
      <c r="H240" t="s">
        <v>1743</v>
      </c>
      <c r="I240" s="885">
        <v>45969.795972222222</v>
      </c>
      <c r="J240" s="885">
        <v>45981.522187499999</v>
      </c>
      <c r="L240" t="s">
        <v>720</v>
      </c>
      <c r="M240" s="884">
        <v>36537</v>
      </c>
      <c r="N240" t="s">
        <v>1744</v>
      </c>
      <c r="O240" t="s">
        <v>730</v>
      </c>
      <c r="P240" s="885">
        <v>45981.52542824074</v>
      </c>
      <c r="Q240" t="s">
        <v>268</v>
      </c>
      <c r="R240" t="s">
        <v>269</v>
      </c>
    </row>
    <row r="241" spans="1:18" x14ac:dyDescent="0.15">
      <c r="A241" s="788">
        <v>6232169549</v>
      </c>
      <c r="B241" t="s">
        <v>1745</v>
      </c>
      <c r="C241" s="884">
        <v>46082</v>
      </c>
      <c r="D241" s="884">
        <v>46085</v>
      </c>
      <c r="E241" t="s">
        <v>314</v>
      </c>
      <c r="F241" t="s">
        <v>315</v>
      </c>
      <c r="H241" t="s">
        <v>1746</v>
      </c>
      <c r="I241" s="885">
        <v>45970.070937500001</v>
      </c>
      <c r="L241" t="s">
        <v>274</v>
      </c>
      <c r="M241" t="s">
        <v>265</v>
      </c>
      <c r="N241" t="s">
        <v>996</v>
      </c>
      <c r="O241" t="s">
        <v>267</v>
      </c>
      <c r="P241" s="885">
        <v>45970.076342592591</v>
      </c>
      <c r="Q241" t="s">
        <v>268</v>
      </c>
      <c r="R241" t="s">
        <v>269</v>
      </c>
    </row>
    <row r="242" spans="1:18" x14ac:dyDescent="0.15">
      <c r="A242" s="788">
        <v>5963142818</v>
      </c>
      <c r="B242" t="s">
        <v>1749</v>
      </c>
      <c r="C242" s="884">
        <v>45971</v>
      </c>
      <c r="D242" s="884">
        <v>45972</v>
      </c>
      <c r="E242" t="s">
        <v>314</v>
      </c>
      <c r="F242" t="s">
        <v>315</v>
      </c>
      <c r="H242" t="s">
        <v>1750</v>
      </c>
      <c r="I242" s="885">
        <v>45970.303460648145</v>
      </c>
      <c r="L242" t="s">
        <v>274</v>
      </c>
      <c r="M242" t="s">
        <v>265</v>
      </c>
      <c r="N242" t="s">
        <v>1751</v>
      </c>
      <c r="O242" t="s">
        <v>267</v>
      </c>
      <c r="P242" s="885">
        <v>45970.305694444447</v>
      </c>
      <c r="Q242" t="s">
        <v>268</v>
      </c>
      <c r="R242" t="s">
        <v>269</v>
      </c>
    </row>
    <row r="243" spans="1:18" x14ac:dyDescent="0.15">
      <c r="A243" s="788">
        <v>6957294506</v>
      </c>
      <c r="B243" t="s">
        <v>1756</v>
      </c>
      <c r="C243" s="884">
        <v>46011</v>
      </c>
      <c r="D243" s="884">
        <v>46012</v>
      </c>
      <c r="E243" t="s">
        <v>314</v>
      </c>
      <c r="F243" t="s">
        <v>315</v>
      </c>
      <c r="H243" t="s">
        <v>1746</v>
      </c>
      <c r="I243" s="885">
        <v>45970.906412037039</v>
      </c>
      <c r="L243" t="s">
        <v>274</v>
      </c>
      <c r="M243" t="s">
        <v>265</v>
      </c>
      <c r="N243" t="s">
        <v>1462</v>
      </c>
      <c r="O243" t="s">
        <v>267</v>
      </c>
      <c r="P243" s="885">
        <v>45970.909537037034</v>
      </c>
      <c r="Q243" t="s">
        <v>268</v>
      </c>
      <c r="R243" t="s">
        <v>269</v>
      </c>
    </row>
    <row r="244" spans="1:18" x14ac:dyDescent="0.15">
      <c r="A244" s="788">
        <v>6460813420</v>
      </c>
      <c r="B244" t="s">
        <v>1757</v>
      </c>
      <c r="C244" s="884">
        <v>45973</v>
      </c>
      <c r="D244" s="884">
        <v>45976</v>
      </c>
      <c r="E244" t="s">
        <v>314</v>
      </c>
      <c r="F244" t="s">
        <v>315</v>
      </c>
      <c r="H244" t="s">
        <v>1758</v>
      </c>
      <c r="I244" s="885">
        <v>45971.652638888889</v>
      </c>
      <c r="L244" t="s">
        <v>274</v>
      </c>
      <c r="M244" t="s">
        <v>265</v>
      </c>
      <c r="N244" t="s">
        <v>1590</v>
      </c>
      <c r="O244" t="s">
        <v>267</v>
      </c>
      <c r="P244" s="885">
        <v>45971.658159722225</v>
      </c>
      <c r="Q244" t="s">
        <v>268</v>
      </c>
      <c r="R244" t="s">
        <v>269</v>
      </c>
    </row>
    <row r="245" spans="1:18" x14ac:dyDescent="0.15">
      <c r="A245" s="788">
        <v>5628961300</v>
      </c>
      <c r="B245" t="s">
        <v>1764</v>
      </c>
      <c r="C245" s="884">
        <v>45972</v>
      </c>
      <c r="D245" s="884">
        <v>45973</v>
      </c>
      <c r="E245" t="s">
        <v>314</v>
      </c>
      <c r="F245" t="s">
        <v>315</v>
      </c>
      <c r="H245" t="s">
        <v>1765</v>
      </c>
      <c r="I245" s="885">
        <v>45972.533067129632</v>
      </c>
      <c r="L245" t="s">
        <v>274</v>
      </c>
      <c r="M245" t="s">
        <v>265</v>
      </c>
      <c r="N245" t="s">
        <v>1766</v>
      </c>
      <c r="O245" t="s">
        <v>267</v>
      </c>
      <c r="P245" s="885">
        <v>45972.537881944445</v>
      </c>
      <c r="Q245" t="s">
        <v>268</v>
      </c>
      <c r="R245" t="s">
        <v>269</v>
      </c>
    </row>
    <row r="246" spans="1:18" x14ac:dyDescent="0.15">
      <c r="A246" s="788">
        <v>5625440639</v>
      </c>
      <c r="B246" t="s">
        <v>1775</v>
      </c>
      <c r="C246" s="884">
        <v>46021</v>
      </c>
      <c r="D246" s="884">
        <v>46023</v>
      </c>
      <c r="E246" t="s">
        <v>314</v>
      </c>
      <c r="F246" t="s">
        <v>315</v>
      </c>
      <c r="H246" t="s">
        <v>1776</v>
      </c>
      <c r="I246" s="885">
        <v>45972.977384259262</v>
      </c>
      <c r="L246" t="s">
        <v>274</v>
      </c>
      <c r="M246" t="s">
        <v>265</v>
      </c>
      <c r="N246" t="s">
        <v>1777</v>
      </c>
      <c r="O246" t="s">
        <v>267</v>
      </c>
      <c r="P246" s="885">
        <v>45972.980694444443</v>
      </c>
      <c r="Q246" t="s">
        <v>268</v>
      </c>
      <c r="R246" t="s">
        <v>269</v>
      </c>
    </row>
    <row r="247" spans="1:18" x14ac:dyDescent="0.15">
      <c r="A247" s="788">
        <v>5414606033</v>
      </c>
      <c r="B247" t="s">
        <v>1781</v>
      </c>
      <c r="C247" s="884">
        <v>45987</v>
      </c>
      <c r="D247" s="884">
        <v>45989</v>
      </c>
      <c r="E247" t="s">
        <v>314</v>
      </c>
      <c r="F247" t="s">
        <v>315</v>
      </c>
      <c r="H247" t="s">
        <v>1782</v>
      </c>
      <c r="I247" s="885">
        <v>45973.55709490741</v>
      </c>
      <c r="L247" t="s">
        <v>274</v>
      </c>
      <c r="M247" t="s">
        <v>265</v>
      </c>
      <c r="N247" t="s">
        <v>1734</v>
      </c>
      <c r="O247" t="s">
        <v>267</v>
      </c>
      <c r="P247" s="885">
        <v>45973.561516203707</v>
      </c>
      <c r="Q247" t="s">
        <v>268</v>
      </c>
      <c r="R247" t="s">
        <v>269</v>
      </c>
    </row>
    <row r="248" spans="1:18" x14ac:dyDescent="0.15">
      <c r="A248" s="788">
        <v>6501020658</v>
      </c>
      <c r="B248" t="s">
        <v>1790</v>
      </c>
      <c r="C248" s="884">
        <v>45973</v>
      </c>
      <c r="D248" s="884">
        <v>45975</v>
      </c>
      <c r="E248" t="s">
        <v>314</v>
      </c>
      <c r="F248" t="s">
        <v>315</v>
      </c>
      <c r="H248" t="s">
        <v>1750</v>
      </c>
      <c r="I248" s="885">
        <v>45973.67769675926</v>
      </c>
      <c r="L248" t="s">
        <v>274</v>
      </c>
      <c r="M248" t="s">
        <v>265</v>
      </c>
      <c r="N248" t="s">
        <v>1734</v>
      </c>
      <c r="O248" t="s">
        <v>267</v>
      </c>
      <c r="P248" s="885">
        <v>45973.680972222224</v>
      </c>
      <c r="Q248" t="s">
        <v>268</v>
      </c>
      <c r="R248" t="s">
        <v>269</v>
      </c>
    </row>
    <row r="249" spans="1:18" x14ac:dyDescent="0.15">
      <c r="A249" s="788">
        <v>5170380379</v>
      </c>
      <c r="B249" t="s">
        <v>1792</v>
      </c>
      <c r="C249" s="884">
        <v>46023</v>
      </c>
      <c r="D249" s="884">
        <v>46025</v>
      </c>
      <c r="E249" t="s">
        <v>314</v>
      </c>
      <c r="F249" t="s">
        <v>315</v>
      </c>
      <c r="H249" t="s">
        <v>1793</v>
      </c>
      <c r="I249" s="885">
        <v>45974.511678240742</v>
      </c>
      <c r="L249" t="s">
        <v>274</v>
      </c>
      <c r="M249" t="s">
        <v>1794</v>
      </c>
      <c r="N249" t="s">
        <v>1795</v>
      </c>
      <c r="O249" t="s">
        <v>267</v>
      </c>
      <c r="P249" s="885">
        <v>45974.513796296298</v>
      </c>
      <c r="Q249" t="s">
        <v>268</v>
      </c>
      <c r="R249" t="s">
        <v>269</v>
      </c>
    </row>
    <row r="250" spans="1:18" x14ac:dyDescent="0.15">
      <c r="A250" s="788">
        <v>5450681370</v>
      </c>
      <c r="B250" t="s">
        <v>1796</v>
      </c>
      <c r="C250" s="884">
        <v>46005</v>
      </c>
      <c r="D250" s="884">
        <v>46010</v>
      </c>
      <c r="E250" t="s">
        <v>314</v>
      </c>
      <c r="F250" t="s">
        <v>315</v>
      </c>
      <c r="H250" t="s">
        <v>1746</v>
      </c>
      <c r="I250" s="885">
        <v>45974.567418981482</v>
      </c>
      <c r="L250" t="s">
        <v>274</v>
      </c>
      <c r="M250" t="s">
        <v>265</v>
      </c>
      <c r="N250" t="s">
        <v>1797</v>
      </c>
      <c r="O250" t="s">
        <v>267</v>
      </c>
      <c r="P250" s="885">
        <v>45974.570810185185</v>
      </c>
      <c r="Q250" t="s">
        <v>268</v>
      </c>
      <c r="R250" t="s">
        <v>269</v>
      </c>
    </row>
    <row r="251" spans="1:18" x14ac:dyDescent="0.15">
      <c r="A251" s="788">
        <v>6600138613</v>
      </c>
      <c r="B251" t="s">
        <v>1798</v>
      </c>
      <c r="C251" s="884">
        <v>46028</v>
      </c>
      <c r="D251" s="884">
        <v>46031</v>
      </c>
      <c r="E251" t="s">
        <v>314</v>
      </c>
      <c r="F251" t="s">
        <v>315</v>
      </c>
      <c r="H251" t="s">
        <v>1799</v>
      </c>
    </row>
    <row r="252" spans="1:18" x14ac:dyDescent="0.15">
      <c r="A252" s="788">
        <v>5084926961</v>
      </c>
      <c r="B252" t="s">
        <v>1805</v>
      </c>
      <c r="C252" s="884">
        <v>46058</v>
      </c>
      <c r="D252" s="884">
        <v>46059</v>
      </c>
      <c r="E252" t="s">
        <v>314</v>
      </c>
      <c r="F252" t="s">
        <v>315</v>
      </c>
      <c r="H252" t="s">
        <v>1746</v>
      </c>
      <c r="I252" s="885">
        <v>45974.72011574074</v>
      </c>
      <c r="L252" t="s">
        <v>274</v>
      </c>
      <c r="M252" t="s">
        <v>265</v>
      </c>
      <c r="N252" t="s">
        <v>1350</v>
      </c>
      <c r="O252" t="s">
        <v>267</v>
      </c>
      <c r="P252" s="885">
        <v>45974.724675925929</v>
      </c>
      <c r="Q252" t="s">
        <v>268</v>
      </c>
      <c r="R252" t="s">
        <v>269</v>
      </c>
    </row>
    <row r="253" spans="1:18" x14ac:dyDescent="0.15">
      <c r="A253" s="788">
        <v>5947895043</v>
      </c>
      <c r="B253" t="s">
        <v>1806</v>
      </c>
      <c r="C253" s="884">
        <v>45976</v>
      </c>
      <c r="D253" s="884">
        <v>45977</v>
      </c>
      <c r="E253" t="s">
        <v>314</v>
      </c>
      <c r="F253" t="s">
        <v>315</v>
      </c>
      <c r="H253" t="s">
        <v>1782</v>
      </c>
      <c r="I253" s="885">
        <v>45974.870104166665</v>
      </c>
      <c r="L253" t="s">
        <v>274</v>
      </c>
      <c r="M253" t="s">
        <v>265</v>
      </c>
      <c r="N253" t="s">
        <v>1807</v>
      </c>
      <c r="O253" t="s">
        <v>267</v>
      </c>
      <c r="P253" s="885">
        <v>45974.874861111108</v>
      </c>
      <c r="Q253" t="s">
        <v>268</v>
      </c>
      <c r="R253" t="s">
        <v>269</v>
      </c>
    </row>
    <row r="254" spans="1:18" x14ac:dyDescent="0.15">
      <c r="A254" s="788">
        <v>6213004723</v>
      </c>
      <c r="B254" t="s">
        <v>1811</v>
      </c>
      <c r="C254" s="884">
        <v>46077</v>
      </c>
      <c r="D254" s="884">
        <v>46080</v>
      </c>
      <c r="E254" t="s">
        <v>314</v>
      </c>
      <c r="F254" t="s">
        <v>315</v>
      </c>
      <c r="H254" t="s">
        <v>1739</v>
      </c>
      <c r="I254" s="885">
        <v>45975.824467592596</v>
      </c>
      <c r="L254" t="s">
        <v>274</v>
      </c>
      <c r="M254" t="s">
        <v>279</v>
      </c>
      <c r="N254" t="s">
        <v>1812</v>
      </c>
      <c r="O254" t="s">
        <v>267</v>
      </c>
      <c r="P254" s="885">
        <v>45975.827557870369</v>
      </c>
      <c r="Q254" t="s">
        <v>268</v>
      </c>
      <c r="R254" t="s">
        <v>269</v>
      </c>
    </row>
    <row r="255" spans="1:18" x14ac:dyDescent="0.15">
      <c r="A255" s="788">
        <v>5048399731</v>
      </c>
      <c r="B255" t="s">
        <v>1813</v>
      </c>
      <c r="C255" s="884">
        <v>46070</v>
      </c>
      <c r="D255" s="884">
        <v>46071</v>
      </c>
      <c r="E255" t="s">
        <v>314</v>
      </c>
      <c r="F255" t="s">
        <v>315</v>
      </c>
      <c r="H255" t="s">
        <v>1165</v>
      </c>
      <c r="I255" s="885">
        <v>45976.182962962965</v>
      </c>
      <c r="K255" s="885">
        <v>45978.007777777777</v>
      </c>
      <c r="L255" t="s">
        <v>264</v>
      </c>
      <c r="M255" s="884">
        <v>36526</v>
      </c>
      <c r="N255" t="s">
        <v>1677</v>
      </c>
      <c r="O255" t="s">
        <v>267</v>
      </c>
      <c r="P255" s="885">
        <v>45978.01221064815</v>
      </c>
      <c r="Q255" t="s">
        <v>268</v>
      </c>
      <c r="R255" t="s">
        <v>269</v>
      </c>
    </row>
    <row r="256" spans="1:18" x14ac:dyDescent="0.15">
      <c r="A256" s="788">
        <v>5262531275</v>
      </c>
      <c r="B256" t="s">
        <v>1814</v>
      </c>
      <c r="C256" s="884">
        <v>46107</v>
      </c>
      <c r="D256" s="884">
        <v>46110</v>
      </c>
      <c r="E256" t="s">
        <v>314</v>
      </c>
      <c r="F256" t="s">
        <v>315</v>
      </c>
      <c r="H256" t="s">
        <v>1815</v>
      </c>
      <c r="I256" s="885">
        <v>45976.554618055554</v>
      </c>
      <c r="L256" t="s">
        <v>274</v>
      </c>
      <c r="M256" t="s">
        <v>510</v>
      </c>
      <c r="N256" t="s">
        <v>1816</v>
      </c>
      <c r="O256" t="s">
        <v>267</v>
      </c>
      <c r="P256" s="885">
        <v>45976.55846064815</v>
      </c>
      <c r="Q256" t="s">
        <v>268</v>
      </c>
      <c r="R256" t="s">
        <v>269</v>
      </c>
    </row>
    <row r="257" spans="1:18" x14ac:dyDescent="0.15">
      <c r="A257" s="788">
        <v>5262558789</v>
      </c>
      <c r="B257" t="s">
        <v>1817</v>
      </c>
      <c r="C257" s="884">
        <v>46060</v>
      </c>
      <c r="D257" s="884">
        <v>46065</v>
      </c>
      <c r="E257" t="s">
        <v>314</v>
      </c>
      <c r="F257" t="s">
        <v>315</v>
      </c>
      <c r="H257" t="s">
        <v>1818</v>
      </c>
      <c r="I257" s="885">
        <v>45976.660381944443</v>
      </c>
      <c r="L257" t="s">
        <v>274</v>
      </c>
      <c r="M257" t="s">
        <v>265</v>
      </c>
      <c r="N257" t="s">
        <v>1819</v>
      </c>
      <c r="O257" t="s">
        <v>267</v>
      </c>
      <c r="P257" s="885">
        <v>45976.662094907406</v>
      </c>
      <c r="Q257" t="s">
        <v>268</v>
      </c>
      <c r="R257" t="s">
        <v>269</v>
      </c>
    </row>
    <row r="258" spans="1:18" x14ac:dyDescent="0.15">
      <c r="A258" s="788">
        <v>6656064792</v>
      </c>
      <c r="B258" t="s">
        <v>1820</v>
      </c>
      <c r="C258" s="884">
        <v>46025</v>
      </c>
      <c r="D258" s="884">
        <v>46027</v>
      </c>
      <c r="E258" t="s">
        <v>314</v>
      </c>
      <c r="F258" t="s">
        <v>315</v>
      </c>
      <c r="H258" t="s">
        <v>1776</v>
      </c>
      <c r="I258" s="885">
        <v>45976.811273148145</v>
      </c>
      <c r="L258" t="s">
        <v>274</v>
      </c>
      <c r="M258" t="s">
        <v>265</v>
      </c>
      <c r="N258" t="s">
        <v>1189</v>
      </c>
      <c r="O258" t="s">
        <v>267</v>
      </c>
      <c r="P258" s="885">
        <v>45976.815011574072</v>
      </c>
      <c r="Q258" t="s">
        <v>268</v>
      </c>
      <c r="R258" t="s">
        <v>269</v>
      </c>
    </row>
    <row r="259" spans="1:18" x14ac:dyDescent="0.15">
      <c r="A259" s="788">
        <v>5372535337</v>
      </c>
      <c r="B259" t="s">
        <v>1823</v>
      </c>
      <c r="C259" s="884">
        <v>46014</v>
      </c>
      <c r="D259" s="884">
        <v>46016</v>
      </c>
      <c r="E259" t="s">
        <v>314</v>
      </c>
      <c r="F259" t="s">
        <v>315</v>
      </c>
      <c r="H259" t="s">
        <v>1824</v>
      </c>
    </row>
    <row r="260" spans="1:18" x14ac:dyDescent="0.15">
      <c r="A260" s="788">
        <v>5949921395</v>
      </c>
      <c r="B260" t="s">
        <v>1827</v>
      </c>
      <c r="C260" s="884">
        <v>46065</v>
      </c>
      <c r="D260" s="884">
        <v>46068</v>
      </c>
      <c r="E260" t="s">
        <v>314</v>
      </c>
      <c r="F260" t="s">
        <v>315</v>
      </c>
      <c r="H260" t="s">
        <v>1818</v>
      </c>
      <c r="I260" s="885">
        <v>45977.750034722223</v>
      </c>
      <c r="K260" s="885">
        <v>45981.518865740742</v>
      </c>
      <c r="L260" t="s">
        <v>264</v>
      </c>
      <c r="M260" t="s">
        <v>265</v>
      </c>
      <c r="N260" t="s">
        <v>1828</v>
      </c>
      <c r="O260" t="s">
        <v>267</v>
      </c>
      <c r="P260" s="885">
        <v>45981.521898148145</v>
      </c>
      <c r="Q260" t="s">
        <v>268</v>
      </c>
      <c r="R260" t="s">
        <v>269</v>
      </c>
    </row>
    <row r="261" spans="1:18" x14ac:dyDescent="0.15">
      <c r="A261" s="788">
        <v>6633008374</v>
      </c>
      <c r="B261" t="s">
        <v>1829</v>
      </c>
      <c r="C261" s="884">
        <v>46024</v>
      </c>
      <c r="D261" s="884">
        <v>46026</v>
      </c>
      <c r="E261" t="s">
        <v>314</v>
      </c>
      <c r="F261" t="s">
        <v>315</v>
      </c>
      <c r="H261" t="s">
        <v>1830</v>
      </c>
      <c r="I261" s="885">
        <v>45977.855844907404</v>
      </c>
      <c r="K261" s="885">
        <v>45984.711192129631</v>
      </c>
      <c r="L261" t="s">
        <v>264</v>
      </c>
      <c r="M261" t="s">
        <v>265</v>
      </c>
      <c r="N261" t="s">
        <v>1831</v>
      </c>
      <c r="O261" t="s">
        <v>267</v>
      </c>
      <c r="P261" s="885">
        <v>45984.716585648152</v>
      </c>
      <c r="Q261" t="s">
        <v>268</v>
      </c>
      <c r="R261" t="s">
        <v>269</v>
      </c>
    </row>
    <row r="262" spans="1:18" x14ac:dyDescent="0.15">
      <c r="A262" s="788">
        <v>6467260229</v>
      </c>
      <c r="B262" t="s">
        <v>1832</v>
      </c>
      <c r="C262" s="884">
        <v>46018</v>
      </c>
      <c r="D262" s="884">
        <v>46020</v>
      </c>
      <c r="E262" t="s">
        <v>314</v>
      </c>
      <c r="F262" t="s">
        <v>315</v>
      </c>
      <c r="H262" t="s">
        <v>1833</v>
      </c>
      <c r="I262" s="885">
        <v>45978.452303240738</v>
      </c>
      <c r="J262" s="885">
        <v>45978.660231481481</v>
      </c>
      <c r="L262" t="s">
        <v>720</v>
      </c>
      <c r="M262" t="s">
        <v>520</v>
      </c>
      <c r="N262" t="s">
        <v>1834</v>
      </c>
      <c r="O262" t="s">
        <v>267</v>
      </c>
      <c r="P262" s="885">
        <v>45978.662870370368</v>
      </c>
      <c r="Q262" t="s">
        <v>268</v>
      </c>
      <c r="R262" t="s">
        <v>269</v>
      </c>
    </row>
    <row r="263" spans="1:18" x14ac:dyDescent="0.15">
      <c r="A263" s="788">
        <v>6876925794</v>
      </c>
      <c r="B263" t="s">
        <v>1835</v>
      </c>
      <c r="C263" s="884">
        <v>45978</v>
      </c>
      <c r="D263" s="884">
        <v>45981</v>
      </c>
      <c r="E263" t="s">
        <v>314</v>
      </c>
      <c r="F263" t="s">
        <v>315</v>
      </c>
      <c r="H263" t="s">
        <v>1782</v>
      </c>
      <c r="I263" s="885">
        <v>45978.552881944444</v>
      </c>
      <c r="L263" t="s">
        <v>274</v>
      </c>
      <c r="M263" t="s">
        <v>279</v>
      </c>
      <c r="N263" t="s">
        <v>1321</v>
      </c>
      <c r="O263" t="s">
        <v>267</v>
      </c>
      <c r="P263" s="885">
        <v>45978.557060185187</v>
      </c>
      <c r="Q263" t="s">
        <v>268</v>
      </c>
      <c r="R263" t="s">
        <v>269</v>
      </c>
    </row>
    <row r="264" spans="1:18" x14ac:dyDescent="0.15">
      <c r="A264" s="788">
        <v>6171774869</v>
      </c>
      <c r="B264" t="s">
        <v>1836</v>
      </c>
      <c r="C264" s="884">
        <v>45978</v>
      </c>
      <c r="D264" s="884">
        <v>45979</v>
      </c>
      <c r="E264" t="s">
        <v>314</v>
      </c>
      <c r="F264" t="s">
        <v>315</v>
      </c>
      <c r="H264" t="s">
        <v>1750</v>
      </c>
      <c r="I264" s="885">
        <v>45978.635023148148</v>
      </c>
      <c r="L264" t="s">
        <v>274</v>
      </c>
      <c r="M264" t="s">
        <v>265</v>
      </c>
      <c r="N264" t="s">
        <v>1233</v>
      </c>
      <c r="O264" t="s">
        <v>267</v>
      </c>
      <c r="P264" s="885">
        <v>45978.637083333335</v>
      </c>
      <c r="Q264" t="s">
        <v>268</v>
      </c>
      <c r="R264" t="s">
        <v>269</v>
      </c>
    </row>
    <row r="265" spans="1:18" x14ac:dyDescent="0.15">
      <c r="A265" s="788">
        <v>6893104571</v>
      </c>
      <c r="B265" t="s">
        <v>1837</v>
      </c>
      <c r="C265" s="884">
        <v>45987</v>
      </c>
      <c r="D265" s="884">
        <v>45993</v>
      </c>
      <c r="E265" t="s">
        <v>314</v>
      </c>
      <c r="F265" t="s">
        <v>315</v>
      </c>
      <c r="H265" t="s">
        <v>1838</v>
      </c>
    </row>
    <row r="266" spans="1:18" x14ac:dyDescent="0.15">
      <c r="A266" s="788">
        <v>6912184328</v>
      </c>
      <c r="B266" t="s">
        <v>1841</v>
      </c>
      <c r="C266" s="884">
        <v>45990</v>
      </c>
      <c r="D266" s="884">
        <v>45993</v>
      </c>
      <c r="E266" t="s">
        <v>314</v>
      </c>
      <c r="F266" t="s">
        <v>315</v>
      </c>
      <c r="H266" t="s">
        <v>1077</v>
      </c>
      <c r="I266" s="885">
        <v>45978.654606481483</v>
      </c>
      <c r="L266" t="s">
        <v>274</v>
      </c>
      <c r="M266" t="s">
        <v>279</v>
      </c>
      <c r="N266" t="s">
        <v>1272</v>
      </c>
      <c r="O266" t="s">
        <v>267</v>
      </c>
      <c r="P266" s="885">
        <v>45978.659351851849</v>
      </c>
      <c r="Q266" t="s">
        <v>268</v>
      </c>
      <c r="R266" t="s">
        <v>269</v>
      </c>
    </row>
    <row r="267" spans="1:18" x14ac:dyDescent="0.15">
      <c r="A267" s="788">
        <v>5780583028</v>
      </c>
      <c r="B267" t="s">
        <v>1836</v>
      </c>
      <c r="C267" s="884">
        <v>45978</v>
      </c>
      <c r="D267" s="884">
        <v>45979</v>
      </c>
      <c r="E267" t="s">
        <v>314</v>
      </c>
      <c r="F267" t="s">
        <v>315</v>
      </c>
      <c r="H267" t="s">
        <v>1750</v>
      </c>
      <c r="I267" s="885">
        <v>45978.662164351852</v>
      </c>
      <c r="K267" s="885">
        <v>45978.93377314815</v>
      </c>
      <c r="L267" t="s">
        <v>264</v>
      </c>
      <c r="M267" t="s">
        <v>265</v>
      </c>
      <c r="N267" t="s">
        <v>1233</v>
      </c>
      <c r="O267" t="s">
        <v>267</v>
      </c>
      <c r="P267" s="885">
        <v>45978.938379629632</v>
      </c>
      <c r="Q267" t="s">
        <v>268</v>
      </c>
      <c r="R267" t="s">
        <v>269</v>
      </c>
    </row>
    <row r="268" spans="1:18" x14ac:dyDescent="0.15">
      <c r="A268" s="788">
        <v>6296286316</v>
      </c>
      <c r="B268" t="s">
        <v>1842</v>
      </c>
      <c r="C268" s="884">
        <v>46023</v>
      </c>
      <c r="D268" s="884">
        <v>46027</v>
      </c>
      <c r="E268" t="s">
        <v>314</v>
      </c>
      <c r="F268" t="s">
        <v>315</v>
      </c>
      <c r="H268" t="s">
        <v>1843</v>
      </c>
      <c r="I268" s="885">
        <v>45978.890856481485</v>
      </c>
      <c r="K268" s="885">
        <v>46009.586215277777</v>
      </c>
      <c r="L268" t="s">
        <v>264</v>
      </c>
      <c r="M268" t="s">
        <v>265</v>
      </c>
      <c r="N268" t="s">
        <v>1844</v>
      </c>
      <c r="O268" t="s">
        <v>267</v>
      </c>
      <c r="P268" s="885">
        <v>46009.589699074073</v>
      </c>
      <c r="Q268" t="s">
        <v>268</v>
      </c>
      <c r="R268" t="s">
        <v>269</v>
      </c>
    </row>
    <row r="269" spans="1:18" x14ac:dyDescent="0.15">
      <c r="A269" s="788">
        <v>6379227946</v>
      </c>
      <c r="B269" t="s">
        <v>444</v>
      </c>
      <c r="C269" s="884">
        <v>45979</v>
      </c>
      <c r="D269" s="884">
        <v>45980</v>
      </c>
      <c r="E269" t="s">
        <v>314</v>
      </c>
      <c r="F269" t="s">
        <v>315</v>
      </c>
      <c r="H269" t="s">
        <v>1845</v>
      </c>
      <c r="I269" s="885">
        <v>45979.36341435185</v>
      </c>
      <c r="L269" t="s">
        <v>274</v>
      </c>
      <c r="M269" t="s">
        <v>265</v>
      </c>
      <c r="N269" t="s">
        <v>1677</v>
      </c>
      <c r="O269" t="s">
        <v>267</v>
      </c>
      <c r="P269" s="885">
        <v>45979.366550925923</v>
      </c>
      <c r="Q269" t="s">
        <v>268</v>
      </c>
      <c r="R269" t="s">
        <v>269</v>
      </c>
    </row>
    <row r="270" spans="1:18" x14ac:dyDescent="0.15">
      <c r="A270" s="788">
        <v>5037982370</v>
      </c>
      <c r="B270" t="s">
        <v>1846</v>
      </c>
      <c r="C270" s="884">
        <v>46051</v>
      </c>
      <c r="D270" s="884">
        <v>46052</v>
      </c>
      <c r="E270" t="s">
        <v>314</v>
      </c>
      <c r="F270" t="s">
        <v>315</v>
      </c>
      <c r="H270" t="s">
        <v>1847</v>
      </c>
      <c r="I270" s="885">
        <v>45979.497835648152</v>
      </c>
      <c r="K270" s="885">
        <v>45986.818738425929</v>
      </c>
      <c r="L270" t="s">
        <v>264</v>
      </c>
      <c r="M270" t="s">
        <v>265</v>
      </c>
      <c r="N270" t="s">
        <v>1848</v>
      </c>
      <c r="O270" t="s">
        <v>267</v>
      </c>
      <c r="P270" s="885">
        <v>45986.823020833333</v>
      </c>
      <c r="Q270" t="s">
        <v>268</v>
      </c>
      <c r="R270" t="s">
        <v>269</v>
      </c>
    </row>
    <row r="271" spans="1:18" x14ac:dyDescent="0.15">
      <c r="A271" s="788">
        <v>5358084936</v>
      </c>
      <c r="B271" t="s">
        <v>1883</v>
      </c>
      <c r="C271" s="884">
        <v>46019</v>
      </c>
      <c r="D271" s="884">
        <v>46020</v>
      </c>
      <c r="E271" t="s">
        <v>314</v>
      </c>
      <c r="F271" t="s">
        <v>315</v>
      </c>
      <c r="H271" t="s">
        <v>1884</v>
      </c>
      <c r="I271" s="885">
        <v>45981.763599537036</v>
      </c>
      <c r="L271" t="s">
        <v>274</v>
      </c>
      <c r="M271" t="s">
        <v>292</v>
      </c>
      <c r="N271" t="s">
        <v>1885</v>
      </c>
      <c r="O271" t="s">
        <v>267</v>
      </c>
      <c r="P271" s="885">
        <v>45981.767152777778</v>
      </c>
      <c r="Q271" t="s">
        <v>268</v>
      </c>
      <c r="R271" t="s">
        <v>269</v>
      </c>
    </row>
    <row r="272" spans="1:18" x14ac:dyDescent="0.15">
      <c r="A272" s="788">
        <v>6095576382</v>
      </c>
      <c r="B272" t="s">
        <v>1886</v>
      </c>
      <c r="C272" s="884">
        <v>46008</v>
      </c>
      <c r="D272" s="884">
        <v>46011</v>
      </c>
      <c r="E272" t="s">
        <v>314</v>
      </c>
      <c r="F272" t="s">
        <v>315</v>
      </c>
      <c r="H272" t="s">
        <v>1887</v>
      </c>
      <c r="I272" s="885">
        <v>45981.848356481481</v>
      </c>
      <c r="L272" t="s">
        <v>274</v>
      </c>
      <c r="M272" t="s">
        <v>292</v>
      </c>
      <c r="N272" t="s">
        <v>1888</v>
      </c>
      <c r="O272" t="s">
        <v>267</v>
      </c>
      <c r="P272" s="885">
        <v>45981.852592592593</v>
      </c>
      <c r="Q272" t="s">
        <v>268</v>
      </c>
      <c r="R272" t="s">
        <v>269</v>
      </c>
    </row>
    <row r="273" spans="1:18" x14ac:dyDescent="0.15">
      <c r="A273" s="788">
        <v>5524944295</v>
      </c>
      <c r="B273" t="s">
        <v>1891</v>
      </c>
      <c r="C273" s="884">
        <v>45990</v>
      </c>
      <c r="D273" s="884">
        <v>45991</v>
      </c>
      <c r="E273" t="s">
        <v>314</v>
      </c>
      <c r="F273" t="s">
        <v>315</v>
      </c>
      <c r="H273" t="s">
        <v>1782</v>
      </c>
      <c r="I273" s="885">
        <v>45982.863321759258</v>
      </c>
      <c r="L273" t="s">
        <v>274</v>
      </c>
      <c r="M273" t="s">
        <v>265</v>
      </c>
      <c r="N273" t="s">
        <v>1233</v>
      </c>
      <c r="O273" t="s">
        <v>267</v>
      </c>
      <c r="P273" s="885">
        <v>45982.868993055556</v>
      </c>
      <c r="Q273" t="s">
        <v>268</v>
      </c>
      <c r="R273" t="s">
        <v>269</v>
      </c>
    </row>
    <row r="274" spans="1:18" x14ac:dyDescent="0.15">
      <c r="A274" s="788">
        <v>6810871753</v>
      </c>
      <c r="B274" t="s">
        <v>1892</v>
      </c>
      <c r="C274" s="884">
        <v>45983</v>
      </c>
      <c r="D274" s="884">
        <v>45984</v>
      </c>
      <c r="E274" t="s">
        <v>314</v>
      </c>
      <c r="F274" t="s">
        <v>315</v>
      </c>
      <c r="H274" t="s">
        <v>1750</v>
      </c>
      <c r="I274" s="885">
        <v>45982.907766203702</v>
      </c>
      <c r="L274" t="s">
        <v>274</v>
      </c>
      <c r="M274" t="s">
        <v>265</v>
      </c>
      <c r="N274" t="s">
        <v>1233</v>
      </c>
      <c r="O274" t="s">
        <v>267</v>
      </c>
      <c r="P274" s="885">
        <v>45982.912268518521</v>
      </c>
      <c r="Q274" t="s">
        <v>268</v>
      </c>
      <c r="R274" t="s">
        <v>269</v>
      </c>
    </row>
    <row r="275" spans="1:18" x14ac:dyDescent="0.15">
      <c r="A275" s="788">
        <v>5318134541</v>
      </c>
      <c r="B275" t="s">
        <v>1894</v>
      </c>
      <c r="C275" s="884">
        <v>45983</v>
      </c>
      <c r="D275" s="884">
        <v>45984</v>
      </c>
      <c r="E275" t="s">
        <v>314</v>
      </c>
      <c r="F275" t="s">
        <v>315</v>
      </c>
      <c r="H275" t="s">
        <v>1750</v>
      </c>
      <c r="I275" s="885">
        <v>45983.745578703703</v>
      </c>
      <c r="K275" s="885">
        <v>45983.845752314817</v>
      </c>
      <c r="L275" t="s">
        <v>264</v>
      </c>
      <c r="M275" t="s">
        <v>265</v>
      </c>
      <c r="N275" t="s">
        <v>1233</v>
      </c>
      <c r="O275" t="s">
        <v>267</v>
      </c>
      <c r="P275" s="885">
        <v>45983.849872685183</v>
      </c>
      <c r="Q275" t="s">
        <v>268</v>
      </c>
      <c r="R275" t="s">
        <v>269</v>
      </c>
    </row>
    <row r="276" spans="1:18" x14ac:dyDescent="0.15">
      <c r="A276" s="788">
        <v>6384235780</v>
      </c>
      <c r="B276" t="s">
        <v>1894</v>
      </c>
      <c r="C276" s="884">
        <v>45983</v>
      </c>
      <c r="D276" s="884">
        <v>45984</v>
      </c>
      <c r="E276" t="s">
        <v>314</v>
      </c>
      <c r="F276" t="s">
        <v>315</v>
      </c>
      <c r="H276" t="s">
        <v>1750</v>
      </c>
      <c r="I276" s="885">
        <v>45983.746412037035</v>
      </c>
      <c r="K276" s="885">
        <v>45983.847210648149</v>
      </c>
      <c r="L276" t="s">
        <v>264</v>
      </c>
      <c r="M276" t="s">
        <v>279</v>
      </c>
      <c r="N276" t="s">
        <v>1233</v>
      </c>
      <c r="O276" t="s">
        <v>267</v>
      </c>
      <c r="P276" s="885">
        <v>45983.849872685183</v>
      </c>
      <c r="Q276" t="s">
        <v>268</v>
      </c>
      <c r="R276" t="s">
        <v>269</v>
      </c>
    </row>
    <row r="277" spans="1:18" x14ac:dyDescent="0.15">
      <c r="A277" s="788">
        <v>6538207798</v>
      </c>
      <c r="B277" t="s">
        <v>1901</v>
      </c>
      <c r="C277" s="884">
        <v>46104</v>
      </c>
      <c r="D277" s="884">
        <v>46107</v>
      </c>
      <c r="E277" t="s">
        <v>314</v>
      </c>
      <c r="F277" t="s">
        <v>315</v>
      </c>
      <c r="H277" t="s">
        <v>1902</v>
      </c>
      <c r="I277" s="885">
        <v>45984.882002314815</v>
      </c>
      <c r="L277" t="s">
        <v>274</v>
      </c>
      <c r="M277" t="s">
        <v>265</v>
      </c>
      <c r="N277" t="s">
        <v>1903</v>
      </c>
      <c r="O277" t="s">
        <v>267</v>
      </c>
      <c r="P277" s="885">
        <v>45984.887465277781</v>
      </c>
      <c r="Q277" t="s">
        <v>268</v>
      </c>
      <c r="R277" t="s">
        <v>269</v>
      </c>
    </row>
    <row r="278" spans="1:18" x14ac:dyDescent="0.15">
      <c r="A278" s="788">
        <v>5952187281</v>
      </c>
      <c r="B278" t="s">
        <v>1917</v>
      </c>
      <c r="C278" s="884">
        <v>46406</v>
      </c>
      <c r="D278" s="884">
        <v>46409</v>
      </c>
      <c r="E278" t="s">
        <v>314</v>
      </c>
      <c r="F278" t="s">
        <v>315</v>
      </c>
      <c r="H278" t="s">
        <v>732</v>
      </c>
      <c r="I278" s="885">
        <v>45985.84579861111</v>
      </c>
      <c r="K278" s="885">
        <v>46144.852384259262</v>
      </c>
      <c r="L278" t="s">
        <v>264</v>
      </c>
      <c r="M278" t="s">
        <v>265</v>
      </c>
      <c r="N278" t="s">
        <v>1918</v>
      </c>
      <c r="O278" t="s">
        <v>267</v>
      </c>
      <c r="P278" s="885">
        <v>46144.858807870369</v>
      </c>
      <c r="Q278" t="s">
        <v>268</v>
      </c>
      <c r="R278" t="s">
        <v>269</v>
      </c>
    </row>
    <row r="279" spans="1:18" x14ac:dyDescent="0.15">
      <c r="A279" s="788">
        <v>6463160769</v>
      </c>
      <c r="B279" t="s">
        <v>1923</v>
      </c>
      <c r="C279" s="884">
        <v>46044</v>
      </c>
      <c r="D279" s="884">
        <v>46047</v>
      </c>
      <c r="E279" t="s">
        <v>314</v>
      </c>
      <c r="F279" t="s">
        <v>315</v>
      </c>
      <c r="H279" t="s">
        <v>1843</v>
      </c>
      <c r="I279" s="885">
        <v>45986.633333333331</v>
      </c>
      <c r="L279" t="s">
        <v>274</v>
      </c>
      <c r="M279" t="s">
        <v>265</v>
      </c>
      <c r="N279" t="s">
        <v>1924</v>
      </c>
      <c r="O279" t="s">
        <v>267</v>
      </c>
      <c r="P279" s="885">
        <v>45986.63685185185</v>
      </c>
      <c r="Q279" t="s">
        <v>268</v>
      </c>
      <c r="R279" t="s">
        <v>269</v>
      </c>
    </row>
    <row r="280" spans="1:18" x14ac:dyDescent="0.15">
      <c r="A280" s="788">
        <v>5397194494</v>
      </c>
      <c r="B280" t="s">
        <v>1928</v>
      </c>
      <c r="C280" s="884">
        <v>46038</v>
      </c>
      <c r="D280" s="884">
        <v>46039</v>
      </c>
      <c r="E280" t="s">
        <v>314</v>
      </c>
      <c r="F280" t="s">
        <v>315</v>
      </c>
      <c r="H280" t="s">
        <v>1929</v>
      </c>
      <c r="I280" s="885">
        <v>45986.816122685188</v>
      </c>
      <c r="L280" t="s">
        <v>274</v>
      </c>
      <c r="M280" t="s">
        <v>265</v>
      </c>
      <c r="N280" t="s">
        <v>1930</v>
      </c>
      <c r="O280" t="s">
        <v>267</v>
      </c>
      <c r="P280" s="885">
        <v>45986.819513888891</v>
      </c>
      <c r="Q280" t="s">
        <v>268</v>
      </c>
      <c r="R280" t="s">
        <v>269</v>
      </c>
    </row>
    <row r="281" spans="1:18" x14ac:dyDescent="0.15">
      <c r="A281" s="788">
        <v>6979303618</v>
      </c>
      <c r="B281" t="s">
        <v>1846</v>
      </c>
      <c r="C281" s="884">
        <v>46051</v>
      </c>
      <c r="D281" s="884">
        <v>46052</v>
      </c>
      <c r="E281" t="s">
        <v>314</v>
      </c>
      <c r="F281" t="s">
        <v>315</v>
      </c>
      <c r="H281" t="s">
        <v>1746</v>
      </c>
      <c r="I281" s="885">
        <v>45986.817511574074</v>
      </c>
      <c r="L281" t="s">
        <v>274</v>
      </c>
      <c r="M281" t="s">
        <v>265</v>
      </c>
      <c r="N281" t="s">
        <v>1350</v>
      </c>
      <c r="O281" t="s">
        <v>267</v>
      </c>
      <c r="P281" s="885">
        <v>45986.823020833333</v>
      </c>
      <c r="Q281" t="s">
        <v>268</v>
      </c>
      <c r="R281" t="s">
        <v>269</v>
      </c>
    </row>
    <row r="282" spans="1:18" x14ac:dyDescent="0.15">
      <c r="A282" s="788">
        <v>5138893131</v>
      </c>
      <c r="B282" t="s">
        <v>1893</v>
      </c>
      <c r="C282" s="884">
        <v>45987</v>
      </c>
      <c r="D282" s="884">
        <v>45988</v>
      </c>
      <c r="E282" t="s">
        <v>314</v>
      </c>
      <c r="F282" t="s">
        <v>315</v>
      </c>
      <c r="H282" t="s">
        <v>1782</v>
      </c>
      <c r="I282" s="885">
        <v>45987.295601851853</v>
      </c>
      <c r="L282" t="s">
        <v>274</v>
      </c>
      <c r="M282" t="s">
        <v>265</v>
      </c>
      <c r="N282" t="s">
        <v>1233</v>
      </c>
      <c r="O282" t="s">
        <v>267</v>
      </c>
      <c r="P282" s="885">
        <v>45987.300486111111</v>
      </c>
      <c r="Q282" t="s">
        <v>268</v>
      </c>
      <c r="R282" t="s">
        <v>269</v>
      </c>
    </row>
    <row r="283" spans="1:18" x14ac:dyDescent="0.15">
      <c r="A283" s="788">
        <v>6402747361</v>
      </c>
      <c r="B283" t="s">
        <v>1945</v>
      </c>
      <c r="C283" s="884">
        <v>46026</v>
      </c>
      <c r="D283" s="884">
        <v>46028</v>
      </c>
      <c r="E283" t="s">
        <v>314</v>
      </c>
      <c r="F283" t="s">
        <v>315</v>
      </c>
      <c r="H283" t="s">
        <v>1929</v>
      </c>
      <c r="I283" s="885">
        <v>45987.486678240741</v>
      </c>
      <c r="L283" t="s">
        <v>274</v>
      </c>
      <c r="M283" t="s">
        <v>265</v>
      </c>
      <c r="N283" t="s">
        <v>1946</v>
      </c>
      <c r="O283" t="s">
        <v>267</v>
      </c>
      <c r="P283" s="885">
        <v>45987.490636574075</v>
      </c>
      <c r="Q283" t="s">
        <v>268</v>
      </c>
      <c r="R283" t="s">
        <v>269</v>
      </c>
    </row>
    <row r="284" spans="1:18" x14ac:dyDescent="0.15">
      <c r="A284" s="788">
        <v>6161482073</v>
      </c>
      <c r="B284" t="s">
        <v>1957</v>
      </c>
      <c r="C284" s="884">
        <v>46021</v>
      </c>
      <c r="D284" s="884">
        <v>46023</v>
      </c>
      <c r="E284" t="s">
        <v>314</v>
      </c>
      <c r="F284" t="s">
        <v>315</v>
      </c>
      <c r="H284" t="s">
        <v>1776</v>
      </c>
      <c r="I284" s="885">
        <v>45987.864247685182</v>
      </c>
      <c r="L284" t="s">
        <v>274</v>
      </c>
      <c r="M284" s="884">
        <v>36527</v>
      </c>
      <c r="N284" t="s">
        <v>1958</v>
      </c>
      <c r="O284" t="s">
        <v>267</v>
      </c>
      <c r="P284" s="885">
        <v>45987.866307870368</v>
      </c>
      <c r="Q284" t="s">
        <v>268</v>
      </c>
      <c r="R284" t="s">
        <v>269</v>
      </c>
    </row>
    <row r="285" spans="1:18" x14ac:dyDescent="0.15">
      <c r="A285" s="788">
        <v>6026612135</v>
      </c>
      <c r="B285" t="s">
        <v>1959</v>
      </c>
      <c r="C285" s="884">
        <v>45988</v>
      </c>
      <c r="D285" s="884">
        <v>45989</v>
      </c>
      <c r="E285" t="s">
        <v>314</v>
      </c>
      <c r="F285" t="s">
        <v>315</v>
      </c>
      <c r="H285" t="s">
        <v>1960</v>
      </c>
      <c r="I285" s="885">
        <v>45988.323055555556</v>
      </c>
      <c r="L285" t="s">
        <v>274</v>
      </c>
      <c r="M285" t="s">
        <v>265</v>
      </c>
      <c r="N285" t="s">
        <v>1961</v>
      </c>
      <c r="O285" t="s">
        <v>267</v>
      </c>
      <c r="P285" s="885">
        <v>45988.327592592592</v>
      </c>
      <c r="Q285" t="s">
        <v>268</v>
      </c>
      <c r="R285" t="s">
        <v>269</v>
      </c>
    </row>
    <row r="286" spans="1:18" x14ac:dyDescent="0.15">
      <c r="A286" s="788">
        <v>6284757632</v>
      </c>
      <c r="B286" t="s">
        <v>1962</v>
      </c>
      <c r="C286" s="884">
        <v>45989</v>
      </c>
      <c r="D286" s="884">
        <v>45991</v>
      </c>
      <c r="E286" t="s">
        <v>314</v>
      </c>
      <c r="F286" t="s">
        <v>315</v>
      </c>
      <c r="H286" t="s">
        <v>1963</v>
      </c>
      <c r="I286" s="885">
        <v>45988.344930555555</v>
      </c>
      <c r="L286" t="s">
        <v>274</v>
      </c>
      <c r="M286" t="s">
        <v>265</v>
      </c>
      <c r="N286" t="s">
        <v>1422</v>
      </c>
      <c r="O286" t="s">
        <v>267</v>
      </c>
      <c r="P286" s="885">
        <v>45988.346863425926</v>
      </c>
      <c r="Q286" t="s">
        <v>268</v>
      </c>
      <c r="R286" t="s">
        <v>269</v>
      </c>
    </row>
    <row r="287" spans="1:18" x14ac:dyDescent="0.15">
      <c r="A287" s="788">
        <v>5971103188</v>
      </c>
      <c r="B287" t="s">
        <v>1964</v>
      </c>
      <c r="C287" s="884">
        <v>46008</v>
      </c>
      <c r="D287" s="884">
        <v>46012</v>
      </c>
      <c r="E287" t="s">
        <v>314</v>
      </c>
      <c r="F287" t="s">
        <v>315</v>
      </c>
      <c r="H287" t="s">
        <v>1165</v>
      </c>
      <c r="I287" s="885">
        <v>45989.393472222226</v>
      </c>
      <c r="L287" t="s">
        <v>274</v>
      </c>
      <c r="M287" t="s">
        <v>265</v>
      </c>
      <c r="N287" t="s">
        <v>1965</v>
      </c>
      <c r="O287" t="s">
        <v>267</v>
      </c>
      <c r="P287" s="885">
        <v>45989.396851851852</v>
      </c>
      <c r="Q287" t="s">
        <v>268</v>
      </c>
      <c r="R287" t="s">
        <v>269</v>
      </c>
    </row>
    <row r="288" spans="1:18" x14ac:dyDescent="0.15">
      <c r="A288" s="788">
        <v>6359075739</v>
      </c>
      <c r="B288" t="s">
        <v>1988</v>
      </c>
      <c r="C288" s="884">
        <v>46080</v>
      </c>
      <c r="D288" s="884">
        <v>46082</v>
      </c>
      <c r="E288" t="s">
        <v>314</v>
      </c>
      <c r="F288" t="s">
        <v>315</v>
      </c>
      <c r="H288" t="s">
        <v>1782</v>
      </c>
      <c r="I288" s="885">
        <v>45990.014050925929</v>
      </c>
      <c r="L288" t="s">
        <v>274</v>
      </c>
      <c r="M288" t="s">
        <v>265</v>
      </c>
      <c r="N288" t="s">
        <v>1734</v>
      </c>
      <c r="O288" t="s">
        <v>267</v>
      </c>
      <c r="P288" s="885">
        <v>45990.019016203703</v>
      </c>
      <c r="Q288" t="s">
        <v>268</v>
      </c>
      <c r="R288" t="s">
        <v>269</v>
      </c>
    </row>
    <row r="289" spans="1:18" x14ac:dyDescent="0.15">
      <c r="A289" s="788">
        <v>5926899059</v>
      </c>
      <c r="B289" t="s">
        <v>1989</v>
      </c>
      <c r="C289" s="884">
        <v>46142</v>
      </c>
      <c r="D289" s="884">
        <v>46145</v>
      </c>
      <c r="E289" t="s">
        <v>314</v>
      </c>
      <c r="F289" t="s">
        <v>315</v>
      </c>
      <c r="H289" t="s">
        <v>1776</v>
      </c>
      <c r="I289" s="885">
        <v>45991.890636574077</v>
      </c>
      <c r="L289" t="s">
        <v>274</v>
      </c>
      <c r="M289" t="s">
        <v>265</v>
      </c>
      <c r="N289" t="s">
        <v>1990</v>
      </c>
      <c r="O289" t="s">
        <v>267</v>
      </c>
      <c r="P289" s="885">
        <v>45991.89471064815</v>
      </c>
      <c r="Q289" t="s">
        <v>268</v>
      </c>
      <c r="R289" t="s">
        <v>269</v>
      </c>
    </row>
    <row r="290" spans="1:18" x14ac:dyDescent="0.15">
      <c r="A290" s="788">
        <v>5385924695</v>
      </c>
      <c r="B290" t="s">
        <v>2006</v>
      </c>
      <c r="C290" s="884">
        <v>46024</v>
      </c>
      <c r="D290" s="884">
        <v>46027</v>
      </c>
      <c r="E290" t="s">
        <v>314</v>
      </c>
      <c r="F290" t="s">
        <v>315</v>
      </c>
      <c r="H290" t="s">
        <v>1746</v>
      </c>
      <c r="I290" s="885">
        <v>45993.860497685186</v>
      </c>
      <c r="L290" t="s">
        <v>274</v>
      </c>
      <c r="M290" t="s">
        <v>265</v>
      </c>
      <c r="N290" t="s">
        <v>2007</v>
      </c>
      <c r="O290" t="s">
        <v>267</v>
      </c>
      <c r="P290" s="885">
        <v>45993.863449074073</v>
      </c>
      <c r="Q290" t="s">
        <v>268</v>
      </c>
      <c r="R290" t="s">
        <v>269</v>
      </c>
    </row>
    <row r="291" spans="1:18" x14ac:dyDescent="0.15">
      <c r="A291" s="788">
        <v>6658284721</v>
      </c>
      <c r="B291" t="s">
        <v>2010</v>
      </c>
      <c r="C291" s="884">
        <v>46047</v>
      </c>
      <c r="D291" s="884">
        <v>46052</v>
      </c>
      <c r="E291" t="s">
        <v>314</v>
      </c>
      <c r="F291" t="s">
        <v>315</v>
      </c>
      <c r="H291" t="s">
        <v>1746</v>
      </c>
      <c r="I291" s="885">
        <v>45994.023645833331</v>
      </c>
      <c r="L291" t="s">
        <v>274</v>
      </c>
      <c r="M291" t="s">
        <v>265</v>
      </c>
      <c r="N291" t="s">
        <v>2011</v>
      </c>
      <c r="O291" t="s">
        <v>267</v>
      </c>
      <c r="P291" s="885">
        <v>45994.029351851852</v>
      </c>
      <c r="Q291" t="s">
        <v>268</v>
      </c>
      <c r="R291" t="s">
        <v>269</v>
      </c>
    </row>
    <row r="292" spans="1:18" x14ac:dyDescent="0.15">
      <c r="A292" s="788">
        <v>5750814420</v>
      </c>
      <c r="B292" t="s">
        <v>2017</v>
      </c>
      <c r="C292" s="884">
        <v>46000</v>
      </c>
      <c r="D292" s="884">
        <v>46001</v>
      </c>
      <c r="E292" t="s">
        <v>314</v>
      </c>
      <c r="F292" t="s">
        <v>315</v>
      </c>
      <c r="H292" t="s">
        <v>2018</v>
      </c>
      <c r="I292" s="885">
        <v>45994.916180555556</v>
      </c>
      <c r="L292" t="s">
        <v>274</v>
      </c>
      <c r="M292" t="s">
        <v>265</v>
      </c>
      <c r="N292" t="s">
        <v>1751</v>
      </c>
      <c r="O292" t="s">
        <v>267</v>
      </c>
      <c r="P292" s="885">
        <v>45994.91988425926</v>
      </c>
      <c r="Q292" t="s">
        <v>268</v>
      </c>
      <c r="R292" t="s">
        <v>269</v>
      </c>
    </row>
    <row r="293" spans="1:18" x14ac:dyDescent="0.15">
      <c r="A293" s="788">
        <v>6445906858</v>
      </c>
      <c r="B293" t="s">
        <v>2021</v>
      </c>
      <c r="C293" s="884">
        <v>46052</v>
      </c>
      <c r="D293" s="884">
        <v>46053</v>
      </c>
      <c r="E293" t="s">
        <v>314</v>
      </c>
      <c r="F293" t="s">
        <v>315</v>
      </c>
      <c r="H293" t="s">
        <v>2022</v>
      </c>
      <c r="I293" s="885">
        <v>45996.063796296294</v>
      </c>
      <c r="L293" t="s">
        <v>274</v>
      </c>
      <c r="M293" s="884">
        <v>36527</v>
      </c>
      <c r="N293" t="s">
        <v>1677</v>
      </c>
      <c r="O293" t="s">
        <v>267</v>
      </c>
      <c r="P293" s="885">
        <v>45996.067766203705</v>
      </c>
      <c r="Q293" t="s">
        <v>268</v>
      </c>
      <c r="R293" t="s">
        <v>269</v>
      </c>
    </row>
    <row r="294" spans="1:18" x14ac:dyDescent="0.15">
      <c r="A294" s="788">
        <v>5891730258</v>
      </c>
      <c r="B294" t="s">
        <v>2027</v>
      </c>
      <c r="C294" s="884">
        <v>46135</v>
      </c>
      <c r="D294" s="884">
        <v>46139</v>
      </c>
      <c r="E294" t="s">
        <v>314</v>
      </c>
      <c r="F294" t="s">
        <v>315</v>
      </c>
      <c r="H294" t="s">
        <v>2028</v>
      </c>
      <c r="I294" s="885">
        <v>45997.539351851854</v>
      </c>
      <c r="L294" t="s">
        <v>274</v>
      </c>
      <c r="M294" s="884">
        <v>36558</v>
      </c>
      <c r="N294" t="s">
        <v>2029</v>
      </c>
      <c r="O294" t="s">
        <v>267</v>
      </c>
      <c r="P294" s="885">
        <v>45997.543414351851</v>
      </c>
      <c r="Q294" t="s">
        <v>268</v>
      </c>
      <c r="R294" t="s">
        <v>269</v>
      </c>
    </row>
    <row r="295" spans="1:18" x14ac:dyDescent="0.15">
      <c r="A295" s="788">
        <v>6477931374</v>
      </c>
      <c r="B295" t="s">
        <v>2030</v>
      </c>
      <c r="C295" s="884">
        <v>46104</v>
      </c>
      <c r="D295" s="884">
        <v>46107</v>
      </c>
      <c r="E295" t="s">
        <v>314</v>
      </c>
      <c r="F295" t="s">
        <v>315</v>
      </c>
      <c r="H295" t="s">
        <v>2031</v>
      </c>
      <c r="I295" s="885">
        <v>45997.885555555556</v>
      </c>
      <c r="L295" t="s">
        <v>274</v>
      </c>
      <c r="M295" t="s">
        <v>292</v>
      </c>
      <c r="N295" t="s">
        <v>2032</v>
      </c>
      <c r="O295" t="s">
        <v>267</v>
      </c>
      <c r="P295" s="885">
        <v>45997.891261574077</v>
      </c>
      <c r="Q295" t="s">
        <v>268</v>
      </c>
      <c r="R295" t="s">
        <v>269</v>
      </c>
    </row>
    <row r="296" spans="1:18" x14ac:dyDescent="0.15">
      <c r="A296" s="788">
        <v>5040819822</v>
      </c>
      <c r="B296" t="s">
        <v>2033</v>
      </c>
      <c r="C296" s="884">
        <v>46000</v>
      </c>
      <c r="D296" s="884">
        <v>46004</v>
      </c>
      <c r="E296" t="s">
        <v>314</v>
      </c>
      <c r="F296" t="s">
        <v>315</v>
      </c>
      <c r="H296" t="s">
        <v>1782</v>
      </c>
      <c r="I296" s="885">
        <v>45997.90253472222</v>
      </c>
      <c r="L296" t="s">
        <v>274</v>
      </c>
      <c r="M296" t="s">
        <v>265</v>
      </c>
      <c r="N296" t="s">
        <v>2034</v>
      </c>
      <c r="O296" t="s">
        <v>267</v>
      </c>
      <c r="P296" s="885">
        <v>45997.905324074076</v>
      </c>
      <c r="Q296" t="s">
        <v>268</v>
      </c>
      <c r="R296" t="s">
        <v>269</v>
      </c>
    </row>
    <row r="297" spans="1:18" x14ac:dyDescent="0.15">
      <c r="A297" s="788">
        <v>5874009912</v>
      </c>
      <c r="B297" t="s">
        <v>2044</v>
      </c>
      <c r="C297" s="884">
        <v>46102</v>
      </c>
      <c r="D297" s="884">
        <v>46107</v>
      </c>
      <c r="E297" t="s">
        <v>314</v>
      </c>
      <c r="F297" t="s">
        <v>315</v>
      </c>
      <c r="H297" t="s">
        <v>1077</v>
      </c>
      <c r="I297" s="885">
        <v>45998.749305555553</v>
      </c>
      <c r="K297" s="885">
        <v>45998.876215277778</v>
      </c>
      <c r="L297" t="s">
        <v>264</v>
      </c>
      <c r="M297" t="s">
        <v>265</v>
      </c>
      <c r="N297" t="s">
        <v>2045</v>
      </c>
      <c r="O297" t="s">
        <v>267</v>
      </c>
      <c r="P297" s="885">
        <v>45998.878796296296</v>
      </c>
      <c r="Q297" t="s">
        <v>268</v>
      </c>
      <c r="R297" t="s">
        <v>269</v>
      </c>
    </row>
    <row r="298" spans="1:18" x14ac:dyDescent="0.15">
      <c r="A298" s="788">
        <v>5527680119</v>
      </c>
      <c r="B298" t="s">
        <v>1126</v>
      </c>
      <c r="C298" s="884">
        <v>46012</v>
      </c>
      <c r="D298" s="884">
        <v>46013</v>
      </c>
      <c r="E298" t="s">
        <v>314</v>
      </c>
      <c r="F298" t="s">
        <v>315</v>
      </c>
      <c r="H298" t="s">
        <v>1847</v>
      </c>
      <c r="I298" s="885">
        <v>45998.770138888889</v>
      </c>
      <c r="K298" s="885">
        <v>46001.459305555552</v>
      </c>
      <c r="L298" t="s">
        <v>264</v>
      </c>
      <c r="M298" t="s">
        <v>265</v>
      </c>
      <c r="N298" t="s">
        <v>2046</v>
      </c>
      <c r="O298" t="s">
        <v>267</v>
      </c>
      <c r="P298" s="885">
        <v>46001.461863425924</v>
      </c>
      <c r="Q298" t="s">
        <v>268</v>
      </c>
      <c r="R298" t="s">
        <v>269</v>
      </c>
    </row>
    <row r="299" spans="1:18" x14ac:dyDescent="0.15">
      <c r="A299" s="788">
        <v>6459238906</v>
      </c>
      <c r="B299" t="s">
        <v>2047</v>
      </c>
      <c r="C299" s="884">
        <v>46025</v>
      </c>
      <c r="D299" s="884">
        <v>46027</v>
      </c>
      <c r="E299" t="s">
        <v>314</v>
      </c>
      <c r="F299" t="s">
        <v>315</v>
      </c>
      <c r="H299" t="s">
        <v>1843</v>
      </c>
      <c r="I299" s="885">
        <v>45998.850532407407</v>
      </c>
      <c r="K299" s="885">
        <v>46003.460011574076</v>
      </c>
      <c r="L299" t="s">
        <v>264</v>
      </c>
      <c r="M299" t="s">
        <v>265</v>
      </c>
      <c r="N299" t="s">
        <v>2048</v>
      </c>
      <c r="O299" t="s">
        <v>267</v>
      </c>
      <c r="P299" s="885">
        <v>46003.463449074072</v>
      </c>
      <c r="Q299" t="s">
        <v>268</v>
      </c>
      <c r="R299" t="s">
        <v>269</v>
      </c>
    </row>
    <row r="300" spans="1:18" x14ac:dyDescent="0.15">
      <c r="A300" s="788">
        <v>5007939439</v>
      </c>
      <c r="B300" t="s">
        <v>2044</v>
      </c>
      <c r="C300" s="884">
        <v>46104</v>
      </c>
      <c r="D300" s="884">
        <v>46108</v>
      </c>
      <c r="E300" t="s">
        <v>314</v>
      </c>
      <c r="F300" t="s">
        <v>315</v>
      </c>
      <c r="H300" t="s">
        <v>1077</v>
      </c>
      <c r="I300" s="885">
        <v>45998.875567129631</v>
      </c>
      <c r="L300" t="s">
        <v>274</v>
      </c>
      <c r="M300" t="s">
        <v>265</v>
      </c>
      <c r="N300" t="s">
        <v>2049</v>
      </c>
      <c r="O300" t="s">
        <v>267</v>
      </c>
      <c r="P300" s="885">
        <v>45998.878796296296</v>
      </c>
      <c r="Q300" t="s">
        <v>268</v>
      </c>
      <c r="R300" t="s">
        <v>269</v>
      </c>
    </row>
    <row r="301" spans="1:18" x14ac:dyDescent="0.15">
      <c r="A301" s="788">
        <v>5114049579</v>
      </c>
      <c r="B301" t="s">
        <v>2068</v>
      </c>
      <c r="C301" s="884">
        <v>46029</v>
      </c>
      <c r="D301" s="884">
        <v>46032</v>
      </c>
      <c r="E301" t="s">
        <v>314</v>
      </c>
      <c r="F301" t="s">
        <v>315</v>
      </c>
      <c r="H301" t="s">
        <v>2069</v>
      </c>
      <c r="I301" s="885">
        <v>46001.711018518516</v>
      </c>
      <c r="L301" t="s">
        <v>274</v>
      </c>
      <c r="M301" s="884">
        <v>36558</v>
      </c>
      <c r="N301" t="s">
        <v>2070</v>
      </c>
      <c r="O301" t="s">
        <v>267</v>
      </c>
      <c r="P301" s="885">
        <v>46001.715949074074</v>
      </c>
      <c r="Q301" t="s">
        <v>268</v>
      </c>
      <c r="R301" t="s">
        <v>269</v>
      </c>
    </row>
    <row r="302" spans="1:18" x14ac:dyDescent="0.15">
      <c r="A302" s="788">
        <v>6562915826</v>
      </c>
      <c r="B302" t="s">
        <v>2082</v>
      </c>
      <c r="C302" s="884">
        <v>46049</v>
      </c>
      <c r="D302" s="884">
        <v>46052</v>
      </c>
      <c r="E302" t="s">
        <v>314</v>
      </c>
      <c r="F302" t="s">
        <v>315</v>
      </c>
      <c r="H302" t="s">
        <v>1746</v>
      </c>
      <c r="I302" s="885">
        <v>46002.921331018515</v>
      </c>
      <c r="L302" t="s">
        <v>274</v>
      </c>
      <c r="M302" t="s">
        <v>265</v>
      </c>
      <c r="N302" t="s">
        <v>2083</v>
      </c>
      <c r="O302" t="s">
        <v>267</v>
      </c>
      <c r="P302" s="885">
        <v>46002.925625000003</v>
      </c>
      <c r="Q302" t="s">
        <v>268</v>
      </c>
      <c r="R302" t="s">
        <v>269</v>
      </c>
    </row>
    <row r="303" spans="1:18" x14ac:dyDescent="0.15">
      <c r="A303" s="788">
        <v>6562933758</v>
      </c>
      <c r="B303" t="s">
        <v>2097</v>
      </c>
      <c r="C303" s="884">
        <v>46060</v>
      </c>
      <c r="D303" s="884">
        <v>46066</v>
      </c>
      <c r="E303" t="s">
        <v>314</v>
      </c>
      <c r="F303" t="s">
        <v>315</v>
      </c>
      <c r="H303" t="s">
        <v>1746</v>
      </c>
      <c r="I303" s="885">
        <v>46004.597210648149</v>
      </c>
      <c r="L303" t="s">
        <v>274</v>
      </c>
      <c r="M303" t="s">
        <v>265</v>
      </c>
      <c r="N303" t="s">
        <v>2098</v>
      </c>
      <c r="O303" t="s">
        <v>267</v>
      </c>
      <c r="P303" s="885">
        <v>46004.600937499999</v>
      </c>
      <c r="Q303" t="s">
        <v>268</v>
      </c>
      <c r="R303" t="s">
        <v>269</v>
      </c>
    </row>
    <row r="304" spans="1:18" x14ac:dyDescent="0.15">
      <c r="A304" s="788">
        <v>5378346151</v>
      </c>
      <c r="B304" t="s">
        <v>2104</v>
      </c>
      <c r="C304" s="884">
        <v>46047</v>
      </c>
      <c r="D304" s="884">
        <v>46048</v>
      </c>
      <c r="E304" t="s">
        <v>314</v>
      </c>
      <c r="F304" t="s">
        <v>315</v>
      </c>
      <c r="H304" t="s">
        <v>1929</v>
      </c>
      <c r="I304" s="885">
        <v>46005.47388888889</v>
      </c>
      <c r="L304" t="s">
        <v>274</v>
      </c>
      <c r="M304" t="s">
        <v>265</v>
      </c>
      <c r="N304" t="s">
        <v>2105</v>
      </c>
      <c r="O304" t="s">
        <v>267</v>
      </c>
      <c r="P304" s="885">
        <v>46005.478414351855</v>
      </c>
      <c r="Q304" t="s">
        <v>268</v>
      </c>
      <c r="R304" t="s">
        <v>269</v>
      </c>
    </row>
    <row r="305" spans="1:18" x14ac:dyDescent="0.15">
      <c r="A305" s="788">
        <v>6198929542</v>
      </c>
      <c r="B305" t="s">
        <v>2106</v>
      </c>
      <c r="C305" s="884">
        <v>46006</v>
      </c>
      <c r="D305" s="884">
        <v>46007</v>
      </c>
      <c r="E305" t="s">
        <v>314</v>
      </c>
      <c r="F305" t="s">
        <v>315</v>
      </c>
      <c r="H305" t="s">
        <v>2107</v>
      </c>
      <c r="I305" s="885">
        <v>46005.672824074078</v>
      </c>
      <c r="L305" t="s">
        <v>274</v>
      </c>
      <c r="M305" t="s">
        <v>265</v>
      </c>
      <c r="N305" t="s">
        <v>2108</v>
      </c>
      <c r="O305" t="s">
        <v>267</v>
      </c>
      <c r="P305" s="885">
        <v>46005.676921296297</v>
      </c>
      <c r="Q305" t="s">
        <v>268</v>
      </c>
      <c r="R305" t="s">
        <v>269</v>
      </c>
    </row>
    <row r="306" spans="1:18" x14ac:dyDescent="0.15">
      <c r="A306" s="788">
        <v>6545084792</v>
      </c>
      <c r="B306" t="s">
        <v>2111</v>
      </c>
      <c r="C306" s="884">
        <v>46012</v>
      </c>
      <c r="D306" s="884">
        <v>46014</v>
      </c>
      <c r="E306" t="s">
        <v>314</v>
      </c>
      <c r="F306" t="s">
        <v>315</v>
      </c>
      <c r="H306" t="s">
        <v>1782</v>
      </c>
      <c r="I306" s="885">
        <v>46006.439722222225</v>
      </c>
      <c r="L306" t="s">
        <v>274</v>
      </c>
      <c r="M306" t="s">
        <v>265</v>
      </c>
      <c r="N306" t="s">
        <v>2112</v>
      </c>
      <c r="O306" t="s">
        <v>267</v>
      </c>
      <c r="P306" s="885">
        <v>46006.445428240739</v>
      </c>
      <c r="Q306" t="s">
        <v>268</v>
      </c>
      <c r="R306" t="s">
        <v>269</v>
      </c>
    </row>
    <row r="307" spans="1:18" x14ac:dyDescent="0.15">
      <c r="A307" s="788">
        <v>5506173937</v>
      </c>
      <c r="B307" t="s">
        <v>1886</v>
      </c>
      <c r="C307" s="884">
        <v>46007</v>
      </c>
      <c r="D307" s="884">
        <v>46008</v>
      </c>
      <c r="E307" t="s">
        <v>314</v>
      </c>
      <c r="F307" t="s">
        <v>315</v>
      </c>
      <c r="H307" t="s">
        <v>2113</v>
      </c>
      <c r="I307" s="885">
        <v>46006.688032407408</v>
      </c>
      <c r="L307" t="s">
        <v>274</v>
      </c>
      <c r="M307" t="s">
        <v>292</v>
      </c>
      <c r="N307" t="s">
        <v>2112</v>
      </c>
      <c r="O307" t="s">
        <v>267</v>
      </c>
      <c r="P307" s="885">
        <v>46006.690312500003</v>
      </c>
      <c r="Q307" t="s">
        <v>268</v>
      </c>
      <c r="R307" t="s">
        <v>269</v>
      </c>
    </row>
    <row r="308" spans="1:18" x14ac:dyDescent="0.15">
      <c r="A308" s="788">
        <v>5836915359</v>
      </c>
      <c r="B308" t="s">
        <v>2114</v>
      </c>
      <c r="C308" s="884">
        <v>46060</v>
      </c>
      <c r="D308" s="884">
        <v>46061</v>
      </c>
      <c r="E308" t="s">
        <v>314</v>
      </c>
      <c r="F308" t="s">
        <v>315</v>
      </c>
      <c r="H308" t="s">
        <v>1843</v>
      </c>
      <c r="I308" s="885">
        <v>46006.773900462962</v>
      </c>
      <c r="L308" t="s">
        <v>274</v>
      </c>
      <c r="M308" t="s">
        <v>265</v>
      </c>
      <c r="N308" t="s">
        <v>2115</v>
      </c>
      <c r="O308" t="s">
        <v>267</v>
      </c>
      <c r="P308" s="885">
        <v>46006.77684027778</v>
      </c>
      <c r="Q308" t="s">
        <v>268</v>
      </c>
      <c r="R308" t="s">
        <v>269</v>
      </c>
    </row>
    <row r="309" spans="1:18" x14ac:dyDescent="0.15">
      <c r="A309" s="788">
        <v>5178287370</v>
      </c>
      <c r="B309" t="s">
        <v>2125</v>
      </c>
      <c r="C309" s="884">
        <v>46022</v>
      </c>
      <c r="D309" s="884">
        <v>46024</v>
      </c>
      <c r="E309" t="s">
        <v>314</v>
      </c>
      <c r="F309" t="s">
        <v>315</v>
      </c>
      <c r="H309" t="s">
        <v>1847</v>
      </c>
      <c r="I309" s="885">
        <v>46007.825254629628</v>
      </c>
      <c r="L309" t="s">
        <v>274</v>
      </c>
      <c r="M309" t="s">
        <v>265</v>
      </c>
      <c r="N309" t="s">
        <v>2126</v>
      </c>
      <c r="O309" t="s">
        <v>267</v>
      </c>
      <c r="P309" s="885">
        <v>46007.830150462964</v>
      </c>
      <c r="Q309" t="s">
        <v>268</v>
      </c>
      <c r="R309" t="s">
        <v>269</v>
      </c>
    </row>
    <row r="310" spans="1:18" x14ac:dyDescent="0.15">
      <c r="A310" s="788">
        <v>6684083844</v>
      </c>
      <c r="B310" t="s">
        <v>536</v>
      </c>
      <c r="C310" s="884">
        <v>46036</v>
      </c>
      <c r="D310" s="884">
        <v>46038</v>
      </c>
      <c r="E310" t="s">
        <v>314</v>
      </c>
      <c r="F310" t="s">
        <v>315</v>
      </c>
      <c r="H310" t="s">
        <v>1077</v>
      </c>
      <c r="I310" s="885">
        <v>46008.11010416667</v>
      </c>
      <c r="L310" t="s">
        <v>274</v>
      </c>
      <c r="M310" t="s">
        <v>265</v>
      </c>
      <c r="N310" t="s">
        <v>2127</v>
      </c>
      <c r="O310" t="s">
        <v>267</v>
      </c>
      <c r="P310" s="885">
        <v>46008.114803240744</v>
      </c>
      <c r="Q310" t="s">
        <v>268</v>
      </c>
      <c r="R310" t="s">
        <v>269</v>
      </c>
    </row>
    <row r="311" spans="1:18" x14ac:dyDescent="0.15">
      <c r="A311" s="788">
        <v>5381955056</v>
      </c>
      <c r="B311" t="s">
        <v>2136</v>
      </c>
      <c r="C311" s="884">
        <v>46018</v>
      </c>
      <c r="D311" s="884">
        <v>46020</v>
      </c>
      <c r="E311" t="s">
        <v>314</v>
      </c>
      <c r="F311" t="s">
        <v>315</v>
      </c>
      <c r="H311" t="s">
        <v>2069</v>
      </c>
      <c r="I311" s="885">
        <v>46008.498067129629</v>
      </c>
      <c r="L311" t="s">
        <v>274</v>
      </c>
      <c r="M311" t="s">
        <v>265</v>
      </c>
      <c r="N311" t="s">
        <v>2137</v>
      </c>
      <c r="O311" t="s">
        <v>267</v>
      </c>
      <c r="P311" s="885">
        <v>46008.501458333332</v>
      </c>
      <c r="Q311" t="s">
        <v>268</v>
      </c>
      <c r="R311" t="s">
        <v>269</v>
      </c>
    </row>
    <row r="312" spans="1:18" x14ac:dyDescent="0.15">
      <c r="A312" s="788">
        <v>6373212575</v>
      </c>
      <c r="B312" t="s">
        <v>2138</v>
      </c>
      <c r="C312" s="884">
        <v>46028</v>
      </c>
      <c r="D312" s="884">
        <v>46030</v>
      </c>
      <c r="E312" t="s">
        <v>314</v>
      </c>
      <c r="F312" t="s">
        <v>315</v>
      </c>
      <c r="H312" t="s">
        <v>1165</v>
      </c>
      <c r="I312" s="885">
        <v>46008.63422453704</v>
      </c>
      <c r="L312" t="s">
        <v>274</v>
      </c>
      <c r="M312" s="884">
        <v>36527</v>
      </c>
      <c r="N312" t="s">
        <v>1166</v>
      </c>
      <c r="O312" t="s">
        <v>267</v>
      </c>
      <c r="P312" s="885">
        <v>46008.637685185182</v>
      </c>
      <c r="Q312" t="s">
        <v>268</v>
      </c>
      <c r="R312" t="s">
        <v>269</v>
      </c>
    </row>
    <row r="313" spans="1:18" x14ac:dyDescent="0.15">
      <c r="A313" s="788">
        <v>5771775572</v>
      </c>
      <c r="B313" t="s">
        <v>2139</v>
      </c>
      <c r="C313" s="884">
        <v>46064</v>
      </c>
      <c r="D313" s="884">
        <v>46065</v>
      </c>
      <c r="E313" t="s">
        <v>314</v>
      </c>
      <c r="F313" t="s">
        <v>315</v>
      </c>
      <c r="H313" t="s">
        <v>1746</v>
      </c>
      <c r="I313" s="885">
        <v>46008.812731481485</v>
      </c>
      <c r="L313" t="s">
        <v>274</v>
      </c>
      <c r="M313" t="s">
        <v>265</v>
      </c>
      <c r="N313" t="s">
        <v>2105</v>
      </c>
      <c r="O313" t="s">
        <v>267</v>
      </c>
      <c r="P313" s="885">
        <v>46008.815740740742</v>
      </c>
      <c r="Q313" t="s">
        <v>268</v>
      </c>
      <c r="R313" t="s">
        <v>269</v>
      </c>
    </row>
    <row r="314" spans="1:18" x14ac:dyDescent="0.15">
      <c r="A314" s="788">
        <v>6787075472</v>
      </c>
      <c r="B314" t="s">
        <v>2140</v>
      </c>
      <c r="C314" s="884">
        <v>46031</v>
      </c>
      <c r="D314" s="884">
        <v>46032</v>
      </c>
      <c r="E314" t="s">
        <v>314</v>
      </c>
      <c r="F314" t="s">
        <v>315</v>
      </c>
      <c r="H314" t="s">
        <v>2141</v>
      </c>
    </row>
    <row r="315" spans="1:18" x14ac:dyDescent="0.15">
      <c r="A315" s="788">
        <v>6290932938</v>
      </c>
      <c r="B315" t="s">
        <v>2162</v>
      </c>
      <c r="C315" s="884">
        <v>46025</v>
      </c>
      <c r="D315" s="884">
        <v>46028</v>
      </c>
      <c r="E315" t="s">
        <v>314</v>
      </c>
      <c r="F315" t="s">
        <v>315</v>
      </c>
      <c r="H315" t="s">
        <v>1077</v>
      </c>
      <c r="I315" s="885">
        <v>46010.417071759257</v>
      </c>
      <c r="L315" t="s">
        <v>274</v>
      </c>
      <c r="M315" t="s">
        <v>265</v>
      </c>
      <c r="N315" t="s">
        <v>2163</v>
      </c>
      <c r="O315" t="s">
        <v>267</v>
      </c>
      <c r="P315" s="885">
        <v>46010.421041666668</v>
      </c>
      <c r="Q315" t="s">
        <v>268</v>
      </c>
      <c r="R315" t="s">
        <v>269</v>
      </c>
    </row>
    <row r="316" spans="1:18" x14ac:dyDescent="0.15">
      <c r="A316" s="788">
        <v>6499644185</v>
      </c>
      <c r="B316" t="s">
        <v>2168</v>
      </c>
      <c r="C316" s="884">
        <v>46018</v>
      </c>
      <c r="D316" s="884">
        <v>46019</v>
      </c>
      <c r="E316" t="s">
        <v>314</v>
      </c>
      <c r="F316" t="s">
        <v>315</v>
      </c>
      <c r="H316" t="s">
        <v>732</v>
      </c>
      <c r="I316" s="885">
        <v>46011.774837962963</v>
      </c>
      <c r="L316" t="s">
        <v>274</v>
      </c>
      <c r="M316" t="s">
        <v>265</v>
      </c>
      <c r="N316" t="s">
        <v>1233</v>
      </c>
      <c r="O316" t="s">
        <v>267</v>
      </c>
      <c r="P316" s="885">
        <v>46011.779432870368</v>
      </c>
      <c r="Q316" t="s">
        <v>268</v>
      </c>
      <c r="R316" t="s">
        <v>269</v>
      </c>
    </row>
    <row r="317" spans="1:18" x14ac:dyDescent="0.15">
      <c r="A317" s="788">
        <v>5583606963</v>
      </c>
      <c r="B317" t="s">
        <v>2181</v>
      </c>
      <c r="C317" s="884">
        <v>46136</v>
      </c>
      <c r="D317" s="884">
        <v>46138</v>
      </c>
      <c r="E317" t="s">
        <v>314</v>
      </c>
      <c r="F317" t="s">
        <v>315</v>
      </c>
      <c r="H317" t="s">
        <v>2182</v>
      </c>
    </row>
    <row r="318" spans="1:18" x14ac:dyDescent="0.15">
      <c r="A318" s="788">
        <v>6746019987</v>
      </c>
      <c r="B318" t="s">
        <v>2185</v>
      </c>
      <c r="C318" s="884">
        <v>46038</v>
      </c>
      <c r="D318" s="884">
        <v>46040</v>
      </c>
      <c r="E318" t="s">
        <v>314</v>
      </c>
      <c r="F318" t="s">
        <v>315</v>
      </c>
      <c r="H318" t="s">
        <v>1847</v>
      </c>
      <c r="I318" s="885">
        <v>46013.769502314812</v>
      </c>
      <c r="L318" t="s">
        <v>274</v>
      </c>
      <c r="M318" t="s">
        <v>265</v>
      </c>
      <c r="N318" t="s">
        <v>2186</v>
      </c>
      <c r="O318" t="s">
        <v>267</v>
      </c>
      <c r="P318" s="885">
        <v>46013.774930555555</v>
      </c>
      <c r="Q318" t="s">
        <v>268</v>
      </c>
      <c r="R318" t="s">
        <v>269</v>
      </c>
    </row>
    <row r="319" spans="1:18" x14ac:dyDescent="0.15">
      <c r="A319" s="788">
        <v>6979885472</v>
      </c>
      <c r="B319" t="s">
        <v>2187</v>
      </c>
      <c r="C319" s="884">
        <v>46014</v>
      </c>
      <c r="D319" s="884">
        <v>46015</v>
      </c>
      <c r="E319" t="s">
        <v>314</v>
      </c>
      <c r="F319" t="s">
        <v>315</v>
      </c>
      <c r="H319" t="s">
        <v>2188</v>
      </c>
      <c r="I319" s="885">
        <v>46014.399016203701</v>
      </c>
      <c r="L319" t="s">
        <v>274</v>
      </c>
      <c r="M319" t="s">
        <v>265</v>
      </c>
      <c r="N319" t="s">
        <v>1204</v>
      </c>
      <c r="O319" t="s">
        <v>267</v>
      </c>
      <c r="P319" s="885">
        <v>46014.402754629627</v>
      </c>
      <c r="Q319" t="s">
        <v>268</v>
      </c>
      <c r="R319" t="s">
        <v>269</v>
      </c>
    </row>
    <row r="320" spans="1:18" x14ac:dyDescent="0.15">
      <c r="A320" s="788">
        <v>5637569903</v>
      </c>
      <c r="B320" t="s">
        <v>2189</v>
      </c>
      <c r="C320" s="884">
        <v>46028</v>
      </c>
      <c r="D320" s="884">
        <v>46031</v>
      </c>
      <c r="E320" t="s">
        <v>314</v>
      </c>
      <c r="F320" t="s">
        <v>315</v>
      </c>
      <c r="H320" t="s">
        <v>1929</v>
      </c>
      <c r="I320" s="885">
        <v>46014.560972222222</v>
      </c>
      <c r="L320" t="s">
        <v>274</v>
      </c>
      <c r="M320" t="s">
        <v>265</v>
      </c>
      <c r="N320" t="s">
        <v>2190</v>
      </c>
      <c r="O320" t="s">
        <v>267</v>
      </c>
      <c r="P320" s="885">
        <v>46014.563784722224</v>
      </c>
      <c r="Q320" t="s">
        <v>268</v>
      </c>
      <c r="R320" t="s">
        <v>269</v>
      </c>
    </row>
    <row r="321" spans="1:18" x14ac:dyDescent="0.15">
      <c r="A321" s="788">
        <v>6079685096</v>
      </c>
      <c r="B321" t="s">
        <v>2191</v>
      </c>
      <c r="C321" s="884">
        <v>46043</v>
      </c>
      <c r="D321" s="884">
        <v>46044</v>
      </c>
      <c r="E321" t="s">
        <v>314</v>
      </c>
      <c r="F321" t="s">
        <v>315</v>
      </c>
      <c r="H321" t="s">
        <v>1847</v>
      </c>
      <c r="I321" s="885">
        <v>46014.820138888892</v>
      </c>
      <c r="L321" t="s">
        <v>274</v>
      </c>
      <c r="M321" t="s">
        <v>265</v>
      </c>
      <c r="N321" t="s">
        <v>1848</v>
      </c>
      <c r="O321" t="s">
        <v>267</v>
      </c>
      <c r="P321" s="885">
        <v>46014.823333333334</v>
      </c>
      <c r="Q321" t="s">
        <v>268</v>
      </c>
      <c r="R321" t="s">
        <v>269</v>
      </c>
    </row>
    <row r="322" spans="1:18" x14ac:dyDescent="0.15">
      <c r="A322" s="788">
        <v>5962029215</v>
      </c>
      <c r="B322" t="s">
        <v>1133</v>
      </c>
      <c r="C322" s="884">
        <v>46316</v>
      </c>
      <c r="D322" s="884">
        <v>46318</v>
      </c>
      <c r="E322" t="s">
        <v>314</v>
      </c>
      <c r="F322" t="s">
        <v>315</v>
      </c>
      <c r="H322" t="s">
        <v>2201</v>
      </c>
      <c r="I322" s="885">
        <v>46017.652222222219</v>
      </c>
      <c r="K322" s="885">
        <v>46017.659444444442</v>
      </c>
      <c r="L322" t="s">
        <v>264</v>
      </c>
      <c r="M322" t="s">
        <v>2202</v>
      </c>
      <c r="N322" t="s">
        <v>2203</v>
      </c>
      <c r="O322" t="s">
        <v>267</v>
      </c>
      <c r="P322" s="885">
        <v>46017.662627314814</v>
      </c>
      <c r="Q322" t="s">
        <v>268</v>
      </c>
      <c r="R322" t="s">
        <v>269</v>
      </c>
    </row>
    <row r="323" spans="1:18" x14ac:dyDescent="0.15">
      <c r="A323" s="788">
        <v>5772295371</v>
      </c>
      <c r="B323" t="s">
        <v>1133</v>
      </c>
      <c r="C323" s="884">
        <v>46330</v>
      </c>
      <c r="D323" s="884">
        <v>46332</v>
      </c>
      <c r="E323" t="s">
        <v>314</v>
      </c>
      <c r="F323" t="s">
        <v>315</v>
      </c>
      <c r="H323" t="s">
        <v>2204</v>
      </c>
      <c r="I323" s="885">
        <v>46017.658217592594</v>
      </c>
      <c r="K323" s="885">
        <v>46029.951932870368</v>
      </c>
      <c r="L323" t="s">
        <v>264</v>
      </c>
      <c r="M323" t="s">
        <v>2202</v>
      </c>
      <c r="N323" t="s">
        <v>2205</v>
      </c>
      <c r="O323" t="s">
        <v>267</v>
      </c>
      <c r="P323" s="885">
        <v>46029.956192129626</v>
      </c>
      <c r="Q323" t="s">
        <v>268</v>
      </c>
      <c r="R323" t="s">
        <v>269</v>
      </c>
    </row>
    <row r="324" spans="1:18" x14ac:dyDescent="0.15">
      <c r="A324" s="788">
        <v>6223366360</v>
      </c>
      <c r="B324" t="s">
        <v>1133</v>
      </c>
      <c r="C324" s="884">
        <v>46316</v>
      </c>
      <c r="D324" s="884">
        <v>46318</v>
      </c>
      <c r="E324" t="s">
        <v>314</v>
      </c>
      <c r="F324" t="s">
        <v>315</v>
      </c>
      <c r="H324" t="s">
        <v>2206</v>
      </c>
      <c r="I324" s="885">
        <v>46017.665034722224</v>
      </c>
      <c r="K324" s="885">
        <v>46017.673935185187</v>
      </c>
      <c r="L324" t="s">
        <v>264</v>
      </c>
      <c r="M324" t="s">
        <v>774</v>
      </c>
      <c r="N324" t="s">
        <v>2207</v>
      </c>
      <c r="O324" t="s">
        <v>267</v>
      </c>
      <c r="P324" s="885">
        <v>46017.677546296298</v>
      </c>
      <c r="Q324" t="s">
        <v>268</v>
      </c>
      <c r="R324" t="s">
        <v>269</v>
      </c>
    </row>
    <row r="325" spans="1:18" x14ac:dyDescent="0.15">
      <c r="A325" s="788">
        <v>5919527561</v>
      </c>
      <c r="B325" t="s">
        <v>1133</v>
      </c>
      <c r="C325" s="884">
        <v>46316</v>
      </c>
      <c r="D325" s="884">
        <v>46318</v>
      </c>
      <c r="E325" t="s">
        <v>314</v>
      </c>
      <c r="F325" t="s">
        <v>315</v>
      </c>
      <c r="H325" t="s">
        <v>2204</v>
      </c>
      <c r="I325" s="885">
        <v>46017.672615740739</v>
      </c>
      <c r="K325" s="885">
        <v>46029.950104166666</v>
      </c>
      <c r="L325" t="s">
        <v>264</v>
      </c>
      <c r="M325" t="s">
        <v>2202</v>
      </c>
      <c r="N325" t="s">
        <v>2208</v>
      </c>
      <c r="O325" t="s">
        <v>267</v>
      </c>
      <c r="P325" s="885">
        <v>46029.952685185184</v>
      </c>
      <c r="Q325" t="s">
        <v>268</v>
      </c>
      <c r="R325" t="s">
        <v>269</v>
      </c>
    </row>
    <row r="326" spans="1:18" x14ac:dyDescent="0.15">
      <c r="A326" s="788">
        <v>5684019834</v>
      </c>
      <c r="B326" t="s">
        <v>2209</v>
      </c>
      <c r="C326" s="884">
        <v>46018</v>
      </c>
      <c r="D326" s="884">
        <v>46019</v>
      </c>
      <c r="E326" t="s">
        <v>314</v>
      </c>
      <c r="F326" t="s">
        <v>315</v>
      </c>
      <c r="H326" t="s">
        <v>1887</v>
      </c>
      <c r="I326" s="885">
        <v>46018.344143518516</v>
      </c>
      <c r="L326" t="s">
        <v>274</v>
      </c>
      <c r="M326" t="s">
        <v>292</v>
      </c>
      <c r="N326" t="s">
        <v>2210</v>
      </c>
      <c r="O326" t="s">
        <v>267</v>
      </c>
      <c r="P326" s="885">
        <v>46018.348449074074</v>
      </c>
      <c r="Q326" t="s">
        <v>268</v>
      </c>
      <c r="R326" t="s">
        <v>269</v>
      </c>
    </row>
    <row r="327" spans="1:18" x14ac:dyDescent="0.15">
      <c r="A327" s="788">
        <v>6935580843</v>
      </c>
      <c r="B327" t="s">
        <v>2211</v>
      </c>
      <c r="C327" s="884">
        <v>46021</v>
      </c>
      <c r="D327" s="884">
        <v>46025</v>
      </c>
      <c r="E327" t="s">
        <v>314</v>
      </c>
      <c r="F327" t="s">
        <v>315</v>
      </c>
      <c r="H327" t="s">
        <v>2212</v>
      </c>
      <c r="I327" s="885">
        <v>46018.374293981484</v>
      </c>
      <c r="J327" s="885">
        <v>46018.404432870368</v>
      </c>
      <c r="L327" t="s">
        <v>720</v>
      </c>
      <c r="M327" t="s">
        <v>265</v>
      </c>
      <c r="N327" t="s">
        <v>2213</v>
      </c>
      <c r="O327" t="s">
        <v>730</v>
      </c>
      <c r="P327" s="885">
        <v>46018.407106481478</v>
      </c>
      <c r="Q327" t="s">
        <v>268</v>
      </c>
      <c r="R327" t="s">
        <v>269</v>
      </c>
    </row>
    <row r="328" spans="1:18" x14ac:dyDescent="0.15">
      <c r="A328" s="788">
        <v>6223349376</v>
      </c>
      <c r="B328" t="s">
        <v>2217</v>
      </c>
      <c r="C328" s="884">
        <v>46389</v>
      </c>
      <c r="D328" s="884">
        <v>46394</v>
      </c>
      <c r="E328" t="s">
        <v>314</v>
      </c>
      <c r="F328" t="s">
        <v>315</v>
      </c>
      <c r="H328" t="s">
        <v>2218</v>
      </c>
      <c r="I328" s="885">
        <v>46018.758356481485</v>
      </c>
      <c r="K328" s="885">
        <v>46023.958321759259</v>
      </c>
      <c r="L328" t="s">
        <v>264</v>
      </c>
      <c r="M328" t="s">
        <v>292</v>
      </c>
      <c r="N328" t="s">
        <v>2219</v>
      </c>
      <c r="O328" t="s">
        <v>267</v>
      </c>
      <c r="P328" s="885">
        <v>46023.9609837963</v>
      </c>
      <c r="Q328" t="s">
        <v>268</v>
      </c>
      <c r="R328" t="s">
        <v>269</v>
      </c>
    </row>
    <row r="329" spans="1:18" x14ac:dyDescent="0.15">
      <c r="A329" s="788">
        <v>6286777854</v>
      </c>
      <c r="B329" t="s">
        <v>2222</v>
      </c>
      <c r="C329" s="884">
        <v>46090</v>
      </c>
      <c r="D329" s="884">
        <v>46093</v>
      </c>
      <c r="E329" t="s">
        <v>314</v>
      </c>
      <c r="F329" t="s">
        <v>315</v>
      </c>
      <c r="H329" t="s">
        <v>2022</v>
      </c>
      <c r="I329" s="885">
        <v>46019.600775462961</v>
      </c>
      <c r="L329" t="s">
        <v>274</v>
      </c>
      <c r="M329" t="s">
        <v>265</v>
      </c>
      <c r="N329" t="s">
        <v>2223</v>
      </c>
      <c r="O329" t="s">
        <v>267</v>
      </c>
      <c r="P329" s="885">
        <v>46019.606041666666</v>
      </c>
      <c r="Q329" t="s">
        <v>268</v>
      </c>
      <c r="R329" t="s">
        <v>269</v>
      </c>
    </row>
    <row r="330" spans="1:18" x14ac:dyDescent="0.15">
      <c r="A330" s="788">
        <v>6892148327</v>
      </c>
      <c r="B330" t="s">
        <v>2225</v>
      </c>
      <c r="C330" s="884">
        <v>46020</v>
      </c>
      <c r="D330" s="884">
        <v>46021</v>
      </c>
      <c r="E330" t="s">
        <v>314</v>
      </c>
      <c r="F330" t="s">
        <v>315</v>
      </c>
      <c r="H330" t="s">
        <v>1750</v>
      </c>
      <c r="I330" s="885">
        <v>46020.474247685182</v>
      </c>
      <c r="K330" s="885">
        <v>46020.668379629627</v>
      </c>
      <c r="L330" t="s">
        <v>264</v>
      </c>
      <c r="M330" t="s">
        <v>265</v>
      </c>
      <c r="N330" t="s">
        <v>2226</v>
      </c>
      <c r="O330" t="s">
        <v>267</v>
      </c>
      <c r="P330" s="885">
        <v>46020.673842592594</v>
      </c>
      <c r="Q330" t="s">
        <v>268</v>
      </c>
      <c r="R330" t="s">
        <v>269</v>
      </c>
    </row>
    <row r="331" spans="1:18" x14ac:dyDescent="0.15">
      <c r="A331" s="788">
        <v>5049796514</v>
      </c>
      <c r="B331" t="s">
        <v>2229</v>
      </c>
      <c r="C331" s="884">
        <v>46021</v>
      </c>
      <c r="D331" s="884">
        <v>46024</v>
      </c>
      <c r="E331" t="s">
        <v>314</v>
      </c>
      <c r="F331" t="s">
        <v>315</v>
      </c>
      <c r="H331" t="s">
        <v>1782</v>
      </c>
      <c r="I331" s="885">
        <v>46021.506319444445</v>
      </c>
      <c r="L331" t="s">
        <v>274</v>
      </c>
      <c r="M331" t="s">
        <v>265</v>
      </c>
      <c r="N331" t="s">
        <v>2230</v>
      </c>
      <c r="O331" t="s">
        <v>267</v>
      </c>
      <c r="P331" s="885">
        <v>46021.508715277778</v>
      </c>
      <c r="Q331" t="s">
        <v>268</v>
      </c>
      <c r="R331" t="s">
        <v>269</v>
      </c>
    </row>
    <row r="332" spans="1:18" x14ac:dyDescent="0.15">
      <c r="A332" s="788">
        <v>6557450889</v>
      </c>
      <c r="B332" t="s">
        <v>2231</v>
      </c>
      <c r="C332" s="884">
        <v>46021</v>
      </c>
      <c r="D332" s="884">
        <v>46024</v>
      </c>
      <c r="E332" t="s">
        <v>314</v>
      </c>
      <c r="F332" t="s">
        <v>315</v>
      </c>
      <c r="H332" t="s">
        <v>1782</v>
      </c>
      <c r="I332" s="885">
        <v>46021.510069444441</v>
      </c>
      <c r="L332" t="s">
        <v>274</v>
      </c>
      <c r="M332" t="s">
        <v>265</v>
      </c>
      <c r="N332" t="s">
        <v>2230</v>
      </c>
      <c r="O332" t="s">
        <v>267</v>
      </c>
      <c r="P332" s="885">
        <v>46021.512233796297</v>
      </c>
      <c r="Q332" t="s">
        <v>268</v>
      </c>
      <c r="R332" t="s">
        <v>269</v>
      </c>
    </row>
    <row r="333" spans="1:18" x14ac:dyDescent="0.15">
      <c r="A333" s="788">
        <v>5501999553</v>
      </c>
      <c r="B333" t="s">
        <v>2232</v>
      </c>
      <c r="C333" s="884">
        <v>46022</v>
      </c>
      <c r="D333" s="884">
        <v>46024</v>
      </c>
      <c r="E333" t="s">
        <v>314</v>
      </c>
      <c r="F333" t="s">
        <v>315</v>
      </c>
      <c r="H333" t="s">
        <v>1782</v>
      </c>
      <c r="I333" s="885">
        <v>46021.522858796299</v>
      </c>
      <c r="L333" t="s">
        <v>274</v>
      </c>
      <c r="M333" t="s">
        <v>279</v>
      </c>
      <c r="N333" t="s">
        <v>2233</v>
      </c>
      <c r="O333" t="s">
        <v>730</v>
      </c>
      <c r="P333" s="885">
        <v>46021.524571759262</v>
      </c>
      <c r="Q333" t="s">
        <v>268</v>
      </c>
      <c r="R333" t="s">
        <v>269</v>
      </c>
    </row>
    <row r="334" spans="1:18" x14ac:dyDescent="0.15">
      <c r="A334" s="788">
        <v>6444151301</v>
      </c>
      <c r="B334" t="s">
        <v>2250</v>
      </c>
      <c r="C334" s="884">
        <v>46068</v>
      </c>
      <c r="D334" s="884">
        <v>46070</v>
      </c>
      <c r="E334" t="s">
        <v>314</v>
      </c>
      <c r="F334" t="s">
        <v>315</v>
      </c>
      <c r="H334" t="s">
        <v>1746</v>
      </c>
      <c r="I334" s="885">
        <v>46023.571620370371</v>
      </c>
      <c r="L334" t="s">
        <v>274</v>
      </c>
      <c r="M334" t="s">
        <v>265</v>
      </c>
      <c r="N334" t="s">
        <v>2251</v>
      </c>
      <c r="O334" t="s">
        <v>267</v>
      </c>
      <c r="P334" s="885">
        <v>46023.57739583333</v>
      </c>
      <c r="Q334" t="s">
        <v>268</v>
      </c>
      <c r="R334" t="s">
        <v>269</v>
      </c>
    </row>
    <row r="335" spans="1:18" x14ac:dyDescent="0.15">
      <c r="A335" s="788">
        <v>5671762734</v>
      </c>
      <c r="B335" t="s">
        <v>2253</v>
      </c>
      <c r="C335" s="884">
        <v>46061</v>
      </c>
      <c r="D335" s="884">
        <v>46064</v>
      </c>
      <c r="E335" t="s">
        <v>314</v>
      </c>
      <c r="F335" t="s">
        <v>315</v>
      </c>
      <c r="H335" t="s">
        <v>1960</v>
      </c>
      <c r="I335" s="885">
        <v>46023.712627314817</v>
      </c>
      <c r="L335" t="s">
        <v>274</v>
      </c>
      <c r="M335" t="s">
        <v>265</v>
      </c>
      <c r="N335" t="s">
        <v>1321</v>
      </c>
      <c r="O335" t="s">
        <v>267</v>
      </c>
      <c r="P335" s="885">
        <v>46023.714930555558</v>
      </c>
      <c r="Q335" t="s">
        <v>268</v>
      </c>
      <c r="R335" t="s">
        <v>269</v>
      </c>
    </row>
    <row r="336" spans="1:18" x14ac:dyDescent="0.15">
      <c r="A336" s="788">
        <v>6772147534</v>
      </c>
      <c r="B336" t="s">
        <v>2254</v>
      </c>
      <c r="C336" s="884">
        <v>46038</v>
      </c>
      <c r="D336" s="884">
        <v>46039</v>
      </c>
      <c r="E336" t="s">
        <v>314</v>
      </c>
      <c r="F336" t="s">
        <v>315</v>
      </c>
      <c r="H336" t="s">
        <v>1847</v>
      </c>
      <c r="I336" s="885">
        <v>46023.838946759257</v>
      </c>
      <c r="L336" t="s">
        <v>274</v>
      </c>
      <c r="M336" t="s">
        <v>265</v>
      </c>
      <c r="N336" t="s">
        <v>2255</v>
      </c>
      <c r="O336" t="s">
        <v>267</v>
      </c>
      <c r="P336" s="885">
        <v>46023.843564814815</v>
      </c>
      <c r="Q336" t="s">
        <v>268</v>
      </c>
      <c r="R336" t="s">
        <v>269</v>
      </c>
    </row>
    <row r="337" spans="1:18" x14ac:dyDescent="0.15">
      <c r="A337" s="788">
        <v>6949313075</v>
      </c>
      <c r="B337" t="s">
        <v>2256</v>
      </c>
      <c r="C337" s="884">
        <v>46095</v>
      </c>
      <c r="D337" s="884">
        <v>46096</v>
      </c>
      <c r="E337" t="s">
        <v>314</v>
      </c>
      <c r="F337" t="s">
        <v>315</v>
      </c>
      <c r="H337" t="s">
        <v>1929</v>
      </c>
      <c r="I337" s="885">
        <v>46023.962210648147</v>
      </c>
      <c r="L337" t="s">
        <v>274</v>
      </c>
      <c r="M337" t="s">
        <v>265</v>
      </c>
      <c r="N337" t="s">
        <v>2257</v>
      </c>
      <c r="O337" t="s">
        <v>267</v>
      </c>
      <c r="P337" s="885">
        <v>46023.964490740742</v>
      </c>
      <c r="Q337" t="s">
        <v>268</v>
      </c>
      <c r="R337" t="s">
        <v>269</v>
      </c>
    </row>
    <row r="338" spans="1:18" x14ac:dyDescent="0.15">
      <c r="A338" s="788">
        <v>5299059842</v>
      </c>
      <c r="B338" t="s">
        <v>2258</v>
      </c>
      <c r="C338" s="884">
        <v>46115</v>
      </c>
      <c r="D338" s="884">
        <v>46116</v>
      </c>
      <c r="E338" t="s">
        <v>314</v>
      </c>
      <c r="F338" t="s">
        <v>315</v>
      </c>
      <c r="H338" t="s">
        <v>2259</v>
      </c>
    </row>
    <row r="339" spans="1:18" x14ac:dyDescent="0.15">
      <c r="A339" s="788">
        <v>6101849183</v>
      </c>
      <c r="B339" t="s">
        <v>2271</v>
      </c>
      <c r="C339" s="884">
        <v>46084</v>
      </c>
      <c r="D339" s="884">
        <v>46085</v>
      </c>
      <c r="E339" t="s">
        <v>314</v>
      </c>
      <c r="F339" t="s">
        <v>315</v>
      </c>
      <c r="H339" t="s">
        <v>1960</v>
      </c>
      <c r="I339" s="885">
        <v>46025.584930555553</v>
      </c>
      <c r="L339" t="s">
        <v>274</v>
      </c>
      <c r="M339" t="s">
        <v>265</v>
      </c>
      <c r="N339" t="s">
        <v>2235</v>
      </c>
      <c r="O339" t="s">
        <v>267</v>
      </c>
      <c r="P339" s="885">
        <v>46025.589745370373</v>
      </c>
      <c r="Q339" t="s">
        <v>268</v>
      </c>
      <c r="R339" t="s">
        <v>269</v>
      </c>
    </row>
    <row r="340" spans="1:18" x14ac:dyDescent="0.15">
      <c r="A340" s="788">
        <v>5994388736</v>
      </c>
      <c r="B340" t="s">
        <v>2272</v>
      </c>
      <c r="C340" s="884">
        <v>46059</v>
      </c>
      <c r="D340" s="884">
        <v>46063</v>
      </c>
      <c r="E340" t="s">
        <v>314</v>
      </c>
      <c r="F340" t="s">
        <v>315</v>
      </c>
      <c r="H340" t="s">
        <v>1776</v>
      </c>
      <c r="I340" s="885">
        <v>46025.595555555556</v>
      </c>
      <c r="L340" t="s">
        <v>274</v>
      </c>
      <c r="M340" t="s">
        <v>265</v>
      </c>
      <c r="N340" t="s">
        <v>2273</v>
      </c>
      <c r="O340" t="s">
        <v>267</v>
      </c>
      <c r="P340" s="885">
        <v>46025.600266203706</v>
      </c>
      <c r="Q340" t="s">
        <v>268</v>
      </c>
      <c r="R340" t="s">
        <v>269</v>
      </c>
    </row>
    <row r="341" spans="1:18" x14ac:dyDescent="0.15">
      <c r="A341" s="788">
        <v>5317931645</v>
      </c>
      <c r="B341" t="s">
        <v>2285</v>
      </c>
      <c r="C341" s="884">
        <v>46415</v>
      </c>
      <c r="D341" s="884">
        <v>46417</v>
      </c>
      <c r="E341" t="s">
        <v>314</v>
      </c>
      <c r="F341" t="s">
        <v>315</v>
      </c>
      <c r="H341" t="s">
        <v>1843</v>
      </c>
      <c r="I341" s="885">
        <v>46026.454965277779</v>
      </c>
      <c r="K341" s="885">
        <v>46030.781990740739</v>
      </c>
      <c r="L341" t="s">
        <v>264</v>
      </c>
      <c r="M341" t="s">
        <v>265</v>
      </c>
      <c r="N341" t="s">
        <v>2286</v>
      </c>
      <c r="O341" t="s">
        <v>267</v>
      </c>
      <c r="P341" s="885">
        <v>46030.78502314815</v>
      </c>
      <c r="Q341" t="s">
        <v>268</v>
      </c>
      <c r="R341" t="s">
        <v>269</v>
      </c>
    </row>
    <row r="342" spans="1:18" x14ac:dyDescent="0.15">
      <c r="A342" s="788">
        <v>6198167231</v>
      </c>
      <c r="B342" t="s">
        <v>2299</v>
      </c>
      <c r="C342" s="884">
        <v>46086</v>
      </c>
      <c r="D342" s="884">
        <v>46088</v>
      </c>
      <c r="E342" t="s">
        <v>314</v>
      </c>
      <c r="F342" t="s">
        <v>315</v>
      </c>
      <c r="H342" t="s">
        <v>1739</v>
      </c>
      <c r="I342" s="885">
        <v>46026.953761574077</v>
      </c>
      <c r="L342" t="s">
        <v>274</v>
      </c>
      <c r="M342" s="884">
        <v>36527</v>
      </c>
      <c r="N342" t="s">
        <v>2300</v>
      </c>
      <c r="O342" t="s">
        <v>267</v>
      </c>
      <c r="P342" s="885">
        <v>46026.958958333336</v>
      </c>
      <c r="Q342" t="s">
        <v>268</v>
      </c>
      <c r="R342" t="s">
        <v>269</v>
      </c>
    </row>
    <row r="343" spans="1:18" x14ac:dyDescent="0.15">
      <c r="A343" s="788">
        <v>6351784404</v>
      </c>
      <c r="B343" t="s">
        <v>2303</v>
      </c>
      <c r="C343" s="884">
        <v>46326</v>
      </c>
      <c r="D343" s="884">
        <v>46328</v>
      </c>
      <c r="E343" t="s">
        <v>314</v>
      </c>
      <c r="F343" t="s">
        <v>315</v>
      </c>
      <c r="H343" t="s">
        <v>732</v>
      </c>
      <c r="I343" s="885">
        <v>46027.693182870367</v>
      </c>
      <c r="L343" t="s">
        <v>274</v>
      </c>
      <c r="M343" t="s">
        <v>265</v>
      </c>
      <c r="N343" t="s">
        <v>2304</v>
      </c>
      <c r="O343" t="s">
        <v>267</v>
      </c>
      <c r="P343" s="885">
        <v>46027.698611111111</v>
      </c>
      <c r="Q343" t="s">
        <v>268</v>
      </c>
      <c r="R343" t="s">
        <v>269</v>
      </c>
    </row>
    <row r="344" spans="1:18" x14ac:dyDescent="0.15">
      <c r="A344" s="788">
        <v>5689420451</v>
      </c>
      <c r="B344" t="s">
        <v>2305</v>
      </c>
      <c r="C344" s="884">
        <v>46059</v>
      </c>
      <c r="D344" s="884">
        <v>46060</v>
      </c>
      <c r="E344" t="s">
        <v>314</v>
      </c>
      <c r="F344" t="s">
        <v>315</v>
      </c>
      <c r="H344" t="s">
        <v>1746</v>
      </c>
      <c r="I344" s="885">
        <v>46027.8749537037</v>
      </c>
      <c r="L344" t="s">
        <v>274</v>
      </c>
      <c r="M344" t="s">
        <v>265</v>
      </c>
      <c r="N344" t="s">
        <v>1350</v>
      </c>
      <c r="O344" t="s">
        <v>267</v>
      </c>
      <c r="P344" s="885">
        <v>46027.88003472222</v>
      </c>
      <c r="Q344" t="s">
        <v>268</v>
      </c>
      <c r="R344" t="s">
        <v>269</v>
      </c>
    </row>
    <row r="345" spans="1:18" x14ac:dyDescent="0.15">
      <c r="A345" s="788">
        <v>6173697940</v>
      </c>
      <c r="B345" t="s">
        <v>2306</v>
      </c>
      <c r="C345" s="884">
        <v>46028</v>
      </c>
      <c r="D345" s="884">
        <v>46030</v>
      </c>
      <c r="E345" t="s">
        <v>314</v>
      </c>
      <c r="F345" t="s">
        <v>315</v>
      </c>
      <c r="H345" t="s">
        <v>2307</v>
      </c>
      <c r="I345" s="885">
        <v>46028.350914351853</v>
      </c>
      <c r="L345" t="s">
        <v>274</v>
      </c>
      <c r="M345" t="s">
        <v>265</v>
      </c>
      <c r="N345" t="s">
        <v>2308</v>
      </c>
      <c r="O345" t="s">
        <v>267</v>
      </c>
      <c r="P345" s="885">
        <v>46028.355393518519</v>
      </c>
      <c r="Q345" t="s">
        <v>268</v>
      </c>
      <c r="R345" t="s">
        <v>269</v>
      </c>
    </row>
    <row r="346" spans="1:18" x14ac:dyDescent="0.15">
      <c r="A346" s="788">
        <v>6652630218</v>
      </c>
      <c r="B346" t="s">
        <v>2309</v>
      </c>
      <c r="C346" s="884">
        <v>46030</v>
      </c>
      <c r="D346" s="884">
        <v>46032</v>
      </c>
      <c r="E346" t="s">
        <v>314</v>
      </c>
      <c r="F346" t="s">
        <v>315</v>
      </c>
      <c r="H346" t="s">
        <v>1782</v>
      </c>
      <c r="I346" s="885">
        <v>46028.562534722223</v>
      </c>
      <c r="L346" t="s">
        <v>274</v>
      </c>
      <c r="M346" t="s">
        <v>265</v>
      </c>
      <c r="N346" t="s">
        <v>2310</v>
      </c>
      <c r="O346" t="s">
        <v>267</v>
      </c>
      <c r="P346" s="885">
        <v>46028.566261574073</v>
      </c>
      <c r="Q346" t="s">
        <v>268</v>
      </c>
      <c r="R346" t="s">
        <v>269</v>
      </c>
    </row>
    <row r="347" spans="1:18" x14ac:dyDescent="0.15">
      <c r="A347" s="788">
        <v>5980142470</v>
      </c>
      <c r="B347" t="s">
        <v>2311</v>
      </c>
      <c r="C347" s="884">
        <v>46035</v>
      </c>
      <c r="D347" s="884">
        <v>46037</v>
      </c>
      <c r="E347" t="s">
        <v>314</v>
      </c>
      <c r="F347" t="s">
        <v>315</v>
      </c>
      <c r="H347" t="s">
        <v>2307</v>
      </c>
      <c r="I347" s="885">
        <v>46028.614791666667</v>
      </c>
      <c r="L347" t="s">
        <v>274</v>
      </c>
      <c r="M347" t="s">
        <v>265</v>
      </c>
      <c r="N347" t="s">
        <v>1292</v>
      </c>
      <c r="O347" t="s">
        <v>267</v>
      </c>
      <c r="P347" s="885">
        <v>46028.619814814818</v>
      </c>
      <c r="Q347" t="s">
        <v>268</v>
      </c>
      <c r="R347" t="s">
        <v>269</v>
      </c>
    </row>
    <row r="348" spans="1:18" x14ac:dyDescent="0.15">
      <c r="A348" s="788">
        <v>6610693171</v>
      </c>
      <c r="B348" t="s">
        <v>2314</v>
      </c>
      <c r="C348" s="884">
        <v>46145</v>
      </c>
      <c r="D348" s="884">
        <v>46146</v>
      </c>
      <c r="E348" t="s">
        <v>314</v>
      </c>
      <c r="F348" t="s">
        <v>315</v>
      </c>
      <c r="H348" t="s">
        <v>1929</v>
      </c>
      <c r="I348" s="885">
        <v>46028.961226851854</v>
      </c>
      <c r="L348" t="s">
        <v>274</v>
      </c>
      <c r="M348" t="s">
        <v>279</v>
      </c>
      <c r="N348" t="s">
        <v>2315</v>
      </c>
      <c r="O348" t="s">
        <v>267</v>
      </c>
      <c r="P348" s="885">
        <v>46028.965405092589</v>
      </c>
      <c r="Q348" t="s">
        <v>268</v>
      </c>
      <c r="R348" t="s">
        <v>269</v>
      </c>
    </row>
    <row r="349" spans="1:18" x14ac:dyDescent="0.15">
      <c r="A349" s="788">
        <v>5305828395</v>
      </c>
      <c r="B349" t="s">
        <v>2318</v>
      </c>
      <c r="C349" s="884">
        <v>46101</v>
      </c>
      <c r="D349" s="884">
        <v>46104</v>
      </c>
      <c r="E349" t="s">
        <v>314</v>
      </c>
      <c r="F349" t="s">
        <v>315</v>
      </c>
      <c r="H349" t="s">
        <v>1960</v>
      </c>
      <c r="I349" s="885">
        <v>46029.495717592596</v>
      </c>
      <c r="J349" s="885">
        <v>46036.613715277781</v>
      </c>
      <c r="K349" s="885">
        <v>46094.349895833337</v>
      </c>
      <c r="L349" t="s">
        <v>264</v>
      </c>
      <c r="M349" t="s">
        <v>265</v>
      </c>
      <c r="N349" t="s">
        <v>2319</v>
      </c>
      <c r="O349" t="s">
        <v>730</v>
      </c>
      <c r="P349" s="885">
        <v>46094.35565972222</v>
      </c>
      <c r="Q349" t="s">
        <v>268</v>
      </c>
      <c r="R349" t="s">
        <v>269</v>
      </c>
    </row>
    <row r="350" spans="1:18" x14ac:dyDescent="0.15">
      <c r="A350" s="788">
        <v>6015130913</v>
      </c>
      <c r="B350" t="s">
        <v>2330</v>
      </c>
      <c r="C350" s="884">
        <v>46061</v>
      </c>
      <c r="D350" s="884">
        <v>46063</v>
      </c>
      <c r="E350" t="s">
        <v>314</v>
      </c>
      <c r="F350" t="s">
        <v>315</v>
      </c>
      <c r="H350" t="s">
        <v>1746</v>
      </c>
      <c r="I350" s="885">
        <v>46029.545844907407</v>
      </c>
      <c r="L350" t="s">
        <v>274</v>
      </c>
      <c r="M350" t="s">
        <v>265</v>
      </c>
      <c r="N350" t="s">
        <v>1242</v>
      </c>
      <c r="O350" t="s">
        <v>267</v>
      </c>
      <c r="P350" s="885">
        <v>46029.550208333334</v>
      </c>
      <c r="Q350" t="s">
        <v>268</v>
      </c>
      <c r="R350" t="s">
        <v>269</v>
      </c>
    </row>
    <row r="351" spans="1:18" x14ac:dyDescent="0.15">
      <c r="A351" s="788">
        <v>5153599866</v>
      </c>
      <c r="B351" t="s">
        <v>1535</v>
      </c>
      <c r="C351" s="884">
        <v>46083</v>
      </c>
      <c r="D351" s="884">
        <v>46087</v>
      </c>
      <c r="E351" t="s">
        <v>314</v>
      </c>
      <c r="F351" t="s">
        <v>315</v>
      </c>
      <c r="H351" t="s">
        <v>2336</v>
      </c>
    </row>
    <row r="352" spans="1:18" x14ac:dyDescent="0.15">
      <c r="A352" s="788">
        <v>6979686800</v>
      </c>
      <c r="B352" t="s">
        <v>2341</v>
      </c>
      <c r="C352" s="884">
        <v>46034</v>
      </c>
      <c r="D352" s="884">
        <v>46035</v>
      </c>
      <c r="E352" t="s">
        <v>314</v>
      </c>
      <c r="F352" t="s">
        <v>315</v>
      </c>
      <c r="H352" t="s">
        <v>1929</v>
      </c>
      <c r="I352" s="885">
        <v>46030.804675925923</v>
      </c>
      <c r="L352" t="s">
        <v>274</v>
      </c>
      <c r="M352" t="s">
        <v>265</v>
      </c>
      <c r="N352" t="s">
        <v>2105</v>
      </c>
      <c r="O352" t="s">
        <v>267</v>
      </c>
      <c r="P352" s="885">
        <v>46030.807592592595</v>
      </c>
      <c r="Q352" t="s">
        <v>268</v>
      </c>
      <c r="R352" t="s">
        <v>269</v>
      </c>
    </row>
    <row r="353" spans="1:18" x14ac:dyDescent="0.15">
      <c r="A353" s="788">
        <v>6949038403</v>
      </c>
      <c r="B353" t="s">
        <v>2342</v>
      </c>
      <c r="C353" s="884">
        <v>46101</v>
      </c>
      <c r="D353" s="884">
        <v>46104</v>
      </c>
      <c r="E353" t="s">
        <v>314</v>
      </c>
      <c r="F353" t="s">
        <v>315</v>
      </c>
      <c r="H353" t="s">
        <v>2069</v>
      </c>
      <c r="I353" s="885">
        <v>46030.984363425923</v>
      </c>
      <c r="K353" s="885">
        <v>46066.542858796296</v>
      </c>
      <c r="L353" t="s">
        <v>264</v>
      </c>
      <c r="M353" s="884">
        <v>36558</v>
      </c>
      <c r="N353" t="s">
        <v>2343</v>
      </c>
      <c r="O353" t="s">
        <v>267</v>
      </c>
      <c r="P353" s="885">
        <v>46066.547569444447</v>
      </c>
      <c r="Q353" t="s">
        <v>268</v>
      </c>
      <c r="R353" t="s">
        <v>269</v>
      </c>
    </row>
    <row r="354" spans="1:18" x14ac:dyDescent="0.15">
      <c r="A354" s="788">
        <v>6979662214</v>
      </c>
      <c r="B354" t="s">
        <v>2346</v>
      </c>
      <c r="C354" s="884">
        <v>46105</v>
      </c>
      <c r="D354" s="884">
        <v>46108</v>
      </c>
      <c r="E354" t="s">
        <v>314</v>
      </c>
      <c r="F354" t="s">
        <v>315</v>
      </c>
      <c r="H354" t="s">
        <v>1847</v>
      </c>
      <c r="I354" s="885">
        <v>46031.53875</v>
      </c>
      <c r="K354" s="885">
        <v>46070.64949074074</v>
      </c>
      <c r="L354" t="s">
        <v>264</v>
      </c>
      <c r="M354" t="s">
        <v>279</v>
      </c>
      <c r="N354" t="s">
        <v>2347</v>
      </c>
      <c r="O354" t="s">
        <v>267</v>
      </c>
      <c r="P354" s="885">
        <v>46070.653391203705</v>
      </c>
      <c r="Q354" t="s">
        <v>268</v>
      </c>
      <c r="R354" t="s">
        <v>269</v>
      </c>
    </row>
    <row r="355" spans="1:18" x14ac:dyDescent="0.15">
      <c r="A355" s="788">
        <v>6880531432</v>
      </c>
      <c r="B355" t="s">
        <v>2348</v>
      </c>
      <c r="C355" s="884">
        <v>46034</v>
      </c>
      <c r="D355" s="884">
        <v>46036</v>
      </c>
      <c r="E355" t="s">
        <v>314</v>
      </c>
      <c r="F355" t="s">
        <v>315</v>
      </c>
      <c r="H355" t="s">
        <v>1782</v>
      </c>
      <c r="I355" s="885">
        <v>46031.741655092592</v>
      </c>
      <c r="L355" t="s">
        <v>274</v>
      </c>
      <c r="M355" t="s">
        <v>265</v>
      </c>
      <c r="N355" t="s">
        <v>2349</v>
      </c>
      <c r="O355" t="s">
        <v>267</v>
      </c>
      <c r="P355" s="885">
        <v>46031.744664351849</v>
      </c>
      <c r="Q355" t="s">
        <v>268</v>
      </c>
      <c r="R355" t="s">
        <v>269</v>
      </c>
    </row>
    <row r="356" spans="1:18" x14ac:dyDescent="0.15">
      <c r="A356" s="788">
        <v>5769228639</v>
      </c>
      <c r="B356" t="s">
        <v>2350</v>
      </c>
      <c r="C356" s="884">
        <v>46056</v>
      </c>
      <c r="D356" s="884">
        <v>46058</v>
      </c>
      <c r="E356" t="s">
        <v>314</v>
      </c>
      <c r="F356" t="s">
        <v>315</v>
      </c>
      <c r="H356" t="s">
        <v>2022</v>
      </c>
      <c r="I356" s="885">
        <v>46031.819085648145</v>
      </c>
      <c r="L356" t="s">
        <v>274</v>
      </c>
      <c r="M356" t="s">
        <v>265</v>
      </c>
      <c r="N356" t="s">
        <v>1422</v>
      </c>
      <c r="O356" t="s">
        <v>267</v>
      </c>
      <c r="P356" s="885">
        <v>46031.823981481481</v>
      </c>
      <c r="Q356" t="s">
        <v>268</v>
      </c>
      <c r="R356" t="s">
        <v>269</v>
      </c>
    </row>
    <row r="357" spans="1:18" x14ac:dyDescent="0.15">
      <c r="A357" s="788">
        <v>5016491849</v>
      </c>
      <c r="B357" t="s">
        <v>2354</v>
      </c>
      <c r="C357" s="884">
        <v>46106</v>
      </c>
      <c r="D357" s="884">
        <v>46109</v>
      </c>
      <c r="E357" t="s">
        <v>314</v>
      </c>
      <c r="F357" t="s">
        <v>315</v>
      </c>
      <c r="H357" t="s">
        <v>1746</v>
      </c>
      <c r="I357" s="885">
        <v>46031.973692129628</v>
      </c>
      <c r="L357" t="s">
        <v>274</v>
      </c>
      <c r="M357" t="s">
        <v>265</v>
      </c>
      <c r="N357" t="s">
        <v>2355</v>
      </c>
      <c r="O357" t="s">
        <v>267</v>
      </c>
      <c r="P357" s="885">
        <v>46031.978009259263</v>
      </c>
      <c r="Q357" t="s">
        <v>268</v>
      </c>
      <c r="R357" t="s">
        <v>269</v>
      </c>
    </row>
    <row r="358" spans="1:18" x14ac:dyDescent="0.15">
      <c r="A358" s="788">
        <v>6934227283</v>
      </c>
      <c r="B358" t="s">
        <v>2356</v>
      </c>
      <c r="C358" s="884">
        <v>46129</v>
      </c>
      <c r="D358" s="884">
        <v>46130</v>
      </c>
      <c r="E358" t="s">
        <v>314</v>
      </c>
      <c r="F358" t="s">
        <v>315</v>
      </c>
      <c r="H358" t="s">
        <v>2357</v>
      </c>
      <c r="I358" s="885">
        <v>46032.536724537036</v>
      </c>
      <c r="K358" s="885">
        <v>46034.953159722223</v>
      </c>
      <c r="L358" t="s">
        <v>264</v>
      </c>
      <c r="M358" t="s">
        <v>265</v>
      </c>
      <c r="N358" t="s">
        <v>2358</v>
      </c>
      <c r="O358" t="s">
        <v>267</v>
      </c>
      <c r="P358" s="885">
        <v>46034.95821759259</v>
      </c>
      <c r="Q358" t="s">
        <v>268</v>
      </c>
      <c r="R358" t="s">
        <v>269</v>
      </c>
    </row>
    <row r="359" spans="1:18" x14ac:dyDescent="0.15">
      <c r="A359" s="788">
        <v>6652856677</v>
      </c>
      <c r="B359" t="s">
        <v>2359</v>
      </c>
      <c r="C359" s="884">
        <v>46096</v>
      </c>
      <c r="D359" s="884">
        <v>46099</v>
      </c>
      <c r="E359" t="s">
        <v>314</v>
      </c>
      <c r="F359" t="s">
        <v>315</v>
      </c>
      <c r="H359" t="s">
        <v>1739</v>
      </c>
      <c r="I359" s="885">
        <v>46032.963634259257</v>
      </c>
      <c r="L359" t="s">
        <v>274</v>
      </c>
      <c r="M359" s="884">
        <v>36558</v>
      </c>
      <c r="N359" t="s">
        <v>2360</v>
      </c>
      <c r="O359" t="s">
        <v>267</v>
      </c>
      <c r="P359" s="885">
        <v>46032.969247685185</v>
      </c>
      <c r="Q359" t="s">
        <v>268</v>
      </c>
      <c r="R359" t="s">
        <v>269</v>
      </c>
    </row>
    <row r="360" spans="1:18" x14ac:dyDescent="0.15">
      <c r="A360" s="788">
        <v>5127429335</v>
      </c>
      <c r="B360" t="s">
        <v>2368</v>
      </c>
      <c r="C360" s="884">
        <v>46076</v>
      </c>
      <c r="D360" s="884">
        <v>46077</v>
      </c>
      <c r="E360" t="s">
        <v>314</v>
      </c>
      <c r="F360" t="s">
        <v>315</v>
      </c>
      <c r="H360" t="s">
        <v>2369</v>
      </c>
      <c r="I360" s="885">
        <v>46033.545219907406</v>
      </c>
      <c r="L360" t="s">
        <v>274</v>
      </c>
      <c r="M360" t="s">
        <v>265</v>
      </c>
      <c r="N360" t="s">
        <v>1204</v>
      </c>
      <c r="O360" t="s">
        <v>267</v>
      </c>
      <c r="P360" s="885">
        <v>46033.549629629626</v>
      </c>
      <c r="Q360" t="s">
        <v>268</v>
      </c>
      <c r="R360" t="s">
        <v>269</v>
      </c>
    </row>
    <row r="361" spans="1:18" x14ac:dyDescent="0.15">
      <c r="A361" s="788">
        <v>5127423436</v>
      </c>
      <c r="B361" t="s">
        <v>2374</v>
      </c>
      <c r="C361" s="884">
        <v>46034</v>
      </c>
      <c r="D361" s="884">
        <v>46035</v>
      </c>
      <c r="E361" t="s">
        <v>314</v>
      </c>
      <c r="F361" t="s">
        <v>315</v>
      </c>
      <c r="H361" t="s">
        <v>2375</v>
      </c>
      <c r="I361" s="885">
        <v>46033.846435185187</v>
      </c>
      <c r="L361" t="s">
        <v>274</v>
      </c>
      <c r="M361" t="s">
        <v>265</v>
      </c>
      <c r="N361" t="s">
        <v>2376</v>
      </c>
      <c r="O361" t="s">
        <v>267</v>
      </c>
      <c r="P361" s="885">
        <v>46033.849490740744</v>
      </c>
      <c r="Q361" t="s">
        <v>268</v>
      </c>
      <c r="R361" t="s">
        <v>269</v>
      </c>
    </row>
    <row r="362" spans="1:18" x14ac:dyDescent="0.15">
      <c r="A362" s="788">
        <v>5752635625</v>
      </c>
      <c r="B362" t="s">
        <v>2378</v>
      </c>
      <c r="C362" s="884">
        <v>46349</v>
      </c>
      <c r="D362" s="884">
        <v>46355</v>
      </c>
      <c r="E362" t="s">
        <v>314</v>
      </c>
      <c r="F362" t="s">
        <v>315</v>
      </c>
      <c r="H362" t="s">
        <v>2379</v>
      </c>
      <c r="I362" s="885">
        <v>46034.607407407406</v>
      </c>
      <c r="L362" t="s">
        <v>274</v>
      </c>
      <c r="M362" t="s">
        <v>265</v>
      </c>
      <c r="N362" t="s">
        <v>2380</v>
      </c>
      <c r="O362" t="s">
        <v>267</v>
      </c>
      <c r="P362" s="885">
        <v>46034.609664351854</v>
      </c>
      <c r="Q362" t="s">
        <v>268</v>
      </c>
      <c r="R362" t="s">
        <v>269</v>
      </c>
    </row>
    <row r="363" spans="1:18" x14ac:dyDescent="0.15">
      <c r="A363" s="788">
        <v>6782421561</v>
      </c>
      <c r="B363" t="s">
        <v>2356</v>
      </c>
      <c r="C363" s="884">
        <v>46130</v>
      </c>
      <c r="D363" s="884">
        <v>46132</v>
      </c>
      <c r="E363" t="s">
        <v>314</v>
      </c>
      <c r="F363" t="s">
        <v>315</v>
      </c>
      <c r="H363" t="s">
        <v>2357</v>
      </c>
      <c r="I363" s="885">
        <v>46034.956342592595</v>
      </c>
      <c r="K363" s="885">
        <v>46094.006724537037</v>
      </c>
      <c r="L363" t="s">
        <v>264</v>
      </c>
      <c r="M363" t="s">
        <v>265</v>
      </c>
      <c r="N363" t="s">
        <v>2383</v>
      </c>
      <c r="O363" t="s">
        <v>267</v>
      </c>
      <c r="P363" s="885">
        <v>46094.010740740741</v>
      </c>
      <c r="Q363" t="s">
        <v>268</v>
      </c>
      <c r="R363" t="s">
        <v>269</v>
      </c>
    </row>
    <row r="364" spans="1:18" x14ac:dyDescent="0.15">
      <c r="A364" s="788">
        <v>5530561228</v>
      </c>
      <c r="B364" t="s">
        <v>2384</v>
      </c>
      <c r="C364" s="884">
        <v>46374</v>
      </c>
      <c r="D364" s="884">
        <v>46375</v>
      </c>
      <c r="E364" t="s">
        <v>314</v>
      </c>
      <c r="F364" t="s">
        <v>315</v>
      </c>
      <c r="H364" t="s">
        <v>732</v>
      </c>
      <c r="I364" s="885">
        <v>46034.963356481479</v>
      </c>
      <c r="K364" s="885">
        <v>46056.953657407408</v>
      </c>
      <c r="L364" t="s">
        <v>264</v>
      </c>
      <c r="M364" t="s">
        <v>265</v>
      </c>
      <c r="N364" t="s">
        <v>2385</v>
      </c>
      <c r="O364" t="s">
        <v>267</v>
      </c>
      <c r="P364" s="885">
        <v>46056.958124999997</v>
      </c>
      <c r="Q364" t="s">
        <v>268</v>
      </c>
      <c r="R364" t="s">
        <v>269</v>
      </c>
    </row>
    <row r="365" spans="1:18" x14ac:dyDescent="0.15">
      <c r="A365" s="788">
        <v>6057849465</v>
      </c>
      <c r="B365" t="s">
        <v>2387</v>
      </c>
      <c r="C365" s="884">
        <v>46285</v>
      </c>
      <c r="D365" s="884">
        <v>46286</v>
      </c>
      <c r="E365" t="s">
        <v>314</v>
      </c>
      <c r="F365" t="s">
        <v>315</v>
      </c>
      <c r="H365" t="s">
        <v>1902</v>
      </c>
      <c r="I365" s="885">
        <v>46035.725937499999</v>
      </c>
      <c r="L365" t="s">
        <v>274</v>
      </c>
      <c r="M365" t="s">
        <v>265</v>
      </c>
      <c r="N365" t="s">
        <v>2388</v>
      </c>
      <c r="O365" t="s">
        <v>267</v>
      </c>
      <c r="P365" s="885">
        <v>46035.731412037036</v>
      </c>
      <c r="Q365" t="s">
        <v>268</v>
      </c>
      <c r="R365" t="s">
        <v>269</v>
      </c>
    </row>
    <row r="366" spans="1:18" x14ac:dyDescent="0.15">
      <c r="A366" s="788">
        <v>6445307942</v>
      </c>
      <c r="B366" t="s">
        <v>2389</v>
      </c>
      <c r="C366" s="884">
        <v>46075</v>
      </c>
      <c r="D366" s="884">
        <v>46078</v>
      </c>
      <c r="E366" t="s">
        <v>314</v>
      </c>
      <c r="F366" t="s">
        <v>315</v>
      </c>
      <c r="H366" t="s">
        <v>2390</v>
      </c>
      <c r="I366" s="885">
        <v>46035.818090277775</v>
      </c>
      <c r="J366" s="885">
        <v>46035.822500000002</v>
      </c>
      <c r="K366" s="885">
        <v>46035.832754629628</v>
      </c>
      <c r="L366" t="s">
        <v>264</v>
      </c>
      <c r="M366" t="s">
        <v>265</v>
      </c>
      <c r="N366" t="s">
        <v>2391</v>
      </c>
      <c r="O366" t="s">
        <v>730</v>
      </c>
      <c r="P366" s="885">
        <v>46035.834710648145</v>
      </c>
      <c r="Q366" t="s">
        <v>268</v>
      </c>
      <c r="R366" t="s">
        <v>269</v>
      </c>
    </row>
    <row r="367" spans="1:18" x14ac:dyDescent="0.15">
      <c r="A367" s="788">
        <v>5007769032</v>
      </c>
      <c r="B367" t="s">
        <v>2392</v>
      </c>
      <c r="C367" s="884">
        <v>46075</v>
      </c>
      <c r="D367" s="884">
        <v>46078</v>
      </c>
      <c r="E367" t="s">
        <v>314</v>
      </c>
      <c r="F367" t="s">
        <v>315</v>
      </c>
      <c r="H367" t="s">
        <v>2390</v>
      </c>
      <c r="I367" s="885">
        <v>46035.830706018518</v>
      </c>
      <c r="K367" s="885">
        <v>46036.471365740741</v>
      </c>
      <c r="L367" t="s">
        <v>264</v>
      </c>
      <c r="M367" t="s">
        <v>292</v>
      </c>
      <c r="N367" t="s">
        <v>2393</v>
      </c>
      <c r="O367" t="s">
        <v>267</v>
      </c>
      <c r="P367" s="885">
        <v>46036.475439814814</v>
      </c>
      <c r="Q367" t="s">
        <v>268</v>
      </c>
      <c r="R367" t="s">
        <v>269</v>
      </c>
    </row>
    <row r="368" spans="1:18" x14ac:dyDescent="0.15">
      <c r="A368" s="788">
        <v>5699981196</v>
      </c>
      <c r="B368" t="s">
        <v>2396</v>
      </c>
      <c r="C368" s="884">
        <v>46063</v>
      </c>
      <c r="D368" s="884">
        <v>46065</v>
      </c>
      <c r="E368" t="s">
        <v>314</v>
      </c>
      <c r="F368" t="s">
        <v>315</v>
      </c>
      <c r="H368" t="s">
        <v>1847</v>
      </c>
      <c r="I368" s="885">
        <v>46035.937280092592</v>
      </c>
      <c r="K368" s="885">
        <v>46037.832696759258</v>
      </c>
      <c r="L368" t="s">
        <v>264</v>
      </c>
      <c r="M368" t="s">
        <v>265</v>
      </c>
      <c r="N368" t="s">
        <v>2397</v>
      </c>
      <c r="O368" t="s">
        <v>267</v>
      </c>
      <c r="P368" s="885">
        <v>46037.83630787037</v>
      </c>
      <c r="Q368" t="s">
        <v>268</v>
      </c>
      <c r="R368" t="s">
        <v>269</v>
      </c>
    </row>
    <row r="369" spans="1:18" x14ac:dyDescent="0.15">
      <c r="A369" s="788">
        <v>6560855935</v>
      </c>
      <c r="B369" t="s">
        <v>2401</v>
      </c>
      <c r="C369" s="884">
        <v>46084</v>
      </c>
      <c r="D369" s="884">
        <v>46090</v>
      </c>
      <c r="E369" t="s">
        <v>314</v>
      </c>
      <c r="F369" t="s">
        <v>315</v>
      </c>
      <c r="H369" t="s">
        <v>1746</v>
      </c>
      <c r="I369" s="885">
        <v>46036.489583333336</v>
      </c>
      <c r="L369" t="s">
        <v>274</v>
      </c>
      <c r="M369" t="s">
        <v>265</v>
      </c>
      <c r="N369" t="s">
        <v>2402</v>
      </c>
      <c r="O369" t="s">
        <v>267</v>
      </c>
      <c r="P369" s="885">
        <v>46036.494166666664</v>
      </c>
      <c r="Q369" t="s">
        <v>268</v>
      </c>
      <c r="R369" t="s">
        <v>269</v>
      </c>
    </row>
    <row r="370" spans="1:18" x14ac:dyDescent="0.15">
      <c r="A370" s="788">
        <v>5371323482</v>
      </c>
      <c r="B370" t="s">
        <v>2387</v>
      </c>
      <c r="C370" s="884">
        <v>46285</v>
      </c>
      <c r="D370" s="884">
        <v>46286</v>
      </c>
      <c r="E370" t="s">
        <v>314</v>
      </c>
      <c r="F370" t="s">
        <v>315</v>
      </c>
      <c r="H370" t="s">
        <v>1746</v>
      </c>
      <c r="I370" s="885">
        <v>46036.5466087963</v>
      </c>
      <c r="L370" t="s">
        <v>274</v>
      </c>
      <c r="M370" t="s">
        <v>279</v>
      </c>
      <c r="N370" t="s">
        <v>2403</v>
      </c>
      <c r="O370" t="s">
        <v>267</v>
      </c>
      <c r="P370" s="885">
        <v>46036.552384259259</v>
      </c>
      <c r="Q370" t="s">
        <v>268</v>
      </c>
      <c r="R370" t="s">
        <v>269</v>
      </c>
    </row>
    <row r="371" spans="1:18" x14ac:dyDescent="0.15">
      <c r="A371" s="788">
        <v>5699993551</v>
      </c>
      <c r="B371" t="s">
        <v>768</v>
      </c>
      <c r="C371" s="884">
        <v>46037</v>
      </c>
      <c r="D371" s="884">
        <v>46038</v>
      </c>
      <c r="E371" t="s">
        <v>314</v>
      </c>
      <c r="F371" t="s">
        <v>315</v>
      </c>
      <c r="H371" t="s">
        <v>1963</v>
      </c>
      <c r="I371" s="885">
        <v>46036.568645833337</v>
      </c>
      <c r="L371" t="s">
        <v>274</v>
      </c>
      <c r="M371" s="884">
        <v>36527</v>
      </c>
      <c r="N371" t="s">
        <v>2404</v>
      </c>
      <c r="O371" t="s">
        <v>267</v>
      </c>
      <c r="P371" s="885">
        <v>46036.574525462966</v>
      </c>
      <c r="Q371" t="s">
        <v>268</v>
      </c>
      <c r="R371" t="s">
        <v>269</v>
      </c>
    </row>
    <row r="372" spans="1:18" x14ac:dyDescent="0.15">
      <c r="A372" s="788">
        <v>6091134540</v>
      </c>
      <c r="B372" t="s">
        <v>2405</v>
      </c>
      <c r="C372" s="884">
        <v>46198</v>
      </c>
      <c r="D372" s="884">
        <v>46201</v>
      </c>
      <c r="E372" t="s">
        <v>314</v>
      </c>
      <c r="F372" t="s">
        <v>315</v>
      </c>
      <c r="H372" t="s">
        <v>1758</v>
      </c>
      <c r="I372" s="885">
        <v>46036.627326388887</v>
      </c>
      <c r="K372" s="885">
        <v>46130.606122685182</v>
      </c>
      <c r="L372" t="s">
        <v>264</v>
      </c>
      <c r="M372" t="s">
        <v>265</v>
      </c>
      <c r="N372" t="s">
        <v>2406</v>
      </c>
      <c r="O372" t="s">
        <v>267</v>
      </c>
      <c r="P372" s="885">
        <v>46130.610138888886</v>
      </c>
      <c r="Q372" t="s">
        <v>268</v>
      </c>
      <c r="R372" t="s">
        <v>269</v>
      </c>
    </row>
    <row r="373" spans="1:18" x14ac:dyDescent="0.15">
      <c r="A373" s="788">
        <v>6764552654</v>
      </c>
      <c r="B373" t="s">
        <v>2418</v>
      </c>
      <c r="C373" s="884">
        <v>46231</v>
      </c>
      <c r="D373" s="884">
        <v>46237</v>
      </c>
      <c r="E373" t="s">
        <v>314</v>
      </c>
      <c r="F373" t="s">
        <v>315</v>
      </c>
      <c r="H373" t="s">
        <v>2419</v>
      </c>
      <c r="I373" s="885">
        <v>46037.099212962959</v>
      </c>
      <c r="K373" s="885">
        <v>46075.17114583333</v>
      </c>
      <c r="L373" t="s">
        <v>264</v>
      </c>
      <c r="M373" t="s">
        <v>265</v>
      </c>
      <c r="N373" t="s">
        <v>2420</v>
      </c>
      <c r="O373" t="s">
        <v>267</v>
      </c>
      <c r="P373" s="885">
        <v>46075.173703703702</v>
      </c>
      <c r="Q373" t="s">
        <v>268</v>
      </c>
      <c r="R373" t="s">
        <v>269</v>
      </c>
    </row>
    <row r="374" spans="1:18" x14ac:dyDescent="0.15">
      <c r="A374" s="788">
        <v>6383529241</v>
      </c>
      <c r="B374" t="s">
        <v>2421</v>
      </c>
      <c r="C374" s="884">
        <v>46068</v>
      </c>
      <c r="D374" s="884">
        <v>46070</v>
      </c>
      <c r="E374" t="s">
        <v>314</v>
      </c>
      <c r="F374" t="s">
        <v>315</v>
      </c>
      <c r="H374" t="s">
        <v>2336</v>
      </c>
    </row>
    <row r="375" spans="1:18" x14ac:dyDescent="0.15">
      <c r="A375" s="788">
        <v>5023375126</v>
      </c>
      <c r="B375" t="s">
        <v>2438</v>
      </c>
      <c r="C375" s="884">
        <v>46085</v>
      </c>
      <c r="D375" s="884">
        <v>46087</v>
      </c>
      <c r="E375" t="s">
        <v>314</v>
      </c>
      <c r="F375" t="s">
        <v>315</v>
      </c>
      <c r="H375" t="s">
        <v>2357</v>
      </c>
      <c r="I375" s="885">
        <v>46037.931493055556</v>
      </c>
      <c r="L375" t="s">
        <v>274</v>
      </c>
      <c r="M375" t="s">
        <v>265</v>
      </c>
      <c r="N375" t="s">
        <v>2439</v>
      </c>
      <c r="O375" t="s">
        <v>267</v>
      </c>
      <c r="P375" s="885">
        <v>46037.93644675926</v>
      </c>
      <c r="Q375" t="s">
        <v>268</v>
      </c>
      <c r="R375" t="s">
        <v>269</v>
      </c>
    </row>
    <row r="376" spans="1:18" x14ac:dyDescent="0.15">
      <c r="A376" s="788">
        <v>5888676540</v>
      </c>
      <c r="B376" t="s">
        <v>2447</v>
      </c>
      <c r="C376" s="884">
        <v>46066</v>
      </c>
      <c r="D376" s="884">
        <v>46070</v>
      </c>
      <c r="E376" t="s">
        <v>314</v>
      </c>
      <c r="F376" t="s">
        <v>315</v>
      </c>
      <c r="H376" t="s">
        <v>2069</v>
      </c>
      <c r="I376" s="885">
        <v>46039.618043981478</v>
      </c>
      <c r="L376" t="s">
        <v>274</v>
      </c>
      <c r="M376" t="s">
        <v>265</v>
      </c>
      <c r="N376" t="s">
        <v>2448</v>
      </c>
      <c r="O376" t="s">
        <v>267</v>
      </c>
      <c r="P376" s="885">
        <v>46039.62127314815</v>
      </c>
      <c r="Q376" t="s">
        <v>268</v>
      </c>
      <c r="R376" t="s">
        <v>269</v>
      </c>
    </row>
    <row r="377" spans="1:18" x14ac:dyDescent="0.15">
      <c r="A377" s="788">
        <v>5924046301</v>
      </c>
      <c r="B377" t="s">
        <v>2449</v>
      </c>
      <c r="C377" s="884">
        <v>46039</v>
      </c>
      <c r="D377" s="884">
        <v>46041</v>
      </c>
      <c r="E377" t="s">
        <v>314</v>
      </c>
      <c r="F377" t="s">
        <v>315</v>
      </c>
      <c r="H377" t="s">
        <v>1750</v>
      </c>
      <c r="I377" s="885">
        <v>46039.8440162037</v>
      </c>
      <c r="L377" t="s">
        <v>274</v>
      </c>
      <c r="M377" t="s">
        <v>265</v>
      </c>
      <c r="N377" t="s">
        <v>2310</v>
      </c>
      <c r="O377" t="s">
        <v>267</v>
      </c>
      <c r="P377" s="885">
        <v>46039.847048611111</v>
      </c>
      <c r="Q377" t="s">
        <v>268</v>
      </c>
      <c r="R377" t="s">
        <v>269</v>
      </c>
    </row>
    <row r="378" spans="1:18" x14ac:dyDescent="0.15">
      <c r="A378" s="788">
        <v>6659534587</v>
      </c>
      <c r="B378" t="s">
        <v>2450</v>
      </c>
      <c r="C378" s="884">
        <v>46234</v>
      </c>
      <c r="D378" s="884">
        <v>46236</v>
      </c>
      <c r="E378" t="s">
        <v>314</v>
      </c>
      <c r="F378" t="s">
        <v>315</v>
      </c>
      <c r="H378" t="s">
        <v>1782</v>
      </c>
      <c r="I378" s="885">
        <v>46040.604085648149</v>
      </c>
      <c r="K378" s="885">
        <v>46146.80574074074</v>
      </c>
      <c r="L378" t="s">
        <v>264</v>
      </c>
      <c r="M378" t="s">
        <v>265</v>
      </c>
      <c r="N378" t="s">
        <v>2451</v>
      </c>
      <c r="O378" t="s">
        <v>267</v>
      </c>
      <c r="P378" s="885">
        <v>46146.810532407406</v>
      </c>
      <c r="Q378" t="s">
        <v>268</v>
      </c>
      <c r="R378" t="s">
        <v>269</v>
      </c>
    </row>
    <row r="379" spans="1:18" x14ac:dyDescent="0.15">
      <c r="A379" s="788">
        <v>6269821670</v>
      </c>
      <c r="B379" t="s">
        <v>2452</v>
      </c>
      <c r="C379" s="884">
        <v>46048</v>
      </c>
      <c r="D379" s="884">
        <v>46051</v>
      </c>
      <c r="E379" t="s">
        <v>314</v>
      </c>
      <c r="F379" t="s">
        <v>315</v>
      </c>
      <c r="H379" t="s">
        <v>2212</v>
      </c>
      <c r="I379" s="885">
        <v>46040.703842592593</v>
      </c>
      <c r="L379" t="s">
        <v>274</v>
      </c>
      <c r="M379" t="s">
        <v>265</v>
      </c>
      <c r="N379" t="s">
        <v>2453</v>
      </c>
      <c r="O379" t="s">
        <v>267</v>
      </c>
      <c r="P379" s="885">
        <v>46040.706689814811</v>
      </c>
      <c r="Q379" t="s">
        <v>268</v>
      </c>
      <c r="R379" t="s">
        <v>269</v>
      </c>
    </row>
    <row r="380" spans="1:18" x14ac:dyDescent="0.15">
      <c r="A380" s="788">
        <v>5818615805</v>
      </c>
      <c r="B380" t="s">
        <v>2458</v>
      </c>
      <c r="C380" s="884">
        <v>46060</v>
      </c>
      <c r="D380" s="884">
        <v>46061</v>
      </c>
      <c r="E380" t="s">
        <v>314</v>
      </c>
      <c r="F380" t="s">
        <v>315</v>
      </c>
      <c r="H380" t="s">
        <v>1845</v>
      </c>
      <c r="I380" s="885">
        <v>46041.391018518516</v>
      </c>
      <c r="L380" t="s">
        <v>274</v>
      </c>
      <c r="M380" t="s">
        <v>265</v>
      </c>
      <c r="N380" t="s">
        <v>2404</v>
      </c>
      <c r="O380" t="s">
        <v>267</v>
      </c>
      <c r="P380" s="885">
        <v>46041.395486111112</v>
      </c>
      <c r="Q380" t="s">
        <v>268</v>
      </c>
      <c r="R380" t="s">
        <v>269</v>
      </c>
    </row>
    <row r="381" spans="1:18" x14ac:dyDescent="0.15">
      <c r="A381" s="788">
        <v>6574564236</v>
      </c>
      <c r="B381" t="s">
        <v>2471</v>
      </c>
      <c r="C381" s="884">
        <v>46060</v>
      </c>
      <c r="D381" s="884">
        <v>46061</v>
      </c>
      <c r="E381" t="s">
        <v>314</v>
      </c>
      <c r="F381" t="s">
        <v>315</v>
      </c>
      <c r="H381" t="s">
        <v>1847</v>
      </c>
      <c r="I381" s="885">
        <v>46042.396354166667</v>
      </c>
      <c r="L381" t="s">
        <v>274</v>
      </c>
      <c r="M381" t="s">
        <v>265</v>
      </c>
      <c r="N381" t="s">
        <v>2472</v>
      </c>
      <c r="O381" t="s">
        <v>267</v>
      </c>
      <c r="P381" s="885">
        <v>46042.399618055555</v>
      </c>
      <c r="Q381" t="s">
        <v>268</v>
      </c>
      <c r="R381" t="s">
        <v>269</v>
      </c>
    </row>
    <row r="382" spans="1:18" x14ac:dyDescent="0.15">
      <c r="A382" s="788">
        <v>6768819555</v>
      </c>
      <c r="B382" t="s">
        <v>2473</v>
      </c>
      <c r="C382" s="884">
        <v>46060</v>
      </c>
      <c r="D382" s="884">
        <v>46061</v>
      </c>
      <c r="E382" t="s">
        <v>314</v>
      </c>
      <c r="F382" t="s">
        <v>315</v>
      </c>
      <c r="H382" t="s">
        <v>1077</v>
      </c>
      <c r="I382" s="885">
        <v>46042.473379629628</v>
      </c>
      <c r="L382" t="s">
        <v>274</v>
      </c>
      <c r="M382" t="s">
        <v>265</v>
      </c>
      <c r="N382" t="s">
        <v>2474</v>
      </c>
      <c r="O382" t="s">
        <v>267</v>
      </c>
      <c r="P382" s="885">
        <v>46042.474999999999</v>
      </c>
      <c r="Q382" t="s">
        <v>268</v>
      </c>
      <c r="R382" t="s">
        <v>269</v>
      </c>
    </row>
    <row r="383" spans="1:18" x14ac:dyDescent="0.15">
      <c r="A383" s="788">
        <v>5981470267</v>
      </c>
      <c r="B383" t="s">
        <v>2475</v>
      </c>
      <c r="C383" s="884">
        <v>46047</v>
      </c>
      <c r="D383" s="884">
        <v>46048</v>
      </c>
      <c r="E383" t="s">
        <v>314</v>
      </c>
      <c r="F383" t="s">
        <v>315</v>
      </c>
      <c r="H383" t="s">
        <v>1782</v>
      </c>
      <c r="I383" s="885">
        <v>46042.608541666668</v>
      </c>
      <c r="L383" t="s">
        <v>274</v>
      </c>
      <c r="M383" t="s">
        <v>265</v>
      </c>
      <c r="N383" t="s">
        <v>2476</v>
      </c>
      <c r="O383" t="s">
        <v>267</v>
      </c>
      <c r="P383" s="885">
        <v>46042.613368055558</v>
      </c>
      <c r="Q383" t="s">
        <v>268</v>
      </c>
      <c r="R383" t="s">
        <v>269</v>
      </c>
    </row>
    <row r="384" spans="1:18" x14ac:dyDescent="0.15">
      <c r="A384" s="788">
        <v>5240494985</v>
      </c>
      <c r="B384" t="s">
        <v>2477</v>
      </c>
      <c r="C384" s="884">
        <v>46101</v>
      </c>
      <c r="D384" s="884">
        <v>46102</v>
      </c>
      <c r="E384" t="s">
        <v>314</v>
      </c>
      <c r="F384" t="s">
        <v>315</v>
      </c>
      <c r="H384" t="s">
        <v>2069</v>
      </c>
      <c r="I384" s="885">
        <v>46042.852638888886</v>
      </c>
      <c r="K384" s="885">
        <v>46093.043090277781</v>
      </c>
      <c r="L384" t="s">
        <v>264</v>
      </c>
      <c r="M384" t="s">
        <v>265</v>
      </c>
      <c r="N384" t="s">
        <v>2478</v>
      </c>
      <c r="O384" t="s">
        <v>267</v>
      </c>
      <c r="P384" s="885">
        <v>46093.048726851855</v>
      </c>
      <c r="Q384" t="s">
        <v>268</v>
      </c>
      <c r="R384" t="s">
        <v>269</v>
      </c>
    </row>
    <row r="385" spans="1:18" x14ac:dyDescent="0.15">
      <c r="A385" s="788">
        <v>5728977499</v>
      </c>
      <c r="B385" t="s">
        <v>2479</v>
      </c>
      <c r="C385" s="884">
        <v>46076</v>
      </c>
      <c r="D385" s="884">
        <v>46080</v>
      </c>
      <c r="E385" t="s">
        <v>314</v>
      </c>
      <c r="F385" t="s">
        <v>315</v>
      </c>
      <c r="H385" t="s">
        <v>1843</v>
      </c>
      <c r="I385" s="885">
        <v>46043.182083333333</v>
      </c>
      <c r="L385" t="s">
        <v>274</v>
      </c>
      <c r="M385" t="s">
        <v>265</v>
      </c>
      <c r="N385" t="s">
        <v>2480</v>
      </c>
      <c r="O385" t="s">
        <v>267</v>
      </c>
      <c r="P385" s="885">
        <v>46043.184861111113</v>
      </c>
      <c r="Q385" t="s">
        <v>268</v>
      </c>
      <c r="R385" t="s">
        <v>269</v>
      </c>
    </row>
    <row r="386" spans="1:18" x14ac:dyDescent="0.15">
      <c r="A386" s="788">
        <v>5414205597</v>
      </c>
      <c r="B386" t="s">
        <v>2481</v>
      </c>
      <c r="C386" s="884">
        <v>46050</v>
      </c>
      <c r="D386" s="884">
        <v>46051</v>
      </c>
      <c r="E386" t="s">
        <v>314</v>
      </c>
      <c r="F386" t="s">
        <v>315</v>
      </c>
      <c r="H386" t="s">
        <v>2369</v>
      </c>
      <c r="I386" s="885">
        <v>46043.448136574072</v>
      </c>
      <c r="L386" t="s">
        <v>274</v>
      </c>
      <c r="M386" t="s">
        <v>265</v>
      </c>
      <c r="N386" t="s">
        <v>1204</v>
      </c>
      <c r="O386" t="s">
        <v>267</v>
      </c>
      <c r="P386" s="885">
        <v>46043.453020833331</v>
      </c>
      <c r="Q386" t="s">
        <v>268</v>
      </c>
      <c r="R386" t="s">
        <v>269</v>
      </c>
    </row>
    <row r="387" spans="1:18" x14ac:dyDescent="0.15">
      <c r="A387" s="788">
        <v>5865192967</v>
      </c>
      <c r="B387" t="s">
        <v>2482</v>
      </c>
      <c r="C387" s="884">
        <v>46293</v>
      </c>
      <c r="D387" s="884">
        <v>46295</v>
      </c>
      <c r="E387" t="s">
        <v>314</v>
      </c>
      <c r="F387" t="s">
        <v>315</v>
      </c>
      <c r="H387" t="s">
        <v>1776</v>
      </c>
      <c r="I387" s="885">
        <v>46043.615567129629</v>
      </c>
      <c r="L387" t="s">
        <v>274</v>
      </c>
      <c r="M387" t="s">
        <v>265</v>
      </c>
      <c r="N387" t="s">
        <v>2483</v>
      </c>
      <c r="O387" t="s">
        <v>267</v>
      </c>
      <c r="P387" s="885">
        <v>46043.618414351855</v>
      </c>
      <c r="Q387" t="s">
        <v>268</v>
      </c>
      <c r="R387" t="s">
        <v>269</v>
      </c>
    </row>
    <row r="388" spans="1:18" x14ac:dyDescent="0.15">
      <c r="A388" s="788">
        <v>6899004277</v>
      </c>
      <c r="B388" t="s">
        <v>2484</v>
      </c>
      <c r="C388" s="884">
        <v>46046</v>
      </c>
      <c r="D388" s="884">
        <v>46047</v>
      </c>
      <c r="E388" t="s">
        <v>314</v>
      </c>
      <c r="F388" t="s">
        <v>315</v>
      </c>
      <c r="H388" t="s">
        <v>2069</v>
      </c>
      <c r="I388" s="885">
        <v>46044.354097222225</v>
      </c>
      <c r="J388" s="885">
        <v>46044.43440972222</v>
      </c>
      <c r="L388" t="s">
        <v>720</v>
      </c>
      <c r="M388" t="s">
        <v>265</v>
      </c>
      <c r="N388" t="s">
        <v>1127</v>
      </c>
      <c r="O388" t="s">
        <v>267</v>
      </c>
      <c r="P388" s="885">
        <v>46044.438773148147</v>
      </c>
      <c r="Q388" t="s">
        <v>268</v>
      </c>
      <c r="R388" t="s">
        <v>269</v>
      </c>
    </row>
    <row r="389" spans="1:18" x14ac:dyDescent="0.15">
      <c r="A389" s="788">
        <v>5256125505</v>
      </c>
      <c r="B389" t="s">
        <v>2490</v>
      </c>
      <c r="C389" s="884">
        <v>46057</v>
      </c>
      <c r="D389" s="884">
        <v>46060</v>
      </c>
      <c r="E389" t="s">
        <v>314</v>
      </c>
      <c r="F389" t="s">
        <v>315</v>
      </c>
      <c r="H389" t="s">
        <v>2491</v>
      </c>
    </row>
    <row r="390" spans="1:18" x14ac:dyDescent="0.15">
      <c r="A390" s="788">
        <v>5055393199</v>
      </c>
      <c r="B390" t="s">
        <v>2493</v>
      </c>
      <c r="C390" s="884">
        <v>46351</v>
      </c>
      <c r="D390" s="884">
        <v>46354</v>
      </c>
      <c r="E390" t="s">
        <v>314</v>
      </c>
      <c r="F390" t="s">
        <v>315</v>
      </c>
      <c r="H390" t="s">
        <v>2494</v>
      </c>
      <c r="I390" s="885">
        <v>46044.783634259256</v>
      </c>
      <c r="L390" t="s">
        <v>274</v>
      </c>
      <c r="M390" t="s">
        <v>520</v>
      </c>
      <c r="N390" t="s">
        <v>2495</v>
      </c>
      <c r="O390" t="s">
        <v>267</v>
      </c>
      <c r="P390" s="885">
        <v>46044.787245370368</v>
      </c>
      <c r="Q390" t="s">
        <v>268</v>
      </c>
      <c r="R390" t="s">
        <v>269</v>
      </c>
    </row>
    <row r="391" spans="1:18" x14ac:dyDescent="0.15">
      <c r="A391" s="788">
        <v>5922488616</v>
      </c>
      <c r="B391" t="s">
        <v>2503</v>
      </c>
      <c r="C391" s="884">
        <v>46112</v>
      </c>
      <c r="D391" s="884">
        <v>46113</v>
      </c>
      <c r="E391" t="s">
        <v>314</v>
      </c>
      <c r="F391" t="s">
        <v>315</v>
      </c>
      <c r="H391" t="s">
        <v>732</v>
      </c>
      <c r="I391" s="885">
        <v>46046.642210648148</v>
      </c>
      <c r="L391" t="s">
        <v>274</v>
      </c>
      <c r="M391" t="s">
        <v>265</v>
      </c>
      <c r="N391" t="s">
        <v>2499</v>
      </c>
      <c r="O391" t="s">
        <v>267</v>
      </c>
      <c r="P391" s="885">
        <v>46046.645520833335</v>
      </c>
      <c r="Q391" t="s">
        <v>268</v>
      </c>
      <c r="R391" t="s">
        <v>269</v>
      </c>
    </row>
    <row r="392" spans="1:18" x14ac:dyDescent="0.15">
      <c r="A392" s="788">
        <v>6667449121</v>
      </c>
      <c r="B392" t="s">
        <v>2514</v>
      </c>
      <c r="C392" s="884">
        <v>46046</v>
      </c>
      <c r="D392" s="884">
        <v>46047</v>
      </c>
      <c r="E392" t="s">
        <v>314</v>
      </c>
      <c r="F392" t="s">
        <v>315</v>
      </c>
      <c r="H392" t="s">
        <v>2515</v>
      </c>
      <c r="I392" s="885">
        <v>46046.855787037035</v>
      </c>
      <c r="L392" t="s">
        <v>274</v>
      </c>
      <c r="M392" t="s">
        <v>279</v>
      </c>
      <c r="N392" t="s">
        <v>2474</v>
      </c>
      <c r="O392" t="s">
        <v>267</v>
      </c>
      <c r="P392" s="885">
        <v>46046.859849537039</v>
      </c>
      <c r="Q392" t="s">
        <v>268</v>
      </c>
      <c r="R392" t="s">
        <v>269</v>
      </c>
    </row>
    <row r="393" spans="1:18" x14ac:dyDescent="0.15">
      <c r="A393" s="788">
        <v>5568237132</v>
      </c>
      <c r="B393" t="s">
        <v>2517</v>
      </c>
      <c r="C393" s="884">
        <v>46066</v>
      </c>
      <c r="D393" s="884">
        <v>46071</v>
      </c>
      <c r="E393" t="s">
        <v>314</v>
      </c>
      <c r="F393" t="s">
        <v>315</v>
      </c>
      <c r="H393" t="s">
        <v>2069</v>
      </c>
      <c r="I393" s="885">
        <v>46047.625763888886</v>
      </c>
      <c r="L393" t="s">
        <v>274</v>
      </c>
      <c r="M393" t="s">
        <v>265</v>
      </c>
      <c r="N393" t="s">
        <v>2518</v>
      </c>
      <c r="O393" t="s">
        <v>267</v>
      </c>
      <c r="P393" s="885">
        <v>46047.629490740743</v>
      </c>
      <c r="Q393" t="s">
        <v>268</v>
      </c>
      <c r="R393" t="s">
        <v>269</v>
      </c>
    </row>
    <row r="394" spans="1:18" x14ac:dyDescent="0.15">
      <c r="A394" s="788">
        <v>6880279532</v>
      </c>
      <c r="B394" t="s">
        <v>2519</v>
      </c>
      <c r="C394" s="884">
        <v>46101</v>
      </c>
      <c r="D394" s="884">
        <v>46104</v>
      </c>
      <c r="E394" t="s">
        <v>314</v>
      </c>
      <c r="F394" t="s">
        <v>315</v>
      </c>
      <c r="H394" t="s">
        <v>1739</v>
      </c>
      <c r="I394" s="885">
        <v>46047.92633101852</v>
      </c>
      <c r="L394" t="s">
        <v>274</v>
      </c>
      <c r="M394" t="s">
        <v>265</v>
      </c>
      <c r="N394" t="s">
        <v>2520</v>
      </c>
      <c r="O394" t="s">
        <v>267</v>
      </c>
      <c r="P394" s="885">
        <v>46047.931481481479</v>
      </c>
      <c r="Q394" t="s">
        <v>268</v>
      </c>
      <c r="R394" t="s">
        <v>269</v>
      </c>
    </row>
    <row r="395" spans="1:18" x14ac:dyDescent="0.15">
      <c r="A395" s="788">
        <v>6026565714</v>
      </c>
      <c r="B395" t="s">
        <v>2524</v>
      </c>
      <c r="C395" s="884">
        <v>46084</v>
      </c>
      <c r="D395" s="884">
        <v>46091</v>
      </c>
      <c r="E395" t="s">
        <v>314</v>
      </c>
      <c r="F395" t="s">
        <v>315</v>
      </c>
      <c r="H395" t="s">
        <v>2212</v>
      </c>
      <c r="I395" s="885">
        <v>46049.338946759257</v>
      </c>
      <c r="L395" t="s">
        <v>274</v>
      </c>
      <c r="M395" t="s">
        <v>265</v>
      </c>
      <c r="N395" t="s">
        <v>2525</v>
      </c>
      <c r="O395" t="s">
        <v>267</v>
      </c>
      <c r="P395" s="885">
        <v>46049.342037037037</v>
      </c>
      <c r="Q395" t="s">
        <v>268</v>
      </c>
      <c r="R395" t="s">
        <v>269</v>
      </c>
    </row>
    <row r="396" spans="1:18" x14ac:dyDescent="0.15">
      <c r="A396" s="788">
        <v>5706167634</v>
      </c>
      <c r="B396" t="s">
        <v>2540</v>
      </c>
      <c r="C396" s="884">
        <v>46055</v>
      </c>
      <c r="D396" s="884">
        <v>46057</v>
      </c>
      <c r="E396" t="s">
        <v>314</v>
      </c>
      <c r="F396" t="s">
        <v>315</v>
      </c>
      <c r="H396" t="s">
        <v>2028</v>
      </c>
      <c r="I396" s="885">
        <v>46049.977546296293</v>
      </c>
      <c r="L396" t="s">
        <v>274</v>
      </c>
      <c r="M396" t="s">
        <v>265</v>
      </c>
      <c r="N396" t="s">
        <v>1422</v>
      </c>
      <c r="O396" t="s">
        <v>267</v>
      </c>
      <c r="P396" s="885">
        <v>46049.981296296297</v>
      </c>
      <c r="Q396" t="s">
        <v>268</v>
      </c>
      <c r="R396" t="s">
        <v>269</v>
      </c>
    </row>
    <row r="397" spans="1:18" x14ac:dyDescent="0.15">
      <c r="A397" s="788">
        <v>6312934725</v>
      </c>
      <c r="B397" t="s">
        <v>2541</v>
      </c>
      <c r="C397" s="884">
        <v>46096</v>
      </c>
      <c r="D397" s="884">
        <v>46098</v>
      </c>
      <c r="E397" t="s">
        <v>314</v>
      </c>
      <c r="F397" t="s">
        <v>315</v>
      </c>
      <c r="H397" t="s">
        <v>1739</v>
      </c>
      <c r="I397" s="885">
        <v>46050.021620370368</v>
      </c>
      <c r="L397" t="s">
        <v>274</v>
      </c>
      <c r="M397" s="884">
        <v>36527</v>
      </c>
      <c r="N397" t="s">
        <v>2542</v>
      </c>
      <c r="O397" t="s">
        <v>267</v>
      </c>
      <c r="P397" s="885">
        <v>46050.024259259262</v>
      </c>
      <c r="Q397" t="s">
        <v>268</v>
      </c>
      <c r="R397" t="s">
        <v>269</v>
      </c>
    </row>
    <row r="398" spans="1:18" x14ac:dyDescent="0.15">
      <c r="A398" s="788">
        <v>6004442910</v>
      </c>
      <c r="B398" t="s">
        <v>2543</v>
      </c>
      <c r="C398" s="884">
        <v>46325</v>
      </c>
      <c r="D398" s="884">
        <v>46327</v>
      </c>
      <c r="E398" t="s">
        <v>314</v>
      </c>
      <c r="F398" t="s">
        <v>315</v>
      </c>
      <c r="H398" t="s">
        <v>2022</v>
      </c>
      <c r="I398" s="885">
        <v>46050.028009259258</v>
      </c>
      <c r="K398" s="885">
        <v>46154.629050925927</v>
      </c>
      <c r="L398" t="s">
        <v>264</v>
      </c>
      <c r="M398" s="884">
        <v>36558</v>
      </c>
      <c r="N398" t="s">
        <v>2544</v>
      </c>
      <c r="O398" t="s">
        <v>267</v>
      </c>
      <c r="P398" s="885">
        <v>46154.632881944446</v>
      </c>
      <c r="Q398" t="s">
        <v>268</v>
      </c>
      <c r="R398" t="s">
        <v>269</v>
      </c>
    </row>
    <row r="399" spans="1:18" x14ac:dyDescent="0.15">
      <c r="A399" s="788">
        <v>5267838988</v>
      </c>
      <c r="B399" t="s">
        <v>2552</v>
      </c>
      <c r="C399" s="884">
        <v>46126</v>
      </c>
      <c r="D399" s="884">
        <v>46127</v>
      </c>
      <c r="E399" t="s">
        <v>314</v>
      </c>
      <c r="F399" t="s">
        <v>315</v>
      </c>
      <c r="H399" t="s">
        <v>1746</v>
      </c>
      <c r="I399" s="885">
        <v>46050.634710648148</v>
      </c>
      <c r="L399" t="s">
        <v>274</v>
      </c>
      <c r="M399" t="s">
        <v>265</v>
      </c>
      <c r="N399" t="s">
        <v>2553</v>
      </c>
      <c r="O399" t="s">
        <v>267</v>
      </c>
      <c r="P399" s="885">
        <v>46050.639953703707</v>
      </c>
      <c r="Q399" t="s">
        <v>268</v>
      </c>
      <c r="R399" t="s">
        <v>269</v>
      </c>
    </row>
    <row r="400" spans="1:18" x14ac:dyDescent="0.15">
      <c r="A400" s="788">
        <v>5571549308</v>
      </c>
      <c r="B400" t="s">
        <v>2558</v>
      </c>
      <c r="C400" s="884">
        <v>46059</v>
      </c>
      <c r="D400" s="884">
        <v>46062</v>
      </c>
      <c r="E400" t="s">
        <v>314</v>
      </c>
      <c r="F400" t="s">
        <v>315</v>
      </c>
      <c r="H400" t="s">
        <v>2212</v>
      </c>
      <c r="I400" s="885">
        <v>46051.5315625</v>
      </c>
      <c r="L400" t="s">
        <v>274</v>
      </c>
      <c r="M400" t="s">
        <v>265</v>
      </c>
      <c r="N400" t="s">
        <v>2559</v>
      </c>
      <c r="O400" t="s">
        <v>267</v>
      </c>
      <c r="P400" s="885">
        <v>46051.534618055557</v>
      </c>
      <c r="Q400" t="s">
        <v>268</v>
      </c>
      <c r="R400" t="s">
        <v>269</v>
      </c>
    </row>
    <row r="401" spans="1:30" x14ac:dyDescent="0.15">
      <c r="A401" s="788">
        <v>5800870157</v>
      </c>
      <c r="B401" t="s">
        <v>2568</v>
      </c>
      <c r="C401" s="884">
        <v>46052</v>
      </c>
      <c r="D401" s="884">
        <v>46054</v>
      </c>
      <c r="E401" t="s">
        <v>314</v>
      </c>
      <c r="F401" t="s">
        <v>315</v>
      </c>
      <c r="H401" t="s">
        <v>1963</v>
      </c>
      <c r="I401" s="885">
        <v>46051.976354166669</v>
      </c>
      <c r="L401" t="s">
        <v>274</v>
      </c>
      <c r="M401" t="s">
        <v>265</v>
      </c>
      <c r="N401" t="s">
        <v>2569</v>
      </c>
      <c r="O401" t="s">
        <v>267</v>
      </c>
      <c r="P401" s="885">
        <v>46051.981296296297</v>
      </c>
      <c r="Q401" t="s">
        <v>268</v>
      </c>
      <c r="R401" t="s">
        <v>269</v>
      </c>
    </row>
    <row r="402" spans="1:30" x14ac:dyDescent="0.15">
      <c r="A402" s="788">
        <v>6165210786</v>
      </c>
      <c r="B402" t="s">
        <v>2570</v>
      </c>
      <c r="C402" s="884">
        <v>46061</v>
      </c>
      <c r="D402" s="884">
        <v>46062</v>
      </c>
      <c r="E402" t="s">
        <v>314</v>
      </c>
      <c r="F402" t="s">
        <v>315</v>
      </c>
      <c r="H402" t="s">
        <v>1782</v>
      </c>
      <c r="I402" s="885">
        <v>46052.351851851854</v>
      </c>
      <c r="J402" s="885">
        <v>46059.467499999999</v>
      </c>
      <c r="L402" t="s">
        <v>720</v>
      </c>
      <c r="M402" t="s">
        <v>265</v>
      </c>
      <c r="N402" t="s">
        <v>2476</v>
      </c>
      <c r="O402" t="s">
        <v>730</v>
      </c>
      <c r="P402" s="885">
        <v>46059.471284722225</v>
      </c>
      <c r="Q402" t="s">
        <v>268</v>
      </c>
      <c r="R402" t="s">
        <v>269</v>
      </c>
    </row>
    <row r="403" spans="1:30" x14ac:dyDescent="0.15">
      <c r="A403" s="788" t="s">
        <v>1045</v>
      </c>
      <c r="B403" s="885">
        <v>45893.975844907407</v>
      </c>
      <c r="D403" s="885">
        <v>45916.002708333333</v>
      </c>
      <c r="E403" t="s">
        <v>264</v>
      </c>
      <c r="F403" s="884">
        <v>36560</v>
      </c>
      <c r="G403" t="s">
        <v>1046</v>
      </c>
      <c r="H403" t="s">
        <v>267</v>
      </c>
      <c r="I403" s="885">
        <v>45916.007685185185</v>
      </c>
      <c r="J403" t="s">
        <v>268</v>
      </c>
      <c r="K403" t="s">
        <v>269</v>
      </c>
    </row>
    <row r="404" spans="1:30" x14ac:dyDescent="0.15">
      <c r="A404" s="788" t="s">
        <v>1825</v>
      </c>
      <c r="B404" s="885">
        <v>45977.695833333331</v>
      </c>
      <c r="D404" s="885">
        <v>45983.92428240741</v>
      </c>
      <c r="E404" t="s">
        <v>264</v>
      </c>
      <c r="F404" s="884">
        <v>36528</v>
      </c>
      <c r="G404" t="s">
        <v>1826</v>
      </c>
      <c r="H404" t="s">
        <v>267</v>
      </c>
      <c r="I404" s="885">
        <v>45983.927777777775</v>
      </c>
      <c r="J404" t="s">
        <v>268</v>
      </c>
      <c r="K404" t="s">
        <v>269</v>
      </c>
    </row>
    <row r="405" spans="1:30" x14ac:dyDescent="0.15">
      <c r="A405" s="788" t="s">
        <v>287</v>
      </c>
      <c r="B405" t="s">
        <v>288</v>
      </c>
      <c r="C405" s="884">
        <v>45899</v>
      </c>
      <c r="D405" s="884">
        <v>45900</v>
      </c>
      <c r="E405" t="s">
        <v>289</v>
      </c>
      <c r="F405" t="s">
        <v>290</v>
      </c>
      <c r="H405" t="s">
        <v>291</v>
      </c>
      <c r="I405" s="885">
        <v>45811.48741898148</v>
      </c>
      <c r="L405" t="s">
        <v>274</v>
      </c>
      <c r="M405" t="s">
        <v>292</v>
      </c>
      <c r="N405" t="s">
        <v>293</v>
      </c>
      <c r="O405" t="s">
        <v>267</v>
      </c>
      <c r="P405" s="885">
        <v>45811.49019675926</v>
      </c>
      <c r="R405" t="s">
        <v>288</v>
      </c>
      <c r="S405" t="s">
        <v>294</v>
      </c>
      <c r="T405" t="s">
        <v>295</v>
      </c>
      <c r="U405" t="s">
        <v>296</v>
      </c>
      <c r="V405" t="s">
        <v>297</v>
      </c>
      <c r="W405" t="s">
        <v>298</v>
      </c>
      <c r="X405">
        <v>7345</v>
      </c>
      <c r="Y405" t="s">
        <v>299</v>
      </c>
      <c r="Z405" t="s">
        <v>300</v>
      </c>
      <c r="AA405">
        <v>826637886</v>
      </c>
      <c r="AB405" t="b">
        <v>0</v>
      </c>
      <c r="AC405" t="s">
        <v>301</v>
      </c>
    </row>
    <row r="406" spans="1:30" x14ac:dyDescent="0.15">
      <c r="A406" s="788" t="s">
        <v>302</v>
      </c>
      <c r="B406" t="s">
        <v>303</v>
      </c>
      <c r="C406" s="884">
        <v>45936</v>
      </c>
      <c r="D406" s="884">
        <v>45938</v>
      </c>
      <c r="E406" t="s">
        <v>289</v>
      </c>
      <c r="F406" t="s">
        <v>304</v>
      </c>
      <c r="H406" t="s">
        <v>305</v>
      </c>
      <c r="I406" s="885">
        <v>45811.923252314817</v>
      </c>
      <c r="L406" t="s">
        <v>274</v>
      </c>
      <c r="M406" t="s">
        <v>265</v>
      </c>
      <c r="N406" t="s">
        <v>306</v>
      </c>
      <c r="O406" t="s">
        <v>267</v>
      </c>
      <c r="P406" s="885">
        <v>45811.925763888888</v>
      </c>
      <c r="R406" t="s">
        <v>303</v>
      </c>
      <c r="S406" t="s">
        <v>307</v>
      </c>
      <c r="T406" t="s">
        <v>308</v>
      </c>
      <c r="U406" t="s">
        <v>309</v>
      </c>
      <c r="X406" t="s">
        <v>310</v>
      </c>
      <c r="Y406" t="s">
        <v>311</v>
      </c>
      <c r="Z406" t="s">
        <v>312</v>
      </c>
      <c r="AA406">
        <v>353860788517</v>
      </c>
      <c r="AB406" t="b">
        <v>0</v>
      </c>
      <c r="AC406" t="s">
        <v>301</v>
      </c>
    </row>
    <row r="407" spans="1:30" x14ac:dyDescent="0.15">
      <c r="A407" s="788" t="s">
        <v>318</v>
      </c>
      <c r="B407" t="s">
        <v>319</v>
      </c>
      <c r="C407" s="884">
        <v>46101</v>
      </c>
      <c r="D407" s="884">
        <v>46104</v>
      </c>
      <c r="E407" t="s">
        <v>289</v>
      </c>
      <c r="F407" t="s">
        <v>290</v>
      </c>
      <c r="H407" t="s">
        <v>320</v>
      </c>
      <c r="I407" s="885">
        <v>45815.610949074071</v>
      </c>
      <c r="L407" t="s">
        <v>274</v>
      </c>
      <c r="M407" t="s">
        <v>265</v>
      </c>
      <c r="N407" t="s">
        <v>321</v>
      </c>
      <c r="O407" t="s">
        <v>267</v>
      </c>
      <c r="P407" s="885">
        <v>45815.612708333334</v>
      </c>
      <c r="R407" t="s">
        <v>319</v>
      </c>
      <c r="S407" t="s">
        <v>322</v>
      </c>
      <c r="T407" t="s">
        <v>323</v>
      </c>
      <c r="U407" t="s">
        <v>324</v>
      </c>
      <c r="W407" t="s">
        <v>325</v>
      </c>
      <c r="X407" t="s">
        <v>326</v>
      </c>
      <c r="Y407" t="s">
        <v>327</v>
      </c>
      <c r="Z407" t="s">
        <v>328</v>
      </c>
      <c r="AA407" s="886">
        <v>447379493173</v>
      </c>
      <c r="AB407" t="b">
        <v>0</v>
      </c>
      <c r="AC407" t="s">
        <v>329</v>
      </c>
    </row>
    <row r="408" spans="1:30" x14ac:dyDescent="0.15">
      <c r="A408" s="788" t="s">
        <v>341</v>
      </c>
      <c r="B408" t="s">
        <v>342</v>
      </c>
      <c r="C408" s="884">
        <v>46074</v>
      </c>
      <c r="D408" s="884">
        <v>46077</v>
      </c>
      <c r="E408" t="s">
        <v>289</v>
      </c>
      <c r="F408" t="s">
        <v>290</v>
      </c>
      <c r="H408" t="s">
        <v>320</v>
      </c>
      <c r="I408" s="885">
        <v>45818.535763888889</v>
      </c>
      <c r="L408" t="s">
        <v>274</v>
      </c>
      <c r="M408" t="s">
        <v>265</v>
      </c>
      <c r="N408" t="s">
        <v>343</v>
      </c>
      <c r="O408" t="s">
        <v>267</v>
      </c>
      <c r="P408" s="885">
        <v>45818.540370370371</v>
      </c>
      <c r="R408" t="s">
        <v>342</v>
      </c>
      <c r="S408" t="s">
        <v>344</v>
      </c>
      <c r="T408" t="s">
        <v>345</v>
      </c>
      <c r="U408" t="s">
        <v>346</v>
      </c>
      <c r="W408" t="s">
        <v>347</v>
      </c>
      <c r="X408">
        <v>13595</v>
      </c>
      <c r="Y408" t="s">
        <v>348</v>
      </c>
      <c r="Z408" t="s">
        <v>349</v>
      </c>
      <c r="AA408">
        <v>491713003388</v>
      </c>
      <c r="AB408" t="b">
        <v>1</v>
      </c>
      <c r="AC408" t="s">
        <v>350</v>
      </c>
    </row>
    <row r="409" spans="1:30" x14ac:dyDescent="0.15">
      <c r="A409" s="788" t="s">
        <v>356</v>
      </c>
      <c r="B409" t="s">
        <v>357</v>
      </c>
      <c r="C409" s="884">
        <v>45856</v>
      </c>
      <c r="D409" s="884">
        <v>45857</v>
      </c>
      <c r="E409" t="s">
        <v>289</v>
      </c>
      <c r="F409" t="s">
        <v>290</v>
      </c>
      <c r="H409" t="s">
        <v>358</v>
      </c>
      <c r="I409" s="885">
        <v>45819.405706018515</v>
      </c>
      <c r="L409" t="s">
        <v>274</v>
      </c>
      <c r="M409" t="s">
        <v>265</v>
      </c>
      <c r="N409" t="s">
        <v>359</v>
      </c>
      <c r="O409" t="s">
        <v>267</v>
      </c>
      <c r="P409" s="885">
        <v>45819.409259259257</v>
      </c>
      <c r="R409" t="s">
        <v>357</v>
      </c>
      <c r="S409" t="s">
        <v>360</v>
      </c>
      <c r="T409" t="s">
        <v>361</v>
      </c>
      <c r="U409" t="s">
        <v>362</v>
      </c>
      <c r="V409" t="s">
        <v>363</v>
      </c>
      <c r="W409" t="s">
        <v>298</v>
      </c>
      <c r="X409">
        <v>7134</v>
      </c>
      <c r="Y409" t="s">
        <v>299</v>
      </c>
      <c r="Z409" t="s">
        <v>364</v>
      </c>
      <c r="AA409">
        <v>609953869</v>
      </c>
      <c r="AB409" t="b">
        <v>0</v>
      </c>
      <c r="AC409" t="s">
        <v>365</v>
      </c>
      <c r="AD409" t="s">
        <v>366</v>
      </c>
    </row>
    <row r="410" spans="1:30" x14ac:dyDescent="0.15">
      <c r="A410" s="788" t="s">
        <v>374</v>
      </c>
      <c r="B410" t="s">
        <v>375</v>
      </c>
      <c r="C410" s="884">
        <v>45823</v>
      </c>
      <c r="D410" s="884">
        <v>45824</v>
      </c>
      <c r="E410" t="s">
        <v>289</v>
      </c>
      <c r="F410" t="s">
        <v>290</v>
      </c>
      <c r="H410" t="s">
        <v>376</v>
      </c>
    </row>
    <row r="411" spans="1:30" x14ac:dyDescent="0.15">
      <c r="A411" s="788" t="s">
        <v>392</v>
      </c>
      <c r="B411" t="s">
        <v>393</v>
      </c>
      <c r="C411" s="884">
        <v>45839</v>
      </c>
      <c r="D411" s="884">
        <v>45840</v>
      </c>
      <c r="E411" t="s">
        <v>289</v>
      </c>
      <c r="F411" t="s">
        <v>290</v>
      </c>
      <c r="H411" t="s">
        <v>394</v>
      </c>
      <c r="I411" s="885">
        <v>45825.533553240741</v>
      </c>
      <c r="L411" t="s">
        <v>274</v>
      </c>
      <c r="M411" t="s">
        <v>265</v>
      </c>
      <c r="N411" t="s">
        <v>395</v>
      </c>
      <c r="O411" t="s">
        <v>267</v>
      </c>
      <c r="P411" s="885">
        <v>45825.539687500001</v>
      </c>
      <c r="R411" t="s">
        <v>393</v>
      </c>
      <c r="S411" t="s">
        <v>396</v>
      </c>
      <c r="T411" t="s">
        <v>397</v>
      </c>
      <c r="U411" t="s">
        <v>398</v>
      </c>
      <c r="V411" t="s">
        <v>399</v>
      </c>
      <c r="W411" t="s">
        <v>400</v>
      </c>
      <c r="X411">
        <v>7620</v>
      </c>
      <c r="Y411" t="s">
        <v>299</v>
      </c>
      <c r="Z411" t="s">
        <v>401</v>
      </c>
      <c r="AA411">
        <v>827748285</v>
      </c>
      <c r="AB411" t="b">
        <v>1</v>
      </c>
      <c r="AC411" t="s">
        <v>402</v>
      </c>
      <c r="AD411" t="s">
        <v>366</v>
      </c>
    </row>
    <row r="412" spans="1:30" x14ac:dyDescent="0.15">
      <c r="A412" s="788" t="s">
        <v>413</v>
      </c>
      <c r="B412" t="s">
        <v>414</v>
      </c>
      <c r="C412" s="884">
        <v>46059</v>
      </c>
      <c r="D412" s="884">
        <v>46063</v>
      </c>
      <c r="E412" t="s">
        <v>289</v>
      </c>
      <c r="F412" t="s">
        <v>290</v>
      </c>
      <c r="H412" t="s">
        <v>305</v>
      </c>
      <c r="I412" s="885">
        <v>45827.969895833332</v>
      </c>
      <c r="L412" t="s">
        <v>274</v>
      </c>
      <c r="M412" t="s">
        <v>265</v>
      </c>
      <c r="N412" t="s">
        <v>415</v>
      </c>
      <c r="O412" t="s">
        <v>267</v>
      </c>
      <c r="P412" s="885">
        <v>45827.97457175926</v>
      </c>
      <c r="R412" t="s">
        <v>414</v>
      </c>
      <c r="S412" t="s">
        <v>416</v>
      </c>
      <c r="T412" t="s">
        <v>417</v>
      </c>
      <c r="U412" t="s">
        <v>418</v>
      </c>
      <c r="X412">
        <v>64287</v>
      </c>
      <c r="Y412" t="s">
        <v>348</v>
      </c>
      <c r="Z412" t="s">
        <v>419</v>
      </c>
      <c r="AA412">
        <v>491604758717</v>
      </c>
      <c r="AB412" t="b">
        <v>0</v>
      </c>
      <c r="AC412" t="s">
        <v>420</v>
      </c>
    </row>
    <row r="413" spans="1:30" x14ac:dyDescent="0.15">
      <c r="A413" s="788" t="s">
        <v>427</v>
      </c>
      <c r="B413" t="s">
        <v>428</v>
      </c>
      <c r="C413" s="884">
        <v>45869</v>
      </c>
      <c r="D413" s="884">
        <v>45872</v>
      </c>
      <c r="E413" t="s">
        <v>289</v>
      </c>
      <c r="F413" t="s">
        <v>290</v>
      </c>
      <c r="H413" t="s">
        <v>305</v>
      </c>
      <c r="I413" s="885">
        <v>45831.228495370371</v>
      </c>
      <c r="L413" t="s">
        <v>274</v>
      </c>
      <c r="M413" t="s">
        <v>279</v>
      </c>
      <c r="N413" t="s">
        <v>429</v>
      </c>
      <c r="O413" t="s">
        <v>267</v>
      </c>
      <c r="P413" s="885">
        <v>45831.233263888891</v>
      </c>
      <c r="R413" t="s">
        <v>428</v>
      </c>
      <c r="S413" t="s">
        <v>430</v>
      </c>
      <c r="T413" t="s">
        <v>431</v>
      </c>
      <c r="U413" t="s">
        <v>432</v>
      </c>
      <c r="X413" t="s">
        <v>433</v>
      </c>
      <c r="Y413" t="s">
        <v>434</v>
      </c>
      <c r="Z413" t="s">
        <v>435</v>
      </c>
      <c r="AA413">
        <v>4034099462</v>
      </c>
      <c r="AB413" t="b">
        <v>0</v>
      </c>
      <c r="AC413" t="s">
        <v>436</v>
      </c>
    </row>
    <row r="414" spans="1:30" x14ac:dyDescent="0.15">
      <c r="A414" s="788" t="s">
        <v>443</v>
      </c>
      <c r="B414" t="s">
        <v>444</v>
      </c>
      <c r="C414" s="884">
        <v>45841</v>
      </c>
      <c r="D414" s="884">
        <v>45845</v>
      </c>
      <c r="E414" t="s">
        <v>289</v>
      </c>
      <c r="F414" t="s">
        <v>290</v>
      </c>
      <c r="H414" t="s">
        <v>445</v>
      </c>
    </row>
    <row r="415" spans="1:30" x14ac:dyDescent="0.15">
      <c r="A415" s="788" t="s">
        <v>454</v>
      </c>
      <c r="B415" t="s">
        <v>444</v>
      </c>
      <c r="C415" s="884">
        <v>45840</v>
      </c>
      <c r="D415" s="884">
        <v>45845</v>
      </c>
      <c r="E415" t="s">
        <v>289</v>
      </c>
      <c r="F415" t="s">
        <v>290</v>
      </c>
      <c r="H415" t="s">
        <v>320</v>
      </c>
      <c r="I415" s="885">
        <v>45832.830995370372</v>
      </c>
      <c r="L415" t="s">
        <v>274</v>
      </c>
      <c r="M415" t="s">
        <v>265</v>
      </c>
      <c r="N415" t="s">
        <v>455</v>
      </c>
      <c r="O415" t="s">
        <v>267</v>
      </c>
      <c r="P415" s="885">
        <v>45832.833749999998</v>
      </c>
      <c r="R415" t="s">
        <v>444</v>
      </c>
      <c r="S415" t="s">
        <v>448</v>
      </c>
      <c r="T415" t="s">
        <v>449</v>
      </c>
      <c r="U415" t="s">
        <v>450</v>
      </c>
      <c r="V415" t="s">
        <v>451</v>
      </c>
      <c r="X415">
        <v>2195</v>
      </c>
      <c r="Y415" t="s">
        <v>299</v>
      </c>
      <c r="Z415" t="s">
        <v>452</v>
      </c>
      <c r="AA415">
        <v>823301640</v>
      </c>
      <c r="AB415" t="b">
        <v>1</v>
      </c>
      <c r="AC415" t="s">
        <v>453</v>
      </c>
    </row>
    <row r="416" spans="1:30" x14ac:dyDescent="0.15">
      <c r="A416" s="788" t="s">
        <v>456</v>
      </c>
      <c r="B416" t="s">
        <v>444</v>
      </c>
      <c r="C416" s="884">
        <v>45840</v>
      </c>
      <c r="D416" s="884">
        <v>45841</v>
      </c>
      <c r="E416" t="s">
        <v>289</v>
      </c>
      <c r="F416" t="s">
        <v>290</v>
      </c>
      <c r="H416" t="s">
        <v>445</v>
      </c>
    </row>
    <row r="417" spans="1:29" x14ac:dyDescent="0.15">
      <c r="A417" s="788" t="s">
        <v>460</v>
      </c>
      <c r="B417" t="s">
        <v>461</v>
      </c>
      <c r="C417" s="884">
        <v>46065</v>
      </c>
      <c r="D417" s="884">
        <v>46067</v>
      </c>
      <c r="E417" t="s">
        <v>289</v>
      </c>
      <c r="F417" t="s">
        <v>290</v>
      </c>
      <c r="H417" t="s">
        <v>305</v>
      </c>
      <c r="I417" s="885">
        <v>45832.936666666668</v>
      </c>
      <c r="L417" t="s">
        <v>274</v>
      </c>
      <c r="M417" t="s">
        <v>265</v>
      </c>
      <c r="N417" t="s">
        <v>462</v>
      </c>
      <c r="O417" t="s">
        <v>267</v>
      </c>
      <c r="P417" s="885">
        <v>45832.938391203701</v>
      </c>
      <c r="R417" t="s">
        <v>461</v>
      </c>
      <c r="S417" t="s">
        <v>463</v>
      </c>
      <c r="T417" t="s">
        <v>464</v>
      </c>
      <c r="U417" t="s">
        <v>465</v>
      </c>
      <c r="W417" t="s">
        <v>466</v>
      </c>
      <c r="X417" t="s">
        <v>467</v>
      </c>
      <c r="Y417" t="s">
        <v>327</v>
      </c>
      <c r="Z417" t="s">
        <v>468</v>
      </c>
      <c r="AA417">
        <v>7718781562</v>
      </c>
      <c r="AB417" t="b">
        <v>0</v>
      </c>
      <c r="AC417" t="s">
        <v>453</v>
      </c>
    </row>
    <row r="418" spans="1:29" x14ac:dyDescent="0.15">
      <c r="A418" s="788" t="s">
        <v>469</v>
      </c>
      <c r="B418" t="s">
        <v>470</v>
      </c>
      <c r="C418" s="884">
        <v>45943</v>
      </c>
      <c r="D418" s="884">
        <v>45944</v>
      </c>
      <c r="E418" t="s">
        <v>289</v>
      </c>
      <c r="F418" t="s">
        <v>290</v>
      </c>
      <c r="H418" t="s">
        <v>305</v>
      </c>
      <c r="I418" s="885">
        <v>45833.456423611111</v>
      </c>
      <c r="L418" t="s">
        <v>274</v>
      </c>
      <c r="M418" t="s">
        <v>265</v>
      </c>
      <c r="N418" t="s">
        <v>471</v>
      </c>
      <c r="O418" t="s">
        <v>267</v>
      </c>
      <c r="P418" s="885">
        <v>45833.4609375</v>
      </c>
      <c r="R418" t="s">
        <v>470</v>
      </c>
      <c r="S418" t="s">
        <v>472</v>
      </c>
      <c r="T418" t="s">
        <v>473</v>
      </c>
      <c r="U418" t="s">
        <v>474</v>
      </c>
      <c r="W418" t="s">
        <v>475</v>
      </c>
      <c r="X418" t="s">
        <v>476</v>
      </c>
      <c r="Y418" t="s">
        <v>477</v>
      </c>
      <c r="Z418" t="s">
        <v>478</v>
      </c>
      <c r="AA418">
        <v>626344460</v>
      </c>
      <c r="AB418" t="b">
        <v>1</v>
      </c>
      <c r="AC418" t="s">
        <v>479</v>
      </c>
    </row>
    <row r="419" spans="1:29" x14ac:dyDescent="0.15">
      <c r="A419" s="788" t="s">
        <v>480</v>
      </c>
      <c r="B419" t="s">
        <v>481</v>
      </c>
      <c r="C419" s="884">
        <v>45891</v>
      </c>
      <c r="D419" s="884">
        <v>45892</v>
      </c>
      <c r="E419" t="s">
        <v>289</v>
      </c>
      <c r="F419" t="s">
        <v>290</v>
      </c>
      <c r="H419" t="s">
        <v>482</v>
      </c>
      <c r="I419" s="885">
        <v>45833.463495370372</v>
      </c>
      <c r="K419" s="885">
        <v>45889.352743055555</v>
      </c>
      <c r="L419" t="s">
        <v>264</v>
      </c>
      <c r="M419" s="884">
        <v>36558</v>
      </c>
      <c r="N419" t="s">
        <v>483</v>
      </c>
      <c r="O419" t="s">
        <v>267</v>
      </c>
      <c r="P419" s="885">
        <v>45889.353935185187</v>
      </c>
      <c r="R419" t="s">
        <v>481</v>
      </c>
      <c r="S419" t="s">
        <v>484</v>
      </c>
      <c r="T419" t="s">
        <v>485</v>
      </c>
      <c r="U419" t="s">
        <v>486</v>
      </c>
      <c r="X419" t="s">
        <v>487</v>
      </c>
      <c r="Y419" t="s">
        <v>477</v>
      </c>
      <c r="Z419" t="s">
        <v>488</v>
      </c>
      <c r="AA419">
        <v>31653151215</v>
      </c>
      <c r="AB419" t="b">
        <v>0</v>
      </c>
      <c r="AC419" t="s">
        <v>479</v>
      </c>
    </row>
    <row r="420" spans="1:29" x14ac:dyDescent="0.15">
      <c r="A420" s="788" t="s">
        <v>494</v>
      </c>
      <c r="B420" t="s">
        <v>495</v>
      </c>
      <c r="C420" s="884">
        <v>45845</v>
      </c>
      <c r="D420" s="884">
        <v>45847</v>
      </c>
      <c r="E420" t="s">
        <v>289</v>
      </c>
      <c r="F420" t="s">
        <v>290</v>
      </c>
      <c r="H420" t="s">
        <v>496</v>
      </c>
    </row>
    <row r="421" spans="1:29" x14ac:dyDescent="0.15">
      <c r="A421" s="788" t="s">
        <v>522</v>
      </c>
      <c r="B421" t="s">
        <v>444</v>
      </c>
      <c r="C421" s="884">
        <v>45839</v>
      </c>
      <c r="D421" s="884">
        <v>45840</v>
      </c>
      <c r="E421" t="s">
        <v>289</v>
      </c>
      <c r="F421" t="s">
        <v>290</v>
      </c>
      <c r="H421" t="s">
        <v>523</v>
      </c>
      <c r="I421" s="885">
        <v>45838.442164351851</v>
      </c>
      <c r="L421" t="s">
        <v>274</v>
      </c>
      <c r="M421" t="s">
        <v>292</v>
      </c>
      <c r="N421" t="s">
        <v>524</v>
      </c>
      <c r="O421" t="s">
        <v>267</v>
      </c>
      <c r="P421" s="885">
        <v>45838.444537037038</v>
      </c>
      <c r="R421" t="s">
        <v>444</v>
      </c>
      <c r="S421" t="s">
        <v>448</v>
      </c>
      <c r="T421" t="s">
        <v>449</v>
      </c>
      <c r="U421" t="s">
        <v>450</v>
      </c>
      <c r="V421" t="s">
        <v>451</v>
      </c>
      <c r="X421">
        <v>2195</v>
      </c>
      <c r="Y421" t="s">
        <v>299</v>
      </c>
      <c r="Z421" t="s">
        <v>452</v>
      </c>
      <c r="AA421">
        <v>823301640</v>
      </c>
      <c r="AB421" t="b">
        <v>1</v>
      </c>
      <c r="AC421" t="s">
        <v>525</v>
      </c>
    </row>
    <row r="422" spans="1:29" x14ac:dyDescent="0.15">
      <c r="A422" s="788" t="s">
        <v>548</v>
      </c>
      <c r="B422" t="s">
        <v>549</v>
      </c>
      <c r="C422" s="884">
        <v>45869</v>
      </c>
      <c r="D422" s="884">
        <v>45870</v>
      </c>
      <c r="E422" t="s">
        <v>289</v>
      </c>
      <c r="F422" t="s">
        <v>290</v>
      </c>
      <c r="H422" t="s">
        <v>482</v>
      </c>
      <c r="I422" s="885">
        <v>45844.843310185184</v>
      </c>
      <c r="L422" t="s">
        <v>274</v>
      </c>
      <c r="M422" t="s">
        <v>265</v>
      </c>
      <c r="N422" t="s">
        <v>483</v>
      </c>
      <c r="O422" t="s">
        <v>267</v>
      </c>
      <c r="P422" s="885">
        <v>45844.846122685187</v>
      </c>
      <c r="R422" t="s">
        <v>549</v>
      </c>
      <c r="S422" t="s">
        <v>550</v>
      </c>
      <c r="T422" t="s">
        <v>551</v>
      </c>
      <c r="U422" t="s">
        <v>552</v>
      </c>
      <c r="V422" t="s">
        <v>553</v>
      </c>
      <c r="W422" t="s">
        <v>298</v>
      </c>
      <c r="X422">
        <v>8001</v>
      </c>
      <c r="Y422" t="s">
        <v>299</v>
      </c>
      <c r="Z422" t="s">
        <v>554</v>
      </c>
      <c r="AA422">
        <v>828880944</v>
      </c>
      <c r="AB422" t="b">
        <v>1</v>
      </c>
      <c r="AC422" t="s">
        <v>555</v>
      </c>
    </row>
    <row r="423" spans="1:29" x14ac:dyDescent="0.15">
      <c r="A423" s="788" t="s">
        <v>558</v>
      </c>
      <c r="B423" t="s">
        <v>559</v>
      </c>
      <c r="C423" s="884">
        <v>46000</v>
      </c>
      <c r="D423" s="884">
        <v>46002</v>
      </c>
      <c r="E423" t="s">
        <v>289</v>
      </c>
      <c r="F423" t="s">
        <v>290</v>
      </c>
      <c r="H423" t="s">
        <v>560</v>
      </c>
      <c r="I423" s="885">
        <v>45845.492708333331</v>
      </c>
      <c r="L423" t="s">
        <v>274</v>
      </c>
      <c r="M423" t="s">
        <v>265</v>
      </c>
      <c r="N423" t="s">
        <v>561</v>
      </c>
      <c r="O423" t="s">
        <v>267</v>
      </c>
      <c r="P423" s="885">
        <v>45845.495833333334</v>
      </c>
      <c r="R423" t="s">
        <v>559</v>
      </c>
      <c r="S423" t="s">
        <v>562</v>
      </c>
      <c r="T423" t="s">
        <v>563</v>
      </c>
      <c r="U423" t="s">
        <v>564</v>
      </c>
      <c r="V423" t="s">
        <v>565</v>
      </c>
      <c r="W423" t="s">
        <v>566</v>
      </c>
      <c r="X423" t="s">
        <v>567</v>
      </c>
      <c r="Y423" t="s">
        <v>327</v>
      </c>
      <c r="Z423" t="s">
        <v>568</v>
      </c>
      <c r="AA423">
        <v>447890044175</v>
      </c>
      <c r="AB423" t="b">
        <v>0</v>
      </c>
      <c r="AC423" t="s">
        <v>569</v>
      </c>
    </row>
    <row r="424" spans="1:29" x14ac:dyDescent="0.15">
      <c r="A424" s="788" t="s">
        <v>573</v>
      </c>
      <c r="B424" t="s">
        <v>574</v>
      </c>
      <c r="C424" s="884">
        <v>45938</v>
      </c>
      <c r="D424" s="884">
        <v>45939</v>
      </c>
      <c r="E424" t="s">
        <v>289</v>
      </c>
      <c r="F424" t="s">
        <v>290</v>
      </c>
      <c r="H424" t="s">
        <v>482</v>
      </c>
      <c r="I424" s="885">
        <v>45845.722581018519</v>
      </c>
      <c r="L424" t="s">
        <v>274</v>
      </c>
      <c r="M424" s="884">
        <v>36558</v>
      </c>
      <c r="N424" t="s">
        <v>575</v>
      </c>
      <c r="O424" t="s">
        <v>267</v>
      </c>
      <c r="P424" s="885">
        <v>45845.726712962962</v>
      </c>
      <c r="R424" t="s">
        <v>574</v>
      </c>
      <c r="S424" t="s">
        <v>576</v>
      </c>
      <c r="T424" t="s">
        <v>577</v>
      </c>
      <c r="U424" t="s">
        <v>578</v>
      </c>
      <c r="W424" t="s">
        <v>579</v>
      </c>
      <c r="X424">
        <v>1662</v>
      </c>
      <c r="Y424" t="s">
        <v>348</v>
      </c>
      <c r="Z424" t="s">
        <v>580</v>
      </c>
      <c r="AA424">
        <v>491714409899</v>
      </c>
      <c r="AB424" t="b">
        <v>0</v>
      </c>
      <c r="AC424" t="s">
        <v>569</v>
      </c>
    </row>
    <row r="425" spans="1:29" x14ac:dyDescent="0.15">
      <c r="A425" s="788" t="s">
        <v>581</v>
      </c>
      <c r="B425" t="s">
        <v>582</v>
      </c>
      <c r="C425" s="884">
        <v>45876</v>
      </c>
      <c r="D425" s="884">
        <v>45879</v>
      </c>
      <c r="E425" t="s">
        <v>289</v>
      </c>
      <c r="F425" t="s">
        <v>290</v>
      </c>
      <c r="H425" t="s">
        <v>305</v>
      </c>
      <c r="I425" s="885">
        <v>45845.790497685186</v>
      </c>
      <c r="L425" t="s">
        <v>274</v>
      </c>
      <c r="M425" t="s">
        <v>265</v>
      </c>
      <c r="N425" t="s">
        <v>429</v>
      </c>
      <c r="O425" t="s">
        <v>267</v>
      </c>
      <c r="P425" s="885">
        <v>45845.79482638889</v>
      </c>
      <c r="R425" t="s">
        <v>582</v>
      </c>
      <c r="S425" t="s">
        <v>562</v>
      </c>
      <c r="T425" t="s">
        <v>583</v>
      </c>
      <c r="U425" t="s">
        <v>584</v>
      </c>
      <c r="V425" t="s">
        <v>585</v>
      </c>
      <c r="X425">
        <v>7700</v>
      </c>
      <c r="Y425" t="s">
        <v>299</v>
      </c>
      <c r="Z425" t="s">
        <v>586</v>
      </c>
      <c r="AA425">
        <v>824604708</v>
      </c>
      <c r="AB425" t="b">
        <v>1</v>
      </c>
      <c r="AC425" t="s">
        <v>569</v>
      </c>
    </row>
    <row r="426" spans="1:29" x14ac:dyDescent="0.15">
      <c r="A426" s="788" t="s">
        <v>610</v>
      </c>
      <c r="B426" t="s">
        <v>611</v>
      </c>
      <c r="C426" s="884">
        <v>45878</v>
      </c>
      <c r="D426" s="884">
        <v>45879</v>
      </c>
      <c r="E426" t="s">
        <v>289</v>
      </c>
      <c r="F426" t="s">
        <v>290</v>
      </c>
      <c r="H426" t="s">
        <v>305</v>
      </c>
      <c r="I426" s="885">
        <v>45855.448645833334</v>
      </c>
      <c r="L426" t="s">
        <v>274</v>
      </c>
      <c r="M426" t="s">
        <v>265</v>
      </c>
      <c r="N426" t="s">
        <v>543</v>
      </c>
      <c r="O426" t="s">
        <v>267</v>
      </c>
      <c r="P426" s="885">
        <v>45855.449849537035</v>
      </c>
      <c r="R426" t="s">
        <v>611</v>
      </c>
      <c r="S426" t="s">
        <v>612</v>
      </c>
      <c r="T426" t="s">
        <v>613</v>
      </c>
      <c r="U426" t="s">
        <v>614</v>
      </c>
      <c r="V426" t="s">
        <v>615</v>
      </c>
      <c r="W426" t="s">
        <v>616</v>
      </c>
      <c r="X426">
        <v>7945</v>
      </c>
      <c r="Y426" t="s">
        <v>299</v>
      </c>
      <c r="Z426" t="s">
        <v>617</v>
      </c>
      <c r="AA426">
        <v>835644393</v>
      </c>
      <c r="AB426" t="b">
        <v>1</v>
      </c>
      <c r="AC426" t="s">
        <v>618</v>
      </c>
    </row>
    <row r="427" spans="1:29" x14ac:dyDescent="0.15">
      <c r="A427" s="788" t="s">
        <v>619</v>
      </c>
      <c r="B427" t="s">
        <v>620</v>
      </c>
      <c r="C427" s="884">
        <v>45878</v>
      </c>
      <c r="D427" s="884">
        <v>45879</v>
      </c>
      <c r="E427" t="s">
        <v>289</v>
      </c>
      <c r="F427" t="s">
        <v>290</v>
      </c>
      <c r="H427" t="s">
        <v>621</v>
      </c>
      <c r="I427" s="885">
        <v>45855.491296296299</v>
      </c>
      <c r="L427" t="s">
        <v>274</v>
      </c>
      <c r="M427" t="s">
        <v>265</v>
      </c>
      <c r="N427" t="s">
        <v>622</v>
      </c>
      <c r="O427" t="s">
        <v>267</v>
      </c>
      <c r="P427" s="885">
        <v>45855.493576388886</v>
      </c>
      <c r="R427" t="s">
        <v>620</v>
      </c>
      <c r="S427" t="s">
        <v>307</v>
      </c>
      <c r="T427" t="s">
        <v>623</v>
      </c>
      <c r="U427" t="s">
        <v>624</v>
      </c>
      <c r="W427" t="s">
        <v>298</v>
      </c>
      <c r="X427">
        <v>7441</v>
      </c>
      <c r="Y427" t="s">
        <v>299</v>
      </c>
      <c r="Z427" t="s">
        <v>625</v>
      </c>
      <c r="AA427">
        <v>826325025</v>
      </c>
      <c r="AB427" t="b">
        <v>1</v>
      </c>
      <c r="AC427" t="s">
        <v>618</v>
      </c>
    </row>
    <row r="428" spans="1:29" x14ac:dyDescent="0.15">
      <c r="A428" s="788" t="s">
        <v>639</v>
      </c>
      <c r="B428" t="s">
        <v>640</v>
      </c>
      <c r="C428" s="884">
        <v>45927</v>
      </c>
      <c r="D428" s="884">
        <v>45928</v>
      </c>
      <c r="E428" t="s">
        <v>289</v>
      </c>
      <c r="F428" t="s">
        <v>290</v>
      </c>
      <c r="H428" t="s">
        <v>305</v>
      </c>
      <c r="I428" s="885">
        <v>45859.648252314815</v>
      </c>
      <c r="L428" t="s">
        <v>274</v>
      </c>
      <c r="M428" t="s">
        <v>265</v>
      </c>
      <c r="N428" t="s">
        <v>641</v>
      </c>
      <c r="O428" t="s">
        <v>267</v>
      </c>
      <c r="P428" s="885">
        <v>45859.651388888888</v>
      </c>
      <c r="R428" t="s">
        <v>640</v>
      </c>
      <c r="S428" t="s">
        <v>642</v>
      </c>
      <c r="T428" t="s">
        <v>643</v>
      </c>
      <c r="U428" t="s">
        <v>644</v>
      </c>
      <c r="W428" t="s">
        <v>645</v>
      </c>
      <c r="X428">
        <v>1320</v>
      </c>
      <c r="Y428" t="s">
        <v>299</v>
      </c>
      <c r="Z428" t="s">
        <v>646</v>
      </c>
      <c r="AA428">
        <v>836276926</v>
      </c>
      <c r="AB428" t="b">
        <v>0</v>
      </c>
      <c r="AC428" t="s">
        <v>647</v>
      </c>
    </row>
    <row r="429" spans="1:29" x14ac:dyDescent="0.15">
      <c r="A429" s="788" t="s">
        <v>659</v>
      </c>
      <c r="B429" t="s">
        <v>660</v>
      </c>
      <c r="C429" s="884">
        <v>45904</v>
      </c>
      <c r="D429" s="884">
        <v>45906</v>
      </c>
      <c r="E429" t="s">
        <v>289</v>
      </c>
      <c r="F429" t="s">
        <v>290</v>
      </c>
      <c r="H429" t="s">
        <v>305</v>
      </c>
      <c r="I429" s="885">
        <v>45861.844502314816</v>
      </c>
      <c r="L429" t="s">
        <v>274</v>
      </c>
      <c r="M429" t="s">
        <v>265</v>
      </c>
      <c r="N429" t="s">
        <v>661</v>
      </c>
      <c r="O429" t="s">
        <v>267</v>
      </c>
      <c r="P429" s="885">
        <v>45861.847384259258</v>
      </c>
      <c r="R429" t="s">
        <v>660</v>
      </c>
      <c r="S429" t="s">
        <v>662</v>
      </c>
      <c r="T429" t="s">
        <v>663</v>
      </c>
      <c r="U429" t="s">
        <v>664</v>
      </c>
      <c r="W429" t="s">
        <v>665</v>
      </c>
      <c r="X429">
        <v>43</v>
      </c>
      <c r="Y429" t="s">
        <v>299</v>
      </c>
      <c r="Z429" t="s">
        <v>666</v>
      </c>
      <c r="AA429">
        <v>823777704</v>
      </c>
      <c r="AB429" t="b">
        <v>0</v>
      </c>
      <c r="AC429" t="s">
        <v>667</v>
      </c>
    </row>
    <row r="430" spans="1:29" x14ac:dyDescent="0.15">
      <c r="A430" s="788" t="s">
        <v>698</v>
      </c>
      <c r="B430" t="s">
        <v>699</v>
      </c>
      <c r="C430" s="884">
        <v>46072</v>
      </c>
      <c r="D430" s="884">
        <v>46075</v>
      </c>
      <c r="E430" t="s">
        <v>289</v>
      </c>
      <c r="F430" t="s">
        <v>290</v>
      </c>
      <c r="H430" t="s">
        <v>482</v>
      </c>
      <c r="I430" s="885">
        <v>45865.695138888892</v>
      </c>
      <c r="K430" s="885">
        <v>46024.707638888889</v>
      </c>
      <c r="L430" t="s">
        <v>264</v>
      </c>
      <c r="M430" t="s">
        <v>279</v>
      </c>
      <c r="N430" t="s">
        <v>700</v>
      </c>
      <c r="O430" t="s">
        <v>267</v>
      </c>
      <c r="P430" s="885">
        <v>46024.711111111108</v>
      </c>
      <c r="R430" t="s">
        <v>699</v>
      </c>
      <c r="S430" t="s">
        <v>701</v>
      </c>
      <c r="T430" t="s">
        <v>702</v>
      </c>
      <c r="U430" t="s">
        <v>703</v>
      </c>
      <c r="X430">
        <v>8004</v>
      </c>
      <c r="Y430" t="s">
        <v>704</v>
      </c>
      <c r="Z430" t="s">
        <v>705</v>
      </c>
      <c r="AA430">
        <v>41793500367</v>
      </c>
      <c r="AB430" t="b">
        <v>0</v>
      </c>
      <c r="AC430" t="s">
        <v>706</v>
      </c>
    </row>
    <row r="431" spans="1:29" x14ac:dyDescent="0.15">
      <c r="A431" s="788" t="s">
        <v>717</v>
      </c>
      <c r="B431" t="s">
        <v>718</v>
      </c>
      <c r="C431" s="884">
        <v>46005</v>
      </c>
      <c r="D431" s="884">
        <v>46008</v>
      </c>
      <c r="E431" t="s">
        <v>289</v>
      </c>
      <c r="F431" t="s">
        <v>290</v>
      </c>
      <c r="H431" t="s">
        <v>719</v>
      </c>
      <c r="I431" s="885">
        <v>45866.653275462966</v>
      </c>
      <c r="J431" s="885">
        <v>45898.353032407409</v>
      </c>
      <c r="L431" t="s">
        <v>720</v>
      </c>
      <c r="M431" t="s">
        <v>265</v>
      </c>
      <c r="N431" t="s">
        <v>721</v>
      </c>
      <c r="O431" t="s">
        <v>267</v>
      </c>
      <c r="P431" s="885">
        <v>45898.35696759259</v>
      </c>
      <c r="R431" t="s">
        <v>718</v>
      </c>
      <c r="S431" t="s">
        <v>722</v>
      </c>
      <c r="T431" t="s">
        <v>723</v>
      </c>
      <c r="U431" t="s">
        <v>724</v>
      </c>
      <c r="X431">
        <v>20900</v>
      </c>
      <c r="Y431" t="s">
        <v>725</v>
      </c>
      <c r="Z431" t="s">
        <v>726</v>
      </c>
      <c r="AA431">
        <v>393479650767</v>
      </c>
      <c r="AB431" t="b">
        <v>1</v>
      </c>
      <c r="AC431" t="s">
        <v>727</v>
      </c>
    </row>
    <row r="432" spans="1:29" x14ac:dyDescent="0.15">
      <c r="A432" s="788" t="s">
        <v>728</v>
      </c>
      <c r="B432" t="s">
        <v>718</v>
      </c>
      <c r="C432" s="884">
        <v>46011</v>
      </c>
      <c r="D432" s="884">
        <v>46019</v>
      </c>
      <c r="E432" t="s">
        <v>289</v>
      </c>
      <c r="F432" t="s">
        <v>290</v>
      </c>
      <c r="H432" t="s">
        <v>719</v>
      </c>
      <c r="I432" s="885">
        <v>45866.665069444447</v>
      </c>
      <c r="J432" s="885">
        <v>45898.354039351849</v>
      </c>
      <c r="L432" t="s">
        <v>720</v>
      </c>
      <c r="M432" t="s">
        <v>265</v>
      </c>
      <c r="N432" t="s">
        <v>729</v>
      </c>
      <c r="O432" t="s">
        <v>730</v>
      </c>
      <c r="P432" s="885">
        <v>45898.35696759259</v>
      </c>
      <c r="R432" t="s">
        <v>718</v>
      </c>
      <c r="S432" t="s">
        <v>722</v>
      </c>
      <c r="T432" t="s">
        <v>723</v>
      </c>
      <c r="U432" t="s">
        <v>724</v>
      </c>
      <c r="X432">
        <v>20900</v>
      </c>
      <c r="Y432" t="s">
        <v>725</v>
      </c>
      <c r="Z432" t="s">
        <v>726</v>
      </c>
      <c r="AA432">
        <v>393479650767</v>
      </c>
      <c r="AB432" t="b">
        <v>1</v>
      </c>
      <c r="AC432" t="s">
        <v>727</v>
      </c>
    </row>
    <row r="433" spans="1:30" x14ac:dyDescent="0.15">
      <c r="A433" s="788" t="s">
        <v>744</v>
      </c>
      <c r="B433" t="s">
        <v>745</v>
      </c>
      <c r="C433" s="884">
        <v>45877</v>
      </c>
      <c r="D433" s="884">
        <v>45880</v>
      </c>
      <c r="E433" t="s">
        <v>289</v>
      </c>
      <c r="F433" t="s">
        <v>290</v>
      </c>
      <c r="H433" t="s">
        <v>482</v>
      </c>
      <c r="I433" s="885">
        <v>45868.386087962965</v>
      </c>
      <c r="L433" t="s">
        <v>274</v>
      </c>
      <c r="M433" t="s">
        <v>279</v>
      </c>
      <c r="N433" t="s">
        <v>602</v>
      </c>
      <c r="O433" t="s">
        <v>267</v>
      </c>
      <c r="P433" s="885">
        <v>45868.387476851851</v>
      </c>
      <c r="R433" t="s">
        <v>745</v>
      </c>
      <c r="S433" t="s">
        <v>746</v>
      </c>
      <c r="T433" t="s">
        <v>747</v>
      </c>
      <c r="U433" t="s">
        <v>748</v>
      </c>
      <c r="W433" t="s">
        <v>749</v>
      </c>
      <c r="X433">
        <v>4422</v>
      </c>
      <c r="Y433" t="s">
        <v>299</v>
      </c>
      <c r="Z433" t="s">
        <v>750</v>
      </c>
      <c r="AA433">
        <v>824509787</v>
      </c>
      <c r="AB433" t="b">
        <v>1</v>
      </c>
      <c r="AC433" t="s">
        <v>751</v>
      </c>
    </row>
    <row r="434" spans="1:30" x14ac:dyDescent="0.15">
      <c r="A434" s="788" t="s">
        <v>776</v>
      </c>
      <c r="B434" t="s">
        <v>777</v>
      </c>
      <c r="C434" s="884">
        <v>45870</v>
      </c>
      <c r="D434" s="884">
        <v>45871</v>
      </c>
      <c r="E434" t="s">
        <v>289</v>
      </c>
      <c r="F434" t="s">
        <v>290</v>
      </c>
      <c r="H434" t="s">
        <v>778</v>
      </c>
      <c r="I434" s="885">
        <v>45870.507893518516</v>
      </c>
      <c r="L434" t="s">
        <v>274</v>
      </c>
      <c r="M434" t="s">
        <v>779</v>
      </c>
      <c r="N434" t="s">
        <v>770</v>
      </c>
      <c r="O434" t="s">
        <v>267</v>
      </c>
      <c r="P434" s="885">
        <v>45870.510798611111</v>
      </c>
      <c r="R434" t="s">
        <v>777</v>
      </c>
      <c r="S434" t="s">
        <v>780</v>
      </c>
      <c r="T434" t="s">
        <v>781</v>
      </c>
      <c r="U434" t="s">
        <v>782</v>
      </c>
      <c r="X434">
        <v>7130</v>
      </c>
      <c r="Y434" t="s">
        <v>299</v>
      </c>
      <c r="Z434" t="s">
        <v>783</v>
      </c>
      <c r="AA434">
        <v>725613645</v>
      </c>
      <c r="AB434" t="b">
        <v>0</v>
      </c>
      <c r="AC434" t="s">
        <v>784</v>
      </c>
      <c r="AD434" t="s">
        <v>366</v>
      </c>
    </row>
    <row r="435" spans="1:30" x14ac:dyDescent="0.15">
      <c r="A435" s="788" t="s">
        <v>789</v>
      </c>
      <c r="B435" t="s">
        <v>790</v>
      </c>
      <c r="C435" s="884">
        <v>45938</v>
      </c>
      <c r="D435" s="884">
        <v>45939</v>
      </c>
      <c r="E435" t="s">
        <v>289</v>
      </c>
      <c r="F435" t="s">
        <v>290</v>
      </c>
      <c r="H435" t="s">
        <v>482</v>
      </c>
      <c r="I435" s="885">
        <v>45871.616932870369</v>
      </c>
      <c r="L435" t="s">
        <v>274</v>
      </c>
      <c r="M435" s="884">
        <v>36558</v>
      </c>
      <c r="N435" t="s">
        <v>575</v>
      </c>
      <c r="O435" t="s">
        <v>267</v>
      </c>
      <c r="P435" s="885">
        <v>45871.618831018517</v>
      </c>
      <c r="R435" t="s">
        <v>790</v>
      </c>
      <c r="S435" t="s">
        <v>791</v>
      </c>
      <c r="T435" t="s">
        <v>792</v>
      </c>
      <c r="U435" t="s">
        <v>793</v>
      </c>
      <c r="X435">
        <v>7620</v>
      </c>
      <c r="Y435" t="s">
        <v>299</v>
      </c>
      <c r="Z435" t="s">
        <v>794</v>
      </c>
      <c r="AA435">
        <v>824061902</v>
      </c>
      <c r="AB435" t="b">
        <v>0</v>
      </c>
      <c r="AC435" t="s">
        <v>795</v>
      </c>
    </row>
    <row r="436" spans="1:30" x14ac:dyDescent="0.15">
      <c r="A436" s="788" t="s">
        <v>804</v>
      </c>
      <c r="B436" t="s">
        <v>805</v>
      </c>
      <c r="C436" s="884">
        <v>45874</v>
      </c>
      <c r="D436" s="884">
        <v>45877</v>
      </c>
      <c r="E436" t="s">
        <v>289</v>
      </c>
      <c r="F436" t="s">
        <v>290</v>
      </c>
      <c r="H436" t="s">
        <v>621</v>
      </c>
      <c r="I436" s="885">
        <v>45872.761041666665</v>
      </c>
      <c r="L436" t="s">
        <v>274</v>
      </c>
      <c r="M436" t="s">
        <v>279</v>
      </c>
      <c r="N436" t="s">
        <v>806</v>
      </c>
      <c r="O436" t="s">
        <v>267</v>
      </c>
      <c r="P436" s="885">
        <v>45872.763437499998</v>
      </c>
      <c r="R436" t="s">
        <v>805</v>
      </c>
      <c r="S436" t="s">
        <v>807</v>
      </c>
      <c r="T436" t="s">
        <v>808</v>
      </c>
      <c r="U436" t="s">
        <v>809</v>
      </c>
      <c r="V436" t="s">
        <v>810</v>
      </c>
      <c r="W436" t="s">
        <v>298</v>
      </c>
      <c r="X436">
        <v>7580</v>
      </c>
      <c r="Y436" t="s">
        <v>299</v>
      </c>
      <c r="Z436" t="s">
        <v>811</v>
      </c>
      <c r="AA436">
        <v>791915380</v>
      </c>
      <c r="AB436" t="b">
        <v>1</v>
      </c>
      <c r="AC436" t="s">
        <v>812</v>
      </c>
    </row>
    <row r="437" spans="1:30" x14ac:dyDescent="0.15">
      <c r="A437" s="788" t="s">
        <v>816</v>
      </c>
      <c r="B437" t="s">
        <v>817</v>
      </c>
      <c r="C437" s="884">
        <v>45885</v>
      </c>
      <c r="D437" s="884">
        <v>45886</v>
      </c>
      <c r="E437" t="s">
        <v>289</v>
      </c>
      <c r="F437" t="s">
        <v>290</v>
      </c>
      <c r="H437" t="s">
        <v>482</v>
      </c>
      <c r="I437" s="885">
        <v>45873.898622685185</v>
      </c>
      <c r="L437" t="s">
        <v>274</v>
      </c>
      <c r="M437" t="s">
        <v>265</v>
      </c>
      <c r="N437" t="s">
        <v>483</v>
      </c>
      <c r="O437" t="s">
        <v>267</v>
      </c>
      <c r="P437" s="885">
        <v>45873.902986111112</v>
      </c>
      <c r="R437" t="s">
        <v>817</v>
      </c>
      <c r="S437" t="s">
        <v>818</v>
      </c>
      <c r="T437" t="s">
        <v>819</v>
      </c>
      <c r="U437" t="s">
        <v>820</v>
      </c>
      <c r="W437" t="s">
        <v>298</v>
      </c>
      <c r="X437">
        <v>7441</v>
      </c>
      <c r="Y437" t="s">
        <v>299</v>
      </c>
      <c r="Z437" t="s">
        <v>821</v>
      </c>
      <c r="AA437">
        <v>791295039</v>
      </c>
      <c r="AB437" t="b">
        <v>0</v>
      </c>
      <c r="AC437" t="s">
        <v>822</v>
      </c>
    </row>
    <row r="438" spans="1:30" x14ac:dyDescent="0.15">
      <c r="A438" s="788" t="s">
        <v>828</v>
      </c>
      <c r="B438" t="s">
        <v>829</v>
      </c>
      <c r="C438" s="884">
        <v>45977</v>
      </c>
      <c r="D438" s="884">
        <v>45980</v>
      </c>
      <c r="E438" t="s">
        <v>289</v>
      </c>
      <c r="F438" t="s">
        <v>290</v>
      </c>
      <c r="H438" t="s">
        <v>305</v>
      </c>
      <c r="I438" s="885">
        <v>45874.765740740739</v>
      </c>
      <c r="J438" s="885">
        <v>45875.283495370371</v>
      </c>
      <c r="L438" t="s">
        <v>720</v>
      </c>
      <c r="M438" t="s">
        <v>265</v>
      </c>
      <c r="N438" t="s">
        <v>830</v>
      </c>
      <c r="O438" t="s">
        <v>267</v>
      </c>
      <c r="P438" s="885">
        <v>45875.285231481481</v>
      </c>
      <c r="R438" t="s">
        <v>829</v>
      </c>
      <c r="S438" t="s">
        <v>831</v>
      </c>
      <c r="T438" t="s">
        <v>832</v>
      </c>
      <c r="U438" t="s">
        <v>833</v>
      </c>
      <c r="W438" t="s">
        <v>834</v>
      </c>
      <c r="X438">
        <v>33330</v>
      </c>
      <c r="Y438" t="s">
        <v>835</v>
      </c>
      <c r="Z438" t="s">
        <v>836</v>
      </c>
      <c r="AA438">
        <v>19545364582</v>
      </c>
      <c r="AB438" t="b">
        <v>1</v>
      </c>
      <c r="AC438" t="s">
        <v>837</v>
      </c>
    </row>
    <row r="439" spans="1:30" x14ac:dyDescent="0.15">
      <c r="A439" s="788" t="s">
        <v>845</v>
      </c>
      <c r="B439" t="s">
        <v>846</v>
      </c>
      <c r="C439" s="884">
        <v>46020</v>
      </c>
      <c r="D439" s="884">
        <v>46021</v>
      </c>
      <c r="E439" t="s">
        <v>289</v>
      </c>
      <c r="F439" t="s">
        <v>290</v>
      </c>
      <c r="H439" t="s">
        <v>847</v>
      </c>
      <c r="I439" s="885">
        <v>45875.554548611108</v>
      </c>
      <c r="L439" t="s">
        <v>274</v>
      </c>
      <c r="M439" t="s">
        <v>265</v>
      </c>
      <c r="N439" t="s">
        <v>848</v>
      </c>
      <c r="O439" t="s">
        <v>267</v>
      </c>
      <c r="P439" s="885">
        <v>45875.558206018519</v>
      </c>
      <c r="R439" t="s">
        <v>846</v>
      </c>
      <c r="S439" t="s">
        <v>849</v>
      </c>
      <c r="T439" t="s">
        <v>850</v>
      </c>
      <c r="U439" t="s">
        <v>851</v>
      </c>
      <c r="W439" t="s">
        <v>852</v>
      </c>
      <c r="X439">
        <v>94803</v>
      </c>
      <c r="Y439" t="s">
        <v>835</v>
      </c>
      <c r="Z439" t="s">
        <v>853</v>
      </c>
      <c r="AA439">
        <v>5107797817</v>
      </c>
      <c r="AB439" t="b">
        <v>1</v>
      </c>
      <c r="AC439" t="s">
        <v>854</v>
      </c>
      <c r="AD439" t="s">
        <v>855</v>
      </c>
    </row>
    <row r="440" spans="1:30" x14ac:dyDescent="0.15">
      <c r="A440" s="788" t="s">
        <v>862</v>
      </c>
      <c r="B440" t="s">
        <v>863</v>
      </c>
      <c r="C440" s="884">
        <v>46060</v>
      </c>
      <c r="D440" s="884">
        <v>46062</v>
      </c>
      <c r="E440" t="s">
        <v>289</v>
      </c>
      <c r="F440" t="s">
        <v>290</v>
      </c>
      <c r="H440" t="s">
        <v>496</v>
      </c>
    </row>
    <row r="441" spans="1:30" x14ac:dyDescent="0.15">
      <c r="A441" s="788" t="s">
        <v>872</v>
      </c>
      <c r="B441" t="s">
        <v>444</v>
      </c>
      <c r="C441" s="884">
        <v>45941</v>
      </c>
      <c r="D441" s="884">
        <v>45942</v>
      </c>
      <c r="E441" t="s">
        <v>289</v>
      </c>
      <c r="F441" t="s">
        <v>290</v>
      </c>
      <c r="H441" t="s">
        <v>320</v>
      </c>
      <c r="I441" s="885">
        <v>45877.386446759258</v>
      </c>
      <c r="L441" t="s">
        <v>274</v>
      </c>
      <c r="M441" t="s">
        <v>265</v>
      </c>
      <c r="N441" t="s">
        <v>873</v>
      </c>
      <c r="O441" t="s">
        <v>267</v>
      </c>
      <c r="P441" s="885">
        <v>45877.388229166667</v>
      </c>
      <c r="R441" t="s">
        <v>444</v>
      </c>
      <c r="S441" t="s">
        <v>448</v>
      </c>
      <c r="T441" t="s">
        <v>449</v>
      </c>
      <c r="U441" t="s">
        <v>450</v>
      </c>
      <c r="V441" t="s">
        <v>451</v>
      </c>
      <c r="X441">
        <v>2195</v>
      </c>
      <c r="Y441" t="s">
        <v>299</v>
      </c>
      <c r="Z441" t="s">
        <v>452</v>
      </c>
      <c r="AA441">
        <v>823301640</v>
      </c>
      <c r="AB441" t="b">
        <v>1</v>
      </c>
      <c r="AC441" t="s">
        <v>874</v>
      </c>
    </row>
    <row r="442" spans="1:30" x14ac:dyDescent="0.15">
      <c r="A442" s="788" t="s">
        <v>875</v>
      </c>
      <c r="B442" t="s">
        <v>876</v>
      </c>
      <c r="C442" s="884">
        <v>46049</v>
      </c>
      <c r="D442" s="884">
        <v>46052</v>
      </c>
      <c r="E442" t="s">
        <v>289</v>
      </c>
      <c r="F442" t="s">
        <v>304</v>
      </c>
      <c r="H442" t="s">
        <v>560</v>
      </c>
      <c r="I442" s="885">
        <v>45877.455081018517</v>
      </c>
      <c r="L442" t="s">
        <v>274</v>
      </c>
      <c r="M442" t="s">
        <v>265</v>
      </c>
      <c r="N442" t="s">
        <v>877</v>
      </c>
      <c r="O442" t="s">
        <v>267</v>
      </c>
      <c r="P442" s="885">
        <v>45877.457465277781</v>
      </c>
      <c r="R442" t="s">
        <v>876</v>
      </c>
      <c r="S442" t="s">
        <v>878</v>
      </c>
      <c r="T442" t="s">
        <v>879</v>
      </c>
      <c r="U442" t="s">
        <v>880</v>
      </c>
      <c r="W442" t="s">
        <v>881</v>
      </c>
      <c r="X442" t="s">
        <v>882</v>
      </c>
      <c r="Y442" t="s">
        <v>477</v>
      </c>
      <c r="Z442" t="s">
        <v>883</v>
      </c>
      <c r="AA442">
        <v>31651314422</v>
      </c>
      <c r="AB442" t="b">
        <v>1</v>
      </c>
      <c r="AC442" t="s">
        <v>874</v>
      </c>
    </row>
    <row r="443" spans="1:30" x14ac:dyDescent="0.15">
      <c r="A443" s="788" t="s">
        <v>884</v>
      </c>
      <c r="B443" t="s">
        <v>885</v>
      </c>
      <c r="C443" s="884">
        <v>45877</v>
      </c>
      <c r="D443" s="884">
        <v>45879</v>
      </c>
      <c r="E443" t="s">
        <v>289</v>
      </c>
      <c r="F443" t="s">
        <v>304</v>
      </c>
      <c r="H443" t="s">
        <v>482</v>
      </c>
      <c r="I443" s="885">
        <v>45877.460185185184</v>
      </c>
      <c r="L443" t="s">
        <v>274</v>
      </c>
      <c r="M443" t="s">
        <v>265</v>
      </c>
      <c r="N443" t="s">
        <v>886</v>
      </c>
      <c r="O443" t="s">
        <v>267</v>
      </c>
      <c r="P443" s="885">
        <v>45877.461006944446</v>
      </c>
      <c r="R443" t="s">
        <v>885</v>
      </c>
      <c r="S443" t="s">
        <v>887</v>
      </c>
      <c r="T443" t="s">
        <v>888</v>
      </c>
      <c r="U443" t="s">
        <v>889</v>
      </c>
      <c r="X443">
        <v>6571</v>
      </c>
      <c r="Y443" t="s">
        <v>299</v>
      </c>
      <c r="Z443" t="s">
        <v>890</v>
      </c>
      <c r="AA443">
        <v>829270075</v>
      </c>
      <c r="AB443" t="b">
        <v>0</v>
      </c>
      <c r="AC443" t="s">
        <v>874</v>
      </c>
    </row>
    <row r="444" spans="1:30" x14ac:dyDescent="0.15">
      <c r="A444" s="788" t="s">
        <v>895</v>
      </c>
      <c r="B444" t="s">
        <v>896</v>
      </c>
      <c r="C444" s="884">
        <v>45884</v>
      </c>
      <c r="D444" s="884">
        <v>45885</v>
      </c>
      <c r="E444" t="s">
        <v>289</v>
      </c>
      <c r="F444" t="s">
        <v>290</v>
      </c>
      <c r="H444" t="s">
        <v>621</v>
      </c>
      <c r="I444" s="885">
        <v>45878.471122685187</v>
      </c>
      <c r="L444" t="s">
        <v>274</v>
      </c>
      <c r="M444" t="s">
        <v>265</v>
      </c>
      <c r="N444" t="s">
        <v>622</v>
      </c>
      <c r="O444" t="s">
        <v>267</v>
      </c>
      <c r="P444" s="885">
        <v>45878.472256944442</v>
      </c>
      <c r="R444" t="s">
        <v>896</v>
      </c>
      <c r="S444" t="s">
        <v>897</v>
      </c>
      <c r="T444" t="s">
        <v>898</v>
      </c>
      <c r="U444" t="s">
        <v>899</v>
      </c>
      <c r="V444" t="s">
        <v>585</v>
      </c>
      <c r="W444" t="s">
        <v>298</v>
      </c>
      <c r="X444">
        <v>7700</v>
      </c>
      <c r="Y444" t="s">
        <v>299</v>
      </c>
      <c r="Z444" t="s">
        <v>900</v>
      </c>
      <c r="AA444">
        <v>721965014</v>
      </c>
      <c r="AB444" t="b">
        <v>0</v>
      </c>
      <c r="AC444" t="s">
        <v>901</v>
      </c>
    </row>
    <row r="445" spans="1:30" x14ac:dyDescent="0.15">
      <c r="A445" s="788" t="s">
        <v>902</v>
      </c>
      <c r="B445" t="s">
        <v>903</v>
      </c>
      <c r="C445" s="884">
        <v>46006</v>
      </c>
      <c r="D445" s="884">
        <v>46010</v>
      </c>
      <c r="E445" t="s">
        <v>289</v>
      </c>
      <c r="F445" t="s">
        <v>290</v>
      </c>
      <c r="H445" t="s">
        <v>560</v>
      </c>
      <c r="I445" s="885">
        <v>45878.578576388885</v>
      </c>
      <c r="L445" t="s">
        <v>274</v>
      </c>
      <c r="M445" t="s">
        <v>265</v>
      </c>
      <c r="N445" t="s">
        <v>904</v>
      </c>
      <c r="O445" t="s">
        <v>267</v>
      </c>
      <c r="P445" s="885">
        <v>45878.579907407409</v>
      </c>
      <c r="R445" t="s">
        <v>903</v>
      </c>
      <c r="S445" t="s">
        <v>905</v>
      </c>
      <c r="T445" t="s">
        <v>906</v>
      </c>
      <c r="U445" t="s">
        <v>907</v>
      </c>
      <c r="V445" t="s">
        <v>908</v>
      </c>
      <c r="X445">
        <v>2191</v>
      </c>
      <c r="Y445" t="s">
        <v>299</v>
      </c>
      <c r="Z445" t="s">
        <v>909</v>
      </c>
      <c r="AA445">
        <v>833078551</v>
      </c>
      <c r="AB445" t="b">
        <v>1</v>
      </c>
      <c r="AC445" t="s">
        <v>901</v>
      </c>
    </row>
    <row r="446" spans="1:30" x14ac:dyDescent="0.15">
      <c r="A446" s="788" t="s">
        <v>916</v>
      </c>
      <c r="B446" t="s">
        <v>917</v>
      </c>
      <c r="C446" s="884">
        <v>45885</v>
      </c>
      <c r="D446" s="884">
        <v>45886</v>
      </c>
      <c r="E446" t="s">
        <v>289</v>
      </c>
      <c r="F446" t="s">
        <v>290</v>
      </c>
      <c r="H446" t="s">
        <v>621</v>
      </c>
      <c r="I446" s="885">
        <v>45879.728067129632</v>
      </c>
      <c r="L446" t="s">
        <v>274</v>
      </c>
      <c r="M446" t="s">
        <v>265</v>
      </c>
      <c r="N446" t="s">
        <v>622</v>
      </c>
      <c r="O446" t="s">
        <v>267</v>
      </c>
      <c r="P446" s="885">
        <v>45879.729166666664</v>
      </c>
      <c r="R446" t="s">
        <v>917</v>
      </c>
      <c r="S446" t="s">
        <v>918</v>
      </c>
      <c r="T446" t="s">
        <v>919</v>
      </c>
      <c r="U446" t="s">
        <v>920</v>
      </c>
      <c r="V446" t="s">
        <v>921</v>
      </c>
      <c r="W446" t="s">
        <v>922</v>
      </c>
      <c r="X446">
        <v>29603</v>
      </c>
      <c r="Y446" t="s">
        <v>923</v>
      </c>
      <c r="Z446" t="s">
        <v>924</v>
      </c>
      <c r="AA446">
        <v>447980789023</v>
      </c>
      <c r="AB446" t="b">
        <v>1</v>
      </c>
      <c r="AC446" t="s">
        <v>925</v>
      </c>
    </row>
    <row r="447" spans="1:30" x14ac:dyDescent="0.15">
      <c r="A447" s="788" t="s">
        <v>941</v>
      </c>
      <c r="B447" t="s">
        <v>942</v>
      </c>
      <c r="C447" s="884">
        <v>45903</v>
      </c>
      <c r="D447" s="884">
        <v>45906</v>
      </c>
      <c r="E447" t="s">
        <v>289</v>
      </c>
      <c r="F447" t="s">
        <v>290</v>
      </c>
      <c r="H447" t="s">
        <v>560</v>
      </c>
      <c r="I447" s="885">
        <v>45881.720891203702</v>
      </c>
      <c r="L447" t="s">
        <v>274</v>
      </c>
      <c r="M447" t="s">
        <v>265</v>
      </c>
      <c r="N447" t="s">
        <v>943</v>
      </c>
      <c r="O447" t="s">
        <v>267</v>
      </c>
      <c r="P447" s="885">
        <v>45881.723113425927</v>
      </c>
      <c r="R447" t="s">
        <v>942</v>
      </c>
      <c r="S447" t="s">
        <v>944</v>
      </c>
      <c r="T447" t="s">
        <v>945</v>
      </c>
      <c r="U447" t="s">
        <v>946</v>
      </c>
      <c r="V447" t="s">
        <v>947</v>
      </c>
      <c r="W447" t="s">
        <v>665</v>
      </c>
      <c r="X447">
        <v>2196</v>
      </c>
      <c r="Y447" t="s">
        <v>299</v>
      </c>
      <c r="Z447" t="s">
        <v>948</v>
      </c>
      <c r="AA447">
        <v>832655649</v>
      </c>
      <c r="AB447" t="b">
        <v>1</v>
      </c>
      <c r="AC447" t="s">
        <v>949</v>
      </c>
    </row>
    <row r="448" spans="1:30" x14ac:dyDescent="0.15">
      <c r="A448" s="788" t="s">
        <v>1003</v>
      </c>
      <c r="B448" t="s">
        <v>1004</v>
      </c>
      <c r="C448" s="884">
        <v>46022</v>
      </c>
      <c r="D448" s="884">
        <v>46024</v>
      </c>
      <c r="E448" t="s">
        <v>289</v>
      </c>
      <c r="F448" t="s">
        <v>290</v>
      </c>
      <c r="H448" t="s">
        <v>482</v>
      </c>
      <c r="I448" s="885">
        <v>45889.941331018519</v>
      </c>
      <c r="L448" t="s">
        <v>274</v>
      </c>
      <c r="M448" s="884">
        <v>36558</v>
      </c>
      <c r="N448" t="s">
        <v>1005</v>
      </c>
      <c r="O448" t="s">
        <v>267</v>
      </c>
      <c r="P448" s="885">
        <v>45889.945671296293</v>
      </c>
      <c r="R448" t="s">
        <v>1004</v>
      </c>
      <c r="S448" t="s">
        <v>1006</v>
      </c>
      <c r="T448" t="s">
        <v>1007</v>
      </c>
      <c r="U448" t="s">
        <v>1008</v>
      </c>
      <c r="X448">
        <v>18273</v>
      </c>
      <c r="Y448" t="s">
        <v>1009</v>
      </c>
      <c r="Z448" t="s">
        <v>1010</v>
      </c>
      <c r="AA448">
        <v>46702157985</v>
      </c>
      <c r="AB448" t="b">
        <v>0</v>
      </c>
      <c r="AC448" t="s">
        <v>1011</v>
      </c>
    </row>
    <row r="449" spans="1:30" x14ac:dyDescent="0.15">
      <c r="A449" s="788" t="s">
        <v>1052</v>
      </c>
      <c r="B449" t="s">
        <v>1053</v>
      </c>
      <c r="C449" s="884">
        <v>46024</v>
      </c>
      <c r="D449" s="884">
        <v>46028</v>
      </c>
      <c r="E449" t="s">
        <v>289</v>
      </c>
      <c r="F449" t="s">
        <v>290</v>
      </c>
      <c r="H449" t="s">
        <v>1054</v>
      </c>
      <c r="I449" s="885">
        <v>45894.739062499997</v>
      </c>
      <c r="L449" t="s">
        <v>274</v>
      </c>
      <c r="M449" t="s">
        <v>265</v>
      </c>
      <c r="N449" t="s">
        <v>1055</v>
      </c>
      <c r="O449" t="s">
        <v>267</v>
      </c>
      <c r="P449" s="885">
        <v>45894.742314814815</v>
      </c>
      <c r="R449" t="s">
        <v>1053</v>
      </c>
      <c r="S449" t="s">
        <v>1056</v>
      </c>
      <c r="T449" t="s">
        <v>1057</v>
      </c>
      <c r="U449" t="s">
        <v>1058</v>
      </c>
      <c r="X449">
        <v>3090</v>
      </c>
      <c r="Y449" t="s">
        <v>1059</v>
      </c>
      <c r="Z449" t="s">
        <v>1060</v>
      </c>
      <c r="AA449">
        <v>471842672</v>
      </c>
      <c r="AB449" t="b">
        <v>0</v>
      </c>
      <c r="AC449" t="s">
        <v>1061</v>
      </c>
      <c r="AD449" t="s">
        <v>1062</v>
      </c>
    </row>
    <row r="450" spans="1:30" x14ac:dyDescent="0.15">
      <c r="A450" s="788" t="s">
        <v>1063</v>
      </c>
      <c r="B450" t="s">
        <v>1064</v>
      </c>
      <c r="C450" s="884">
        <v>45908</v>
      </c>
      <c r="D450" s="884">
        <v>45909</v>
      </c>
      <c r="E450" t="s">
        <v>289</v>
      </c>
      <c r="F450" t="s">
        <v>290</v>
      </c>
      <c r="H450" t="s">
        <v>560</v>
      </c>
      <c r="I450" s="885">
        <v>45894.822870370372</v>
      </c>
      <c r="L450" t="s">
        <v>274</v>
      </c>
      <c r="M450" t="s">
        <v>265</v>
      </c>
      <c r="N450" t="s">
        <v>1065</v>
      </c>
      <c r="O450" t="s">
        <v>267</v>
      </c>
      <c r="P450" s="885">
        <v>45894.831122685187</v>
      </c>
      <c r="R450" t="s">
        <v>1064</v>
      </c>
      <c r="S450" t="s">
        <v>1066</v>
      </c>
      <c r="T450" t="s">
        <v>1067</v>
      </c>
      <c r="U450" t="s">
        <v>1068</v>
      </c>
      <c r="V450" t="s">
        <v>1069</v>
      </c>
      <c r="W450" t="s">
        <v>1070</v>
      </c>
      <c r="X450">
        <v>7708</v>
      </c>
      <c r="Y450" t="s">
        <v>299</v>
      </c>
      <c r="Z450" t="s">
        <v>1071</v>
      </c>
      <c r="AA450">
        <v>722355939</v>
      </c>
      <c r="AB450" t="b">
        <v>0</v>
      </c>
      <c r="AC450" t="s">
        <v>1061</v>
      </c>
    </row>
    <row r="451" spans="1:30" x14ac:dyDescent="0.15">
      <c r="A451" s="788" t="s">
        <v>1083</v>
      </c>
      <c r="B451" t="s">
        <v>1084</v>
      </c>
      <c r="C451" s="884">
        <v>45898</v>
      </c>
      <c r="D451" s="884">
        <v>45900</v>
      </c>
      <c r="E451" t="s">
        <v>289</v>
      </c>
      <c r="F451" t="s">
        <v>290</v>
      </c>
      <c r="H451" t="s">
        <v>358</v>
      </c>
      <c r="I451" s="885">
        <v>45896.935370370367</v>
      </c>
      <c r="L451" t="s">
        <v>274</v>
      </c>
      <c r="M451" t="s">
        <v>265</v>
      </c>
      <c r="N451" t="s">
        <v>1085</v>
      </c>
      <c r="O451" t="s">
        <v>267</v>
      </c>
      <c r="P451" s="885">
        <v>45896.937361111108</v>
      </c>
      <c r="R451" t="s">
        <v>1084</v>
      </c>
      <c r="S451" t="s">
        <v>1086</v>
      </c>
      <c r="T451" t="s">
        <v>1087</v>
      </c>
      <c r="U451" t="s">
        <v>1088</v>
      </c>
      <c r="W451" t="s">
        <v>1089</v>
      </c>
      <c r="X451">
        <v>31210</v>
      </c>
      <c r="Y451" t="s">
        <v>835</v>
      </c>
      <c r="Z451" t="s">
        <v>1090</v>
      </c>
      <c r="AA451">
        <v>4047198063</v>
      </c>
      <c r="AB451" t="b">
        <v>1</v>
      </c>
      <c r="AC451" t="s">
        <v>1091</v>
      </c>
      <c r="AD451" t="s">
        <v>366</v>
      </c>
    </row>
    <row r="452" spans="1:30" x14ac:dyDescent="0.15">
      <c r="A452" s="788" t="s">
        <v>1094</v>
      </c>
      <c r="B452" t="s">
        <v>1095</v>
      </c>
      <c r="C452" s="884">
        <v>45920</v>
      </c>
      <c r="D452" s="884">
        <v>45921</v>
      </c>
      <c r="E452" t="s">
        <v>289</v>
      </c>
      <c r="F452" t="s">
        <v>290</v>
      </c>
      <c r="H452" t="s">
        <v>305</v>
      </c>
      <c r="I452" s="885">
        <v>45897.512916666667</v>
      </c>
      <c r="L452" t="s">
        <v>274</v>
      </c>
      <c r="M452" t="s">
        <v>265</v>
      </c>
      <c r="N452" t="s">
        <v>641</v>
      </c>
      <c r="O452" t="s">
        <v>267</v>
      </c>
      <c r="P452" s="885">
        <v>45897.514641203707</v>
      </c>
      <c r="R452" t="s">
        <v>1095</v>
      </c>
      <c r="S452" t="s">
        <v>1096</v>
      </c>
      <c r="T452" t="s">
        <v>1097</v>
      </c>
      <c r="U452" t="s">
        <v>1098</v>
      </c>
      <c r="W452" t="s">
        <v>1099</v>
      </c>
      <c r="X452" t="s">
        <v>1100</v>
      </c>
      <c r="Y452" t="s">
        <v>434</v>
      </c>
      <c r="Z452" t="s">
        <v>1101</v>
      </c>
      <c r="AA452">
        <v>5193709203</v>
      </c>
      <c r="AB452" t="b">
        <v>0</v>
      </c>
      <c r="AC452" t="s">
        <v>1102</v>
      </c>
    </row>
    <row r="453" spans="1:30" x14ac:dyDescent="0.15">
      <c r="A453" s="788" t="s">
        <v>1107</v>
      </c>
      <c r="B453" t="s">
        <v>1108</v>
      </c>
      <c r="C453" s="884">
        <v>46021</v>
      </c>
      <c r="D453" s="884">
        <v>46023</v>
      </c>
      <c r="E453" t="s">
        <v>289</v>
      </c>
      <c r="F453" t="s">
        <v>290</v>
      </c>
      <c r="H453" t="s">
        <v>305</v>
      </c>
      <c r="I453" s="885">
        <v>45897.833680555559</v>
      </c>
      <c r="J453" s="885">
        <v>45902.485891203702</v>
      </c>
      <c r="L453" t="s">
        <v>720</v>
      </c>
      <c r="M453" t="s">
        <v>265</v>
      </c>
      <c r="N453" t="s">
        <v>462</v>
      </c>
      <c r="O453" t="s">
        <v>267</v>
      </c>
      <c r="P453" s="885">
        <v>45902.490162037036</v>
      </c>
      <c r="R453" t="s">
        <v>1108</v>
      </c>
      <c r="S453" t="s">
        <v>1109</v>
      </c>
      <c r="T453" t="s">
        <v>1110</v>
      </c>
      <c r="U453" t="s">
        <v>1111</v>
      </c>
      <c r="X453">
        <v>0</v>
      </c>
      <c r="Y453" t="s">
        <v>1112</v>
      </c>
      <c r="Z453" t="s">
        <v>1113</v>
      </c>
      <c r="AA453">
        <v>971545404149</v>
      </c>
      <c r="AB453" t="b">
        <v>0</v>
      </c>
      <c r="AC453" t="s">
        <v>1102</v>
      </c>
    </row>
    <row r="454" spans="1:30" x14ac:dyDescent="0.15">
      <c r="A454" s="788" t="s">
        <v>1140</v>
      </c>
      <c r="B454" t="s">
        <v>1141</v>
      </c>
      <c r="C454" s="884">
        <v>45907</v>
      </c>
      <c r="D454" s="884">
        <v>45909</v>
      </c>
      <c r="E454" t="s">
        <v>289</v>
      </c>
      <c r="F454" t="s">
        <v>290</v>
      </c>
      <c r="H454" t="s">
        <v>1142</v>
      </c>
      <c r="I454" s="885">
        <v>45903.731087962966</v>
      </c>
      <c r="L454" t="s">
        <v>274</v>
      </c>
      <c r="M454" t="s">
        <v>265</v>
      </c>
      <c r="N454" t="s">
        <v>1143</v>
      </c>
      <c r="O454" t="s">
        <v>267</v>
      </c>
      <c r="P454" s="885">
        <v>45903.734236111108</v>
      </c>
      <c r="R454" t="s">
        <v>1141</v>
      </c>
      <c r="S454" t="s">
        <v>1144</v>
      </c>
      <c r="T454" t="s">
        <v>1145</v>
      </c>
      <c r="U454" t="s">
        <v>1146</v>
      </c>
      <c r="V454">
        <v>39</v>
      </c>
      <c r="W454" t="s">
        <v>1147</v>
      </c>
      <c r="X454" t="s">
        <v>1148</v>
      </c>
      <c r="Y454" t="s">
        <v>434</v>
      </c>
      <c r="Z454" t="s">
        <v>1149</v>
      </c>
      <c r="AA454">
        <v>6046445258</v>
      </c>
      <c r="AB454" t="b">
        <v>0</v>
      </c>
      <c r="AC454" t="s">
        <v>1150</v>
      </c>
      <c r="AD454" t="s">
        <v>1151</v>
      </c>
    </row>
    <row r="455" spans="1:30" x14ac:dyDescent="0.15">
      <c r="A455" s="788" t="s">
        <v>1156</v>
      </c>
      <c r="B455" t="s">
        <v>1157</v>
      </c>
      <c r="C455" s="884">
        <v>45904</v>
      </c>
      <c r="D455" s="884">
        <v>45905</v>
      </c>
      <c r="E455" t="s">
        <v>289</v>
      </c>
      <c r="F455" t="s">
        <v>290</v>
      </c>
      <c r="H455" t="s">
        <v>305</v>
      </c>
      <c r="I455" s="885">
        <v>45903.956006944441</v>
      </c>
      <c r="L455" t="s">
        <v>274</v>
      </c>
      <c r="M455" t="s">
        <v>265</v>
      </c>
      <c r="N455" t="s">
        <v>1158</v>
      </c>
      <c r="O455" t="s">
        <v>267</v>
      </c>
      <c r="P455" s="885">
        <v>45903.957337962966</v>
      </c>
      <c r="R455" t="s">
        <v>1157</v>
      </c>
      <c r="S455" t="s">
        <v>1159</v>
      </c>
      <c r="T455" t="s">
        <v>1160</v>
      </c>
      <c r="U455" t="s">
        <v>1161</v>
      </c>
      <c r="V455" t="s">
        <v>1162</v>
      </c>
      <c r="W455" t="s">
        <v>298</v>
      </c>
      <c r="X455">
        <v>7806</v>
      </c>
      <c r="Y455" t="s">
        <v>299</v>
      </c>
      <c r="Z455" t="s">
        <v>1163</v>
      </c>
      <c r="AA455">
        <v>604966368</v>
      </c>
      <c r="AB455" t="b">
        <v>1</v>
      </c>
      <c r="AC455" t="s">
        <v>1150</v>
      </c>
    </row>
    <row r="456" spans="1:30" x14ac:dyDescent="0.15">
      <c r="A456" s="788" t="s">
        <v>1173</v>
      </c>
      <c r="B456" t="s">
        <v>1174</v>
      </c>
      <c r="C456" s="884">
        <v>45910</v>
      </c>
      <c r="D456" s="884">
        <v>45911</v>
      </c>
      <c r="E456" t="s">
        <v>289</v>
      </c>
      <c r="F456" t="s">
        <v>290</v>
      </c>
      <c r="H456" t="s">
        <v>305</v>
      </c>
      <c r="I456" s="885">
        <v>45906.84375</v>
      </c>
      <c r="L456" t="s">
        <v>274</v>
      </c>
      <c r="M456" t="s">
        <v>265</v>
      </c>
      <c r="N456" t="s">
        <v>641</v>
      </c>
      <c r="O456" t="s">
        <v>267</v>
      </c>
      <c r="P456" s="885">
        <v>45906.845000000001</v>
      </c>
      <c r="R456" t="s">
        <v>1174</v>
      </c>
      <c r="S456" t="s">
        <v>1175</v>
      </c>
      <c r="T456" t="s">
        <v>1176</v>
      </c>
      <c r="U456" t="s">
        <v>1177</v>
      </c>
      <c r="W456" t="s">
        <v>298</v>
      </c>
      <c r="X456">
        <v>7646</v>
      </c>
      <c r="Y456" t="s">
        <v>299</v>
      </c>
      <c r="Z456" t="s">
        <v>1178</v>
      </c>
      <c r="AA456">
        <v>824567889</v>
      </c>
      <c r="AB456" t="b">
        <v>0</v>
      </c>
      <c r="AC456" t="s">
        <v>1179</v>
      </c>
    </row>
    <row r="457" spans="1:30" x14ac:dyDescent="0.15">
      <c r="A457" s="788" t="s">
        <v>1192</v>
      </c>
      <c r="B457" t="s">
        <v>1193</v>
      </c>
      <c r="C457" s="884">
        <v>46067</v>
      </c>
      <c r="D457" s="884">
        <v>46070</v>
      </c>
      <c r="E457" t="s">
        <v>289</v>
      </c>
      <c r="F457" t="s">
        <v>290</v>
      </c>
      <c r="H457" t="s">
        <v>1194</v>
      </c>
      <c r="I457" s="885">
        <v>45910.841215277775</v>
      </c>
      <c r="L457" t="s">
        <v>274</v>
      </c>
      <c r="M457" t="s">
        <v>265</v>
      </c>
      <c r="N457" t="s">
        <v>1195</v>
      </c>
      <c r="O457" t="s">
        <v>267</v>
      </c>
      <c r="P457" s="885">
        <v>45910.845648148148</v>
      </c>
      <c r="R457" t="s">
        <v>1193</v>
      </c>
      <c r="S457" t="s">
        <v>865</v>
      </c>
      <c r="T457" t="s">
        <v>1196</v>
      </c>
      <c r="U457" t="s">
        <v>1197</v>
      </c>
      <c r="W457" t="s">
        <v>1198</v>
      </c>
      <c r="X457">
        <v>4321</v>
      </c>
      <c r="Y457" t="s">
        <v>1198</v>
      </c>
      <c r="Z457" t="s">
        <v>1199</v>
      </c>
      <c r="AA457">
        <v>46908507</v>
      </c>
      <c r="AB457" t="b">
        <v>0</v>
      </c>
      <c r="AC457" t="s">
        <v>1200</v>
      </c>
      <c r="AD457" t="s">
        <v>1062</v>
      </c>
    </row>
    <row r="458" spans="1:30" x14ac:dyDescent="0.15">
      <c r="A458" s="788" t="s">
        <v>1205</v>
      </c>
      <c r="B458" t="s">
        <v>1206</v>
      </c>
      <c r="C458" s="884">
        <v>45920</v>
      </c>
      <c r="D458" s="884">
        <v>45922</v>
      </c>
      <c r="E458" t="s">
        <v>289</v>
      </c>
      <c r="F458" t="s">
        <v>290</v>
      </c>
      <c r="H458" t="s">
        <v>1142</v>
      </c>
      <c r="I458" s="885">
        <v>45912.429108796299</v>
      </c>
      <c r="L458" t="s">
        <v>274</v>
      </c>
      <c r="M458" t="s">
        <v>279</v>
      </c>
      <c r="N458" t="s">
        <v>1207</v>
      </c>
      <c r="O458" t="s">
        <v>267</v>
      </c>
      <c r="P458" s="885">
        <v>45912.433217592596</v>
      </c>
      <c r="R458" t="s">
        <v>1206</v>
      </c>
      <c r="S458" t="s">
        <v>1208</v>
      </c>
      <c r="T458" t="s">
        <v>1209</v>
      </c>
      <c r="U458" t="s">
        <v>1210</v>
      </c>
      <c r="V458" t="s">
        <v>1211</v>
      </c>
      <c r="W458" t="s">
        <v>749</v>
      </c>
      <c r="X458">
        <v>3610</v>
      </c>
      <c r="Y458" t="s">
        <v>299</v>
      </c>
      <c r="Z458" t="s">
        <v>1212</v>
      </c>
      <c r="AA458">
        <v>823250236</v>
      </c>
      <c r="AB458" t="b">
        <v>1</v>
      </c>
      <c r="AC458" t="s">
        <v>1213</v>
      </c>
      <c r="AD458" t="s">
        <v>1151</v>
      </c>
    </row>
    <row r="459" spans="1:30" x14ac:dyDescent="0.15">
      <c r="A459" s="788" t="s">
        <v>1214</v>
      </c>
      <c r="B459" t="s">
        <v>1215</v>
      </c>
      <c r="C459" s="884">
        <v>46026</v>
      </c>
      <c r="D459" s="884">
        <v>46028</v>
      </c>
      <c r="E459" t="s">
        <v>289</v>
      </c>
      <c r="F459" t="s">
        <v>290</v>
      </c>
      <c r="H459" t="s">
        <v>482</v>
      </c>
      <c r="I459" s="885">
        <v>45912.599548611113</v>
      </c>
      <c r="L459" t="s">
        <v>274</v>
      </c>
      <c r="M459" t="s">
        <v>265</v>
      </c>
      <c r="N459" t="s">
        <v>1216</v>
      </c>
      <c r="O459" t="s">
        <v>267</v>
      </c>
      <c r="P459" s="885">
        <v>45912.603078703702</v>
      </c>
      <c r="R459" t="s">
        <v>1215</v>
      </c>
      <c r="S459" t="s">
        <v>1217</v>
      </c>
      <c r="T459" t="s">
        <v>1218</v>
      </c>
      <c r="U459" t="s">
        <v>1219</v>
      </c>
      <c r="X459">
        <v>10439</v>
      </c>
      <c r="Y459" t="s">
        <v>348</v>
      </c>
      <c r="Z459" t="s">
        <v>1220</v>
      </c>
      <c r="AA459">
        <v>15782656302</v>
      </c>
      <c r="AB459" t="b">
        <v>0</v>
      </c>
      <c r="AC459" t="s">
        <v>1213</v>
      </c>
    </row>
    <row r="460" spans="1:30" x14ac:dyDescent="0.15">
      <c r="A460" s="788" t="s">
        <v>1243</v>
      </c>
      <c r="B460" t="s">
        <v>1244</v>
      </c>
      <c r="C460" s="884">
        <v>45971</v>
      </c>
      <c r="D460" s="884">
        <v>45972</v>
      </c>
      <c r="E460" t="s">
        <v>289</v>
      </c>
      <c r="F460" t="s">
        <v>290</v>
      </c>
      <c r="H460" t="s">
        <v>1245</v>
      </c>
      <c r="I460" s="885">
        <v>45915.649351851855</v>
      </c>
      <c r="L460" t="s">
        <v>274</v>
      </c>
      <c r="M460" t="s">
        <v>292</v>
      </c>
      <c r="N460" t="s">
        <v>547</v>
      </c>
      <c r="O460" t="s">
        <v>267</v>
      </c>
      <c r="P460" s="885">
        <v>45915.651828703703</v>
      </c>
      <c r="R460" t="s">
        <v>1244</v>
      </c>
      <c r="S460" t="s">
        <v>1246</v>
      </c>
      <c r="T460" t="s">
        <v>1247</v>
      </c>
      <c r="U460" t="s">
        <v>1248</v>
      </c>
      <c r="X460">
        <v>45632</v>
      </c>
      <c r="Y460" t="s">
        <v>1009</v>
      </c>
      <c r="Z460" t="s">
        <v>1249</v>
      </c>
      <c r="AA460">
        <v>46706896991</v>
      </c>
      <c r="AB460" t="b">
        <v>1</v>
      </c>
      <c r="AC460" t="s">
        <v>1250</v>
      </c>
    </row>
    <row r="461" spans="1:30" x14ac:dyDescent="0.15">
      <c r="A461" s="788" t="s">
        <v>1295</v>
      </c>
      <c r="B461" t="s">
        <v>1296</v>
      </c>
      <c r="C461" s="884">
        <v>46038</v>
      </c>
      <c r="D461" s="884">
        <v>46042</v>
      </c>
      <c r="E461" t="s">
        <v>289</v>
      </c>
      <c r="F461" t="s">
        <v>304</v>
      </c>
      <c r="H461" t="s">
        <v>320</v>
      </c>
      <c r="I461" s="885">
        <v>45922.616249999999</v>
      </c>
      <c r="K461" s="885">
        <v>45922.717557870368</v>
      </c>
      <c r="L461" t="s">
        <v>264</v>
      </c>
      <c r="M461" t="s">
        <v>265</v>
      </c>
      <c r="N461" t="s">
        <v>1297</v>
      </c>
      <c r="O461" t="s">
        <v>267</v>
      </c>
      <c r="P461" s="885">
        <v>45922.719444444447</v>
      </c>
      <c r="R461" t="s">
        <v>1296</v>
      </c>
      <c r="S461" t="s">
        <v>1298</v>
      </c>
      <c r="T461" t="s">
        <v>1299</v>
      </c>
      <c r="U461" t="s">
        <v>1300</v>
      </c>
      <c r="V461" t="s">
        <v>1301</v>
      </c>
      <c r="X461" t="s">
        <v>1302</v>
      </c>
      <c r="Y461" t="s">
        <v>327</v>
      </c>
      <c r="Z461" t="s">
        <v>1303</v>
      </c>
      <c r="AA461">
        <v>447973915655</v>
      </c>
      <c r="AB461" t="b">
        <v>0</v>
      </c>
      <c r="AC461" t="s">
        <v>1304</v>
      </c>
    </row>
    <row r="462" spans="1:30" x14ac:dyDescent="0.15">
      <c r="A462" s="788" t="s">
        <v>1308</v>
      </c>
      <c r="B462" t="s">
        <v>1296</v>
      </c>
      <c r="C462" s="884">
        <v>46038</v>
      </c>
      <c r="D462" s="884">
        <v>46042</v>
      </c>
      <c r="E462" t="s">
        <v>289</v>
      </c>
      <c r="F462" t="s">
        <v>304</v>
      </c>
      <c r="H462" t="s">
        <v>560</v>
      </c>
      <c r="I462" s="885">
        <v>45923.573310185187</v>
      </c>
      <c r="L462" t="s">
        <v>274</v>
      </c>
      <c r="M462" t="s">
        <v>265</v>
      </c>
      <c r="N462" t="s">
        <v>1309</v>
      </c>
      <c r="O462" t="s">
        <v>267</v>
      </c>
      <c r="P462" s="885">
        <v>45923.577233796299</v>
      </c>
      <c r="R462" t="s">
        <v>1296</v>
      </c>
      <c r="S462" t="s">
        <v>1298</v>
      </c>
      <c r="T462" t="s">
        <v>1299</v>
      </c>
      <c r="U462" t="s">
        <v>1300</v>
      </c>
      <c r="V462" t="s">
        <v>1301</v>
      </c>
      <c r="X462" t="s">
        <v>1302</v>
      </c>
      <c r="Y462" t="s">
        <v>327</v>
      </c>
      <c r="Z462" t="s">
        <v>1303</v>
      </c>
      <c r="AA462">
        <v>447973915655</v>
      </c>
      <c r="AB462" t="b">
        <v>0</v>
      </c>
      <c r="AC462" t="s">
        <v>1310</v>
      </c>
    </row>
    <row r="463" spans="1:30" x14ac:dyDescent="0.15">
      <c r="A463" s="788" t="s">
        <v>1353</v>
      </c>
      <c r="B463" t="s">
        <v>1354</v>
      </c>
      <c r="C463" s="884">
        <v>45932</v>
      </c>
      <c r="D463" s="884">
        <v>45933</v>
      </c>
      <c r="E463" t="s">
        <v>289</v>
      </c>
      <c r="F463" t="s">
        <v>290</v>
      </c>
      <c r="H463" t="s">
        <v>482</v>
      </c>
      <c r="I463" s="885">
        <v>45931.350254629629</v>
      </c>
      <c r="L463" t="s">
        <v>274</v>
      </c>
      <c r="M463" t="s">
        <v>279</v>
      </c>
      <c r="N463" t="s">
        <v>575</v>
      </c>
      <c r="O463" t="s">
        <v>267</v>
      </c>
      <c r="P463" s="885">
        <v>45931.352870370371</v>
      </c>
      <c r="R463" t="s">
        <v>1354</v>
      </c>
      <c r="S463" t="s">
        <v>1355</v>
      </c>
      <c r="T463" t="s">
        <v>1356</v>
      </c>
      <c r="U463" t="s">
        <v>1357</v>
      </c>
      <c r="V463" t="s">
        <v>1358</v>
      </c>
      <c r="X463">
        <v>2194</v>
      </c>
      <c r="Y463" t="s">
        <v>299</v>
      </c>
      <c r="Z463" t="s">
        <v>1359</v>
      </c>
      <c r="AA463">
        <v>824175404</v>
      </c>
      <c r="AB463" t="b">
        <v>0</v>
      </c>
      <c r="AC463" t="s">
        <v>1360</v>
      </c>
    </row>
    <row r="464" spans="1:30" x14ac:dyDescent="0.15">
      <c r="A464" s="788" t="s">
        <v>1373</v>
      </c>
      <c r="B464" t="s">
        <v>1374</v>
      </c>
      <c r="C464" s="884">
        <v>45937</v>
      </c>
      <c r="D464" s="884">
        <v>45938</v>
      </c>
      <c r="E464" t="s">
        <v>289</v>
      </c>
      <c r="F464" t="s">
        <v>304</v>
      </c>
      <c r="H464" t="s">
        <v>305</v>
      </c>
      <c r="I464" s="885">
        <v>45933.403425925928</v>
      </c>
      <c r="L464" t="s">
        <v>274</v>
      </c>
      <c r="M464" t="s">
        <v>265</v>
      </c>
      <c r="N464" t="s">
        <v>641</v>
      </c>
      <c r="O464" t="s">
        <v>267</v>
      </c>
      <c r="P464" s="885">
        <v>45933.405462962961</v>
      </c>
      <c r="R464" t="s">
        <v>1374</v>
      </c>
      <c r="S464" t="s">
        <v>1375</v>
      </c>
      <c r="T464" t="s">
        <v>1376</v>
      </c>
      <c r="U464" t="s">
        <v>1377</v>
      </c>
      <c r="W464" t="s">
        <v>298</v>
      </c>
      <c r="X464">
        <v>8005</v>
      </c>
      <c r="Y464" t="s">
        <v>299</v>
      </c>
      <c r="Z464" t="s">
        <v>1378</v>
      </c>
      <c r="AA464">
        <v>491755272555</v>
      </c>
      <c r="AB464" t="b">
        <v>1</v>
      </c>
      <c r="AC464" t="s">
        <v>1379</v>
      </c>
    </row>
    <row r="465" spans="1:29" x14ac:dyDescent="0.15">
      <c r="A465" s="788" t="s">
        <v>1383</v>
      </c>
      <c r="B465" t="s">
        <v>1384</v>
      </c>
      <c r="C465" s="884">
        <v>46075</v>
      </c>
      <c r="D465" s="884">
        <v>46078</v>
      </c>
      <c r="E465" t="s">
        <v>289</v>
      </c>
      <c r="F465" t="s">
        <v>304</v>
      </c>
      <c r="H465" t="s">
        <v>305</v>
      </c>
      <c r="I465" s="885">
        <v>45934.427384259259</v>
      </c>
      <c r="J465" s="885">
        <v>45944.309849537036</v>
      </c>
      <c r="L465" t="s">
        <v>720</v>
      </c>
      <c r="M465" t="s">
        <v>265</v>
      </c>
      <c r="N465" t="s">
        <v>1385</v>
      </c>
      <c r="O465" t="s">
        <v>267</v>
      </c>
      <c r="P465" s="885">
        <v>45944.31322916667</v>
      </c>
      <c r="R465" t="s">
        <v>1384</v>
      </c>
      <c r="S465" t="s">
        <v>1386</v>
      </c>
      <c r="T465" t="s">
        <v>1387</v>
      </c>
      <c r="U465" t="s">
        <v>1388</v>
      </c>
      <c r="X465">
        <v>6044</v>
      </c>
      <c r="Y465" t="s">
        <v>704</v>
      </c>
      <c r="Z465" t="s">
        <v>1389</v>
      </c>
      <c r="AA465">
        <v>41787598471</v>
      </c>
      <c r="AB465" t="b">
        <v>0</v>
      </c>
      <c r="AC465" t="s">
        <v>1390</v>
      </c>
    </row>
    <row r="466" spans="1:29" x14ac:dyDescent="0.15">
      <c r="A466" s="788" t="s">
        <v>1396</v>
      </c>
      <c r="B466" t="s">
        <v>1397</v>
      </c>
      <c r="C466" s="884">
        <v>45937</v>
      </c>
      <c r="D466" s="884">
        <v>45938</v>
      </c>
      <c r="E466" t="s">
        <v>289</v>
      </c>
      <c r="F466" t="s">
        <v>290</v>
      </c>
      <c r="H466" t="s">
        <v>305</v>
      </c>
      <c r="I466" s="885">
        <v>45934.850659722222</v>
      </c>
      <c r="L466" t="s">
        <v>274</v>
      </c>
      <c r="M466" t="s">
        <v>265</v>
      </c>
      <c r="N466" t="s">
        <v>641</v>
      </c>
      <c r="O466" t="s">
        <v>267</v>
      </c>
      <c r="P466" s="885">
        <v>45934.852118055554</v>
      </c>
      <c r="R466" t="s">
        <v>1397</v>
      </c>
      <c r="S466" t="s">
        <v>322</v>
      </c>
      <c r="T466" t="s">
        <v>1398</v>
      </c>
      <c r="U466" t="s">
        <v>1399</v>
      </c>
      <c r="V466" t="s">
        <v>1400</v>
      </c>
      <c r="X466">
        <v>7130</v>
      </c>
      <c r="Y466" t="s">
        <v>299</v>
      </c>
      <c r="Z466" t="s">
        <v>1401</v>
      </c>
      <c r="AA466">
        <v>832755375</v>
      </c>
      <c r="AB466" t="b">
        <v>0</v>
      </c>
      <c r="AC466" t="s">
        <v>1390</v>
      </c>
    </row>
    <row r="467" spans="1:29" x14ac:dyDescent="0.15">
      <c r="A467" s="788" t="s">
        <v>1402</v>
      </c>
      <c r="B467" t="s">
        <v>1403</v>
      </c>
      <c r="C467" s="884">
        <v>46003</v>
      </c>
      <c r="D467" s="884">
        <v>46005</v>
      </c>
      <c r="E467" t="s">
        <v>289</v>
      </c>
      <c r="F467" t="s">
        <v>290</v>
      </c>
      <c r="H467" t="s">
        <v>482</v>
      </c>
      <c r="I467" s="885">
        <v>45935.124988425923</v>
      </c>
      <c r="L467" t="s">
        <v>274</v>
      </c>
      <c r="M467" t="s">
        <v>265</v>
      </c>
      <c r="N467" t="s">
        <v>1404</v>
      </c>
      <c r="O467" t="s">
        <v>267</v>
      </c>
      <c r="P467" s="885">
        <v>45935.130358796298</v>
      </c>
      <c r="R467" t="s">
        <v>1403</v>
      </c>
      <c r="S467" t="s">
        <v>1405</v>
      </c>
      <c r="T467" t="s">
        <v>1406</v>
      </c>
      <c r="U467" t="s">
        <v>1407</v>
      </c>
      <c r="W467" t="s">
        <v>1099</v>
      </c>
      <c r="X467" t="s">
        <v>1408</v>
      </c>
      <c r="Y467" t="s">
        <v>434</v>
      </c>
      <c r="Z467" t="s">
        <v>1409</v>
      </c>
      <c r="AA467">
        <v>4152718657</v>
      </c>
      <c r="AB467" t="b">
        <v>0</v>
      </c>
      <c r="AC467" t="s">
        <v>1410</v>
      </c>
    </row>
    <row r="468" spans="1:29" x14ac:dyDescent="0.15">
      <c r="A468" s="788" t="s">
        <v>1411</v>
      </c>
      <c r="B468" t="s">
        <v>1412</v>
      </c>
      <c r="C468" s="884">
        <v>45962</v>
      </c>
      <c r="D468" s="884">
        <v>45964</v>
      </c>
      <c r="E468" t="s">
        <v>289</v>
      </c>
      <c r="F468" t="s">
        <v>290</v>
      </c>
      <c r="H468" t="s">
        <v>305</v>
      </c>
      <c r="I468" s="885">
        <v>45935.431446759256</v>
      </c>
      <c r="L468" t="s">
        <v>274</v>
      </c>
      <c r="M468" t="s">
        <v>265</v>
      </c>
      <c r="N468" t="s">
        <v>547</v>
      </c>
      <c r="O468" t="s">
        <v>267</v>
      </c>
      <c r="P468" s="885">
        <v>45935.435162037036</v>
      </c>
      <c r="R468" t="s">
        <v>1412</v>
      </c>
      <c r="S468" t="s">
        <v>1413</v>
      </c>
      <c r="T468" t="s">
        <v>1414</v>
      </c>
      <c r="U468" t="s">
        <v>1415</v>
      </c>
      <c r="V468" t="s">
        <v>1416</v>
      </c>
      <c r="X468" t="s">
        <v>1417</v>
      </c>
      <c r="Y468" t="s">
        <v>477</v>
      </c>
      <c r="Z468" t="s">
        <v>1418</v>
      </c>
      <c r="AA468">
        <v>651562064</v>
      </c>
      <c r="AB468" t="b">
        <v>0</v>
      </c>
      <c r="AC468" t="s">
        <v>1410</v>
      </c>
    </row>
    <row r="469" spans="1:29" x14ac:dyDescent="0.15">
      <c r="A469" s="788" t="s">
        <v>1423</v>
      </c>
      <c r="B469" t="s">
        <v>1424</v>
      </c>
      <c r="C469" s="884">
        <v>46082</v>
      </c>
      <c r="D469" s="884">
        <v>46087</v>
      </c>
      <c r="E469" t="s">
        <v>289</v>
      </c>
      <c r="F469" t="s">
        <v>304</v>
      </c>
      <c r="H469" t="s">
        <v>320</v>
      </c>
      <c r="I469" s="885">
        <v>45935.72347222222</v>
      </c>
      <c r="K469" s="885">
        <v>45935.731319444443</v>
      </c>
      <c r="L469" t="s">
        <v>264</v>
      </c>
      <c r="M469" t="s">
        <v>265</v>
      </c>
      <c r="N469" t="s">
        <v>1425</v>
      </c>
      <c r="O469" t="s">
        <v>267</v>
      </c>
      <c r="P469" s="885">
        <v>45935.734270833331</v>
      </c>
      <c r="R469" t="s">
        <v>1424</v>
      </c>
      <c r="S469" t="s">
        <v>1426</v>
      </c>
      <c r="T469" t="s">
        <v>1427</v>
      </c>
      <c r="U469" t="s">
        <v>1428</v>
      </c>
      <c r="X469">
        <v>53757</v>
      </c>
      <c r="Y469" t="s">
        <v>348</v>
      </c>
      <c r="Z469" t="s">
        <v>1429</v>
      </c>
      <c r="AA469">
        <v>491729113555</v>
      </c>
      <c r="AB469" t="b">
        <v>0</v>
      </c>
      <c r="AC469" t="s">
        <v>1410</v>
      </c>
    </row>
    <row r="470" spans="1:29" x14ac:dyDescent="0.15">
      <c r="A470" s="788" t="s">
        <v>1430</v>
      </c>
      <c r="B470" t="s">
        <v>1431</v>
      </c>
      <c r="C470" s="884">
        <v>46023</v>
      </c>
      <c r="D470" s="884">
        <v>46027</v>
      </c>
      <c r="E470" t="s">
        <v>289</v>
      </c>
      <c r="F470" t="s">
        <v>290</v>
      </c>
      <c r="H470" t="s">
        <v>320</v>
      </c>
      <c r="I470" s="885">
        <v>45935.90829861111</v>
      </c>
      <c r="K470" s="885">
        <v>45950.985254629632</v>
      </c>
      <c r="L470" t="s">
        <v>264</v>
      </c>
      <c r="M470" s="884">
        <v>36527</v>
      </c>
      <c r="N470" t="s">
        <v>1432</v>
      </c>
      <c r="O470" t="s">
        <v>267</v>
      </c>
      <c r="P470" s="885">
        <v>45950.988333333335</v>
      </c>
      <c r="R470" t="s">
        <v>1431</v>
      </c>
      <c r="S470" t="s">
        <v>1433</v>
      </c>
      <c r="T470" t="s">
        <v>1434</v>
      </c>
      <c r="U470" t="s">
        <v>1435</v>
      </c>
      <c r="W470" t="s">
        <v>1436</v>
      </c>
      <c r="X470" t="s">
        <v>1437</v>
      </c>
      <c r="Y470" t="s">
        <v>327</v>
      </c>
      <c r="Z470" t="s">
        <v>1438</v>
      </c>
      <c r="AA470">
        <v>7771743975</v>
      </c>
      <c r="AB470" t="b">
        <v>0</v>
      </c>
      <c r="AC470" t="s">
        <v>1410</v>
      </c>
    </row>
    <row r="471" spans="1:29" x14ac:dyDescent="0.15">
      <c r="A471" s="788" t="s">
        <v>1451</v>
      </c>
      <c r="B471" t="s">
        <v>1452</v>
      </c>
      <c r="C471" s="884">
        <v>46021</v>
      </c>
      <c r="D471" s="884">
        <v>46023</v>
      </c>
      <c r="E471" t="s">
        <v>289</v>
      </c>
      <c r="F471" t="s">
        <v>290</v>
      </c>
      <c r="H471" t="s">
        <v>1453</v>
      </c>
      <c r="I471" s="885">
        <v>45938.480555555558</v>
      </c>
      <c r="K471" s="885">
        <v>45943.526504629626</v>
      </c>
      <c r="L471" t="s">
        <v>264</v>
      </c>
      <c r="M471" t="s">
        <v>1454</v>
      </c>
      <c r="N471" t="s">
        <v>1455</v>
      </c>
      <c r="O471" t="s">
        <v>267</v>
      </c>
      <c r="P471" s="885">
        <v>45943.528182870374</v>
      </c>
      <c r="R471" t="s">
        <v>1452</v>
      </c>
      <c r="S471" t="s">
        <v>1456</v>
      </c>
      <c r="T471" t="s">
        <v>1457</v>
      </c>
      <c r="U471" t="s">
        <v>1458</v>
      </c>
      <c r="X471">
        <v>2531</v>
      </c>
      <c r="Y471" t="s">
        <v>299</v>
      </c>
      <c r="Z471" t="s">
        <v>1459</v>
      </c>
      <c r="AA471">
        <v>786742072</v>
      </c>
      <c r="AB471" t="b">
        <v>1</v>
      </c>
      <c r="AC471" t="s">
        <v>1460</v>
      </c>
    </row>
    <row r="472" spans="1:29" x14ac:dyDescent="0.15">
      <c r="A472" s="788" t="s">
        <v>1491</v>
      </c>
      <c r="B472" t="s">
        <v>1492</v>
      </c>
      <c r="C472" s="884">
        <v>45975</v>
      </c>
      <c r="D472" s="884">
        <v>45979</v>
      </c>
      <c r="E472" t="s">
        <v>289</v>
      </c>
      <c r="F472" t="s">
        <v>290</v>
      </c>
      <c r="H472" t="s">
        <v>320</v>
      </c>
      <c r="I472" s="885">
        <v>45944.703194444446</v>
      </c>
      <c r="L472" t="s">
        <v>274</v>
      </c>
      <c r="M472" t="s">
        <v>265</v>
      </c>
      <c r="N472" t="s">
        <v>1493</v>
      </c>
      <c r="O472" t="s">
        <v>267</v>
      </c>
      <c r="P472" s="885">
        <v>45944.704976851855</v>
      </c>
      <c r="R472" t="s">
        <v>1492</v>
      </c>
      <c r="S472" t="s">
        <v>1494</v>
      </c>
      <c r="T472" t="s">
        <v>1495</v>
      </c>
      <c r="U472" t="s">
        <v>1496</v>
      </c>
      <c r="W472" t="s">
        <v>1497</v>
      </c>
      <c r="X472">
        <v>26131</v>
      </c>
      <c r="Y472" t="s">
        <v>348</v>
      </c>
      <c r="Z472" t="s">
        <v>1498</v>
      </c>
      <c r="AA472">
        <v>491716241793</v>
      </c>
      <c r="AB472" t="b">
        <v>1</v>
      </c>
      <c r="AC472" t="s">
        <v>1499</v>
      </c>
    </row>
    <row r="473" spans="1:29" x14ac:dyDescent="0.15">
      <c r="A473" s="788" t="s">
        <v>1513</v>
      </c>
      <c r="B473" t="s">
        <v>1514</v>
      </c>
      <c r="C473" s="884">
        <v>45950</v>
      </c>
      <c r="D473" s="884">
        <v>45952</v>
      </c>
      <c r="E473" t="s">
        <v>289</v>
      </c>
      <c r="F473" t="s">
        <v>290</v>
      </c>
      <c r="H473" t="s">
        <v>482</v>
      </c>
      <c r="I473" s="885">
        <v>45947.544317129628</v>
      </c>
      <c r="L473" t="s">
        <v>274</v>
      </c>
      <c r="M473" t="s">
        <v>265</v>
      </c>
      <c r="N473" t="s">
        <v>1515</v>
      </c>
      <c r="O473" t="s">
        <v>267</v>
      </c>
      <c r="P473" s="885">
        <v>45947.546979166669</v>
      </c>
      <c r="R473" t="s">
        <v>1514</v>
      </c>
      <c r="S473" t="s">
        <v>1516</v>
      </c>
      <c r="T473" t="s">
        <v>1517</v>
      </c>
      <c r="U473" t="s">
        <v>1518</v>
      </c>
      <c r="X473">
        <v>7975</v>
      </c>
      <c r="Y473" t="s">
        <v>299</v>
      </c>
      <c r="Z473" t="s">
        <v>1519</v>
      </c>
      <c r="AA473">
        <v>722364209</v>
      </c>
      <c r="AB473" t="b">
        <v>0</v>
      </c>
      <c r="AC473" t="s">
        <v>1520</v>
      </c>
    </row>
    <row r="474" spans="1:29" x14ac:dyDescent="0.15">
      <c r="A474" s="788" t="s">
        <v>1523</v>
      </c>
      <c r="B474" t="s">
        <v>1524</v>
      </c>
      <c r="C474" s="884">
        <v>45953</v>
      </c>
      <c r="D474" s="884">
        <v>45954</v>
      </c>
      <c r="E474" t="s">
        <v>289</v>
      </c>
      <c r="F474" t="s">
        <v>304</v>
      </c>
      <c r="H474" t="s">
        <v>482</v>
      </c>
      <c r="I474" s="885">
        <v>45947.892627314817</v>
      </c>
      <c r="L474" t="s">
        <v>274</v>
      </c>
      <c r="M474" t="s">
        <v>265</v>
      </c>
      <c r="N474" t="s">
        <v>1525</v>
      </c>
      <c r="O474" t="s">
        <v>267</v>
      </c>
      <c r="P474" s="885">
        <v>45947.89503472222</v>
      </c>
      <c r="R474" t="s">
        <v>1524</v>
      </c>
      <c r="S474" t="s">
        <v>1526</v>
      </c>
      <c r="T474" t="s">
        <v>1527</v>
      </c>
      <c r="U474" t="s">
        <v>1528</v>
      </c>
      <c r="V474" t="s">
        <v>1529</v>
      </c>
      <c r="W474" t="s">
        <v>298</v>
      </c>
      <c r="X474">
        <v>7306</v>
      </c>
      <c r="Y474" t="s">
        <v>299</v>
      </c>
      <c r="Z474" t="s">
        <v>1530</v>
      </c>
      <c r="AA474">
        <v>27827792087</v>
      </c>
      <c r="AB474" t="b">
        <v>1</v>
      </c>
      <c r="AC474" t="s">
        <v>1520</v>
      </c>
    </row>
    <row r="475" spans="1:29" x14ac:dyDescent="0.15">
      <c r="A475" s="788" t="s">
        <v>1553</v>
      </c>
      <c r="B475" t="s">
        <v>1554</v>
      </c>
      <c r="C475" s="884">
        <v>46020</v>
      </c>
      <c r="D475" s="884">
        <v>46022</v>
      </c>
      <c r="E475" t="s">
        <v>289</v>
      </c>
      <c r="F475" t="s">
        <v>304</v>
      </c>
      <c r="H475" t="s">
        <v>560</v>
      </c>
      <c r="I475" s="885">
        <v>45951.114664351851</v>
      </c>
      <c r="L475" t="s">
        <v>274</v>
      </c>
      <c r="M475" t="s">
        <v>265</v>
      </c>
      <c r="N475" t="s">
        <v>1555</v>
      </c>
      <c r="O475" t="s">
        <v>267</v>
      </c>
      <c r="P475" s="885">
        <v>45951.117627314816</v>
      </c>
      <c r="R475" t="s">
        <v>1554</v>
      </c>
      <c r="S475" t="s">
        <v>1556</v>
      </c>
      <c r="T475" t="s">
        <v>1557</v>
      </c>
      <c r="U475" t="s">
        <v>1558</v>
      </c>
      <c r="W475" t="s">
        <v>1559</v>
      </c>
      <c r="X475">
        <v>6752</v>
      </c>
      <c r="Y475" t="s">
        <v>835</v>
      </c>
      <c r="Z475" t="s">
        <v>1560</v>
      </c>
      <c r="AA475">
        <v>18056375392</v>
      </c>
      <c r="AB475" t="b">
        <v>1</v>
      </c>
      <c r="AC475" t="s">
        <v>1561</v>
      </c>
    </row>
    <row r="476" spans="1:29" x14ac:dyDescent="0.15">
      <c r="A476" s="788" t="s">
        <v>1566</v>
      </c>
      <c r="B476" t="s">
        <v>1567</v>
      </c>
      <c r="C476" s="884">
        <v>45981</v>
      </c>
      <c r="D476" s="884">
        <v>45983</v>
      </c>
      <c r="E476" t="s">
        <v>289</v>
      </c>
      <c r="F476" t="s">
        <v>290</v>
      </c>
      <c r="H476" t="s">
        <v>305</v>
      </c>
      <c r="I476" s="885">
        <v>45951.452824074076</v>
      </c>
      <c r="L476" t="s">
        <v>274</v>
      </c>
      <c r="M476" t="s">
        <v>279</v>
      </c>
      <c r="N476" t="s">
        <v>547</v>
      </c>
      <c r="O476" t="s">
        <v>267</v>
      </c>
      <c r="P476" s="885">
        <v>45951.456701388888</v>
      </c>
      <c r="R476" t="s">
        <v>1567</v>
      </c>
      <c r="S476" t="s">
        <v>1568</v>
      </c>
      <c r="T476" t="s">
        <v>1569</v>
      </c>
      <c r="U476" t="s">
        <v>1570</v>
      </c>
      <c r="X476" t="s">
        <v>1571</v>
      </c>
      <c r="Y476" t="s">
        <v>327</v>
      </c>
      <c r="Z476" t="s">
        <v>1572</v>
      </c>
      <c r="AA476">
        <v>447540705754</v>
      </c>
      <c r="AB476" t="b">
        <v>0</v>
      </c>
      <c r="AC476" t="s">
        <v>1561</v>
      </c>
    </row>
    <row r="477" spans="1:29" x14ac:dyDescent="0.15">
      <c r="A477" s="788" t="s">
        <v>1573</v>
      </c>
      <c r="B477" t="s">
        <v>1574</v>
      </c>
      <c r="C477" s="884">
        <v>46056</v>
      </c>
      <c r="D477" s="884">
        <v>46059</v>
      </c>
      <c r="E477" t="s">
        <v>289</v>
      </c>
      <c r="F477" t="s">
        <v>304</v>
      </c>
      <c r="H477" t="s">
        <v>305</v>
      </c>
      <c r="I477" s="885">
        <v>45951.755879629629</v>
      </c>
      <c r="L477" t="s">
        <v>274</v>
      </c>
      <c r="M477" t="s">
        <v>265</v>
      </c>
      <c r="N477" t="s">
        <v>1385</v>
      </c>
      <c r="O477" t="s">
        <v>267</v>
      </c>
      <c r="P477" s="885">
        <v>45951.761053240742</v>
      </c>
      <c r="R477" t="s">
        <v>1574</v>
      </c>
      <c r="S477" t="s">
        <v>1575</v>
      </c>
      <c r="T477" t="s">
        <v>1576</v>
      </c>
      <c r="U477" t="s">
        <v>1577</v>
      </c>
      <c r="X477" t="s">
        <v>1578</v>
      </c>
      <c r="Y477" t="s">
        <v>327</v>
      </c>
      <c r="Z477" t="s">
        <v>1579</v>
      </c>
      <c r="AA477">
        <v>7778495446</v>
      </c>
      <c r="AB477" t="b">
        <v>1</v>
      </c>
      <c r="AC477" t="s">
        <v>1561</v>
      </c>
    </row>
    <row r="478" spans="1:29" x14ac:dyDescent="0.15">
      <c r="A478" s="788" t="s">
        <v>1580</v>
      </c>
      <c r="B478" t="s">
        <v>1581</v>
      </c>
      <c r="C478" s="884">
        <v>46066</v>
      </c>
      <c r="D478" s="884">
        <v>46069</v>
      </c>
      <c r="E478" t="s">
        <v>289</v>
      </c>
      <c r="F478" t="s">
        <v>290</v>
      </c>
      <c r="H478" t="s">
        <v>482</v>
      </c>
      <c r="I478" s="885">
        <v>45951.835752314815</v>
      </c>
      <c r="K478" s="885">
        <v>46008.374363425923</v>
      </c>
      <c r="L478" t="s">
        <v>264</v>
      </c>
      <c r="M478" t="s">
        <v>265</v>
      </c>
      <c r="N478" t="s">
        <v>1582</v>
      </c>
      <c r="O478" t="s">
        <v>267</v>
      </c>
      <c r="P478" s="885">
        <v>46008.375810185185</v>
      </c>
      <c r="R478" t="s">
        <v>1581</v>
      </c>
      <c r="S478" t="s">
        <v>1583</v>
      </c>
      <c r="T478" t="s">
        <v>1584</v>
      </c>
      <c r="U478">
        <v>81</v>
      </c>
      <c r="V478" t="s">
        <v>1585</v>
      </c>
      <c r="W478" t="s">
        <v>1586</v>
      </c>
      <c r="X478" t="s">
        <v>1587</v>
      </c>
      <c r="Y478" t="s">
        <v>327</v>
      </c>
      <c r="Z478" t="s">
        <v>1588</v>
      </c>
      <c r="AA478">
        <v>447711391293</v>
      </c>
      <c r="AB478" t="b">
        <v>0</v>
      </c>
      <c r="AC478" t="s">
        <v>1561</v>
      </c>
    </row>
    <row r="479" spans="1:29" x14ac:dyDescent="0.15">
      <c r="A479" s="788" t="s">
        <v>1611</v>
      </c>
      <c r="B479" t="s">
        <v>1612</v>
      </c>
      <c r="C479" s="884">
        <v>45954</v>
      </c>
      <c r="D479" s="884">
        <v>45955</v>
      </c>
      <c r="E479" t="s">
        <v>289</v>
      </c>
      <c r="F479" t="s">
        <v>290</v>
      </c>
      <c r="H479" t="s">
        <v>482</v>
      </c>
      <c r="I479" s="885">
        <v>45954.70884259259</v>
      </c>
      <c r="L479" t="s">
        <v>274</v>
      </c>
      <c r="M479" s="884">
        <v>36557</v>
      </c>
      <c r="N479" t="s">
        <v>1613</v>
      </c>
      <c r="O479" t="s">
        <v>267</v>
      </c>
      <c r="P479" s="885">
        <v>45954.712384259263</v>
      </c>
      <c r="R479" t="s">
        <v>1612</v>
      </c>
      <c r="S479" t="s">
        <v>1614</v>
      </c>
      <c r="T479" t="s">
        <v>1615</v>
      </c>
      <c r="U479" t="s">
        <v>1616</v>
      </c>
      <c r="X479">
        <v>1190</v>
      </c>
      <c r="Y479" t="s">
        <v>1617</v>
      </c>
      <c r="Z479" t="s">
        <v>1618</v>
      </c>
      <c r="AA479">
        <v>436763004349</v>
      </c>
      <c r="AB479" t="b">
        <v>0</v>
      </c>
      <c r="AC479" t="s">
        <v>1619</v>
      </c>
    </row>
    <row r="480" spans="1:29" x14ac:dyDescent="0.15">
      <c r="A480" s="788" t="s">
        <v>1634</v>
      </c>
      <c r="B480" t="s">
        <v>1635</v>
      </c>
      <c r="C480" s="884">
        <v>46034</v>
      </c>
      <c r="D480" s="884">
        <v>46035</v>
      </c>
      <c r="E480" t="s">
        <v>289</v>
      </c>
      <c r="F480" t="s">
        <v>290</v>
      </c>
      <c r="H480" t="s">
        <v>482</v>
      </c>
      <c r="I480" s="885">
        <v>45957.041944444441</v>
      </c>
      <c r="L480" t="s">
        <v>274</v>
      </c>
      <c r="M480" t="s">
        <v>265</v>
      </c>
      <c r="N480" t="s">
        <v>1636</v>
      </c>
      <c r="O480" t="s">
        <v>267</v>
      </c>
      <c r="P480" s="885">
        <v>45957.045046296298</v>
      </c>
      <c r="R480" t="s">
        <v>1635</v>
      </c>
      <c r="S480" t="s">
        <v>905</v>
      </c>
      <c r="T480" t="s">
        <v>1637</v>
      </c>
      <c r="U480" t="s">
        <v>1638</v>
      </c>
      <c r="W480" t="s">
        <v>1639</v>
      </c>
      <c r="X480" t="s">
        <v>1640</v>
      </c>
      <c r="Y480" t="s">
        <v>311</v>
      </c>
      <c r="Z480" t="s">
        <v>1641</v>
      </c>
      <c r="AA480">
        <v>353877021272</v>
      </c>
      <c r="AB480" t="b">
        <v>1</v>
      </c>
      <c r="AC480" t="s">
        <v>1642</v>
      </c>
    </row>
    <row r="481" spans="1:30" x14ac:dyDescent="0.15">
      <c r="A481" s="788" t="s">
        <v>1658</v>
      </c>
      <c r="B481" t="s">
        <v>1659</v>
      </c>
      <c r="C481" s="884">
        <v>46088</v>
      </c>
      <c r="D481" s="884">
        <v>46091</v>
      </c>
      <c r="E481" t="s">
        <v>289</v>
      </c>
      <c r="F481" t="s">
        <v>290</v>
      </c>
      <c r="H481" t="s">
        <v>1660</v>
      </c>
      <c r="I481" s="885">
        <v>45960.637025462966</v>
      </c>
      <c r="K481" s="885">
        <v>45960.645127314812</v>
      </c>
      <c r="L481" t="s">
        <v>264</v>
      </c>
      <c r="M481" t="s">
        <v>265</v>
      </c>
      <c r="N481" t="s">
        <v>1661</v>
      </c>
      <c r="O481" t="s">
        <v>267</v>
      </c>
      <c r="P481" s="885">
        <v>45960.647534722222</v>
      </c>
      <c r="R481" t="s">
        <v>1659</v>
      </c>
      <c r="S481" t="s">
        <v>1662</v>
      </c>
      <c r="T481" t="s">
        <v>1663</v>
      </c>
      <c r="U481" t="s">
        <v>1664</v>
      </c>
      <c r="V481" t="s">
        <v>1665</v>
      </c>
      <c r="X481" t="s">
        <v>1666</v>
      </c>
      <c r="Y481" t="s">
        <v>311</v>
      </c>
      <c r="Z481" t="s">
        <v>1667</v>
      </c>
      <c r="AA481">
        <v>353872538556</v>
      </c>
      <c r="AB481" t="b">
        <v>1</v>
      </c>
      <c r="AC481" t="s">
        <v>1668</v>
      </c>
      <c r="AD481" t="s">
        <v>1062</v>
      </c>
    </row>
    <row r="482" spans="1:30" x14ac:dyDescent="0.15">
      <c r="A482" s="788" t="s">
        <v>1669</v>
      </c>
      <c r="B482" t="s">
        <v>1659</v>
      </c>
      <c r="C482" s="884">
        <v>46095</v>
      </c>
      <c r="D482" s="884">
        <v>46098</v>
      </c>
      <c r="E482" t="s">
        <v>289</v>
      </c>
      <c r="F482" t="s">
        <v>290</v>
      </c>
      <c r="H482" t="s">
        <v>1660</v>
      </c>
      <c r="I482" s="885">
        <v>45960.685868055552</v>
      </c>
      <c r="L482" t="s">
        <v>274</v>
      </c>
      <c r="M482" t="s">
        <v>265</v>
      </c>
      <c r="N482" t="s">
        <v>1670</v>
      </c>
      <c r="O482" t="s">
        <v>267</v>
      </c>
      <c r="P482" s="885">
        <v>45960.691979166666</v>
      </c>
      <c r="R482" t="s">
        <v>1659</v>
      </c>
      <c r="S482" t="s">
        <v>1662</v>
      </c>
      <c r="T482" t="s">
        <v>1663</v>
      </c>
      <c r="U482" t="s">
        <v>1671</v>
      </c>
      <c r="V482" t="s">
        <v>1672</v>
      </c>
      <c r="W482" t="s">
        <v>1673</v>
      </c>
      <c r="X482" t="s">
        <v>1674</v>
      </c>
      <c r="Y482" t="s">
        <v>311</v>
      </c>
      <c r="Z482" t="s">
        <v>1667</v>
      </c>
      <c r="AA482">
        <v>353872538556</v>
      </c>
      <c r="AB482" t="b">
        <v>1</v>
      </c>
      <c r="AC482" t="s">
        <v>1668</v>
      </c>
      <c r="AD482" t="s">
        <v>1062</v>
      </c>
    </row>
    <row r="483" spans="1:30" x14ac:dyDescent="0.15">
      <c r="A483" s="788" t="s">
        <v>1693</v>
      </c>
      <c r="B483" t="s">
        <v>1694</v>
      </c>
      <c r="C483" s="884">
        <v>46068</v>
      </c>
      <c r="D483" s="884">
        <v>46069</v>
      </c>
      <c r="E483" t="s">
        <v>289</v>
      </c>
      <c r="F483" t="s">
        <v>304</v>
      </c>
      <c r="H483" t="s">
        <v>305</v>
      </c>
      <c r="I483" s="885">
        <v>45963.518125000002</v>
      </c>
      <c r="L483" t="s">
        <v>274</v>
      </c>
      <c r="M483" t="s">
        <v>265</v>
      </c>
      <c r="N483" t="s">
        <v>1695</v>
      </c>
      <c r="O483" t="s">
        <v>267</v>
      </c>
      <c r="P483" s="885">
        <v>45963.523402777777</v>
      </c>
      <c r="R483" t="s">
        <v>1694</v>
      </c>
      <c r="S483" t="s">
        <v>562</v>
      </c>
      <c r="T483" t="s">
        <v>1696</v>
      </c>
      <c r="U483" t="s">
        <v>1697</v>
      </c>
      <c r="X483" t="s">
        <v>1698</v>
      </c>
      <c r="Y483" t="s">
        <v>327</v>
      </c>
      <c r="Z483" t="s">
        <v>1699</v>
      </c>
      <c r="AA483" s="886">
        <v>4407833731242</v>
      </c>
      <c r="AB483" t="b">
        <v>0</v>
      </c>
      <c r="AC483" t="s">
        <v>1700</v>
      </c>
    </row>
    <row r="484" spans="1:30" x14ac:dyDescent="0.15">
      <c r="A484" s="788" t="s">
        <v>1705</v>
      </c>
      <c r="B484" t="s">
        <v>1706</v>
      </c>
      <c r="C484" s="884">
        <v>45968</v>
      </c>
      <c r="D484" s="884">
        <v>45969</v>
      </c>
      <c r="E484" t="s">
        <v>289</v>
      </c>
      <c r="F484" t="s">
        <v>290</v>
      </c>
      <c r="H484" t="s">
        <v>305</v>
      </c>
      <c r="I484" s="885">
        <v>45963.866122685184</v>
      </c>
      <c r="L484" t="s">
        <v>274</v>
      </c>
      <c r="M484" t="s">
        <v>265</v>
      </c>
      <c r="N484" t="s">
        <v>1707</v>
      </c>
      <c r="O484" t="s">
        <v>267</v>
      </c>
      <c r="P484" s="885">
        <v>45963.869247685187</v>
      </c>
      <c r="R484" t="s">
        <v>1706</v>
      </c>
      <c r="S484" t="s">
        <v>1708</v>
      </c>
      <c r="T484" t="s">
        <v>1709</v>
      </c>
      <c r="U484" t="s">
        <v>1710</v>
      </c>
      <c r="W484" t="s">
        <v>1711</v>
      </c>
      <c r="X484">
        <v>7351</v>
      </c>
      <c r="Y484" t="s">
        <v>299</v>
      </c>
      <c r="Z484" t="s">
        <v>1712</v>
      </c>
      <c r="AA484">
        <v>436642209173</v>
      </c>
      <c r="AB484" t="b">
        <v>1</v>
      </c>
      <c r="AC484" t="s">
        <v>1700</v>
      </c>
    </row>
    <row r="485" spans="1:30" x14ac:dyDescent="0.15">
      <c r="A485" s="788" t="s">
        <v>1714</v>
      </c>
      <c r="B485" t="s">
        <v>1715</v>
      </c>
      <c r="C485" s="884">
        <v>45975</v>
      </c>
      <c r="D485" s="884">
        <v>45976</v>
      </c>
      <c r="E485" t="s">
        <v>289</v>
      </c>
      <c r="F485" t="s">
        <v>290</v>
      </c>
      <c r="H485" t="s">
        <v>482</v>
      </c>
      <c r="I485" s="885">
        <v>45964.624363425923</v>
      </c>
      <c r="L485" t="s">
        <v>274</v>
      </c>
      <c r="M485" t="s">
        <v>265</v>
      </c>
      <c r="N485" t="s">
        <v>1716</v>
      </c>
      <c r="O485" t="s">
        <v>267</v>
      </c>
      <c r="P485" s="885">
        <v>45964.629247685189</v>
      </c>
      <c r="R485" t="s">
        <v>1715</v>
      </c>
      <c r="S485" t="s">
        <v>1556</v>
      </c>
      <c r="T485" t="s">
        <v>1717</v>
      </c>
      <c r="U485" t="s">
        <v>1718</v>
      </c>
      <c r="X485">
        <v>7441</v>
      </c>
      <c r="Y485" t="s">
        <v>299</v>
      </c>
      <c r="Z485" t="s">
        <v>1719</v>
      </c>
      <c r="AA485">
        <v>723058754</v>
      </c>
      <c r="AB485" t="b">
        <v>1</v>
      </c>
      <c r="AC485" t="s">
        <v>1720</v>
      </c>
    </row>
    <row r="486" spans="1:30" x14ac:dyDescent="0.15">
      <c r="A486" s="788" t="s">
        <v>1767</v>
      </c>
      <c r="B486" t="s">
        <v>1768</v>
      </c>
      <c r="C486" s="884">
        <v>45972</v>
      </c>
      <c r="D486" s="884">
        <v>45973</v>
      </c>
      <c r="E486" t="s">
        <v>289</v>
      </c>
      <c r="F486" t="s">
        <v>290</v>
      </c>
      <c r="H486" t="s">
        <v>305</v>
      </c>
      <c r="I486" s="885">
        <v>45972.633506944447</v>
      </c>
      <c r="K486" s="885">
        <v>45973.330752314818</v>
      </c>
      <c r="L486" t="s">
        <v>264</v>
      </c>
      <c r="M486" t="s">
        <v>265</v>
      </c>
      <c r="N486" t="s">
        <v>1695</v>
      </c>
      <c r="O486" t="s">
        <v>730</v>
      </c>
      <c r="P486" s="885">
        <v>45973.334097222221</v>
      </c>
      <c r="R486" t="s">
        <v>1768</v>
      </c>
      <c r="S486" t="s">
        <v>1769</v>
      </c>
      <c r="T486" t="s">
        <v>1770</v>
      </c>
      <c r="U486" t="s">
        <v>1771</v>
      </c>
      <c r="X486">
        <v>8343</v>
      </c>
      <c r="Y486" t="s">
        <v>1772</v>
      </c>
      <c r="Z486" t="s">
        <v>1773</v>
      </c>
      <c r="AA486">
        <v>2342343242</v>
      </c>
      <c r="AB486" t="b">
        <v>1</v>
      </c>
      <c r="AC486" t="s">
        <v>1774</v>
      </c>
    </row>
    <row r="487" spans="1:30" x14ac:dyDescent="0.15">
      <c r="A487" s="788" t="s">
        <v>1849</v>
      </c>
      <c r="B487" t="s">
        <v>1850</v>
      </c>
      <c r="C487" s="884">
        <v>45986</v>
      </c>
      <c r="D487" s="884">
        <v>45988</v>
      </c>
      <c r="E487" t="s">
        <v>289</v>
      </c>
      <c r="F487" t="s">
        <v>290</v>
      </c>
      <c r="H487" t="s">
        <v>305</v>
      </c>
      <c r="I487" s="885">
        <v>45979.631168981483</v>
      </c>
      <c r="K487" s="885">
        <v>45980.420914351853</v>
      </c>
      <c r="L487" t="s">
        <v>264</v>
      </c>
      <c r="M487" t="s">
        <v>265</v>
      </c>
      <c r="N487" t="s">
        <v>1851</v>
      </c>
      <c r="O487" t="s">
        <v>267</v>
      </c>
      <c r="P487" s="885">
        <v>45980.424270833333</v>
      </c>
      <c r="R487" t="s">
        <v>1850</v>
      </c>
      <c r="S487" t="s">
        <v>1852</v>
      </c>
      <c r="T487" t="s">
        <v>1853</v>
      </c>
      <c r="U487" t="s">
        <v>1854</v>
      </c>
      <c r="V487" t="s">
        <v>1854</v>
      </c>
      <c r="W487" t="s">
        <v>1854</v>
      </c>
      <c r="X487">
        <v>7441</v>
      </c>
      <c r="Y487" t="s">
        <v>299</v>
      </c>
      <c r="Z487" t="s">
        <v>1855</v>
      </c>
      <c r="AA487">
        <v>27823936841</v>
      </c>
      <c r="AB487" t="b">
        <v>0</v>
      </c>
      <c r="AC487" t="s">
        <v>1856</v>
      </c>
    </row>
    <row r="488" spans="1:30" x14ac:dyDescent="0.15">
      <c r="A488" s="788" t="s">
        <v>1860</v>
      </c>
      <c r="B488" t="s">
        <v>1850</v>
      </c>
      <c r="C488" s="884">
        <v>46026</v>
      </c>
      <c r="D488" s="884">
        <v>46028</v>
      </c>
      <c r="E488" t="s">
        <v>289</v>
      </c>
      <c r="F488" t="s">
        <v>290</v>
      </c>
      <c r="H488" t="s">
        <v>305</v>
      </c>
      <c r="I488" s="885">
        <v>45980.548310185186</v>
      </c>
      <c r="K488" s="885">
        <v>45980.550555555557</v>
      </c>
      <c r="L488" t="s">
        <v>264</v>
      </c>
      <c r="M488" t="s">
        <v>265</v>
      </c>
      <c r="N488" t="s">
        <v>462</v>
      </c>
      <c r="O488" t="s">
        <v>267</v>
      </c>
      <c r="P488" s="885">
        <v>45980.553784722222</v>
      </c>
      <c r="R488" t="s">
        <v>1850</v>
      </c>
      <c r="S488" t="s">
        <v>1852</v>
      </c>
      <c r="T488" t="s">
        <v>1853</v>
      </c>
      <c r="U488" t="s">
        <v>1854</v>
      </c>
      <c r="V488" t="s">
        <v>1854</v>
      </c>
      <c r="W488" t="s">
        <v>298</v>
      </c>
      <c r="X488">
        <v>7441</v>
      </c>
      <c r="Y488" t="s">
        <v>299</v>
      </c>
      <c r="Z488" t="s">
        <v>1855</v>
      </c>
      <c r="AA488">
        <v>27823936841</v>
      </c>
      <c r="AB488" t="b">
        <v>0</v>
      </c>
      <c r="AC488" t="s">
        <v>1861</v>
      </c>
    </row>
    <row r="489" spans="1:30" x14ac:dyDescent="0.15">
      <c r="A489" s="788" t="s">
        <v>1862</v>
      </c>
      <c r="B489" t="s">
        <v>1863</v>
      </c>
      <c r="C489" s="884">
        <v>46086</v>
      </c>
      <c r="D489" s="884">
        <v>46087</v>
      </c>
      <c r="E489" t="s">
        <v>289</v>
      </c>
      <c r="F489" t="s">
        <v>304</v>
      </c>
      <c r="H489" t="s">
        <v>482</v>
      </c>
      <c r="I489" s="885">
        <v>45980.672060185185</v>
      </c>
      <c r="L489" t="s">
        <v>274</v>
      </c>
      <c r="M489" t="s">
        <v>265</v>
      </c>
      <c r="N489" t="s">
        <v>1864</v>
      </c>
      <c r="O489" t="s">
        <v>267</v>
      </c>
      <c r="P489" s="885">
        <v>45980.676377314812</v>
      </c>
      <c r="R489" t="s">
        <v>1863</v>
      </c>
      <c r="S489" t="s">
        <v>1865</v>
      </c>
      <c r="T489" t="s">
        <v>1866</v>
      </c>
      <c r="U489" t="s">
        <v>1867</v>
      </c>
      <c r="X489" t="s">
        <v>1868</v>
      </c>
      <c r="Y489" t="s">
        <v>327</v>
      </c>
      <c r="Z489" t="s">
        <v>1869</v>
      </c>
      <c r="AA489">
        <v>447438599076</v>
      </c>
      <c r="AB489" t="b">
        <v>0</v>
      </c>
      <c r="AC489" t="s">
        <v>1861</v>
      </c>
    </row>
    <row r="490" spans="1:30" x14ac:dyDescent="0.15">
      <c r="A490" s="788" t="s">
        <v>1870</v>
      </c>
      <c r="B490" t="s">
        <v>1871</v>
      </c>
      <c r="C490" s="884">
        <v>46002</v>
      </c>
      <c r="D490" s="884">
        <v>46004</v>
      </c>
      <c r="E490" t="s">
        <v>289</v>
      </c>
      <c r="F490" t="s">
        <v>290</v>
      </c>
      <c r="H490" t="s">
        <v>305</v>
      </c>
      <c r="I490" s="885">
        <v>45981.397083333337</v>
      </c>
      <c r="L490" t="s">
        <v>274</v>
      </c>
      <c r="M490" t="s">
        <v>265</v>
      </c>
      <c r="N490" t="s">
        <v>1872</v>
      </c>
      <c r="O490" t="s">
        <v>267</v>
      </c>
      <c r="P490" s="885">
        <v>45981.399409722224</v>
      </c>
      <c r="R490" t="s">
        <v>1871</v>
      </c>
      <c r="S490" t="s">
        <v>1873</v>
      </c>
      <c r="T490" t="s">
        <v>1874</v>
      </c>
      <c r="U490" t="s">
        <v>1875</v>
      </c>
      <c r="X490">
        <v>69151</v>
      </c>
      <c r="Y490" t="s">
        <v>348</v>
      </c>
      <c r="Z490" t="s">
        <v>1876</v>
      </c>
      <c r="AA490">
        <v>491752434616</v>
      </c>
      <c r="AB490" t="b">
        <v>0</v>
      </c>
      <c r="AC490" t="s">
        <v>1877</v>
      </c>
    </row>
    <row r="491" spans="1:30" x14ac:dyDescent="0.15">
      <c r="A491" s="788" t="s">
        <v>1908</v>
      </c>
      <c r="B491" t="s">
        <v>1909</v>
      </c>
      <c r="C491" s="884">
        <v>46084</v>
      </c>
      <c r="D491" s="884">
        <v>46086</v>
      </c>
      <c r="E491" t="s">
        <v>289</v>
      </c>
      <c r="F491" t="s">
        <v>304</v>
      </c>
      <c r="H491" t="s">
        <v>305</v>
      </c>
      <c r="I491" s="885">
        <v>45985.694606481484</v>
      </c>
      <c r="L491" t="s">
        <v>274</v>
      </c>
      <c r="M491" t="s">
        <v>265</v>
      </c>
      <c r="N491" t="s">
        <v>1910</v>
      </c>
      <c r="O491" t="s">
        <v>267</v>
      </c>
      <c r="P491" s="885">
        <v>45985.698333333334</v>
      </c>
      <c r="R491" t="s">
        <v>1909</v>
      </c>
      <c r="S491" t="s">
        <v>1355</v>
      </c>
      <c r="T491" t="s">
        <v>1911</v>
      </c>
      <c r="U491" t="s">
        <v>1912</v>
      </c>
      <c r="X491" t="s">
        <v>1913</v>
      </c>
      <c r="Y491" t="s">
        <v>327</v>
      </c>
      <c r="Z491" t="s">
        <v>1914</v>
      </c>
      <c r="AA491">
        <v>447958943415</v>
      </c>
      <c r="AB491" t="b">
        <v>0</v>
      </c>
      <c r="AC491" t="s">
        <v>1915</v>
      </c>
    </row>
    <row r="492" spans="1:30" x14ac:dyDescent="0.15">
      <c r="A492" s="788" t="s">
        <v>1931</v>
      </c>
      <c r="B492" t="s">
        <v>1932</v>
      </c>
      <c r="C492" s="884">
        <v>45990</v>
      </c>
      <c r="D492" s="884">
        <v>45991</v>
      </c>
      <c r="E492" t="s">
        <v>289</v>
      </c>
      <c r="F492" t="s">
        <v>290</v>
      </c>
      <c r="H492" t="s">
        <v>1194</v>
      </c>
      <c r="I492" s="885">
        <v>45986.848009259258</v>
      </c>
      <c r="L492" t="s">
        <v>274</v>
      </c>
      <c r="M492" t="s">
        <v>265</v>
      </c>
      <c r="N492" t="s">
        <v>1933</v>
      </c>
      <c r="O492" t="s">
        <v>267</v>
      </c>
      <c r="P492" s="885">
        <v>45986.852233796293</v>
      </c>
      <c r="R492" t="s">
        <v>1932</v>
      </c>
      <c r="S492" t="s">
        <v>1934</v>
      </c>
      <c r="T492" t="s">
        <v>1935</v>
      </c>
      <c r="U492" t="s">
        <v>1936</v>
      </c>
      <c r="V492" t="s">
        <v>1937</v>
      </c>
      <c r="X492">
        <v>1459</v>
      </c>
      <c r="Y492" t="s">
        <v>299</v>
      </c>
      <c r="Z492" t="s">
        <v>1938</v>
      </c>
      <c r="AA492">
        <v>711442599</v>
      </c>
      <c r="AB492" t="b">
        <v>0</v>
      </c>
      <c r="AC492" t="s">
        <v>1939</v>
      </c>
      <c r="AD492" t="s">
        <v>1062</v>
      </c>
    </row>
    <row r="493" spans="1:30" x14ac:dyDescent="0.15">
      <c r="A493" s="788" t="s">
        <v>1947</v>
      </c>
      <c r="B493" t="s">
        <v>1948</v>
      </c>
      <c r="C493" s="884">
        <v>45994</v>
      </c>
      <c r="D493" s="884">
        <v>45996</v>
      </c>
      <c r="E493" t="s">
        <v>289</v>
      </c>
      <c r="F493" t="s">
        <v>290</v>
      </c>
      <c r="H493" t="s">
        <v>305</v>
      </c>
      <c r="I493" s="885">
        <v>45987.570150462961</v>
      </c>
      <c r="L493" t="s">
        <v>274</v>
      </c>
      <c r="M493" t="s">
        <v>265</v>
      </c>
      <c r="N493" t="s">
        <v>547</v>
      </c>
      <c r="O493" t="s">
        <v>267</v>
      </c>
      <c r="P493" s="885">
        <v>45987.572847222225</v>
      </c>
      <c r="R493" t="s">
        <v>1948</v>
      </c>
      <c r="S493" t="s">
        <v>1426</v>
      </c>
      <c r="T493" t="s">
        <v>1949</v>
      </c>
      <c r="U493" t="s">
        <v>1950</v>
      </c>
      <c r="X493" t="s">
        <v>1951</v>
      </c>
      <c r="Y493" t="s">
        <v>327</v>
      </c>
      <c r="Z493" t="s">
        <v>1952</v>
      </c>
      <c r="AA493">
        <v>447764352050</v>
      </c>
      <c r="AB493" t="b">
        <v>0</v>
      </c>
      <c r="AC493" t="s">
        <v>1953</v>
      </c>
    </row>
    <row r="494" spans="1:30" x14ac:dyDescent="0.15">
      <c r="A494" s="788" t="s">
        <v>1968</v>
      </c>
      <c r="B494" t="s">
        <v>1969</v>
      </c>
      <c r="C494" s="884">
        <v>45989</v>
      </c>
      <c r="D494" s="884">
        <v>45990</v>
      </c>
      <c r="E494" t="s">
        <v>289</v>
      </c>
      <c r="F494" t="s">
        <v>290</v>
      </c>
      <c r="H494" t="s">
        <v>305</v>
      </c>
      <c r="I494" s="885">
        <v>45989.566168981481</v>
      </c>
      <c r="L494" t="s">
        <v>274</v>
      </c>
      <c r="M494" t="s">
        <v>265</v>
      </c>
      <c r="N494" t="s">
        <v>1707</v>
      </c>
      <c r="O494" t="s">
        <v>267</v>
      </c>
      <c r="P494" s="885">
        <v>45989.57099537037</v>
      </c>
      <c r="R494" t="s">
        <v>1969</v>
      </c>
      <c r="S494" t="s">
        <v>1970</v>
      </c>
      <c r="T494" t="s">
        <v>1971</v>
      </c>
      <c r="U494" t="s">
        <v>1972</v>
      </c>
      <c r="V494" t="s">
        <v>1973</v>
      </c>
      <c r="X494">
        <v>1724</v>
      </c>
      <c r="Y494" t="s">
        <v>299</v>
      </c>
      <c r="Z494" t="s">
        <v>1974</v>
      </c>
      <c r="AA494">
        <v>827706922</v>
      </c>
      <c r="AB494" t="b">
        <v>1</v>
      </c>
      <c r="AC494" t="s">
        <v>1975</v>
      </c>
    </row>
    <row r="495" spans="1:30" x14ac:dyDescent="0.15">
      <c r="A495" s="788" t="s">
        <v>1981</v>
      </c>
      <c r="B495" t="s">
        <v>1982</v>
      </c>
      <c r="C495" s="884">
        <v>45997</v>
      </c>
      <c r="D495" s="884">
        <v>45999</v>
      </c>
      <c r="E495" t="s">
        <v>289</v>
      </c>
      <c r="F495" t="s">
        <v>290</v>
      </c>
      <c r="H495" t="s">
        <v>1194</v>
      </c>
      <c r="I495" s="885">
        <v>45990.001944444448</v>
      </c>
      <c r="L495" t="s">
        <v>274</v>
      </c>
      <c r="M495" t="s">
        <v>265</v>
      </c>
      <c r="N495" t="s">
        <v>1983</v>
      </c>
      <c r="O495" t="s">
        <v>267</v>
      </c>
      <c r="P495" s="885">
        <v>45990.007233796299</v>
      </c>
      <c r="R495" t="s">
        <v>1982</v>
      </c>
      <c r="S495" t="s">
        <v>1144</v>
      </c>
      <c r="T495" t="s">
        <v>1984</v>
      </c>
      <c r="U495" t="s">
        <v>1985</v>
      </c>
      <c r="W495" t="s">
        <v>1986</v>
      </c>
      <c r="X495">
        <v>10603</v>
      </c>
      <c r="Y495" t="s">
        <v>835</v>
      </c>
      <c r="Z495" t="s">
        <v>1987</v>
      </c>
      <c r="AA495">
        <v>9737133587</v>
      </c>
      <c r="AB495" t="b">
        <v>0</v>
      </c>
      <c r="AC495" t="s">
        <v>1975</v>
      </c>
      <c r="AD495" t="s">
        <v>1062</v>
      </c>
    </row>
    <row r="496" spans="1:30" x14ac:dyDescent="0.15">
      <c r="A496" s="788" t="s">
        <v>1991</v>
      </c>
      <c r="B496" t="s">
        <v>1992</v>
      </c>
      <c r="C496" s="884">
        <v>45993</v>
      </c>
      <c r="D496" s="884">
        <v>45994</v>
      </c>
      <c r="E496" t="s">
        <v>289</v>
      </c>
      <c r="F496" t="s">
        <v>290</v>
      </c>
      <c r="H496" t="s">
        <v>305</v>
      </c>
      <c r="I496" s="885">
        <v>45993.473043981481</v>
      </c>
      <c r="K496" s="885">
        <v>45993.486932870372</v>
      </c>
      <c r="L496" t="s">
        <v>264</v>
      </c>
      <c r="M496" t="s">
        <v>265</v>
      </c>
      <c r="N496" t="s">
        <v>1695</v>
      </c>
      <c r="O496" t="s">
        <v>267</v>
      </c>
      <c r="P496" s="885">
        <v>45993.488935185182</v>
      </c>
      <c r="R496" t="s">
        <v>1992</v>
      </c>
      <c r="S496" t="s">
        <v>1993</v>
      </c>
      <c r="T496" t="s">
        <v>1994</v>
      </c>
      <c r="U496" t="s">
        <v>1995</v>
      </c>
      <c r="V496" t="s">
        <v>1995</v>
      </c>
      <c r="X496">
        <v>7646</v>
      </c>
      <c r="Y496" t="s">
        <v>299</v>
      </c>
      <c r="Z496" t="s">
        <v>1996</v>
      </c>
      <c r="AA496">
        <v>218635101</v>
      </c>
      <c r="AB496" t="b">
        <v>0</v>
      </c>
      <c r="AC496" t="s">
        <v>1997</v>
      </c>
    </row>
    <row r="497" spans="1:30" x14ac:dyDescent="0.15">
      <c r="A497" s="788" t="s">
        <v>1998</v>
      </c>
      <c r="B497" t="s">
        <v>1999</v>
      </c>
      <c r="C497" s="884">
        <v>46021</v>
      </c>
      <c r="D497" s="884">
        <v>46022</v>
      </c>
      <c r="E497" t="s">
        <v>289</v>
      </c>
      <c r="F497" t="s">
        <v>290</v>
      </c>
      <c r="H497" t="s">
        <v>305</v>
      </c>
      <c r="I497" s="885">
        <v>45993.833680555559</v>
      </c>
      <c r="L497" t="s">
        <v>274</v>
      </c>
      <c r="M497" t="s">
        <v>265</v>
      </c>
      <c r="N497" t="s">
        <v>2000</v>
      </c>
      <c r="O497" t="s">
        <v>267</v>
      </c>
      <c r="P497" s="885">
        <v>45993.837581018517</v>
      </c>
      <c r="R497" t="s">
        <v>1999</v>
      </c>
      <c r="S497" t="s">
        <v>2001</v>
      </c>
      <c r="T497" t="s">
        <v>2002</v>
      </c>
      <c r="U497" t="s">
        <v>2003</v>
      </c>
      <c r="X497" t="s">
        <v>2004</v>
      </c>
      <c r="Y497" t="s">
        <v>327</v>
      </c>
      <c r="Z497" t="s">
        <v>2005</v>
      </c>
      <c r="AA497">
        <v>7860829345</v>
      </c>
      <c r="AB497" t="b">
        <v>0</v>
      </c>
      <c r="AC497" t="s">
        <v>1997</v>
      </c>
    </row>
    <row r="498" spans="1:30" x14ac:dyDescent="0.15">
      <c r="A498" s="788" t="s">
        <v>2035</v>
      </c>
      <c r="B498" t="s">
        <v>2036</v>
      </c>
      <c r="C498" s="884">
        <v>46095</v>
      </c>
      <c r="D498" s="884">
        <v>46097</v>
      </c>
      <c r="E498" t="s">
        <v>289</v>
      </c>
      <c r="F498" t="s">
        <v>290</v>
      </c>
      <c r="H498" t="s">
        <v>305</v>
      </c>
      <c r="I498" s="885">
        <v>45998.383946759262</v>
      </c>
      <c r="L498" t="s">
        <v>274</v>
      </c>
      <c r="M498" t="s">
        <v>265</v>
      </c>
      <c r="N498" t="s">
        <v>2037</v>
      </c>
      <c r="O498" t="s">
        <v>267</v>
      </c>
      <c r="P498" s="885">
        <v>45998.386944444443</v>
      </c>
      <c r="R498" t="s">
        <v>2036</v>
      </c>
      <c r="S498" t="s">
        <v>2038</v>
      </c>
      <c r="T498" t="s">
        <v>2039</v>
      </c>
      <c r="U498" t="s">
        <v>2040</v>
      </c>
      <c r="W498" t="s">
        <v>2041</v>
      </c>
      <c r="X498">
        <v>86986</v>
      </c>
      <c r="Y498" t="s">
        <v>348</v>
      </c>
      <c r="Z498" t="s">
        <v>2042</v>
      </c>
      <c r="AA498" s="886">
        <v>491755066834</v>
      </c>
      <c r="AB498" t="b">
        <v>0</v>
      </c>
      <c r="AC498" t="s">
        <v>2043</v>
      </c>
    </row>
    <row r="499" spans="1:30" x14ac:dyDescent="0.15">
      <c r="A499" s="788" t="s">
        <v>2057</v>
      </c>
      <c r="B499" t="s">
        <v>2058</v>
      </c>
      <c r="C499" s="884">
        <v>46059</v>
      </c>
      <c r="D499" s="884">
        <v>46062</v>
      </c>
      <c r="E499" t="s">
        <v>289</v>
      </c>
      <c r="F499" t="s">
        <v>290</v>
      </c>
      <c r="H499" t="s">
        <v>305</v>
      </c>
      <c r="I499" s="885">
        <v>46000.434837962966</v>
      </c>
      <c r="L499" t="s">
        <v>274</v>
      </c>
      <c r="M499" t="s">
        <v>265</v>
      </c>
      <c r="N499" t="s">
        <v>2059</v>
      </c>
      <c r="O499" t="s">
        <v>267</v>
      </c>
      <c r="P499" s="885">
        <v>46000.438738425924</v>
      </c>
      <c r="R499" t="s">
        <v>2058</v>
      </c>
      <c r="S499" t="s">
        <v>2060</v>
      </c>
      <c r="T499" t="s">
        <v>2061</v>
      </c>
      <c r="U499" t="s">
        <v>2062</v>
      </c>
      <c r="V499" t="s">
        <v>2063</v>
      </c>
      <c r="W499" t="s">
        <v>2064</v>
      </c>
      <c r="X499">
        <v>4310</v>
      </c>
      <c r="Y499" t="s">
        <v>299</v>
      </c>
      <c r="Z499" t="s">
        <v>2065</v>
      </c>
      <c r="AA499">
        <v>27834588499</v>
      </c>
      <c r="AB499" t="b">
        <v>0</v>
      </c>
      <c r="AC499" t="s">
        <v>2066</v>
      </c>
    </row>
    <row r="500" spans="1:30" x14ac:dyDescent="0.15">
      <c r="A500" s="788" t="s">
        <v>2071</v>
      </c>
      <c r="B500" t="s">
        <v>2072</v>
      </c>
      <c r="C500" s="884">
        <v>46040</v>
      </c>
      <c r="D500" s="884">
        <v>46041</v>
      </c>
      <c r="E500" t="s">
        <v>289</v>
      </c>
      <c r="F500" t="s">
        <v>290</v>
      </c>
      <c r="H500" t="s">
        <v>778</v>
      </c>
      <c r="I500" s="885">
        <v>46002.864699074074</v>
      </c>
      <c r="L500" t="s">
        <v>274</v>
      </c>
      <c r="M500" t="s">
        <v>265</v>
      </c>
      <c r="N500" t="s">
        <v>2073</v>
      </c>
      <c r="O500" t="s">
        <v>267</v>
      </c>
      <c r="P500" s="885">
        <v>46002.868368055555</v>
      </c>
      <c r="R500" t="s">
        <v>2072</v>
      </c>
      <c r="S500" t="s">
        <v>2074</v>
      </c>
      <c r="T500" t="s">
        <v>2075</v>
      </c>
      <c r="U500" t="s">
        <v>2076</v>
      </c>
      <c r="V500" t="s">
        <v>2077</v>
      </c>
      <c r="W500" t="s">
        <v>2078</v>
      </c>
      <c r="X500" t="s">
        <v>2079</v>
      </c>
      <c r="Y500" t="s">
        <v>327</v>
      </c>
      <c r="Z500" t="s">
        <v>2080</v>
      </c>
      <c r="AA500">
        <v>447530381826</v>
      </c>
      <c r="AB500" t="b">
        <v>1</v>
      </c>
      <c r="AC500" t="s">
        <v>2081</v>
      </c>
      <c r="AD500" t="s">
        <v>366</v>
      </c>
    </row>
    <row r="501" spans="1:30" x14ac:dyDescent="0.15">
      <c r="A501" s="788" t="s">
        <v>2084</v>
      </c>
      <c r="B501" t="s">
        <v>2085</v>
      </c>
      <c r="C501" s="884">
        <v>46062</v>
      </c>
      <c r="D501" s="884">
        <v>46065</v>
      </c>
      <c r="E501" t="s">
        <v>289</v>
      </c>
      <c r="F501" t="s">
        <v>290</v>
      </c>
      <c r="H501" t="s">
        <v>2086</v>
      </c>
      <c r="I501" s="885">
        <v>46003.062511574077</v>
      </c>
      <c r="L501" t="s">
        <v>274</v>
      </c>
      <c r="M501" t="s">
        <v>265</v>
      </c>
      <c r="N501" t="s">
        <v>2087</v>
      </c>
      <c r="O501" t="s">
        <v>267</v>
      </c>
      <c r="P501" s="885">
        <v>46003.067499999997</v>
      </c>
      <c r="R501" t="s">
        <v>2085</v>
      </c>
      <c r="S501" t="s">
        <v>2088</v>
      </c>
      <c r="T501" t="s">
        <v>2089</v>
      </c>
      <c r="U501" t="s">
        <v>2090</v>
      </c>
      <c r="V501" t="s">
        <v>2091</v>
      </c>
      <c r="W501" t="s">
        <v>2092</v>
      </c>
      <c r="X501">
        <v>10025</v>
      </c>
      <c r="Y501" t="s">
        <v>835</v>
      </c>
      <c r="Z501" t="s">
        <v>2093</v>
      </c>
      <c r="AA501" t="s">
        <v>2094</v>
      </c>
      <c r="AB501" t="b">
        <v>0</v>
      </c>
      <c r="AC501" t="s">
        <v>2081</v>
      </c>
    </row>
    <row r="502" spans="1:30" x14ac:dyDescent="0.15">
      <c r="A502" s="788" t="s">
        <v>2116</v>
      </c>
      <c r="B502" t="s">
        <v>2117</v>
      </c>
      <c r="C502" s="884">
        <v>46028</v>
      </c>
      <c r="D502" s="884">
        <v>46033</v>
      </c>
      <c r="E502" t="s">
        <v>289</v>
      </c>
      <c r="F502" t="s">
        <v>290</v>
      </c>
      <c r="H502" t="s">
        <v>305</v>
      </c>
      <c r="I502" s="885">
        <v>46007.799305555556</v>
      </c>
      <c r="L502" t="s">
        <v>274</v>
      </c>
      <c r="M502" t="s">
        <v>279</v>
      </c>
      <c r="N502" t="s">
        <v>2118</v>
      </c>
      <c r="O502" t="s">
        <v>267</v>
      </c>
      <c r="P502" s="885">
        <v>46007.800486111111</v>
      </c>
      <c r="R502" t="s">
        <v>2117</v>
      </c>
      <c r="S502" t="s">
        <v>1556</v>
      </c>
      <c r="T502" t="s">
        <v>2119</v>
      </c>
      <c r="U502" t="s">
        <v>2120</v>
      </c>
      <c r="W502" t="s">
        <v>2121</v>
      </c>
      <c r="X502" t="s">
        <v>2122</v>
      </c>
      <c r="Y502" t="s">
        <v>835</v>
      </c>
      <c r="Z502" t="s">
        <v>2123</v>
      </c>
      <c r="AA502">
        <v>14152721718</v>
      </c>
      <c r="AB502" t="b">
        <v>0</v>
      </c>
      <c r="AC502" t="s">
        <v>2124</v>
      </c>
    </row>
    <row r="503" spans="1:30" x14ac:dyDescent="0.15">
      <c r="A503" s="788" t="s">
        <v>2128</v>
      </c>
      <c r="B503" t="s">
        <v>2129</v>
      </c>
      <c r="C503" s="884">
        <v>46045</v>
      </c>
      <c r="D503" s="884">
        <v>46047</v>
      </c>
      <c r="E503" t="s">
        <v>289</v>
      </c>
      <c r="F503" t="s">
        <v>290</v>
      </c>
      <c r="H503" t="s">
        <v>305</v>
      </c>
      <c r="I503" s="885">
        <v>46008.113182870373</v>
      </c>
      <c r="K503" s="885">
        <v>46022.432997685188</v>
      </c>
      <c r="L503" t="s">
        <v>264</v>
      </c>
      <c r="M503" t="s">
        <v>265</v>
      </c>
      <c r="N503" t="s">
        <v>1851</v>
      </c>
      <c r="O503" t="s">
        <v>267</v>
      </c>
      <c r="P503" s="885">
        <v>46022.436481481483</v>
      </c>
      <c r="R503" t="s">
        <v>2129</v>
      </c>
      <c r="S503" t="s">
        <v>2130</v>
      </c>
      <c r="T503" t="s">
        <v>2131</v>
      </c>
      <c r="U503" t="s">
        <v>2132</v>
      </c>
      <c r="X503">
        <v>140</v>
      </c>
      <c r="Y503" t="s">
        <v>2133</v>
      </c>
      <c r="Z503" t="s">
        <v>2134</v>
      </c>
      <c r="AA503">
        <v>358401615668</v>
      </c>
      <c r="AB503" t="b">
        <v>0</v>
      </c>
      <c r="AC503" t="s">
        <v>2135</v>
      </c>
    </row>
    <row r="504" spans="1:30" x14ac:dyDescent="0.15">
      <c r="A504" s="788" t="s">
        <v>2144</v>
      </c>
      <c r="B504" t="s">
        <v>2145</v>
      </c>
      <c r="C504" s="884">
        <v>46036</v>
      </c>
      <c r="D504" s="884">
        <v>46037</v>
      </c>
      <c r="E504" t="s">
        <v>289</v>
      </c>
      <c r="F504" t="s">
        <v>290</v>
      </c>
      <c r="H504" t="s">
        <v>482</v>
      </c>
      <c r="I504" s="885">
        <v>46009.456192129626</v>
      </c>
      <c r="K504" s="885">
        <v>46009.612743055557</v>
      </c>
      <c r="L504" t="s">
        <v>264</v>
      </c>
      <c r="M504" t="s">
        <v>265</v>
      </c>
      <c r="N504" t="s">
        <v>2073</v>
      </c>
      <c r="O504" t="s">
        <v>267</v>
      </c>
      <c r="P504" s="885">
        <v>46009.61546296296</v>
      </c>
      <c r="R504" t="s">
        <v>2145</v>
      </c>
      <c r="S504" t="s">
        <v>2146</v>
      </c>
      <c r="T504" t="s">
        <v>2147</v>
      </c>
      <c r="U504" t="s">
        <v>2148</v>
      </c>
      <c r="X504">
        <v>7601</v>
      </c>
      <c r="Y504" t="s">
        <v>299</v>
      </c>
      <c r="Z504" t="s">
        <v>2149</v>
      </c>
      <c r="AA504">
        <v>793943258</v>
      </c>
      <c r="AB504" t="b">
        <v>1</v>
      </c>
      <c r="AC504" t="s">
        <v>2150</v>
      </c>
    </row>
    <row r="505" spans="1:30" x14ac:dyDescent="0.15">
      <c r="A505" s="788" t="s">
        <v>2153</v>
      </c>
      <c r="B505" t="s">
        <v>2145</v>
      </c>
      <c r="C505" s="884">
        <v>46155</v>
      </c>
      <c r="D505" s="884">
        <v>46156</v>
      </c>
      <c r="E505" t="s">
        <v>289</v>
      </c>
      <c r="F505" t="s">
        <v>290</v>
      </c>
      <c r="H505" t="s">
        <v>320</v>
      </c>
      <c r="I505" s="885">
        <v>46009.642268518517</v>
      </c>
      <c r="K505" s="885">
        <v>46009.64398148148</v>
      </c>
      <c r="L505" t="s">
        <v>264</v>
      </c>
      <c r="M505" t="s">
        <v>265</v>
      </c>
      <c r="N505" t="s">
        <v>2154</v>
      </c>
      <c r="O505" t="s">
        <v>267</v>
      </c>
      <c r="P505" s="885">
        <v>46009.648252314815</v>
      </c>
      <c r="R505" t="s">
        <v>2145</v>
      </c>
      <c r="S505" t="s">
        <v>2146</v>
      </c>
      <c r="T505" t="s">
        <v>2147</v>
      </c>
      <c r="U505" t="s">
        <v>2155</v>
      </c>
      <c r="X505">
        <v>7601</v>
      </c>
      <c r="Y505" t="s">
        <v>299</v>
      </c>
      <c r="Z505" t="s">
        <v>2156</v>
      </c>
      <c r="AA505">
        <v>793943258</v>
      </c>
      <c r="AB505" t="b">
        <v>1</v>
      </c>
      <c r="AC505" t="s">
        <v>2150</v>
      </c>
    </row>
    <row r="506" spans="1:30" x14ac:dyDescent="0.15">
      <c r="A506" s="788" t="s">
        <v>2169</v>
      </c>
      <c r="B506" t="s">
        <v>2170</v>
      </c>
      <c r="C506" s="884">
        <v>46074</v>
      </c>
      <c r="D506" s="884">
        <v>46077</v>
      </c>
      <c r="E506" t="s">
        <v>289</v>
      </c>
      <c r="F506" t="s">
        <v>290</v>
      </c>
      <c r="H506" t="s">
        <v>320</v>
      </c>
      <c r="I506" s="885">
        <v>46011.792916666665</v>
      </c>
      <c r="L506" t="s">
        <v>274</v>
      </c>
      <c r="M506" t="s">
        <v>265</v>
      </c>
      <c r="N506" t="s">
        <v>2171</v>
      </c>
      <c r="O506" t="s">
        <v>267</v>
      </c>
      <c r="P506" s="885">
        <v>46011.798229166663</v>
      </c>
      <c r="R506" t="s">
        <v>2170</v>
      </c>
      <c r="S506" t="s">
        <v>2172</v>
      </c>
      <c r="T506" t="s">
        <v>2173</v>
      </c>
      <c r="U506" t="s">
        <v>2174</v>
      </c>
      <c r="W506" t="s">
        <v>2175</v>
      </c>
      <c r="X506" t="s">
        <v>2176</v>
      </c>
      <c r="Y506" t="s">
        <v>327</v>
      </c>
      <c r="Z506" t="s">
        <v>2177</v>
      </c>
      <c r="AA506">
        <v>33685077927</v>
      </c>
      <c r="AB506" t="b">
        <v>1</v>
      </c>
      <c r="AC506" t="s">
        <v>2178</v>
      </c>
    </row>
    <row r="507" spans="1:30" x14ac:dyDescent="0.15">
      <c r="A507" s="788" t="s">
        <v>2192</v>
      </c>
      <c r="B507" t="s">
        <v>2193</v>
      </c>
      <c r="C507" s="884">
        <v>46016</v>
      </c>
      <c r="D507" s="884">
        <v>46020</v>
      </c>
      <c r="E507" t="s">
        <v>289</v>
      </c>
      <c r="F507" t="s">
        <v>304</v>
      </c>
      <c r="H507" t="s">
        <v>320</v>
      </c>
      <c r="I507" s="885">
        <v>46014.944861111115</v>
      </c>
      <c r="L507" t="s">
        <v>274</v>
      </c>
      <c r="M507" t="s">
        <v>265</v>
      </c>
      <c r="N507" t="s">
        <v>2194</v>
      </c>
      <c r="O507" t="s">
        <v>267</v>
      </c>
      <c r="P507" s="885">
        <v>46014.947905092595</v>
      </c>
      <c r="R507" t="s">
        <v>2193</v>
      </c>
      <c r="S507" t="s">
        <v>2195</v>
      </c>
      <c r="T507" t="s">
        <v>2196</v>
      </c>
      <c r="U507" t="s">
        <v>2197</v>
      </c>
      <c r="W507" t="s">
        <v>2198</v>
      </c>
      <c r="X507">
        <v>2950</v>
      </c>
      <c r="Y507" t="s">
        <v>1059</v>
      </c>
      <c r="Z507" t="s">
        <v>2199</v>
      </c>
      <c r="AA507">
        <v>32473534345</v>
      </c>
      <c r="AB507" t="b">
        <v>0</v>
      </c>
      <c r="AC507" t="s">
        <v>2200</v>
      </c>
    </row>
    <row r="508" spans="1:30" x14ac:dyDescent="0.15">
      <c r="A508" s="788" t="s">
        <v>2236</v>
      </c>
      <c r="B508" t="s">
        <v>2237</v>
      </c>
      <c r="C508" s="884">
        <v>46108</v>
      </c>
      <c r="D508" s="884">
        <v>46110</v>
      </c>
      <c r="E508" t="s">
        <v>289</v>
      </c>
      <c r="F508" t="s">
        <v>290</v>
      </c>
      <c r="H508" t="s">
        <v>482</v>
      </c>
      <c r="I508" s="885">
        <v>46022.136678240742</v>
      </c>
      <c r="L508" t="s">
        <v>274</v>
      </c>
      <c r="M508" t="s">
        <v>265</v>
      </c>
      <c r="N508" t="s">
        <v>2238</v>
      </c>
      <c r="O508" t="s">
        <v>267</v>
      </c>
      <c r="P508" s="885">
        <v>46022.140081018515</v>
      </c>
      <c r="R508" t="s">
        <v>2237</v>
      </c>
      <c r="S508" t="s">
        <v>2239</v>
      </c>
      <c r="T508" t="s">
        <v>2240</v>
      </c>
      <c r="U508" t="s">
        <v>2241</v>
      </c>
      <c r="W508" t="s">
        <v>298</v>
      </c>
      <c r="X508">
        <v>7130</v>
      </c>
      <c r="Y508" t="s">
        <v>299</v>
      </c>
      <c r="Z508" t="s">
        <v>2242</v>
      </c>
      <c r="AA508">
        <v>61409028292</v>
      </c>
      <c r="AB508" t="b">
        <v>0</v>
      </c>
      <c r="AC508" t="s">
        <v>2243</v>
      </c>
    </row>
    <row r="509" spans="1:30" x14ac:dyDescent="0.15">
      <c r="A509" s="788" t="s">
        <v>2244</v>
      </c>
      <c r="B509" t="s">
        <v>2237</v>
      </c>
      <c r="C509" s="884">
        <v>46108</v>
      </c>
      <c r="D509" s="884">
        <v>46110</v>
      </c>
      <c r="E509" t="s">
        <v>289</v>
      </c>
      <c r="F509" t="s">
        <v>290</v>
      </c>
      <c r="H509" t="s">
        <v>482</v>
      </c>
      <c r="I509" s="885">
        <v>46022.144421296296</v>
      </c>
      <c r="L509" t="s">
        <v>274</v>
      </c>
      <c r="M509" t="s">
        <v>265</v>
      </c>
      <c r="N509" t="s">
        <v>2238</v>
      </c>
      <c r="O509" t="s">
        <v>267</v>
      </c>
      <c r="P509" s="885">
        <v>46022.147083333337</v>
      </c>
      <c r="R509" t="s">
        <v>2237</v>
      </c>
      <c r="S509" t="s">
        <v>2239</v>
      </c>
      <c r="T509" t="s">
        <v>2240</v>
      </c>
      <c r="U509" t="s">
        <v>2245</v>
      </c>
      <c r="W509" t="s">
        <v>298</v>
      </c>
      <c r="X509">
        <v>7130</v>
      </c>
      <c r="Y509" t="s">
        <v>299</v>
      </c>
      <c r="Z509" t="s">
        <v>2246</v>
      </c>
      <c r="AA509">
        <v>61409028292</v>
      </c>
      <c r="AB509" t="b">
        <v>0</v>
      </c>
      <c r="AC509" t="s">
        <v>2243</v>
      </c>
    </row>
    <row r="510" spans="1:30" x14ac:dyDescent="0.15">
      <c r="A510" s="788" t="s">
        <v>2261</v>
      </c>
      <c r="B510" t="s">
        <v>2262</v>
      </c>
      <c r="C510" s="884">
        <v>46033</v>
      </c>
      <c r="D510" s="884">
        <v>46034</v>
      </c>
      <c r="E510" t="s">
        <v>289</v>
      </c>
      <c r="F510" t="s">
        <v>290</v>
      </c>
      <c r="H510" t="s">
        <v>2263</v>
      </c>
      <c r="I510" s="885">
        <v>46024.620706018519</v>
      </c>
      <c r="L510" t="s">
        <v>274</v>
      </c>
      <c r="M510" t="s">
        <v>1454</v>
      </c>
      <c r="N510" t="s">
        <v>2264</v>
      </c>
      <c r="O510" t="s">
        <v>267</v>
      </c>
      <c r="P510" s="885">
        <v>46024.62358796296</v>
      </c>
      <c r="R510" t="s">
        <v>2262</v>
      </c>
      <c r="S510" t="s">
        <v>2265</v>
      </c>
      <c r="T510" t="s">
        <v>2266</v>
      </c>
      <c r="U510" t="s">
        <v>2267</v>
      </c>
      <c r="X510">
        <v>197374</v>
      </c>
      <c r="Y510" t="s">
        <v>2268</v>
      </c>
      <c r="Z510" t="s">
        <v>2269</v>
      </c>
      <c r="AA510">
        <v>79119451961</v>
      </c>
      <c r="AB510" t="b">
        <v>1</v>
      </c>
      <c r="AC510" t="s">
        <v>2270</v>
      </c>
      <c r="AD510" t="s">
        <v>1151</v>
      </c>
    </row>
    <row r="511" spans="1:30" x14ac:dyDescent="0.15">
      <c r="A511" s="788" t="s">
        <v>2274</v>
      </c>
      <c r="B511" t="s">
        <v>2275</v>
      </c>
      <c r="C511" s="884">
        <v>46027</v>
      </c>
      <c r="D511" s="884">
        <v>46029</v>
      </c>
      <c r="E511" t="s">
        <v>289</v>
      </c>
      <c r="F511" t="s">
        <v>290</v>
      </c>
      <c r="H511" t="s">
        <v>320</v>
      </c>
      <c r="I511" s="885">
        <v>46025.923425925925</v>
      </c>
      <c r="L511" t="s">
        <v>274</v>
      </c>
      <c r="M511" t="s">
        <v>265</v>
      </c>
      <c r="N511" t="s">
        <v>2276</v>
      </c>
      <c r="O511" t="s">
        <v>267</v>
      </c>
      <c r="P511" s="885">
        <v>46025.927141203705</v>
      </c>
      <c r="R511" t="s">
        <v>2275</v>
      </c>
      <c r="S511" t="s">
        <v>2277</v>
      </c>
      <c r="T511" t="s">
        <v>2278</v>
      </c>
      <c r="U511" t="s">
        <v>2279</v>
      </c>
      <c r="W511" t="s">
        <v>2280</v>
      </c>
      <c r="X511">
        <v>75014</v>
      </c>
      <c r="Y511" t="s">
        <v>2280</v>
      </c>
      <c r="Z511" t="s">
        <v>2281</v>
      </c>
      <c r="AA511">
        <v>33662055334</v>
      </c>
      <c r="AB511" t="b">
        <v>0</v>
      </c>
      <c r="AC511" t="s">
        <v>2282</v>
      </c>
    </row>
    <row r="512" spans="1:30" x14ac:dyDescent="0.15">
      <c r="A512" s="788" t="s">
        <v>2287</v>
      </c>
      <c r="B512" t="s">
        <v>2288</v>
      </c>
      <c r="C512" s="884">
        <v>46031</v>
      </c>
      <c r="D512" s="884">
        <v>46034</v>
      </c>
      <c r="E512" t="s">
        <v>289</v>
      </c>
      <c r="F512" t="s">
        <v>290</v>
      </c>
      <c r="H512" t="s">
        <v>2086</v>
      </c>
      <c r="I512" s="885">
        <v>46026.748182870368</v>
      </c>
      <c r="L512" t="s">
        <v>274</v>
      </c>
      <c r="M512" t="s">
        <v>265</v>
      </c>
      <c r="N512" t="s">
        <v>2289</v>
      </c>
      <c r="O512" t="s">
        <v>267</v>
      </c>
      <c r="P512" s="885">
        <v>46026.752337962964</v>
      </c>
      <c r="R512" t="s">
        <v>2288</v>
      </c>
      <c r="S512" t="s">
        <v>2290</v>
      </c>
      <c r="T512" t="s">
        <v>2291</v>
      </c>
      <c r="U512" t="s">
        <v>2292</v>
      </c>
      <c r="W512" t="s">
        <v>2293</v>
      </c>
      <c r="X512">
        <v>2990</v>
      </c>
      <c r="Y512" t="s">
        <v>1059</v>
      </c>
      <c r="Z512" t="s">
        <v>2294</v>
      </c>
      <c r="AA512">
        <v>32477404761</v>
      </c>
      <c r="AB512" t="b">
        <v>0</v>
      </c>
      <c r="AC512" t="s">
        <v>2295</v>
      </c>
    </row>
    <row r="513" spans="1:30" x14ac:dyDescent="0.15">
      <c r="A513" s="788" t="s">
        <v>2320</v>
      </c>
      <c r="B513" t="s">
        <v>2321</v>
      </c>
      <c r="C513" s="884">
        <v>46059</v>
      </c>
      <c r="D513" s="884">
        <v>46062</v>
      </c>
      <c r="E513" t="s">
        <v>289</v>
      </c>
      <c r="F513" t="s">
        <v>290</v>
      </c>
      <c r="H513" t="s">
        <v>482</v>
      </c>
      <c r="I513" s="885">
        <v>46029.516493055555</v>
      </c>
      <c r="L513" t="s">
        <v>274</v>
      </c>
      <c r="M513" t="s">
        <v>265</v>
      </c>
      <c r="N513" t="s">
        <v>2322</v>
      </c>
      <c r="O513" t="s">
        <v>267</v>
      </c>
      <c r="P513" s="885">
        <v>46029.521192129629</v>
      </c>
      <c r="R513" t="s">
        <v>2321</v>
      </c>
      <c r="S513" t="s">
        <v>2323</v>
      </c>
      <c r="T513" t="s">
        <v>2324</v>
      </c>
      <c r="U513" t="s">
        <v>2325</v>
      </c>
      <c r="V513" t="s">
        <v>2326</v>
      </c>
      <c r="X513">
        <v>3610</v>
      </c>
      <c r="Y513" t="s">
        <v>299</v>
      </c>
      <c r="Z513" t="s">
        <v>2327</v>
      </c>
      <c r="AA513" t="s">
        <v>2328</v>
      </c>
      <c r="AB513" t="b">
        <v>0</v>
      </c>
      <c r="AC513" t="s">
        <v>2329</v>
      </c>
    </row>
    <row r="514" spans="1:30" x14ac:dyDescent="0.15">
      <c r="A514" s="788" t="s">
        <v>2361</v>
      </c>
      <c r="B514" t="s">
        <v>2362</v>
      </c>
      <c r="C514" s="884">
        <v>46074</v>
      </c>
      <c r="D514" s="884">
        <v>46076</v>
      </c>
      <c r="E514" t="s">
        <v>289</v>
      </c>
      <c r="F514" t="s">
        <v>304</v>
      </c>
      <c r="H514" t="s">
        <v>305</v>
      </c>
      <c r="I514" s="885">
        <v>46033.464178240742</v>
      </c>
      <c r="L514" t="s">
        <v>274</v>
      </c>
      <c r="M514" t="s">
        <v>265</v>
      </c>
      <c r="N514" t="s">
        <v>2363</v>
      </c>
      <c r="O514" t="s">
        <v>267</v>
      </c>
      <c r="P514" s="885">
        <v>46033.467280092591</v>
      </c>
      <c r="R514" t="s">
        <v>2362</v>
      </c>
      <c r="S514" t="s">
        <v>1614</v>
      </c>
      <c r="T514" t="s">
        <v>397</v>
      </c>
      <c r="U514" t="s">
        <v>2364</v>
      </c>
      <c r="V514" t="s">
        <v>2365</v>
      </c>
      <c r="X514">
        <v>6615</v>
      </c>
      <c r="Y514" t="s">
        <v>299</v>
      </c>
      <c r="Z514" t="s">
        <v>2366</v>
      </c>
      <c r="AA514">
        <v>827673090</v>
      </c>
      <c r="AB514" t="b">
        <v>0</v>
      </c>
      <c r="AC514" t="s">
        <v>2367</v>
      </c>
    </row>
    <row r="515" spans="1:30" x14ac:dyDescent="0.15">
      <c r="A515" s="788" t="s">
        <v>2407</v>
      </c>
      <c r="B515" t="s">
        <v>2408</v>
      </c>
      <c r="C515" s="884">
        <v>46039</v>
      </c>
      <c r="D515" s="884">
        <v>46040</v>
      </c>
      <c r="E515" t="s">
        <v>289</v>
      </c>
      <c r="F515" t="s">
        <v>304</v>
      </c>
      <c r="H515" t="s">
        <v>482</v>
      </c>
      <c r="I515" s="885">
        <v>46036.773599537039</v>
      </c>
      <c r="L515" t="s">
        <v>274</v>
      </c>
      <c r="M515" t="s">
        <v>265</v>
      </c>
      <c r="N515" t="s">
        <v>2073</v>
      </c>
      <c r="O515" t="s">
        <v>267</v>
      </c>
      <c r="P515" s="885">
        <v>46036.776261574072</v>
      </c>
      <c r="R515" t="s">
        <v>2408</v>
      </c>
      <c r="S515" t="s">
        <v>2409</v>
      </c>
      <c r="T515" t="s">
        <v>2410</v>
      </c>
      <c r="U515" t="s">
        <v>2411</v>
      </c>
      <c r="V515" t="s">
        <v>2412</v>
      </c>
      <c r="W515" t="s">
        <v>665</v>
      </c>
      <c r="X515">
        <v>2049</v>
      </c>
      <c r="Y515" t="s">
        <v>299</v>
      </c>
      <c r="Z515" t="s">
        <v>2413</v>
      </c>
      <c r="AA515">
        <v>828865854</v>
      </c>
      <c r="AB515" t="b">
        <v>0</v>
      </c>
      <c r="AC515" t="s">
        <v>2414</v>
      </c>
    </row>
    <row r="516" spans="1:30" x14ac:dyDescent="0.15">
      <c r="A516" s="788" t="s">
        <v>2427</v>
      </c>
      <c r="B516" t="s">
        <v>2428</v>
      </c>
      <c r="C516" s="884">
        <v>46121</v>
      </c>
      <c r="D516" s="884">
        <v>46123</v>
      </c>
      <c r="E516" t="s">
        <v>289</v>
      </c>
      <c r="F516" t="s">
        <v>290</v>
      </c>
      <c r="H516" t="s">
        <v>496</v>
      </c>
    </row>
    <row r="517" spans="1:30" x14ac:dyDescent="0.15">
      <c r="A517" s="788" t="s">
        <v>2459</v>
      </c>
      <c r="B517" t="s">
        <v>2460</v>
      </c>
      <c r="C517" s="884">
        <v>46052</v>
      </c>
      <c r="D517" s="884">
        <v>46053</v>
      </c>
      <c r="E517" t="s">
        <v>289</v>
      </c>
      <c r="F517" t="s">
        <v>290</v>
      </c>
      <c r="H517" t="s">
        <v>1194</v>
      </c>
      <c r="I517" s="885">
        <v>46041.718877314815</v>
      </c>
      <c r="L517" t="s">
        <v>274</v>
      </c>
      <c r="M517" t="s">
        <v>279</v>
      </c>
      <c r="N517" t="s">
        <v>1933</v>
      </c>
      <c r="O517" t="s">
        <v>267</v>
      </c>
      <c r="P517" s="885">
        <v>46041.724305555559</v>
      </c>
      <c r="R517" t="s">
        <v>2460</v>
      </c>
      <c r="S517" t="s">
        <v>2461</v>
      </c>
      <c r="T517" t="s">
        <v>430</v>
      </c>
      <c r="U517" t="s">
        <v>2462</v>
      </c>
      <c r="V517" t="s">
        <v>2463</v>
      </c>
      <c r="W517" t="s">
        <v>298</v>
      </c>
      <c r="X517">
        <v>7806</v>
      </c>
      <c r="Y517" t="s">
        <v>299</v>
      </c>
      <c r="Z517" t="s">
        <v>2464</v>
      </c>
      <c r="AA517">
        <v>829003541</v>
      </c>
      <c r="AB517" t="b">
        <v>1</v>
      </c>
      <c r="AC517" t="s">
        <v>2465</v>
      </c>
      <c r="AD517" t="s">
        <v>1062</v>
      </c>
    </row>
    <row r="518" spans="1:30" x14ac:dyDescent="0.15">
      <c r="A518" s="788" t="s">
        <v>2504</v>
      </c>
      <c r="B518" t="s">
        <v>2505</v>
      </c>
      <c r="C518" s="884">
        <v>46083</v>
      </c>
      <c r="D518" s="884">
        <v>46085</v>
      </c>
      <c r="E518" t="s">
        <v>289</v>
      </c>
      <c r="F518" t="s">
        <v>290</v>
      </c>
      <c r="H518" t="s">
        <v>2263</v>
      </c>
      <c r="I518" s="885">
        <v>46046.709513888891</v>
      </c>
      <c r="L518" t="s">
        <v>274</v>
      </c>
      <c r="M518" t="s">
        <v>1454</v>
      </c>
      <c r="N518" t="s">
        <v>2506</v>
      </c>
      <c r="O518" t="s">
        <v>267</v>
      </c>
      <c r="P518" s="885">
        <v>46046.713275462964</v>
      </c>
      <c r="R518" t="s">
        <v>2505</v>
      </c>
      <c r="S518" t="s">
        <v>562</v>
      </c>
      <c r="T518" t="s">
        <v>2507</v>
      </c>
      <c r="U518" t="s">
        <v>2508</v>
      </c>
      <c r="V518" t="s">
        <v>2509</v>
      </c>
      <c r="W518" t="s">
        <v>2510</v>
      </c>
      <c r="X518" t="s">
        <v>2511</v>
      </c>
      <c r="Y518" t="s">
        <v>327</v>
      </c>
      <c r="Z518" t="s">
        <v>2512</v>
      </c>
      <c r="AA518">
        <v>7817660330</v>
      </c>
      <c r="AB518" t="b">
        <v>0</v>
      </c>
      <c r="AC518" t="s">
        <v>2513</v>
      </c>
      <c r="AD518" t="s">
        <v>1151</v>
      </c>
    </row>
    <row r="519" spans="1:30" x14ac:dyDescent="0.15">
      <c r="A519" s="788" t="s">
        <v>2530</v>
      </c>
      <c r="B519" t="s">
        <v>2531</v>
      </c>
      <c r="C519" s="884">
        <v>46102</v>
      </c>
      <c r="D519" s="884">
        <v>46103</v>
      </c>
      <c r="E519" t="s">
        <v>289</v>
      </c>
      <c r="F519" t="s">
        <v>290</v>
      </c>
      <c r="H519" t="s">
        <v>2532</v>
      </c>
      <c r="I519" s="885">
        <v>46049.955729166664</v>
      </c>
      <c r="L519" t="s">
        <v>274</v>
      </c>
      <c r="M519" t="s">
        <v>265</v>
      </c>
      <c r="N519" t="s">
        <v>1695</v>
      </c>
      <c r="O519" t="s">
        <v>267</v>
      </c>
      <c r="P519" s="885">
        <v>46049.958564814813</v>
      </c>
      <c r="R519" t="s">
        <v>2531</v>
      </c>
      <c r="S519" t="s">
        <v>2533</v>
      </c>
      <c r="T519" t="s">
        <v>2534</v>
      </c>
      <c r="U519" t="s">
        <v>2535</v>
      </c>
      <c r="V519" t="s">
        <v>2536</v>
      </c>
      <c r="W519" t="s">
        <v>1586</v>
      </c>
      <c r="X519" t="s">
        <v>2537</v>
      </c>
      <c r="Y519" t="s">
        <v>327</v>
      </c>
      <c r="Z519" t="s">
        <v>2538</v>
      </c>
      <c r="AA519">
        <v>723322669</v>
      </c>
      <c r="AB519" t="b">
        <v>0</v>
      </c>
      <c r="AC519" t="s">
        <v>2539</v>
      </c>
    </row>
    <row r="520" spans="1:30" x14ac:dyDescent="0.15">
      <c r="A520" s="788" t="s">
        <v>2579</v>
      </c>
      <c r="B520" t="s">
        <v>2580</v>
      </c>
      <c r="C520" s="884">
        <v>46061</v>
      </c>
      <c r="D520" s="884">
        <v>46063</v>
      </c>
      <c r="E520" t="s">
        <v>289</v>
      </c>
      <c r="F520" t="s">
        <v>290</v>
      </c>
      <c r="H520" t="s">
        <v>2581</v>
      </c>
      <c r="I520" s="885">
        <v>46052.707418981481</v>
      </c>
      <c r="L520" t="s">
        <v>274</v>
      </c>
      <c r="M520" t="s">
        <v>279</v>
      </c>
      <c r="N520" t="s">
        <v>2582</v>
      </c>
      <c r="O520" t="s">
        <v>267</v>
      </c>
      <c r="P520" s="885">
        <v>46052.71125</v>
      </c>
      <c r="R520" t="s">
        <v>2580</v>
      </c>
      <c r="S520" t="s">
        <v>88</v>
      </c>
      <c r="T520" t="s">
        <v>2583</v>
      </c>
      <c r="U520" t="s">
        <v>2584</v>
      </c>
      <c r="X520">
        <v>57399</v>
      </c>
      <c r="Y520" t="s">
        <v>348</v>
      </c>
      <c r="Z520" t="s">
        <v>2585</v>
      </c>
      <c r="AA520">
        <v>491728587550</v>
      </c>
      <c r="AB520" t="b">
        <v>0</v>
      </c>
      <c r="AC520" t="s">
        <v>2586</v>
      </c>
    </row>
    <row r="521" spans="1:30" x14ac:dyDescent="0.15">
      <c r="A521" s="788">
        <v>2211245711</v>
      </c>
      <c r="B521" t="s">
        <v>261</v>
      </c>
      <c r="C521" s="884">
        <v>46122</v>
      </c>
      <c r="D521" s="884">
        <v>46124</v>
      </c>
      <c r="E521" t="s">
        <v>262</v>
      </c>
      <c r="F521" t="s">
        <v>262</v>
      </c>
      <c r="H521" t="s">
        <v>263</v>
      </c>
      <c r="I521" s="885">
        <v>45809.815972222219</v>
      </c>
      <c r="K521" s="885">
        <v>45999.904166666667</v>
      </c>
      <c r="L521" t="s">
        <v>264</v>
      </c>
      <c r="M521" t="s">
        <v>265</v>
      </c>
      <c r="N521" t="s">
        <v>266</v>
      </c>
      <c r="O521" t="s">
        <v>267</v>
      </c>
      <c r="P521" s="885">
        <v>45999.90892361111</v>
      </c>
      <c r="Q521" t="s">
        <v>268</v>
      </c>
      <c r="R521" t="s">
        <v>269</v>
      </c>
    </row>
    <row r="522" spans="1:30" x14ac:dyDescent="0.15">
      <c r="A522" s="788">
        <v>2212534053</v>
      </c>
      <c r="B522" t="s">
        <v>276</v>
      </c>
      <c r="C522" s="884">
        <v>45822</v>
      </c>
      <c r="D522" s="884">
        <v>45823</v>
      </c>
      <c r="E522" t="s">
        <v>262</v>
      </c>
      <c r="F522" t="s">
        <v>277</v>
      </c>
      <c r="H522" t="s">
        <v>278</v>
      </c>
      <c r="I522" s="885">
        <v>45811.443055555559</v>
      </c>
      <c r="L522" t="s">
        <v>274</v>
      </c>
      <c r="M522" t="s">
        <v>279</v>
      </c>
      <c r="N522" t="s">
        <v>280</v>
      </c>
      <c r="O522" t="s">
        <v>267</v>
      </c>
      <c r="P522" s="885">
        <v>45811.448252314818</v>
      </c>
      <c r="Q522" t="s">
        <v>268</v>
      </c>
      <c r="R522" t="s">
        <v>269</v>
      </c>
    </row>
    <row r="523" spans="1:30" x14ac:dyDescent="0.15">
      <c r="A523" s="788">
        <v>2212534054</v>
      </c>
      <c r="B523" t="s">
        <v>281</v>
      </c>
      <c r="C523" s="884">
        <v>45822</v>
      </c>
      <c r="D523" s="884">
        <v>45823</v>
      </c>
      <c r="E523" t="s">
        <v>262</v>
      </c>
      <c r="F523" t="s">
        <v>277</v>
      </c>
      <c r="H523" t="s">
        <v>278</v>
      </c>
      <c r="I523" s="885">
        <v>45811.443055555559</v>
      </c>
      <c r="L523" t="s">
        <v>274</v>
      </c>
      <c r="M523" t="s">
        <v>279</v>
      </c>
      <c r="N523" t="s">
        <v>280</v>
      </c>
      <c r="O523" t="s">
        <v>267</v>
      </c>
      <c r="P523" s="885">
        <v>45811.448252314818</v>
      </c>
      <c r="Q523" t="s">
        <v>268</v>
      </c>
      <c r="R523" t="s">
        <v>269</v>
      </c>
    </row>
    <row r="524" spans="1:30" x14ac:dyDescent="0.15">
      <c r="A524" s="788">
        <v>2212534055</v>
      </c>
      <c r="B524" t="s">
        <v>282</v>
      </c>
      <c r="C524" s="884">
        <v>45822</v>
      </c>
      <c r="D524" s="884">
        <v>45823</v>
      </c>
      <c r="E524" t="s">
        <v>262</v>
      </c>
      <c r="F524" t="s">
        <v>277</v>
      </c>
      <c r="H524" t="s">
        <v>278</v>
      </c>
      <c r="I524" s="885">
        <v>45811.443055555559</v>
      </c>
      <c r="L524" t="s">
        <v>274</v>
      </c>
      <c r="M524" t="s">
        <v>279</v>
      </c>
      <c r="N524" t="s">
        <v>280</v>
      </c>
      <c r="O524" t="s">
        <v>267</v>
      </c>
      <c r="P524" s="885">
        <v>45811.448252314818</v>
      </c>
      <c r="Q524" t="s">
        <v>268</v>
      </c>
      <c r="R524" t="s">
        <v>269</v>
      </c>
    </row>
    <row r="525" spans="1:30" x14ac:dyDescent="0.15">
      <c r="A525" s="788">
        <v>2212534057</v>
      </c>
      <c r="B525" t="s">
        <v>283</v>
      </c>
      <c r="C525" s="884">
        <v>45822</v>
      </c>
      <c r="D525" s="884">
        <v>45823</v>
      </c>
      <c r="E525" t="s">
        <v>262</v>
      </c>
      <c r="F525" t="s">
        <v>277</v>
      </c>
      <c r="H525" t="s">
        <v>278</v>
      </c>
      <c r="I525" s="885">
        <v>45811.443055555559</v>
      </c>
      <c r="L525" t="s">
        <v>274</v>
      </c>
      <c r="M525" t="s">
        <v>279</v>
      </c>
      <c r="N525" t="s">
        <v>280</v>
      </c>
      <c r="O525" t="s">
        <v>267</v>
      </c>
      <c r="P525" s="885">
        <v>45811.448252314818</v>
      </c>
      <c r="Q525" t="s">
        <v>268</v>
      </c>
      <c r="R525" t="s">
        <v>269</v>
      </c>
    </row>
    <row r="526" spans="1:30" x14ac:dyDescent="0.15">
      <c r="A526" s="788">
        <v>2212535694</v>
      </c>
      <c r="B526" t="s">
        <v>284</v>
      </c>
      <c r="C526" s="884">
        <v>45822</v>
      </c>
      <c r="D526" s="884">
        <v>45823</v>
      </c>
      <c r="E526" t="s">
        <v>262</v>
      </c>
      <c r="F526" t="s">
        <v>277</v>
      </c>
      <c r="H526" t="s">
        <v>278</v>
      </c>
      <c r="I526" s="885">
        <v>45811.445833333331</v>
      </c>
      <c r="L526" t="s">
        <v>274</v>
      </c>
      <c r="M526" t="s">
        <v>279</v>
      </c>
      <c r="N526" t="s">
        <v>280</v>
      </c>
      <c r="O526" t="s">
        <v>267</v>
      </c>
      <c r="P526" s="885">
        <v>45811.451898148145</v>
      </c>
      <c r="Q526" t="s">
        <v>268</v>
      </c>
      <c r="R526" t="s">
        <v>269</v>
      </c>
    </row>
    <row r="527" spans="1:30" x14ac:dyDescent="0.15">
      <c r="A527" s="788">
        <v>2212535695</v>
      </c>
      <c r="B527" t="s">
        <v>285</v>
      </c>
      <c r="C527" s="884">
        <v>45822</v>
      </c>
      <c r="D527" s="884">
        <v>45823</v>
      </c>
      <c r="E527" t="s">
        <v>262</v>
      </c>
      <c r="F527" t="s">
        <v>277</v>
      </c>
      <c r="H527" t="s">
        <v>278</v>
      </c>
      <c r="I527" s="885">
        <v>45811.445833333331</v>
      </c>
      <c r="L527" t="s">
        <v>274</v>
      </c>
      <c r="M527" t="s">
        <v>279</v>
      </c>
      <c r="N527" t="s">
        <v>280</v>
      </c>
      <c r="O527" t="s">
        <v>267</v>
      </c>
      <c r="P527" s="885">
        <v>45811.451898148145</v>
      </c>
      <c r="Q527" t="s">
        <v>268</v>
      </c>
      <c r="R527" t="s">
        <v>269</v>
      </c>
    </row>
    <row r="528" spans="1:30" x14ac:dyDescent="0.15">
      <c r="A528" s="788">
        <v>2212535697</v>
      </c>
      <c r="B528" t="s">
        <v>286</v>
      </c>
      <c r="C528" s="884">
        <v>45822</v>
      </c>
      <c r="D528" s="884">
        <v>45823</v>
      </c>
      <c r="E528" t="s">
        <v>262</v>
      </c>
      <c r="F528" t="s">
        <v>277</v>
      </c>
      <c r="H528" t="s">
        <v>278</v>
      </c>
      <c r="I528" s="885">
        <v>45811.445833333331</v>
      </c>
      <c r="L528" t="s">
        <v>274</v>
      </c>
      <c r="M528" t="s">
        <v>279</v>
      </c>
      <c r="N528" t="s">
        <v>280</v>
      </c>
      <c r="O528" t="s">
        <v>267</v>
      </c>
      <c r="P528" s="885">
        <v>45811.451898148145</v>
      </c>
      <c r="Q528" t="s">
        <v>268</v>
      </c>
      <c r="R528" t="s">
        <v>269</v>
      </c>
    </row>
    <row r="529" spans="1:18" x14ac:dyDescent="0.15">
      <c r="A529" s="788">
        <v>2216055176</v>
      </c>
      <c r="B529" t="s">
        <v>330</v>
      </c>
      <c r="C529" s="884">
        <v>46016</v>
      </c>
      <c r="D529" s="884">
        <v>46018</v>
      </c>
      <c r="E529" t="s">
        <v>262</v>
      </c>
      <c r="F529" t="s">
        <v>331</v>
      </c>
      <c r="H529" t="s">
        <v>332</v>
      </c>
      <c r="I529" s="885">
        <v>45815.978472222225</v>
      </c>
      <c r="L529" t="s">
        <v>274</v>
      </c>
      <c r="M529" t="s">
        <v>279</v>
      </c>
      <c r="N529" t="s">
        <v>333</v>
      </c>
      <c r="O529" t="s">
        <v>267</v>
      </c>
      <c r="P529" s="885">
        <v>45815.981053240743</v>
      </c>
      <c r="Q529" t="s">
        <v>268</v>
      </c>
      <c r="R529" t="s">
        <v>269</v>
      </c>
    </row>
    <row r="530" spans="1:18" x14ac:dyDescent="0.15">
      <c r="A530" s="788">
        <v>2216055181</v>
      </c>
      <c r="B530" t="s">
        <v>334</v>
      </c>
      <c r="C530" s="884">
        <v>46016</v>
      </c>
      <c r="D530" s="884">
        <v>46018</v>
      </c>
      <c r="E530" t="s">
        <v>262</v>
      </c>
      <c r="F530" t="s">
        <v>331</v>
      </c>
      <c r="H530" t="s">
        <v>332</v>
      </c>
      <c r="I530" s="885">
        <v>45815.978472222225</v>
      </c>
      <c r="L530" t="s">
        <v>274</v>
      </c>
      <c r="M530" t="s">
        <v>279</v>
      </c>
      <c r="N530" t="s">
        <v>333</v>
      </c>
      <c r="O530" t="s">
        <v>267</v>
      </c>
      <c r="P530" s="885">
        <v>45815.981053240743</v>
      </c>
      <c r="Q530" t="s">
        <v>268</v>
      </c>
      <c r="R530" t="s">
        <v>269</v>
      </c>
    </row>
    <row r="531" spans="1:18" x14ac:dyDescent="0.15">
      <c r="A531" s="788">
        <v>2218259805</v>
      </c>
      <c r="B531" t="s">
        <v>351</v>
      </c>
      <c r="C531" s="884">
        <v>45819</v>
      </c>
      <c r="D531" s="884">
        <v>45821</v>
      </c>
      <c r="E531" t="s">
        <v>262</v>
      </c>
      <c r="F531" t="s">
        <v>262</v>
      </c>
      <c r="H531" t="s">
        <v>278</v>
      </c>
      <c r="I531" s="885">
        <v>45818.933333333334</v>
      </c>
      <c r="L531" t="s">
        <v>274</v>
      </c>
      <c r="M531" t="s">
        <v>279</v>
      </c>
      <c r="N531" t="s">
        <v>352</v>
      </c>
      <c r="O531" t="s">
        <v>267</v>
      </c>
      <c r="P531" s="885">
        <v>45818.936006944445</v>
      </c>
      <c r="Q531" t="s">
        <v>268</v>
      </c>
      <c r="R531" t="s">
        <v>269</v>
      </c>
    </row>
    <row r="532" spans="1:18" x14ac:dyDescent="0.15">
      <c r="A532" s="788">
        <v>2221592104</v>
      </c>
      <c r="B532" t="s">
        <v>384</v>
      </c>
      <c r="C532" s="884">
        <v>46042</v>
      </c>
      <c r="D532" s="884">
        <v>46044</v>
      </c>
      <c r="E532" t="s">
        <v>262</v>
      </c>
      <c r="F532" t="s">
        <v>262</v>
      </c>
      <c r="H532" t="s">
        <v>385</v>
      </c>
      <c r="I532" s="885">
        <v>45823.509027777778</v>
      </c>
      <c r="L532" t="s">
        <v>274</v>
      </c>
      <c r="M532" t="s">
        <v>265</v>
      </c>
      <c r="N532" t="s">
        <v>386</v>
      </c>
      <c r="O532" t="s">
        <v>267</v>
      </c>
      <c r="P532" s="885">
        <v>45823.513275462959</v>
      </c>
      <c r="Q532" t="s">
        <v>268</v>
      </c>
      <c r="R532" t="s">
        <v>269</v>
      </c>
    </row>
    <row r="533" spans="1:18" x14ac:dyDescent="0.15">
      <c r="A533" s="788">
        <v>2223882097</v>
      </c>
      <c r="B533" t="s">
        <v>406</v>
      </c>
      <c r="C533" s="884">
        <v>45966</v>
      </c>
      <c r="D533" s="884">
        <v>45969</v>
      </c>
      <c r="E533" t="s">
        <v>262</v>
      </c>
      <c r="F533" t="s">
        <v>277</v>
      </c>
      <c r="H533" t="s">
        <v>278</v>
      </c>
      <c r="I533" s="885">
        <v>45826.436111111114</v>
      </c>
      <c r="L533" t="s">
        <v>274</v>
      </c>
      <c r="M533" t="s">
        <v>265</v>
      </c>
      <c r="N533" t="s">
        <v>407</v>
      </c>
      <c r="O533" t="s">
        <v>267</v>
      </c>
      <c r="P533" s="885">
        <v>45826.439456018517</v>
      </c>
      <c r="Q533" t="s">
        <v>268</v>
      </c>
      <c r="R533" t="s">
        <v>269</v>
      </c>
    </row>
    <row r="534" spans="1:18" x14ac:dyDescent="0.15">
      <c r="A534" s="788">
        <v>2223971800</v>
      </c>
      <c r="B534" t="s">
        <v>408</v>
      </c>
      <c r="C534" s="884">
        <v>46074</v>
      </c>
      <c r="D534" s="884">
        <v>46075</v>
      </c>
      <c r="E534" t="s">
        <v>262</v>
      </c>
      <c r="F534" t="s">
        <v>277</v>
      </c>
      <c r="H534" t="s">
        <v>278</v>
      </c>
      <c r="I534" s="885">
        <v>45826.585416666669</v>
      </c>
      <c r="L534" t="s">
        <v>274</v>
      </c>
      <c r="M534" t="s">
        <v>265</v>
      </c>
      <c r="N534" t="s">
        <v>409</v>
      </c>
      <c r="O534" t="s">
        <v>267</v>
      </c>
      <c r="P534" s="885">
        <v>45826.590474537035</v>
      </c>
      <c r="Q534" t="s">
        <v>268</v>
      </c>
      <c r="R534" t="s">
        <v>269</v>
      </c>
    </row>
    <row r="535" spans="1:18" x14ac:dyDescent="0.15">
      <c r="A535" s="788">
        <v>2223971801</v>
      </c>
      <c r="B535" t="s">
        <v>408</v>
      </c>
      <c r="C535" s="884">
        <v>46074</v>
      </c>
      <c r="D535" s="884">
        <v>46075</v>
      </c>
      <c r="E535" t="s">
        <v>262</v>
      </c>
      <c r="F535" t="s">
        <v>277</v>
      </c>
      <c r="H535" t="s">
        <v>278</v>
      </c>
      <c r="I535" s="885">
        <v>45826.585416666669</v>
      </c>
      <c r="L535" t="s">
        <v>274</v>
      </c>
      <c r="M535" t="s">
        <v>265</v>
      </c>
      <c r="N535" t="s">
        <v>409</v>
      </c>
      <c r="O535" t="s">
        <v>267</v>
      </c>
      <c r="P535" s="885">
        <v>45826.590474537035</v>
      </c>
      <c r="Q535" t="s">
        <v>268</v>
      </c>
      <c r="R535" t="s">
        <v>269</v>
      </c>
    </row>
    <row r="536" spans="1:18" x14ac:dyDescent="0.15">
      <c r="A536" s="788">
        <v>2224142597</v>
      </c>
      <c r="B536" t="s">
        <v>410</v>
      </c>
      <c r="C536" s="884">
        <v>45837</v>
      </c>
      <c r="D536" s="884">
        <v>45840</v>
      </c>
      <c r="E536" t="s">
        <v>262</v>
      </c>
      <c r="F536" t="s">
        <v>331</v>
      </c>
      <c r="H536" t="s">
        <v>411</v>
      </c>
      <c r="I536" s="885">
        <v>45826.76458333333</v>
      </c>
      <c r="L536" t="s">
        <v>274</v>
      </c>
      <c r="M536" t="s">
        <v>279</v>
      </c>
      <c r="N536" t="s">
        <v>412</v>
      </c>
      <c r="O536" t="s">
        <v>267</v>
      </c>
      <c r="P536" s="885">
        <v>45826.77202546296</v>
      </c>
      <c r="Q536" t="s">
        <v>268</v>
      </c>
      <c r="R536" t="s">
        <v>269</v>
      </c>
    </row>
    <row r="537" spans="1:18" x14ac:dyDescent="0.15">
      <c r="A537" s="788">
        <v>2228562202</v>
      </c>
      <c r="B537" t="s">
        <v>437</v>
      </c>
      <c r="C537" s="884">
        <v>45838</v>
      </c>
      <c r="D537" s="884">
        <v>45840</v>
      </c>
      <c r="E537" t="s">
        <v>262</v>
      </c>
      <c r="F537" t="s">
        <v>331</v>
      </c>
      <c r="H537" t="s">
        <v>278</v>
      </c>
      <c r="I537" s="885">
        <v>45832.780555555553</v>
      </c>
      <c r="L537" t="s">
        <v>274</v>
      </c>
      <c r="M537" t="s">
        <v>279</v>
      </c>
      <c r="N537" t="s">
        <v>438</v>
      </c>
      <c r="O537" t="s">
        <v>267</v>
      </c>
      <c r="P537" s="885">
        <v>45832.784872685188</v>
      </c>
      <c r="Q537" t="s">
        <v>268</v>
      </c>
      <c r="R537" t="s">
        <v>269</v>
      </c>
    </row>
    <row r="538" spans="1:18" x14ac:dyDescent="0.15">
      <c r="A538" s="788">
        <v>2228573083</v>
      </c>
      <c r="B538" t="s">
        <v>439</v>
      </c>
      <c r="C538" s="884">
        <v>46014</v>
      </c>
      <c r="D538" s="884">
        <v>46017</v>
      </c>
      <c r="E538" t="s">
        <v>262</v>
      </c>
      <c r="F538" t="s">
        <v>440</v>
      </c>
      <c r="H538" t="s">
        <v>441</v>
      </c>
      <c r="I538" s="885">
        <v>45832.791666666664</v>
      </c>
      <c r="L538" t="s">
        <v>274</v>
      </c>
      <c r="M538" t="s">
        <v>265</v>
      </c>
      <c r="N538" t="s">
        <v>442</v>
      </c>
      <c r="O538" t="s">
        <v>267</v>
      </c>
      <c r="P538" s="885">
        <v>45832.795428240737</v>
      </c>
      <c r="Q538" t="s">
        <v>268</v>
      </c>
      <c r="R538" t="s">
        <v>269</v>
      </c>
    </row>
    <row r="539" spans="1:18" x14ac:dyDescent="0.15">
      <c r="A539" s="788">
        <v>2228631159</v>
      </c>
      <c r="B539" t="s">
        <v>458</v>
      </c>
      <c r="C539" s="884">
        <v>46014</v>
      </c>
      <c r="D539" s="884">
        <v>46017</v>
      </c>
      <c r="E539" t="s">
        <v>262</v>
      </c>
      <c r="F539" t="s">
        <v>331</v>
      </c>
      <c r="H539" t="s">
        <v>385</v>
      </c>
      <c r="I539" s="885">
        <v>45832.853472222225</v>
      </c>
      <c r="L539" t="s">
        <v>274</v>
      </c>
      <c r="M539" t="s">
        <v>265</v>
      </c>
      <c r="N539" t="s">
        <v>459</v>
      </c>
      <c r="O539" t="s">
        <v>267</v>
      </c>
      <c r="P539" s="885">
        <v>45832.856099537035</v>
      </c>
      <c r="Q539" t="s">
        <v>268</v>
      </c>
      <c r="R539" t="s">
        <v>269</v>
      </c>
    </row>
    <row r="540" spans="1:18" x14ac:dyDescent="0.15">
      <c r="A540" s="788">
        <v>2234042964</v>
      </c>
      <c r="B540" t="s">
        <v>534</v>
      </c>
      <c r="C540" s="884">
        <v>46052</v>
      </c>
      <c r="D540" s="884">
        <v>46057</v>
      </c>
      <c r="E540" t="s">
        <v>262</v>
      </c>
      <c r="F540" t="s">
        <v>277</v>
      </c>
      <c r="H540" t="s">
        <v>278</v>
      </c>
      <c r="I540" s="885">
        <v>45839.927083333336</v>
      </c>
      <c r="L540" t="s">
        <v>274</v>
      </c>
      <c r="M540" t="s">
        <v>265</v>
      </c>
      <c r="N540" t="s">
        <v>535</v>
      </c>
      <c r="O540" t="s">
        <v>267</v>
      </c>
      <c r="P540" s="885">
        <v>45839.930763888886</v>
      </c>
      <c r="Q540" t="s">
        <v>268</v>
      </c>
      <c r="R540" t="s">
        <v>269</v>
      </c>
    </row>
    <row r="541" spans="1:18" x14ac:dyDescent="0.15">
      <c r="A541" s="788">
        <v>2238319462</v>
      </c>
      <c r="B541" t="s">
        <v>571</v>
      </c>
      <c r="C541" s="884">
        <v>46032</v>
      </c>
      <c r="D541" s="884">
        <v>46036</v>
      </c>
      <c r="E541" t="s">
        <v>262</v>
      </c>
      <c r="F541" t="s">
        <v>331</v>
      </c>
      <c r="H541" t="s">
        <v>278</v>
      </c>
      <c r="I541" s="885">
        <v>45845.720138888886</v>
      </c>
      <c r="L541" t="s">
        <v>274</v>
      </c>
      <c r="M541" t="s">
        <v>265</v>
      </c>
      <c r="N541" t="s">
        <v>572</v>
      </c>
      <c r="O541" t="s">
        <v>267</v>
      </c>
      <c r="P541" s="885">
        <v>45845.726712962962</v>
      </c>
      <c r="Q541" t="s">
        <v>268</v>
      </c>
      <c r="R541" t="s">
        <v>269</v>
      </c>
    </row>
    <row r="542" spans="1:18" x14ac:dyDescent="0.15">
      <c r="A542" s="788">
        <v>2238996836</v>
      </c>
      <c r="B542" t="s">
        <v>589</v>
      </c>
      <c r="C542" s="884">
        <v>45954</v>
      </c>
      <c r="D542" s="884">
        <v>45955</v>
      </c>
      <c r="E542" t="s">
        <v>262</v>
      </c>
      <c r="F542" t="s">
        <v>277</v>
      </c>
      <c r="H542" t="s">
        <v>385</v>
      </c>
      <c r="I542" s="885">
        <v>45846.473611111112</v>
      </c>
      <c r="K542" s="885">
        <v>45917.711805555555</v>
      </c>
      <c r="L542" t="s">
        <v>264</v>
      </c>
      <c r="M542" t="s">
        <v>265</v>
      </c>
      <c r="N542" t="s">
        <v>590</v>
      </c>
      <c r="O542" t="s">
        <v>267</v>
      </c>
      <c r="P542" s="885">
        <v>45917.715381944443</v>
      </c>
      <c r="Q542" t="s">
        <v>268</v>
      </c>
      <c r="R542" t="s">
        <v>269</v>
      </c>
    </row>
    <row r="543" spans="1:18" x14ac:dyDescent="0.15">
      <c r="A543" s="788">
        <v>2238996840</v>
      </c>
      <c r="B543" t="s">
        <v>591</v>
      </c>
      <c r="C543" s="884">
        <v>45954</v>
      </c>
      <c r="D543" s="884">
        <v>45955</v>
      </c>
      <c r="E543" t="s">
        <v>262</v>
      </c>
      <c r="F543" t="s">
        <v>277</v>
      </c>
      <c r="H543" t="s">
        <v>385</v>
      </c>
      <c r="I543" s="885">
        <v>45846.473611111112</v>
      </c>
      <c r="K543" s="885">
        <v>45917.711805555555</v>
      </c>
      <c r="L543" t="s">
        <v>264</v>
      </c>
      <c r="M543" t="s">
        <v>265</v>
      </c>
      <c r="N543" t="s">
        <v>590</v>
      </c>
      <c r="O543" t="s">
        <v>267</v>
      </c>
      <c r="P543" s="885">
        <v>45917.715381944443</v>
      </c>
      <c r="Q543" t="s">
        <v>268</v>
      </c>
      <c r="R543" t="s">
        <v>269</v>
      </c>
    </row>
    <row r="544" spans="1:18" x14ac:dyDescent="0.15">
      <c r="A544" s="788">
        <v>2244979454</v>
      </c>
      <c r="B544" t="s">
        <v>603</v>
      </c>
      <c r="C544" s="884">
        <v>46000</v>
      </c>
      <c r="D544" s="884">
        <v>46003</v>
      </c>
      <c r="E544" t="s">
        <v>262</v>
      </c>
      <c r="F544" t="s">
        <v>277</v>
      </c>
      <c r="H544" t="s">
        <v>604</v>
      </c>
      <c r="I544" s="885">
        <v>45853.905555555553</v>
      </c>
      <c r="K544" s="885">
        <v>45853.907638888886</v>
      </c>
      <c r="L544" t="s">
        <v>264</v>
      </c>
      <c r="M544" t="s">
        <v>265</v>
      </c>
      <c r="N544" t="s">
        <v>605</v>
      </c>
      <c r="O544" t="s">
        <v>267</v>
      </c>
      <c r="P544" s="885">
        <v>45853.912187499998</v>
      </c>
      <c r="Q544" t="s">
        <v>268</v>
      </c>
      <c r="R544" t="s">
        <v>269</v>
      </c>
    </row>
    <row r="545" spans="1:18" x14ac:dyDescent="0.15">
      <c r="A545" s="788">
        <v>2245611647</v>
      </c>
      <c r="B545" t="s">
        <v>608</v>
      </c>
      <c r="C545" s="884">
        <v>45968</v>
      </c>
      <c r="D545" s="884">
        <v>45970</v>
      </c>
      <c r="E545" t="s">
        <v>262</v>
      </c>
      <c r="F545" t="s">
        <v>277</v>
      </c>
      <c r="H545" t="s">
        <v>278</v>
      </c>
      <c r="I545" s="885">
        <v>45854.688888888886</v>
      </c>
      <c r="L545" t="s">
        <v>274</v>
      </c>
      <c r="M545" t="s">
        <v>265</v>
      </c>
      <c r="N545" t="s">
        <v>609</v>
      </c>
      <c r="O545" t="s">
        <v>267</v>
      </c>
      <c r="P545" s="885">
        <v>45854.694062499999</v>
      </c>
      <c r="Q545" t="s">
        <v>268</v>
      </c>
      <c r="R545" t="s">
        <v>269</v>
      </c>
    </row>
    <row r="546" spans="1:18" x14ac:dyDescent="0.15">
      <c r="A546" s="788">
        <v>2248198155</v>
      </c>
      <c r="B546" t="s">
        <v>633</v>
      </c>
      <c r="C546" s="884">
        <v>46022</v>
      </c>
      <c r="D546" s="884">
        <v>46024</v>
      </c>
      <c r="E546" t="s">
        <v>262</v>
      </c>
      <c r="F546" t="s">
        <v>277</v>
      </c>
      <c r="H546" t="s">
        <v>385</v>
      </c>
      <c r="I546" s="885">
        <v>45857.901388888888</v>
      </c>
      <c r="K546" s="885">
        <v>45964.789583333331</v>
      </c>
      <c r="L546" t="s">
        <v>264</v>
      </c>
      <c r="M546" t="s">
        <v>265</v>
      </c>
      <c r="N546" t="s">
        <v>634</v>
      </c>
      <c r="O546" t="s">
        <v>267</v>
      </c>
      <c r="P546" s="885">
        <v>45964.795219907406</v>
      </c>
      <c r="Q546" t="s">
        <v>268</v>
      </c>
      <c r="R546" t="s">
        <v>269</v>
      </c>
    </row>
    <row r="547" spans="1:18" x14ac:dyDescent="0.15">
      <c r="A547" s="788">
        <v>2251704996</v>
      </c>
      <c r="B547" t="s">
        <v>668</v>
      </c>
      <c r="C547" s="884">
        <v>45934</v>
      </c>
      <c r="D547" s="884">
        <v>45935</v>
      </c>
      <c r="E547" t="s">
        <v>262</v>
      </c>
      <c r="F547" t="s">
        <v>277</v>
      </c>
      <c r="H547" t="s">
        <v>669</v>
      </c>
      <c r="I547" s="885">
        <v>45862.36041666667</v>
      </c>
      <c r="L547" t="s">
        <v>274</v>
      </c>
      <c r="M547" t="s">
        <v>265</v>
      </c>
      <c r="N547" t="s">
        <v>670</v>
      </c>
      <c r="O547" t="s">
        <v>267</v>
      </c>
      <c r="P547" s="885">
        <v>45862.36346064815</v>
      </c>
      <c r="Q547" t="s">
        <v>268</v>
      </c>
      <c r="R547" t="s">
        <v>269</v>
      </c>
    </row>
    <row r="548" spans="1:18" x14ac:dyDescent="0.15">
      <c r="A548" s="788">
        <v>2252677208</v>
      </c>
      <c r="B548" t="s">
        <v>689</v>
      </c>
      <c r="C548" s="884">
        <v>46041</v>
      </c>
      <c r="D548" s="884">
        <v>46042</v>
      </c>
      <c r="E548" t="s">
        <v>262</v>
      </c>
      <c r="F548" t="s">
        <v>690</v>
      </c>
      <c r="H548" t="s">
        <v>691</v>
      </c>
      <c r="I548" s="885">
        <v>45863.65</v>
      </c>
      <c r="K548" s="885">
        <v>45944.886111111111</v>
      </c>
      <c r="L548" t="s">
        <v>264</v>
      </c>
      <c r="M548" t="s">
        <v>265</v>
      </c>
      <c r="N548" t="s">
        <v>409</v>
      </c>
      <c r="O548" t="s">
        <v>267</v>
      </c>
      <c r="P548" s="885">
        <v>45944.891759259262</v>
      </c>
      <c r="Q548" t="s">
        <v>268</v>
      </c>
      <c r="R548" t="s">
        <v>269</v>
      </c>
    </row>
    <row r="549" spans="1:18" x14ac:dyDescent="0.15">
      <c r="A549" s="788">
        <v>2252677211</v>
      </c>
      <c r="B549" t="s">
        <v>689</v>
      </c>
      <c r="C549" s="884">
        <v>46041</v>
      </c>
      <c r="D549" s="884">
        <v>46042</v>
      </c>
      <c r="E549" t="s">
        <v>262</v>
      </c>
      <c r="F549" t="s">
        <v>690</v>
      </c>
      <c r="H549" t="s">
        <v>691</v>
      </c>
      <c r="I549" s="885">
        <v>45863.65</v>
      </c>
      <c r="K549" s="885">
        <v>45944.886111111111</v>
      </c>
      <c r="L549" t="s">
        <v>264</v>
      </c>
      <c r="M549" t="s">
        <v>265</v>
      </c>
      <c r="N549" t="s">
        <v>409</v>
      </c>
      <c r="O549" t="s">
        <v>267</v>
      </c>
      <c r="P549" s="885">
        <v>45944.891759259262</v>
      </c>
      <c r="Q549" t="s">
        <v>268</v>
      </c>
      <c r="R549" t="s">
        <v>269</v>
      </c>
    </row>
    <row r="550" spans="1:18" x14ac:dyDescent="0.15">
      <c r="A550" s="788">
        <v>2253383077</v>
      </c>
      <c r="B550" t="s">
        <v>694</v>
      </c>
      <c r="C550" s="884">
        <v>46023</v>
      </c>
      <c r="D550" s="884">
        <v>46025</v>
      </c>
      <c r="E550" t="s">
        <v>262</v>
      </c>
      <c r="F550" t="s">
        <v>331</v>
      </c>
      <c r="H550" t="s">
        <v>332</v>
      </c>
      <c r="I550" s="885">
        <v>45864.615277777775</v>
      </c>
      <c r="L550" t="s">
        <v>274</v>
      </c>
      <c r="M550" t="s">
        <v>265</v>
      </c>
      <c r="N550" t="s">
        <v>695</v>
      </c>
      <c r="O550" t="s">
        <v>267</v>
      </c>
      <c r="P550" s="885">
        <v>45864.622314814813</v>
      </c>
      <c r="Q550" t="s">
        <v>268</v>
      </c>
      <c r="R550" t="s">
        <v>269</v>
      </c>
    </row>
    <row r="551" spans="1:18" x14ac:dyDescent="0.15">
      <c r="A551" s="788">
        <v>2254697157</v>
      </c>
      <c r="B551" t="s">
        <v>708</v>
      </c>
      <c r="C551" s="884">
        <v>45923</v>
      </c>
      <c r="D551" s="884">
        <v>45924</v>
      </c>
      <c r="E551" t="s">
        <v>262</v>
      </c>
      <c r="F551" t="s">
        <v>331</v>
      </c>
      <c r="H551" t="s">
        <v>263</v>
      </c>
      <c r="I551" s="885">
        <v>45866.525694444441</v>
      </c>
      <c r="L551" t="s">
        <v>274</v>
      </c>
      <c r="M551" t="s">
        <v>279</v>
      </c>
      <c r="N551" t="s">
        <v>670</v>
      </c>
      <c r="O551" t="s">
        <v>267</v>
      </c>
      <c r="P551" s="885">
        <v>45866.532187500001</v>
      </c>
      <c r="Q551" t="s">
        <v>268</v>
      </c>
      <c r="R551" t="s">
        <v>269</v>
      </c>
    </row>
    <row r="552" spans="1:18" x14ac:dyDescent="0.15">
      <c r="A552" s="788">
        <v>2254697159</v>
      </c>
      <c r="B552" t="s">
        <v>709</v>
      </c>
      <c r="C552" s="884">
        <v>45923</v>
      </c>
      <c r="D552" s="884">
        <v>45924</v>
      </c>
      <c r="E552" t="s">
        <v>262</v>
      </c>
      <c r="F552" t="s">
        <v>331</v>
      </c>
      <c r="H552" t="s">
        <v>263</v>
      </c>
      <c r="I552" s="885">
        <v>45866.525694444441</v>
      </c>
      <c r="L552" t="s">
        <v>274</v>
      </c>
      <c r="M552" t="s">
        <v>279</v>
      </c>
      <c r="N552" t="s">
        <v>670</v>
      </c>
      <c r="O552" t="s">
        <v>267</v>
      </c>
      <c r="P552" s="885">
        <v>45866.532187500001</v>
      </c>
      <c r="Q552" t="s">
        <v>268</v>
      </c>
      <c r="R552" t="s">
        <v>269</v>
      </c>
    </row>
    <row r="553" spans="1:18" x14ac:dyDescent="0.15">
      <c r="A553" s="788">
        <v>2254704523</v>
      </c>
      <c r="B553" t="s">
        <v>710</v>
      </c>
      <c r="C553" s="884">
        <v>45983</v>
      </c>
      <c r="D553" s="884">
        <v>45985</v>
      </c>
      <c r="E553" t="s">
        <v>262</v>
      </c>
      <c r="F553" t="s">
        <v>277</v>
      </c>
      <c r="H553" t="s">
        <v>278</v>
      </c>
      <c r="I553" s="885">
        <v>45866.538194444445</v>
      </c>
      <c r="K553" s="885">
        <v>45873.525000000001</v>
      </c>
      <c r="L553" t="s">
        <v>264</v>
      </c>
      <c r="M553" t="s">
        <v>279</v>
      </c>
      <c r="N553" t="s">
        <v>711</v>
      </c>
      <c r="O553" t="s">
        <v>267</v>
      </c>
      <c r="P553" s="885">
        <v>45873.530682870369</v>
      </c>
      <c r="Q553" t="s">
        <v>268</v>
      </c>
      <c r="R553" t="s">
        <v>269</v>
      </c>
    </row>
    <row r="554" spans="1:18" x14ac:dyDescent="0.15">
      <c r="A554" s="788">
        <v>2255049904</v>
      </c>
      <c r="B554" t="s">
        <v>734</v>
      </c>
      <c r="C554" s="884">
        <v>45917</v>
      </c>
      <c r="D554" s="884">
        <v>45919</v>
      </c>
      <c r="E554" t="s">
        <v>262</v>
      </c>
      <c r="F554" t="s">
        <v>277</v>
      </c>
      <c r="H554" t="s">
        <v>278</v>
      </c>
      <c r="I554" s="885">
        <v>45866.900694444441</v>
      </c>
      <c r="K554" s="885">
        <v>45875.763888888891</v>
      </c>
      <c r="L554" t="s">
        <v>264</v>
      </c>
      <c r="M554" t="s">
        <v>265</v>
      </c>
      <c r="N554" t="s">
        <v>369</v>
      </c>
      <c r="O554" t="s">
        <v>267</v>
      </c>
      <c r="P554" s="885">
        <v>45875.769062500003</v>
      </c>
      <c r="Q554" t="s">
        <v>268</v>
      </c>
      <c r="R554" t="s">
        <v>269</v>
      </c>
    </row>
    <row r="555" spans="1:18" x14ac:dyDescent="0.15">
      <c r="A555" s="788">
        <v>2257074977</v>
      </c>
      <c r="B555" t="s">
        <v>762</v>
      </c>
      <c r="C555" s="884">
        <v>45877</v>
      </c>
      <c r="D555" s="884">
        <v>45879</v>
      </c>
      <c r="E555" t="s">
        <v>262</v>
      </c>
      <c r="F555" t="s">
        <v>277</v>
      </c>
      <c r="H555" t="s">
        <v>669</v>
      </c>
      <c r="I555" s="885">
        <v>45869.339583333334</v>
      </c>
      <c r="L555" t="s">
        <v>274</v>
      </c>
      <c r="M555" t="s">
        <v>265</v>
      </c>
      <c r="N555" t="s">
        <v>763</v>
      </c>
      <c r="O555" t="s">
        <v>267</v>
      </c>
      <c r="P555" s="885">
        <v>45869.342476851853</v>
      </c>
      <c r="Q555" t="s">
        <v>268</v>
      </c>
      <c r="R555" t="s">
        <v>269</v>
      </c>
    </row>
    <row r="556" spans="1:18" x14ac:dyDescent="0.15">
      <c r="A556" s="788">
        <v>2257217544</v>
      </c>
      <c r="B556" t="s">
        <v>764</v>
      </c>
      <c r="C556" s="884">
        <v>45904</v>
      </c>
      <c r="D556" s="884">
        <v>45905</v>
      </c>
      <c r="E556" t="s">
        <v>262</v>
      </c>
      <c r="F556" t="s">
        <v>440</v>
      </c>
      <c r="H556" t="s">
        <v>691</v>
      </c>
      <c r="I556" s="885">
        <v>45869.582638888889</v>
      </c>
      <c r="L556" t="s">
        <v>274</v>
      </c>
      <c r="M556" t="s">
        <v>279</v>
      </c>
      <c r="N556" t="s">
        <v>765</v>
      </c>
      <c r="O556" t="s">
        <v>267</v>
      </c>
      <c r="P556" s="885">
        <v>45869.587465277778</v>
      </c>
      <c r="Q556" t="s">
        <v>268</v>
      </c>
      <c r="R556" t="s">
        <v>269</v>
      </c>
    </row>
    <row r="557" spans="1:18" x14ac:dyDescent="0.15">
      <c r="A557" s="788">
        <v>2260114166</v>
      </c>
      <c r="B557" t="s">
        <v>710</v>
      </c>
      <c r="C557" s="884">
        <v>45983</v>
      </c>
      <c r="D557" s="884">
        <v>45984</v>
      </c>
      <c r="E557" t="s">
        <v>262</v>
      </c>
      <c r="F557" t="s">
        <v>277</v>
      </c>
      <c r="H557" t="s">
        <v>278</v>
      </c>
      <c r="I557" s="885">
        <v>45873.518750000003</v>
      </c>
      <c r="K557" s="885">
        <v>45919.564583333333</v>
      </c>
      <c r="L557" t="s">
        <v>264</v>
      </c>
      <c r="M557" t="s">
        <v>279</v>
      </c>
      <c r="N557" t="s">
        <v>813</v>
      </c>
      <c r="O557" t="s">
        <v>267</v>
      </c>
      <c r="P557" s="885">
        <v>45919.56790509259</v>
      </c>
      <c r="Q557" t="s">
        <v>268</v>
      </c>
      <c r="R557" t="s">
        <v>269</v>
      </c>
    </row>
    <row r="558" spans="1:18" x14ac:dyDescent="0.15">
      <c r="A558" s="788">
        <v>2261008907</v>
      </c>
      <c r="B558" t="s">
        <v>825</v>
      </c>
      <c r="C558" s="884">
        <v>46037</v>
      </c>
      <c r="D558" s="884">
        <v>46040</v>
      </c>
      <c r="E558" t="s">
        <v>262</v>
      </c>
      <c r="F558" t="s">
        <v>277</v>
      </c>
      <c r="H558" t="s">
        <v>604</v>
      </c>
      <c r="I558" s="885">
        <v>45874.572916666664</v>
      </c>
      <c r="K558" s="885">
        <v>45875.73333333333</v>
      </c>
      <c r="L558" t="s">
        <v>264</v>
      </c>
      <c r="M558" t="s">
        <v>265</v>
      </c>
      <c r="N558" t="s">
        <v>826</v>
      </c>
      <c r="O558" t="s">
        <v>267</v>
      </c>
      <c r="P558" s="885">
        <v>45875.739421296297</v>
      </c>
      <c r="Q558" t="s">
        <v>268</v>
      </c>
      <c r="R558" t="s">
        <v>269</v>
      </c>
    </row>
    <row r="559" spans="1:18" x14ac:dyDescent="0.15">
      <c r="A559" s="788">
        <v>2261008915</v>
      </c>
      <c r="B559" t="s">
        <v>827</v>
      </c>
      <c r="C559" s="884">
        <v>46037</v>
      </c>
      <c r="D559" s="884">
        <v>46040</v>
      </c>
      <c r="E559" t="s">
        <v>262</v>
      </c>
      <c r="F559" t="s">
        <v>277</v>
      </c>
      <c r="H559" t="s">
        <v>604</v>
      </c>
      <c r="I559" s="885">
        <v>45874.572916666664</v>
      </c>
      <c r="K559" s="885">
        <v>45875.73333333333</v>
      </c>
      <c r="L559" t="s">
        <v>264</v>
      </c>
      <c r="M559" t="s">
        <v>265</v>
      </c>
      <c r="N559" t="s">
        <v>826</v>
      </c>
      <c r="O559" t="s">
        <v>267</v>
      </c>
      <c r="P559" s="885">
        <v>45875.739421296297</v>
      </c>
      <c r="Q559" t="s">
        <v>268</v>
      </c>
      <c r="R559" t="s">
        <v>269</v>
      </c>
    </row>
    <row r="560" spans="1:18" x14ac:dyDescent="0.15">
      <c r="A560" s="788">
        <v>2261215851</v>
      </c>
      <c r="B560" t="s">
        <v>838</v>
      </c>
      <c r="C560" s="884">
        <v>45977</v>
      </c>
      <c r="D560" s="884">
        <v>45980</v>
      </c>
      <c r="E560" t="s">
        <v>262</v>
      </c>
      <c r="F560" t="s">
        <v>690</v>
      </c>
      <c r="H560" t="s">
        <v>691</v>
      </c>
      <c r="I560" s="885">
        <v>45874.786805555559</v>
      </c>
      <c r="L560" t="s">
        <v>274</v>
      </c>
      <c r="M560" t="s">
        <v>265</v>
      </c>
      <c r="N560" t="s">
        <v>839</v>
      </c>
      <c r="O560" t="s">
        <v>267</v>
      </c>
      <c r="P560" s="885">
        <v>45874.792164351849</v>
      </c>
      <c r="Q560" t="s">
        <v>268</v>
      </c>
      <c r="R560" t="s">
        <v>269</v>
      </c>
    </row>
    <row r="561" spans="1:18" x14ac:dyDescent="0.15">
      <c r="A561" s="788">
        <v>2264762920</v>
      </c>
      <c r="B561" t="s">
        <v>915</v>
      </c>
      <c r="C561" s="884">
        <v>46019</v>
      </c>
      <c r="D561" s="884">
        <v>46021</v>
      </c>
      <c r="E561" t="s">
        <v>262</v>
      </c>
      <c r="F561" t="s">
        <v>440</v>
      </c>
      <c r="H561" t="s">
        <v>691</v>
      </c>
      <c r="I561" s="885">
        <v>45879.513194444444</v>
      </c>
      <c r="L561" t="s">
        <v>274</v>
      </c>
      <c r="M561" t="s">
        <v>265</v>
      </c>
      <c r="N561" t="s">
        <v>340</v>
      </c>
      <c r="O561" t="s">
        <v>267</v>
      </c>
      <c r="P561" s="885">
        <v>45879.517534722225</v>
      </c>
      <c r="Q561" t="s">
        <v>268</v>
      </c>
      <c r="R561" t="s">
        <v>269</v>
      </c>
    </row>
    <row r="562" spans="1:18" x14ac:dyDescent="0.15">
      <c r="A562" s="788">
        <v>2269902773</v>
      </c>
      <c r="B562" t="s">
        <v>971</v>
      </c>
      <c r="C562" s="884">
        <v>45897</v>
      </c>
      <c r="D562" s="884">
        <v>45898</v>
      </c>
      <c r="E562" t="s">
        <v>262</v>
      </c>
      <c r="F562" t="s">
        <v>331</v>
      </c>
      <c r="H562" t="s">
        <v>972</v>
      </c>
      <c r="I562" s="885">
        <v>45886.591666666667</v>
      </c>
      <c r="L562" t="s">
        <v>274</v>
      </c>
      <c r="M562" t="s">
        <v>265</v>
      </c>
      <c r="N562" t="s">
        <v>973</v>
      </c>
      <c r="O562" t="s">
        <v>267</v>
      </c>
      <c r="P562" s="885">
        <v>45886.595914351848</v>
      </c>
      <c r="Q562" t="s">
        <v>268</v>
      </c>
      <c r="R562" t="s">
        <v>269</v>
      </c>
    </row>
    <row r="563" spans="1:18" x14ac:dyDescent="0.15">
      <c r="A563" s="788">
        <v>2271458633</v>
      </c>
      <c r="B563" t="s">
        <v>988</v>
      </c>
      <c r="C563" s="884">
        <v>45959</v>
      </c>
      <c r="D563" s="884">
        <v>45960</v>
      </c>
      <c r="E563" t="s">
        <v>262</v>
      </c>
      <c r="F563" t="s">
        <v>331</v>
      </c>
      <c r="H563" t="s">
        <v>278</v>
      </c>
      <c r="I563" s="885">
        <v>45888.676388888889</v>
      </c>
      <c r="L563" t="s">
        <v>274</v>
      </c>
      <c r="M563" t="s">
        <v>265</v>
      </c>
      <c r="N563" t="s">
        <v>989</v>
      </c>
      <c r="O563" t="s">
        <v>267</v>
      </c>
      <c r="P563" s="885">
        <v>45888.679791666669</v>
      </c>
      <c r="Q563" t="s">
        <v>268</v>
      </c>
      <c r="R563" t="s">
        <v>269</v>
      </c>
    </row>
    <row r="564" spans="1:18" x14ac:dyDescent="0.15">
      <c r="A564" s="788">
        <v>2271677202</v>
      </c>
      <c r="B564" t="s">
        <v>990</v>
      </c>
      <c r="C564" s="884">
        <v>46003</v>
      </c>
      <c r="D564" s="884">
        <v>46005</v>
      </c>
      <c r="E564" t="s">
        <v>262</v>
      </c>
      <c r="F564" t="s">
        <v>991</v>
      </c>
      <c r="H564" t="s">
        <v>263</v>
      </c>
      <c r="I564" s="885">
        <v>45888.905555555553</v>
      </c>
      <c r="L564" t="s">
        <v>274</v>
      </c>
      <c r="M564" t="s">
        <v>265</v>
      </c>
      <c r="N564" t="s">
        <v>992</v>
      </c>
      <c r="O564" t="s">
        <v>267</v>
      </c>
      <c r="P564" s="885">
        <v>45888.907916666663</v>
      </c>
      <c r="Q564" t="s">
        <v>268</v>
      </c>
      <c r="R564" t="s">
        <v>269</v>
      </c>
    </row>
    <row r="565" spans="1:18" x14ac:dyDescent="0.15">
      <c r="A565" s="788">
        <v>2272244249</v>
      </c>
      <c r="B565" t="s">
        <v>1001</v>
      </c>
      <c r="C565" s="884">
        <v>46058</v>
      </c>
      <c r="D565" s="884">
        <v>46061</v>
      </c>
      <c r="E565" t="s">
        <v>262</v>
      </c>
      <c r="F565" t="s">
        <v>277</v>
      </c>
      <c r="H565" t="s">
        <v>604</v>
      </c>
      <c r="I565" s="885">
        <v>45889.688194444447</v>
      </c>
      <c r="L565" t="s">
        <v>274</v>
      </c>
      <c r="M565" t="s">
        <v>265</v>
      </c>
      <c r="N565" t="s">
        <v>1002</v>
      </c>
      <c r="O565" t="s">
        <v>267</v>
      </c>
      <c r="P565" s="885">
        <v>45889.692696759259</v>
      </c>
      <c r="Q565" t="s">
        <v>268</v>
      </c>
      <c r="R565" t="s">
        <v>269</v>
      </c>
    </row>
    <row r="566" spans="1:18" x14ac:dyDescent="0.15">
      <c r="A566" s="788">
        <v>2273145623</v>
      </c>
      <c r="B566" t="s">
        <v>1022</v>
      </c>
      <c r="C566" s="884">
        <v>46026</v>
      </c>
      <c r="D566" s="884">
        <v>46028</v>
      </c>
      <c r="E566" t="s">
        <v>262</v>
      </c>
      <c r="F566" t="s">
        <v>277</v>
      </c>
      <c r="H566" t="s">
        <v>1023</v>
      </c>
      <c r="I566" s="885">
        <v>45890.837500000001</v>
      </c>
      <c r="J566" s="885">
        <v>45998.135416666664</v>
      </c>
      <c r="L566" t="s">
        <v>720</v>
      </c>
      <c r="M566" t="s">
        <v>265</v>
      </c>
      <c r="N566" t="s">
        <v>1024</v>
      </c>
      <c r="O566" t="s">
        <v>730</v>
      </c>
      <c r="P566" s="885">
        <v>45998.141203703701</v>
      </c>
      <c r="Q566" t="s">
        <v>268</v>
      </c>
      <c r="R566" t="s">
        <v>269</v>
      </c>
    </row>
    <row r="567" spans="1:18" x14ac:dyDescent="0.15">
      <c r="A567" s="788">
        <v>2273146791</v>
      </c>
      <c r="B567" t="s">
        <v>1025</v>
      </c>
      <c r="C567" s="884">
        <v>46026</v>
      </c>
      <c r="D567" s="884">
        <v>46028</v>
      </c>
      <c r="E567" t="s">
        <v>262</v>
      </c>
      <c r="F567" t="s">
        <v>277</v>
      </c>
      <c r="H567" t="s">
        <v>1023</v>
      </c>
      <c r="I567" s="885">
        <v>45890.838888888888</v>
      </c>
      <c r="J567" s="885">
        <v>45998.131944444445</v>
      </c>
      <c r="L567" t="s">
        <v>720</v>
      </c>
      <c r="M567" t="s">
        <v>265</v>
      </c>
      <c r="N567" t="s">
        <v>1024</v>
      </c>
      <c r="O567" t="s">
        <v>267</v>
      </c>
      <c r="P567" s="885">
        <v>45998.134155092594</v>
      </c>
      <c r="Q567" t="s">
        <v>268</v>
      </c>
      <c r="R567" t="s">
        <v>269</v>
      </c>
    </row>
    <row r="568" spans="1:18" x14ac:dyDescent="0.15">
      <c r="A568" s="788">
        <v>2275516598</v>
      </c>
      <c r="B568" t="s">
        <v>1049</v>
      </c>
      <c r="C568" s="884">
        <v>45902</v>
      </c>
      <c r="D568" s="884">
        <v>45904</v>
      </c>
      <c r="E568" t="s">
        <v>262</v>
      </c>
      <c r="F568" t="s">
        <v>331</v>
      </c>
      <c r="H568" t="s">
        <v>411</v>
      </c>
      <c r="I568" s="885">
        <v>45894.504861111112</v>
      </c>
      <c r="L568" t="s">
        <v>274</v>
      </c>
      <c r="M568" t="s">
        <v>265</v>
      </c>
      <c r="N568" t="s">
        <v>1050</v>
      </c>
      <c r="O568" t="s">
        <v>267</v>
      </c>
      <c r="P568" s="885">
        <v>45894.508993055555</v>
      </c>
      <c r="Q568" t="s">
        <v>268</v>
      </c>
      <c r="R568" t="s">
        <v>269</v>
      </c>
    </row>
    <row r="569" spans="1:18" x14ac:dyDescent="0.15">
      <c r="A569" s="788">
        <v>2275516600</v>
      </c>
      <c r="B569" t="s">
        <v>1051</v>
      </c>
      <c r="C569" s="884">
        <v>45902</v>
      </c>
      <c r="D569" s="884">
        <v>45904</v>
      </c>
      <c r="E569" t="s">
        <v>262</v>
      </c>
      <c r="F569" t="s">
        <v>331</v>
      </c>
      <c r="H569" t="s">
        <v>411</v>
      </c>
      <c r="I569" s="885">
        <v>45894.504861111112</v>
      </c>
      <c r="L569" t="s">
        <v>274</v>
      </c>
      <c r="M569" t="s">
        <v>265</v>
      </c>
      <c r="N569" t="s">
        <v>1050</v>
      </c>
      <c r="O569" t="s">
        <v>267</v>
      </c>
      <c r="P569" s="885">
        <v>45894.508993055555</v>
      </c>
      <c r="Q569" t="s">
        <v>268</v>
      </c>
      <c r="R569" t="s">
        <v>269</v>
      </c>
    </row>
    <row r="570" spans="1:18" x14ac:dyDescent="0.15">
      <c r="A570" s="788">
        <v>2275847299</v>
      </c>
      <c r="B570" t="s">
        <v>1072</v>
      </c>
      <c r="C570" s="884">
        <v>46024</v>
      </c>
      <c r="D570" s="884">
        <v>46028</v>
      </c>
      <c r="E570" t="s">
        <v>262</v>
      </c>
      <c r="F570" t="s">
        <v>262</v>
      </c>
      <c r="H570" t="s">
        <v>278</v>
      </c>
      <c r="I570" s="885">
        <v>45894.890972222223</v>
      </c>
      <c r="L570" t="s">
        <v>274</v>
      </c>
      <c r="M570" t="s">
        <v>265</v>
      </c>
      <c r="N570" t="s">
        <v>1073</v>
      </c>
      <c r="O570" t="s">
        <v>267</v>
      </c>
      <c r="P570" s="885">
        <v>45894.894965277781</v>
      </c>
      <c r="Q570" t="s">
        <v>268</v>
      </c>
      <c r="R570" t="s">
        <v>269</v>
      </c>
    </row>
    <row r="571" spans="1:18" x14ac:dyDescent="0.15">
      <c r="A571" s="788">
        <v>2276255487</v>
      </c>
      <c r="B571" t="s">
        <v>1074</v>
      </c>
      <c r="C571" s="884">
        <v>46003</v>
      </c>
      <c r="D571" s="884">
        <v>46006</v>
      </c>
      <c r="E571" t="s">
        <v>262</v>
      </c>
      <c r="F571" t="s">
        <v>277</v>
      </c>
      <c r="H571" t="s">
        <v>278</v>
      </c>
      <c r="I571" s="885">
        <v>45895.442361111112</v>
      </c>
      <c r="K571" s="885">
        <v>45962.716666666667</v>
      </c>
      <c r="L571" t="s">
        <v>264</v>
      </c>
      <c r="M571" t="s">
        <v>279</v>
      </c>
      <c r="N571" t="s">
        <v>1075</v>
      </c>
      <c r="O571" t="s">
        <v>267</v>
      </c>
      <c r="P571" s="885">
        <v>45962.720416666663</v>
      </c>
      <c r="Q571" t="s">
        <v>268</v>
      </c>
      <c r="R571" t="s">
        <v>269</v>
      </c>
    </row>
    <row r="572" spans="1:18" x14ac:dyDescent="0.15">
      <c r="A572" s="788">
        <v>2277079662</v>
      </c>
      <c r="B572" t="s">
        <v>1079</v>
      </c>
      <c r="C572" s="884">
        <v>46108</v>
      </c>
      <c r="D572" s="884">
        <v>46109</v>
      </c>
      <c r="E572" t="s">
        <v>262</v>
      </c>
      <c r="F572" t="s">
        <v>277</v>
      </c>
      <c r="H572" t="s">
        <v>332</v>
      </c>
      <c r="I572" s="885">
        <v>45896.53402777778</v>
      </c>
      <c r="L572" t="s">
        <v>274</v>
      </c>
      <c r="M572" t="s">
        <v>265</v>
      </c>
      <c r="N572" t="s">
        <v>1080</v>
      </c>
      <c r="O572" t="s">
        <v>267</v>
      </c>
      <c r="P572" s="885">
        <v>45896.538726851853</v>
      </c>
      <c r="Q572" t="s">
        <v>268</v>
      </c>
      <c r="R572" t="s">
        <v>269</v>
      </c>
    </row>
    <row r="573" spans="1:18" x14ac:dyDescent="0.15">
      <c r="A573" s="788">
        <v>2277079664</v>
      </c>
      <c r="B573" t="s">
        <v>1081</v>
      </c>
      <c r="C573" s="884">
        <v>46108</v>
      </c>
      <c r="D573" s="884">
        <v>46109</v>
      </c>
      <c r="E573" t="s">
        <v>262</v>
      </c>
      <c r="F573" t="s">
        <v>277</v>
      </c>
      <c r="H573" t="s">
        <v>332</v>
      </c>
      <c r="I573" s="885">
        <v>45896.53402777778</v>
      </c>
      <c r="L573" t="s">
        <v>274</v>
      </c>
      <c r="M573" t="s">
        <v>265</v>
      </c>
      <c r="N573" t="s">
        <v>1080</v>
      </c>
      <c r="O573" t="s">
        <v>267</v>
      </c>
      <c r="P573" s="885">
        <v>45896.538726851853</v>
      </c>
      <c r="Q573" t="s">
        <v>268</v>
      </c>
      <c r="R573" t="s">
        <v>269</v>
      </c>
    </row>
    <row r="574" spans="1:18" x14ac:dyDescent="0.15">
      <c r="A574" s="788">
        <v>2281936266</v>
      </c>
      <c r="B574" t="s">
        <v>1135</v>
      </c>
      <c r="C574" s="884">
        <v>45950</v>
      </c>
      <c r="D574" s="884">
        <v>45952</v>
      </c>
      <c r="E574" t="s">
        <v>262</v>
      </c>
      <c r="F574" t="s">
        <v>440</v>
      </c>
      <c r="H574" t="s">
        <v>691</v>
      </c>
      <c r="I574" s="885">
        <v>45903.384722222225</v>
      </c>
      <c r="L574" t="s">
        <v>274</v>
      </c>
      <c r="M574" t="s">
        <v>265</v>
      </c>
      <c r="N574" t="s">
        <v>369</v>
      </c>
      <c r="O574" t="s">
        <v>267</v>
      </c>
      <c r="P574" s="885">
        <v>45903.387326388889</v>
      </c>
      <c r="Q574" t="s">
        <v>268</v>
      </c>
      <c r="R574" t="s">
        <v>269</v>
      </c>
    </row>
    <row r="575" spans="1:18" x14ac:dyDescent="0.15">
      <c r="A575" s="788">
        <v>2281978838</v>
      </c>
      <c r="B575" t="s">
        <v>1136</v>
      </c>
      <c r="C575" s="884">
        <v>45937</v>
      </c>
      <c r="D575" s="884">
        <v>45940</v>
      </c>
      <c r="E575" t="s">
        <v>262</v>
      </c>
      <c r="F575" t="s">
        <v>262</v>
      </c>
      <c r="H575" t="s">
        <v>332</v>
      </c>
      <c r="I575" s="885">
        <v>45903.454861111109</v>
      </c>
      <c r="L575" t="s">
        <v>274</v>
      </c>
      <c r="M575" t="s">
        <v>279</v>
      </c>
      <c r="N575" t="s">
        <v>1137</v>
      </c>
      <c r="O575" t="s">
        <v>267</v>
      </c>
      <c r="P575" s="885">
        <v>45903.458749999998</v>
      </c>
      <c r="Q575" t="s">
        <v>268</v>
      </c>
      <c r="R575" t="s">
        <v>269</v>
      </c>
    </row>
    <row r="576" spans="1:18" x14ac:dyDescent="0.15">
      <c r="A576" s="788">
        <v>2281978841</v>
      </c>
      <c r="B576" t="s">
        <v>1138</v>
      </c>
      <c r="C576" s="884">
        <v>45937</v>
      </c>
      <c r="D576" s="884">
        <v>45940</v>
      </c>
      <c r="E576" t="s">
        <v>262</v>
      </c>
      <c r="F576" t="s">
        <v>262</v>
      </c>
      <c r="H576" t="s">
        <v>332</v>
      </c>
      <c r="I576" s="885">
        <v>45903.454861111109</v>
      </c>
      <c r="L576" t="s">
        <v>274</v>
      </c>
      <c r="M576" t="s">
        <v>279</v>
      </c>
      <c r="N576" t="s">
        <v>1137</v>
      </c>
      <c r="O576" t="s">
        <v>267</v>
      </c>
      <c r="P576" s="885">
        <v>45903.458749999998</v>
      </c>
      <c r="Q576" t="s">
        <v>268</v>
      </c>
      <c r="R576" t="s">
        <v>269</v>
      </c>
    </row>
    <row r="577" spans="1:18" x14ac:dyDescent="0.15">
      <c r="A577" s="788">
        <v>2281978844</v>
      </c>
      <c r="B577" t="s">
        <v>1139</v>
      </c>
      <c r="C577" s="884">
        <v>45937</v>
      </c>
      <c r="D577" s="884">
        <v>45940</v>
      </c>
      <c r="E577" t="s">
        <v>262</v>
      </c>
      <c r="F577" t="s">
        <v>262</v>
      </c>
      <c r="H577" t="s">
        <v>332</v>
      </c>
      <c r="I577" s="885">
        <v>45903.454861111109</v>
      </c>
      <c r="L577" t="s">
        <v>274</v>
      </c>
      <c r="M577" t="s">
        <v>279</v>
      </c>
      <c r="N577" t="s">
        <v>1137</v>
      </c>
      <c r="O577" t="s">
        <v>267</v>
      </c>
      <c r="P577" s="885">
        <v>45903.458749999998</v>
      </c>
      <c r="Q577" t="s">
        <v>268</v>
      </c>
      <c r="R577" t="s">
        <v>269</v>
      </c>
    </row>
    <row r="578" spans="1:18" x14ac:dyDescent="0.15">
      <c r="A578" s="788">
        <v>2285360694</v>
      </c>
      <c r="B578" t="s">
        <v>1184</v>
      </c>
      <c r="C578" s="884">
        <v>45925</v>
      </c>
      <c r="D578" s="884">
        <v>45926</v>
      </c>
      <c r="E578" t="s">
        <v>262</v>
      </c>
      <c r="F578" t="s">
        <v>277</v>
      </c>
      <c r="H578" t="s">
        <v>411</v>
      </c>
      <c r="I578" s="885">
        <v>45908.425000000003</v>
      </c>
      <c r="L578" t="s">
        <v>274</v>
      </c>
      <c r="M578" t="s">
        <v>265</v>
      </c>
      <c r="N578" t="s">
        <v>1185</v>
      </c>
      <c r="O578" t="s">
        <v>267</v>
      </c>
      <c r="P578" s="885">
        <v>45908.430694444447</v>
      </c>
      <c r="Q578" t="s">
        <v>268</v>
      </c>
      <c r="R578" t="s">
        <v>269</v>
      </c>
    </row>
    <row r="579" spans="1:18" x14ac:dyDescent="0.15">
      <c r="A579" s="788">
        <v>2285502160</v>
      </c>
      <c r="B579" t="s">
        <v>1186</v>
      </c>
      <c r="C579" s="884">
        <v>46065</v>
      </c>
      <c r="D579" s="884">
        <v>46068</v>
      </c>
      <c r="E579" t="s">
        <v>262</v>
      </c>
      <c r="F579" t="s">
        <v>277</v>
      </c>
      <c r="H579" t="s">
        <v>385</v>
      </c>
      <c r="I579" s="885">
        <v>45908.629166666666</v>
      </c>
      <c r="L579" t="s">
        <v>274</v>
      </c>
      <c r="M579" t="s">
        <v>265</v>
      </c>
      <c r="N579" t="s">
        <v>1187</v>
      </c>
      <c r="O579" t="s">
        <v>267</v>
      </c>
      <c r="P579" s="885">
        <v>45908.633229166669</v>
      </c>
      <c r="Q579" t="s">
        <v>268</v>
      </c>
      <c r="R579" t="s">
        <v>269</v>
      </c>
    </row>
    <row r="580" spans="1:18" x14ac:dyDescent="0.15">
      <c r="A580" s="788">
        <v>2287039690</v>
      </c>
      <c r="B580" t="s">
        <v>1190</v>
      </c>
      <c r="C580" s="884">
        <v>45984</v>
      </c>
      <c r="D580" s="884">
        <v>45985</v>
      </c>
      <c r="E580" t="s">
        <v>262</v>
      </c>
      <c r="F580" t="s">
        <v>277</v>
      </c>
      <c r="H580" t="s">
        <v>278</v>
      </c>
      <c r="I580" s="885">
        <v>45910.603472222225</v>
      </c>
      <c r="K580" s="885">
        <v>45915.614583333336</v>
      </c>
      <c r="L580" t="s">
        <v>264</v>
      </c>
      <c r="M580" t="s">
        <v>265</v>
      </c>
      <c r="N580" t="s">
        <v>813</v>
      </c>
      <c r="O580" t="s">
        <v>267</v>
      </c>
      <c r="P580" s="885">
        <v>45915.621886574074</v>
      </c>
      <c r="Q580" t="s">
        <v>268</v>
      </c>
      <c r="R580" t="s">
        <v>269</v>
      </c>
    </row>
    <row r="581" spans="1:18" x14ac:dyDescent="0.15">
      <c r="A581" s="788">
        <v>2287362954</v>
      </c>
      <c r="B581" t="s">
        <v>1201</v>
      </c>
      <c r="C581" s="884">
        <v>45927</v>
      </c>
      <c r="D581" s="884">
        <v>45928</v>
      </c>
      <c r="E581" t="s">
        <v>262</v>
      </c>
      <c r="F581" t="s">
        <v>331</v>
      </c>
      <c r="H581" t="s">
        <v>411</v>
      </c>
      <c r="I581" s="885">
        <v>45910.958333333336</v>
      </c>
      <c r="L581" t="s">
        <v>274</v>
      </c>
      <c r="M581" t="s">
        <v>265</v>
      </c>
      <c r="N581" t="s">
        <v>1202</v>
      </c>
      <c r="O581" t="s">
        <v>267</v>
      </c>
      <c r="P581" s="885">
        <v>45910.963043981479</v>
      </c>
      <c r="Q581" t="s">
        <v>268</v>
      </c>
      <c r="R581" t="s">
        <v>269</v>
      </c>
    </row>
    <row r="582" spans="1:18" x14ac:dyDescent="0.15">
      <c r="A582" s="788">
        <v>2289185574</v>
      </c>
      <c r="B582" t="s">
        <v>1224</v>
      </c>
      <c r="C582" s="884">
        <v>45918</v>
      </c>
      <c r="D582" s="884">
        <v>45919</v>
      </c>
      <c r="E582" t="s">
        <v>262</v>
      </c>
      <c r="F582" t="s">
        <v>262</v>
      </c>
      <c r="H582" t="s">
        <v>278</v>
      </c>
      <c r="I582" s="885">
        <v>45913.693055555559</v>
      </c>
      <c r="L582" t="s">
        <v>274</v>
      </c>
      <c r="M582" t="s">
        <v>265</v>
      </c>
      <c r="N582" t="s">
        <v>1225</v>
      </c>
      <c r="O582" t="s">
        <v>267</v>
      </c>
      <c r="P582" s="885">
        <v>45913.697916666664</v>
      </c>
      <c r="Q582" t="s">
        <v>268</v>
      </c>
      <c r="R582" t="s">
        <v>269</v>
      </c>
    </row>
    <row r="583" spans="1:18" x14ac:dyDescent="0.15">
      <c r="A583" s="788">
        <v>2289263751</v>
      </c>
      <c r="B583" t="s">
        <v>1226</v>
      </c>
      <c r="C583" s="884">
        <v>45925</v>
      </c>
      <c r="D583" s="884">
        <v>45926</v>
      </c>
      <c r="E583" t="s">
        <v>262</v>
      </c>
      <c r="F583" t="s">
        <v>262</v>
      </c>
      <c r="H583" t="s">
        <v>669</v>
      </c>
      <c r="I583" s="885">
        <v>45913.803472222222</v>
      </c>
      <c r="L583" t="s">
        <v>274</v>
      </c>
      <c r="M583" t="s">
        <v>265</v>
      </c>
      <c r="N583" t="s">
        <v>1227</v>
      </c>
      <c r="O583" t="s">
        <v>267</v>
      </c>
      <c r="P583" s="885">
        <v>45913.807650462964</v>
      </c>
      <c r="Q583" t="s">
        <v>268</v>
      </c>
      <c r="R583" t="s">
        <v>269</v>
      </c>
    </row>
    <row r="584" spans="1:18" x14ac:dyDescent="0.15">
      <c r="A584" s="788">
        <v>2289747933</v>
      </c>
      <c r="B584" t="s">
        <v>1234</v>
      </c>
      <c r="C584" s="884">
        <v>46070</v>
      </c>
      <c r="D584" s="884">
        <v>46072</v>
      </c>
      <c r="E584" t="s">
        <v>262</v>
      </c>
      <c r="F584" t="s">
        <v>331</v>
      </c>
      <c r="H584" t="s">
        <v>332</v>
      </c>
      <c r="I584" s="885">
        <v>45914.736805555556</v>
      </c>
      <c r="L584" t="s">
        <v>274</v>
      </c>
      <c r="M584" t="s">
        <v>265</v>
      </c>
      <c r="N584" t="s">
        <v>1235</v>
      </c>
      <c r="O584" t="s">
        <v>267</v>
      </c>
      <c r="P584" s="885">
        <v>45914.743506944447</v>
      </c>
      <c r="Q584" t="s">
        <v>268</v>
      </c>
      <c r="R584" t="s">
        <v>269</v>
      </c>
    </row>
    <row r="585" spans="1:18" x14ac:dyDescent="0.15">
      <c r="A585" s="788">
        <v>2289747935</v>
      </c>
      <c r="B585" t="s">
        <v>1236</v>
      </c>
      <c r="C585" s="884">
        <v>46070</v>
      </c>
      <c r="D585" s="884">
        <v>46072</v>
      </c>
      <c r="E585" t="s">
        <v>262</v>
      </c>
      <c r="F585" t="s">
        <v>331</v>
      </c>
      <c r="H585" t="s">
        <v>332</v>
      </c>
      <c r="I585" s="885">
        <v>45914.736805555556</v>
      </c>
      <c r="L585" t="s">
        <v>274</v>
      </c>
      <c r="M585" t="s">
        <v>265</v>
      </c>
      <c r="N585" t="s">
        <v>1235</v>
      </c>
      <c r="O585" t="s">
        <v>267</v>
      </c>
      <c r="P585" s="885">
        <v>45914.743506944447</v>
      </c>
      <c r="Q585" t="s">
        <v>268</v>
      </c>
      <c r="R585" t="s">
        <v>269</v>
      </c>
    </row>
    <row r="586" spans="1:18" x14ac:dyDescent="0.15">
      <c r="A586" s="788">
        <v>2289747940</v>
      </c>
      <c r="B586" t="s">
        <v>1237</v>
      </c>
      <c r="C586" s="884">
        <v>46070</v>
      </c>
      <c r="D586" s="884">
        <v>46072</v>
      </c>
      <c r="E586" t="s">
        <v>262</v>
      </c>
      <c r="F586" t="s">
        <v>331</v>
      </c>
      <c r="H586" t="s">
        <v>332</v>
      </c>
      <c r="I586" s="885">
        <v>45914.736805555556</v>
      </c>
      <c r="L586" t="s">
        <v>274</v>
      </c>
      <c r="M586" t="s">
        <v>265</v>
      </c>
      <c r="N586" t="s">
        <v>1235</v>
      </c>
      <c r="O586" t="s">
        <v>267</v>
      </c>
      <c r="P586" s="885">
        <v>45914.743506944447</v>
      </c>
      <c r="Q586" t="s">
        <v>268</v>
      </c>
      <c r="R586" t="s">
        <v>269</v>
      </c>
    </row>
    <row r="587" spans="1:18" x14ac:dyDescent="0.15">
      <c r="A587" s="788">
        <v>2290354187</v>
      </c>
      <c r="B587" t="s">
        <v>1251</v>
      </c>
      <c r="C587" s="884">
        <v>46027</v>
      </c>
      <c r="D587" s="884">
        <v>46032</v>
      </c>
      <c r="E587" t="s">
        <v>262</v>
      </c>
      <c r="F587" t="s">
        <v>277</v>
      </c>
      <c r="H587" t="s">
        <v>1252</v>
      </c>
      <c r="I587" s="885">
        <v>45915.673611111109</v>
      </c>
      <c r="L587" t="s">
        <v>274</v>
      </c>
      <c r="M587" t="s">
        <v>265</v>
      </c>
      <c r="N587" t="s">
        <v>1253</v>
      </c>
      <c r="O587" t="s">
        <v>267</v>
      </c>
      <c r="P587" s="885">
        <v>45915.677152777775</v>
      </c>
      <c r="Q587" t="s">
        <v>268</v>
      </c>
      <c r="R587" t="s">
        <v>269</v>
      </c>
    </row>
    <row r="588" spans="1:18" x14ac:dyDescent="0.15">
      <c r="A588" s="788">
        <v>2290355288</v>
      </c>
      <c r="B588" t="s">
        <v>1254</v>
      </c>
      <c r="C588" s="884">
        <v>46027</v>
      </c>
      <c r="D588" s="884">
        <v>46029</v>
      </c>
      <c r="E588" t="s">
        <v>262</v>
      </c>
      <c r="F588" t="s">
        <v>277</v>
      </c>
      <c r="H588" t="s">
        <v>1252</v>
      </c>
      <c r="I588" s="885">
        <v>45915.674305555556</v>
      </c>
      <c r="L588" t="s">
        <v>274</v>
      </c>
      <c r="M588" t="s">
        <v>265</v>
      </c>
      <c r="N588" t="s">
        <v>1255</v>
      </c>
      <c r="O588" t="s">
        <v>267</v>
      </c>
      <c r="P588" s="885">
        <v>45915.680659722224</v>
      </c>
      <c r="Q588" t="s">
        <v>268</v>
      </c>
      <c r="R588" t="s">
        <v>269</v>
      </c>
    </row>
    <row r="589" spans="1:18" x14ac:dyDescent="0.15">
      <c r="A589" s="788">
        <v>2290357577</v>
      </c>
      <c r="B589" t="s">
        <v>1254</v>
      </c>
      <c r="C589" s="884">
        <v>46031</v>
      </c>
      <c r="D589" s="884">
        <v>46032</v>
      </c>
      <c r="E589" t="s">
        <v>262</v>
      </c>
      <c r="F589" t="s">
        <v>277</v>
      </c>
      <c r="H589" t="s">
        <v>1252</v>
      </c>
      <c r="I589" s="885">
        <v>45915.676388888889</v>
      </c>
      <c r="L589" t="s">
        <v>274</v>
      </c>
      <c r="M589" t="s">
        <v>265</v>
      </c>
      <c r="N589" t="s">
        <v>1256</v>
      </c>
      <c r="O589" t="s">
        <v>267</v>
      </c>
      <c r="P589" s="885">
        <v>45915.680659722224</v>
      </c>
      <c r="Q589" t="s">
        <v>268</v>
      </c>
      <c r="R589" t="s">
        <v>269</v>
      </c>
    </row>
    <row r="590" spans="1:18" x14ac:dyDescent="0.15">
      <c r="A590" s="788">
        <v>2291469360</v>
      </c>
      <c r="B590" t="s">
        <v>1262</v>
      </c>
      <c r="C590" s="884">
        <v>45920</v>
      </c>
      <c r="D590" s="884">
        <v>45921</v>
      </c>
      <c r="E590" t="s">
        <v>262</v>
      </c>
      <c r="F590" t="s">
        <v>277</v>
      </c>
      <c r="H590" t="s">
        <v>411</v>
      </c>
      <c r="I590" s="885">
        <v>45916.993750000001</v>
      </c>
      <c r="L590" t="s">
        <v>274</v>
      </c>
      <c r="M590" t="s">
        <v>265</v>
      </c>
      <c r="N590" t="s">
        <v>1263</v>
      </c>
      <c r="O590" t="s">
        <v>267</v>
      </c>
      <c r="P590" s="885">
        <v>45916.999583333331</v>
      </c>
      <c r="Q590" t="s">
        <v>268</v>
      </c>
      <c r="R590" t="s">
        <v>269</v>
      </c>
    </row>
    <row r="591" spans="1:18" x14ac:dyDescent="0.15">
      <c r="A591" s="788">
        <v>2291945707</v>
      </c>
      <c r="B591" t="s">
        <v>1269</v>
      </c>
      <c r="C591" s="884">
        <v>46019</v>
      </c>
      <c r="D591" s="884">
        <v>46022</v>
      </c>
      <c r="E591" t="s">
        <v>262</v>
      </c>
      <c r="F591" t="s">
        <v>277</v>
      </c>
      <c r="H591" t="s">
        <v>1252</v>
      </c>
      <c r="I591" s="885">
        <v>45917.682638888888</v>
      </c>
      <c r="K591" s="885">
        <v>45924.460416666669</v>
      </c>
      <c r="L591" t="s">
        <v>264</v>
      </c>
      <c r="M591" t="s">
        <v>279</v>
      </c>
      <c r="N591" t="s">
        <v>1270</v>
      </c>
      <c r="O591" t="s">
        <v>267</v>
      </c>
      <c r="P591" s="885">
        <v>45924.462777777779</v>
      </c>
      <c r="Q591" t="s">
        <v>268</v>
      </c>
      <c r="R591" t="s">
        <v>269</v>
      </c>
    </row>
    <row r="592" spans="1:18" x14ac:dyDescent="0.15">
      <c r="A592" s="788">
        <v>2291945708</v>
      </c>
      <c r="B592" t="s">
        <v>1271</v>
      </c>
      <c r="C592" s="884">
        <v>46019</v>
      </c>
      <c r="D592" s="884">
        <v>46022</v>
      </c>
      <c r="E592" t="s">
        <v>262</v>
      </c>
      <c r="F592" t="s">
        <v>277</v>
      </c>
      <c r="H592" t="s">
        <v>604</v>
      </c>
      <c r="I592" s="885">
        <v>45917.682638888888</v>
      </c>
      <c r="K592" s="885">
        <v>45924.461111111108</v>
      </c>
      <c r="L592" t="s">
        <v>264</v>
      </c>
      <c r="M592" t="s">
        <v>265</v>
      </c>
      <c r="N592" t="s">
        <v>1272</v>
      </c>
      <c r="O592" t="s">
        <v>267</v>
      </c>
      <c r="P592" s="885">
        <v>45924.462777777779</v>
      </c>
      <c r="Q592" t="s">
        <v>268</v>
      </c>
      <c r="R592" t="s">
        <v>269</v>
      </c>
    </row>
    <row r="593" spans="1:18" x14ac:dyDescent="0.15">
      <c r="A593" s="788">
        <v>2291945709</v>
      </c>
      <c r="B593" t="s">
        <v>1273</v>
      </c>
      <c r="C593" s="884">
        <v>46019</v>
      </c>
      <c r="D593" s="884">
        <v>46022</v>
      </c>
      <c r="E593" t="s">
        <v>262</v>
      </c>
      <c r="F593" t="s">
        <v>277</v>
      </c>
      <c r="H593" t="s">
        <v>604</v>
      </c>
      <c r="I593" s="885">
        <v>45917.682638888888</v>
      </c>
      <c r="K593" s="885">
        <v>45924.460416666669</v>
      </c>
      <c r="L593" t="s">
        <v>264</v>
      </c>
      <c r="M593" s="884">
        <v>36526</v>
      </c>
      <c r="N593" t="s">
        <v>1272</v>
      </c>
      <c r="O593" t="s">
        <v>267</v>
      </c>
      <c r="P593" s="885">
        <v>45924.462777777779</v>
      </c>
      <c r="Q593" t="s">
        <v>268</v>
      </c>
      <c r="R593" t="s">
        <v>269</v>
      </c>
    </row>
    <row r="594" spans="1:18" x14ac:dyDescent="0.15">
      <c r="A594" s="788">
        <v>2292200094</v>
      </c>
      <c r="B594" t="s">
        <v>1276</v>
      </c>
      <c r="C594" s="884">
        <v>46025</v>
      </c>
      <c r="D594" s="884">
        <v>46027</v>
      </c>
      <c r="E594" t="s">
        <v>262</v>
      </c>
      <c r="F594" t="s">
        <v>277</v>
      </c>
      <c r="H594" t="s">
        <v>385</v>
      </c>
      <c r="I594" s="885">
        <v>45917.959722222222</v>
      </c>
      <c r="L594" t="s">
        <v>274</v>
      </c>
      <c r="M594" t="s">
        <v>265</v>
      </c>
      <c r="N594" t="s">
        <v>1277</v>
      </c>
      <c r="O594" t="s">
        <v>267</v>
      </c>
      <c r="P594" s="885">
        <v>45917.96875</v>
      </c>
      <c r="Q594" t="s">
        <v>268</v>
      </c>
      <c r="R594" t="s">
        <v>269</v>
      </c>
    </row>
    <row r="595" spans="1:18" x14ac:dyDescent="0.15">
      <c r="A595" s="788">
        <v>2293066856</v>
      </c>
      <c r="B595" t="s">
        <v>1282</v>
      </c>
      <c r="C595" s="884">
        <v>45921</v>
      </c>
      <c r="D595" s="884">
        <v>45923</v>
      </c>
      <c r="E595" t="s">
        <v>262</v>
      </c>
      <c r="F595" t="s">
        <v>277</v>
      </c>
      <c r="H595" t="s">
        <v>278</v>
      </c>
      <c r="I595" s="885">
        <v>45919.1</v>
      </c>
      <c r="L595" t="s">
        <v>274</v>
      </c>
      <c r="M595" t="s">
        <v>279</v>
      </c>
      <c r="N595" t="s">
        <v>1134</v>
      </c>
      <c r="O595" t="s">
        <v>267</v>
      </c>
      <c r="P595" s="885">
        <v>45919.102962962963</v>
      </c>
      <c r="Q595" t="s">
        <v>268</v>
      </c>
      <c r="R595" t="s">
        <v>269</v>
      </c>
    </row>
    <row r="596" spans="1:18" x14ac:dyDescent="0.15">
      <c r="A596" s="788">
        <v>2293365958</v>
      </c>
      <c r="B596" t="s">
        <v>710</v>
      </c>
      <c r="C596" s="884">
        <v>45983</v>
      </c>
      <c r="D596" s="884">
        <v>45984</v>
      </c>
      <c r="E596" t="s">
        <v>262</v>
      </c>
      <c r="F596" t="s">
        <v>277</v>
      </c>
      <c r="H596" t="s">
        <v>278</v>
      </c>
      <c r="I596" s="885">
        <v>45919.563888888886</v>
      </c>
      <c r="L596" t="s">
        <v>274</v>
      </c>
      <c r="M596" t="s">
        <v>279</v>
      </c>
      <c r="N596" t="s">
        <v>1283</v>
      </c>
      <c r="O596" t="s">
        <v>267</v>
      </c>
      <c r="P596" s="885">
        <v>45919.56790509259</v>
      </c>
      <c r="Q596" t="s">
        <v>268</v>
      </c>
      <c r="R596" t="s">
        <v>269</v>
      </c>
    </row>
    <row r="597" spans="1:18" x14ac:dyDescent="0.15">
      <c r="A597" s="788">
        <v>2293603005</v>
      </c>
      <c r="B597" t="s">
        <v>1284</v>
      </c>
      <c r="C597" s="884">
        <v>45921</v>
      </c>
      <c r="D597" s="884">
        <v>45923</v>
      </c>
      <c r="E597" t="s">
        <v>262</v>
      </c>
      <c r="F597" t="s">
        <v>331</v>
      </c>
      <c r="H597" t="s">
        <v>411</v>
      </c>
      <c r="I597" s="885">
        <v>45919.831250000003</v>
      </c>
      <c r="L597" t="s">
        <v>274</v>
      </c>
      <c r="M597" t="s">
        <v>279</v>
      </c>
      <c r="N597" t="s">
        <v>1285</v>
      </c>
      <c r="O597" t="s">
        <v>267</v>
      </c>
      <c r="P597" s="885">
        <v>45919.837129629632</v>
      </c>
      <c r="Q597" t="s">
        <v>268</v>
      </c>
      <c r="R597" t="s">
        <v>269</v>
      </c>
    </row>
    <row r="598" spans="1:18" x14ac:dyDescent="0.15">
      <c r="A598" s="788">
        <v>2294207588</v>
      </c>
      <c r="B598" t="s">
        <v>689</v>
      </c>
      <c r="C598" s="884">
        <v>46041</v>
      </c>
      <c r="D598" s="884">
        <v>46042</v>
      </c>
      <c r="E598" t="s">
        <v>262</v>
      </c>
      <c r="F598" t="s">
        <v>262</v>
      </c>
      <c r="H598" t="s">
        <v>332</v>
      </c>
      <c r="I598" s="885">
        <v>45920.829861111109</v>
      </c>
      <c r="L598" t="s">
        <v>274</v>
      </c>
      <c r="M598" t="s">
        <v>265</v>
      </c>
      <c r="N598" t="s">
        <v>355</v>
      </c>
      <c r="O598" t="s">
        <v>267</v>
      </c>
      <c r="P598" s="885">
        <v>45920.83284722222</v>
      </c>
      <c r="Q598" t="s">
        <v>268</v>
      </c>
      <c r="R598" t="s">
        <v>269</v>
      </c>
    </row>
    <row r="599" spans="1:18" x14ac:dyDescent="0.15">
      <c r="A599" s="788">
        <v>2294207590</v>
      </c>
      <c r="B599" t="s">
        <v>1288</v>
      </c>
      <c r="C599" s="884">
        <v>46041</v>
      </c>
      <c r="D599" s="884">
        <v>46042</v>
      </c>
      <c r="E599" t="s">
        <v>262</v>
      </c>
      <c r="F599" t="s">
        <v>262</v>
      </c>
      <c r="H599" t="s">
        <v>332</v>
      </c>
      <c r="I599" s="885">
        <v>45920.829861111109</v>
      </c>
      <c r="L599" t="s">
        <v>274</v>
      </c>
      <c r="M599" t="s">
        <v>265</v>
      </c>
      <c r="N599" t="s">
        <v>355</v>
      </c>
      <c r="O599" t="s">
        <v>267</v>
      </c>
      <c r="P599" s="885">
        <v>45920.83284722222</v>
      </c>
      <c r="Q599" t="s">
        <v>268</v>
      </c>
      <c r="R599" t="s">
        <v>269</v>
      </c>
    </row>
    <row r="600" spans="1:18" x14ac:dyDescent="0.15">
      <c r="A600" s="788">
        <v>2294715851</v>
      </c>
      <c r="B600" t="s">
        <v>1291</v>
      </c>
      <c r="C600" s="884">
        <v>46055</v>
      </c>
      <c r="D600" s="884">
        <v>46057</v>
      </c>
      <c r="E600" t="s">
        <v>262</v>
      </c>
      <c r="F600" t="s">
        <v>262</v>
      </c>
      <c r="H600" t="s">
        <v>278</v>
      </c>
      <c r="I600" s="885">
        <v>45921.777777777781</v>
      </c>
      <c r="L600" t="s">
        <v>274</v>
      </c>
      <c r="M600" t="s">
        <v>265</v>
      </c>
      <c r="N600" t="s">
        <v>711</v>
      </c>
      <c r="O600" t="s">
        <v>267</v>
      </c>
      <c r="P600" s="885">
        <v>45921.782361111109</v>
      </c>
      <c r="Q600" t="s">
        <v>268</v>
      </c>
      <c r="R600" t="s">
        <v>269</v>
      </c>
    </row>
    <row r="601" spans="1:18" x14ac:dyDescent="0.15">
      <c r="A601" s="788">
        <v>2295466252</v>
      </c>
      <c r="B601" t="s">
        <v>1306</v>
      </c>
      <c r="C601" s="884">
        <v>46006</v>
      </c>
      <c r="D601" s="884">
        <v>46010</v>
      </c>
      <c r="E601" t="s">
        <v>262</v>
      </c>
      <c r="F601" t="s">
        <v>277</v>
      </c>
      <c r="H601" t="s">
        <v>278</v>
      </c>
      <c r="I601" s="885">
        <v>45922.811805555553</v>
      </c>
      <c r="L601" t="s">
        <v>274</v>
      </c>
      <c r="M601" t="s">
        <v>265</v>
      </c>
      <c r="N601" t="s">
        <v>1307</v>
      </c>
      <c r="O601" t="s">
        <v>267</v>
      </c>
      <c r="P601" s="885">
        <v>45922.814606481479</v>
      </c>
      <c r="Q601" t="s">
        <v>268</v>
      </c>
      <c r="R601" t="s">
        <v>269</v>
      </c>
    </row>
    <row r="602" spans="1:18" x14ac:dyDescent="0.15">
      <c r="A602" s="788">
        <v>2295520987</v>
      </c>
      <c r="B602" t="s">
        <v>1203</v>
      </c>
      <c r="C602" s="884">
        <v>45977</v>
      </c>
      <c r="D602" s="884">
        <v>45979</v>
      </c>
      <c r="E602" t="s">
        <v>262</v>
      </c>
      <c r="F602" t="s">
        <v>277</v>
      </c>
      <c r="H602" t="s">
        <v>278</v>
      </c>
      <c r="I602" s="885">
        <v>45922.867361111108</v>
      </c>
      <c r="K602" s="885">
        <v>45930.515277777777</v>
      </c>
      <c r="L602" t="s">
        <v>264</v>
      </c>
      <c r="M602" t="s">
        <v>265</v>
      </c>
      <c r="N602" t="s">
        <v>1024</v>
      </c>
      <c r="O602" t="s">
        <v>267</v>
      </c>
      <c r="P602" s="885">
        <v>45930.519907407404</v>
      </c>
      <c r="Q602" t="s">
        <v>268</v>
      </c>
      <c r="R602" t="s">
        <v>269</v>
      </c>
    </row>
    <row r="603" spans="1:18" x14ac:dyDescent="0.15">
      <c r="A603" s="788">
        <v>2300098807</v>
      </c>
      <c r="B603" t="s">
        <v>1330</v>
      </c>
      <c r="C603" s="884">
        <v>45953</v>
      </c>
      <c r="D603" s="884">
        <v>45954</v>
      </c>
      <c r="E603" t="s">
        <v>262</v>
      </c>
      <c r="F603" t="s">
        <v>277</v>
      </c>
      <c r="H603" t="s">
        <v>278</v>
      </c>
      <c r="I603" s="885">
        <v>45929.504166666666</v>
      </c>
      <c r="L603" t="s">
        <v>274</v>
      </c>
      <c r="M603" t="s">
        <v>265</v>
      </c>
      <c r="N603" t="s">
        <v>1331</v>
      </c>
      <c r="O603" t="s">
        <v>267</v>
      </c>
      <c r="P603" s="885">
        <v>45929.511122685188</v>
      </c>
      <c r="Q603" t="s">
        <v>268</v>
      </c>
      <c r="R603" t="s">
        <v>269</v>
      </c>
    </row>
    <row r="604" spans="1:18" x14ac:dyDescent="0.15">
      <c r="A604" s="788">
        <v>2300323559</v>
      </c>
      <c r="B604" t="s">
        <v>1336</v>
      </c>
      <c r="C604" s="884">
        <v>45980</v>
      </c>
      <c r="D604" s="884">
        <v>45983</v>
      </c>
      <c r="E604" t="s">
        <v>262</v>
      </c>
      <c r="F604" t="s">
        <v>277</v>
      </c>
      <c r="H604" t="s">
        <v>385</v>
      </c>
      <c r="I604" s="885">
        <v>45929.765972222223</v>
      </c>
      <c r="K604" s="885">
        <v>45939.532638888886</v>
      </c>
      <c r="L604" t="s">
        <v>264</v>
      </c>
      <c r="M604" t="s">
        <v>265</v>
      </c>
      <c r="N604" t="s">
        <v>1337</v>
      </c>
      <c r="O604" t="s">
        <v>267</v>
      </c>
      <c r="P604" s="885">
        <v>45939.535856481481</v>
      </c>
      <c r="Q604" t="s">
        <v>268</v>
      </c>
      <c r="R604" t="s">
        <v>269</v>
      </c>
    </row>
    <row r="605" spans="1:18" x14ac:dyDescent="0.15">
      <c r="A605" s="788">
        <v>2300323568</v>
      </c>
      <c r="B605" t="s">
        <v>1338</v>
      </c>
      <c r="C605" s="884">
        <v>45980</v>
      </c>
      <c r="D605" s="884">
        <v>45983</v>
      </c>
      <c r="E605" t="s">
        <v>262</v>
      </c>
      <c r="F605" t="s">
        <v>277</v>
      </c>
      <c r="H605" t="s">
        <v>385</v>
      </c>
      <c r="I605" s="885">
        <v>45929.765972222223</v>
      </c>
      <c r="K605" s="885">
        <v>45939.532638888886</v>
      </c>
      <c r="L605" t="s">
        <v>264</v>
      </c>
      <c r="M605" t="s">
        <v>265</v>
      </c>
      <c r="N605" t="s">
        <v>1337</v>
      </c>
      <c r="O605" t="s">
        <v>267</v>
      </c>
      <c r="P605" s="885">
        <v>45939.535856481481</v>
      </c>
      <c r="Q605" t="s">
        <v>268</v>
      </c>
      <c r="R605" t="s">
        <v>269</v>
      </c>
    </row>
    <row r="606" spans="1:18" x14ac:dyDescent="0.15">
      <c r="A606" s="788">
        <v>2300326251</v>
      </c>
      <c r="B606" t="s">
        <v>1339</v>
      </c>
      <c r="C606" s="884">
        <v>45980</v>
      </c>
      <c r="D606" s="884">
        <v>45983</v>
      </c>
      <c r="E606" t="s">
        <v>262</v>
      </c>
      <c r="F606" t="s">
        <v>277</v>
      </c>
      <c r="H606" t="s">
        <v>278</v>
      </c>
      <c r="I606" s="885">
        <v>45929.768750000003</v>
      </c>
      <c r="K606" s="885">
        <v>45939.531944444447</v>
      </c>
      <c r="L606" t="s">
        <v>264</v>
      </c>
      <c r="M606" t="s">
        <v>265</v>
      </c>
      <c r="N606" t="s">
        <v>1340</v>
      </c>
      <c r="O606" t="s">
        <v>267</v>
      </c>
      <c r="P606" s="885">
        <v>45939.535856481481</v>
      </c>
      <c r="Q606" t="s">
        <v>268</v>
      </c>
      <c r="R606" t="s">
        <v>269</v>
      </c>
    </row>
    <row r="607" spans="1:18" x14ac:dyDescent="0.15">
      <c r="A607" s="788">
        <v>2301283848</v>
      </c>
      <c r="B607" t="s">
        <v>1351</v>
      </c>
      <c r="C607" s="884">
        <v>46014</v>
      </c>
      <c r="D607" s="884">
        <v>46016</v>
      </c>
      <c r="E607" t="s">
        <v>262</v>
      </c>
      <c r="F607" t="s">
        <v>277</v>
      </c>
      <c r="H607" t="s">
        <v>278</v>
      </c>
      <c r="I607" s="885">
        <v>45930.951388888891</v>
      </c>
      <c r="L607" t="s">
        <v>274</v>
      </c>
      <c r="M607" t="s">
        <v>265</v>
      </c>
      <c r="N607" t="s">
        <v>1352</v>
      </c>
      <c r="O607" t="s">
        <v>267</v>
      </c>
      <c r="P607" s="885">
        <v>45930.958275462966</v>
      </c>
      <c r="Q607" t="s">
        <v>268</v>
      </c>
      <c r="R607" t="s">
        <v>269</v>
      </c>
    </row>
    <row r="608" spans="1:18" x14ac:dyDescent="0.15">
      <c r="A608" s="788">
        <v>2301748915</v>
      </c>
      <c r="B608" t="s">
        <v>1363</v>
      </c>
      <c r="C608" s="884">
        <v>45968</v>
      </c>
      <c r="D608" s="884">
        <v>45970</v>
      </c>
      <c r="E608" t="s">
        <v>262</v>
      </c>
      <c r="F608" t="s">
        <v>277</v>
      </c>
      <c r="H608" t="s">
        <v>604</v>
      </c>
      <c r="I608" s="885">
        <v>45931.640277777777</v>
      </c>
      <c r="L608" t="s">
        <v>274</v>
      </c>
      <c r="M608" t="s">
        <v>279</v>
      </c>
      <c r="N608" t="s">
        <v>1364</v>
      </c>
      <c r="O608" t="s">
        <v>267</v>
      </c>
      <c r="P608" s="885">
        <v>45931.643148148149</v>
      </c>
      <c r="Q608" t="s">
        <v>268</v>
      </c>
      <c r="R608" t="s">
        <v>269</v>
      </c>
    </row>
    <row r="609" spans="1:18" x14ac:dyDescent="0.15">
      <c r="A609" s="788">
        <v>2301748921</v>
      </c>
      <c r="B609" t="s">
        <v>1365</v>
      </c>
      <c r="C609" s="884">
        <v>45968</v>
      </c>
      <c r="D609" s="884">
        <v>45970</v>
      </c>
      <c r="E609" t="s">
        <v>262</v>
      </c>
      <c r="F609" t="s">
        <v>277</v>
      </c>
      <c r="H609" t="s">
        <v>604</v>
      </c>
      <c r="I609" s="885">
        <v>45931.640277777777</v>
      </c>
      <c r="L609" t="s">
        <v>274</v>
      </c>
      <c r="M609" t="s">
        <v>279</v>
      </c>
      <c r="N609" t="s">
        <v>1364</v>
      </c>
      <c r="O609" t="s">
        <v>267</v>
      </c>
      <c r="P609" s="885">
        <v>45931.643148148149</v>
      </c>
      <c r="Q609" t="s">
        <v>268</v>
      </c>
      <c r="R609" t="s">
        <v>269</v>
      </c>
    </row>
    <row r="610" spans="1:18" x14ac:dyDescent="0.15">
      <c r="A610" s="788">
        <v>2303481328</v>
      </c>
      <c r="B610" t="s">
        <v>1382</v>
      </c>
      <c r="C610" s="884">
        <v>45934</v>
      </c>
      <c r="D610" s="884">
        <v>45935</v>
      </c>
      <c r="E610" t="s">
        <v>262</v>
      </c>
      <c r="F610" t="s">
        <v>277</v>
      </c>
      <c r="H610" t="s">
        <v>278</v>
      </c>
      <c r="I610" s="885">
        <v>45933.908333333333</v>
      </c>
      <c r="L610" t="s">
        <v>274</v>
      </c>
      <c r="M610" t="s">
        <v>279</v>
      </c>
      <c r="N610" t="s">
        <v>1331</v>
      </c>
      <c r="O610" t="s">
        <v>267</v>
      </c>
      <c r="P610" s="885">
        <v>45933.912731481483</v>
      </c>
      <c r="Q610" t="s">
        <v>268</v>
      </c>
      <c r="R610" t="s">
        <v>269</v>
      </c>
    </row>
    <row r="611" spans="1:18" x14ac:dyDescent="0.15">
      <c r="A611" s="788">
        <v>2304383017</v>
      </c>
      <c r="B611" t="s">
        <v>1419</v>
      </c>
      <c r="C611" s="884">
        <v>45952</v>
      </c>
      <c r="D611" s="884">
        <v>45955</v>
      </c>
      <c r="E611" t="s">
        <v>262</v>
      </c>
      <c r="F611" t="s">
        <v>277</v>
      </c>
      <c r="H611" t="s">
        <v>278</v>
      </c>
      <c r="I611" s="885">
        <v>45935.526388888888</v>
      </c>
      <c r="L611" t="s">
        <v>274</v>
      </c>
      <c r="M611" t="s">
        <v>265</v>
      </c>
      <c r="N611" t="s">
        <v>1420</v>
      </c>
      <c r="O611" t="s">
        <v>267</v>
      </c>
      <c r="P611" s="885">
        <v>45935.531909722224</v>
      </c>
      <c r="Q611" t="s">
        <v>268</v>
      </c>
      <c r="R611" t="s">
        <v>269</v>
      </c>
    </row>
    <row r="612" spans="1:18" x14ac:dyDescent="0.15">
      <c r="A612" s="788">
        <v>2304443187</v>
      </c>
      <c r="B612" t="s">
        <v>1421</v>
      </c>
      <c r="C612" s="884">
        <v>46025</v>
      </c>
      <c r="D612" s="884">
        <v>46028</v>
      </c>
      <c r="E612" t="s">
        <v>262</v>
      </c>
      <c r="F612" t="s">
        <v>277</v>
      </c>
      <c r="H612" t="s">
        <v>385</v>
      </c>
      <c r="I612" s="885">
        <v>45935.654166666667</v>
      </c>
      <c r="L612" t="s">
        <v>274</v>
      </c>
      <c r="M612" t="s">
        <v>265</v>
      </c>
      <c r="N612" t="s">
        <v>1422</v>
      </c>
      <c r="O612" t="s">
        <v>267</v>
      </c>
      <c r="P612" s="885">
        <v>45935.659375000003</v>
      </c>
      <c r="Q612" t="s">
        <v>268</v>
      </c>
      <c r="R612" t="s">
        <v>269</v>
      </c>
    </row>
    <row r="613" spans="1:18" x14ac:dyDescent="0.15">
      <c r="A613" s="788">
        <v>2304663976</v>
      </c>
      <c r="B613" t="s">
        <v>539</v>
      </c>
      <c r="C613" s="884">
        <v>45977</v>
      </c>
      <c r="D613" s="884">
        <v>45980</v>
      </c>
      <c r="E613" t="s">
        <v>262</v>
      </c>
      <c r="F613" t="s">
        <v>277</v>
      </c>
      <c r="H613" t="s">
        <v>278</v>
      </c>
      <c r="I613" s="885">
        <v>45935.952777777777</v>
      </c>
      <c r="L613" t="s">
        <v>274</v>
      </c>
      <c r="M613" t="s">
        <v>265</v>
      </c>
      <c r="N613" t="s">
        <v>1441</v>
      </c>
      <c r="O613" t="s">
        <v>267</v>
      </c>
      <c r="P613" s="885">
        <v>45935.95789351852</v>
      </c>
      <c r="Q613" t="s">
        <v>268</v>
      </c>
      <c r="R613" t="s">
        <v>269</v>
      </c>
    </row>
    <row r="614" spans="1:18" x14ac:dyDescent="0.15">
      <c r="A614" s="788">
        <v>2304691704</v>
      </c>
      <c r="B614" t="s">
        <v>1442</v>
      </c>
      <c r="C614" s="884">
        <v>45976</v>
      </c>
      <c r="D614" s="884">
        <v>45977</v>
      </c>
      <c r="E614" t="s">
        <v>262</v>
      </c>
      <c r="F614" t="s">
        <v>277</v>
      </c>
      <c r="H614" t="s">
        <v>278</v>
      </c>
      <c r="I614" s="885">
        <v>45935.990972222222</v>
      </c>
      <c r="L614" t="s">
        <v>274</v>
      </c>
      <c r="M614" t="s">
        <v>265</v>
      </c>
      <c r="N614" t="s">
        <v>1283</v>
      </c>
      <c r="O614" t="s">
        <v>267</v>
      </c>
      <c r="P614" s="885">
        <v>45935.993796296294</v>
      </c>
      <c r="Q614" t="s">
        <v>268</v>
      </c>
      <c r="R614" t="s">
        <v>269</v>
      </c>
    </row>
    <row r="615" spans="1:18" x14ac:dyDescent="0.15">
      <c r="A615" s="788">
        <v>2304691707</v>
      </c>
      <c r="B615" t="s">
        <v>1442</v>
      </c>
      <c r="C615" s="884">
        <v>45976</v>
      </c>
      <c r="D615" s="884">
        <v>45977</v>
      </c>
      <c r="E615" t="s">
        <v>262</v>
      </c>
      <c r="F615" t="s">
        <v>277</v>
      </c>
      <c r="H615" t="s">
        <v>278</v>
      </c>
      <c r="I615" s="885">
        <v>45935.990972222222</v>
      </c>
      <c r="L615" t="s">
        <v>274</v>
      </c>
      <c r="M615" t="s">
        <v>265</v>
      </c>
      <c r="N615" t="s">
        <v>1283</v>
      </c>
      <c r="O615" t="s">
        <v>267</v>
      </c>
      <c r="P615" s="885">
        <v>45935.993796296294</v>
      </c>
      <c r="Q615" t="s">
        <v>268</v>
      </c>
      <c r="R615" t="s">
        <v>269</v>
      </c>
    </row>
    <row r="616" spans="1:18" x14ac:dyDescent="0.15">
      <c r="A616" s="788">
        <v>2307096105</v>
      </c>
      <c r="B616" t="s">
        <v>1465</v>
      </c>
      <c r="C616" s="884">
        <v>45943</v>
      </c>
      <c r="D616" s="884">
        <v>45947</v>
      </c>
      <c r="E616" t="s">
        <v>262</v>
      </c>
      <c r="F616" t="s">
        <v>277</v>
      </c>
      <c r="H616" t="s">
        <v>278</v>
      </c>
      <c r="I616" s="885">
        <v>45939.131944444445</v>
      </c>
      <c r="L616" t="s">
        <v>274</v>
      </c>
      <c r="M616" t="s">
        <v>279</v>
      </c>
      <c r="N616" t="s">
        <v>1466</v>
      </c>
      <c r="O616" t="s">
        <v>267</v>
      </c>
      <c r="P616" s="885">
        <v>45939.138310185182</v>
      </c>
      <c r="Q616" t="s">
        <v>268</v>
      </c>
      <c r="R616" t="s">
        <v>269</v>
      </c>
    </row>
    <row r="617" spans="1:18" x14ac:dyDescent="0.15">
      <c r="A617" s="788">
        <v>2308105987</v>
      </c>
      <c r="B617" t="s">
        <v>1479</v>
      </c>
      <c r="C617" s="884">
        <v>45943</v>
      </c>
      <c r="D617" s="884">
        <v>45947</v>
      </c>
      <c r="E617" t="s">
        <v>262</v>
      </c>
      <c r="F617" t="s">
        <v>277</v>
      </c>
      <c r="H617" t="s">
        <v>411</v>
      </c>
      <c r="I617" s="885">
        <v>45940.512499999997</v>
      </c>
      <c r="L617" t="s">
        <v>274</v>
      </c>
      <c r="M617" t="s">
        <v>279</v>
      </c>
      <c r="N617" t="s">
        <v>1480</v>
      </c>
      <c r="O617" t="s">
        <v>267</v>
      </c>
      <c r="P617" s="885">
        <v>45940.51734953704</v>
      </c>
      <c r="Q617" t="s">
        <v>268</v>
      </c>
      <c r="R617" t="s">
        <v>269</v>
      </c>
    </row>
    <row r="618" spans="1:18" x14ac:dyDescent="0.15">
      <c r="A618" s="788">
        <v>2308107275</v>
      </c>
      <c r="B618" t="s">
        <v>1481</v>
      </c>
      <c r="C618" s="884">
        <v>45943</v>
      </c>
      <c r="D618" s="884">
        <v>45950</v>
      </c>
      <c r="E618" t="s">
        <v>262</v>
      </c>
      <c r="F618" t="s">
        <v>277</v>
      </c>
      <c r="H618" t="s">
        <v>278</v>
      </c>
      <c r="I618" s="885">
        <v>45940.51458333333</v>
      </c>
      <c r="L618" t="s">
        <v>274</v>
      </c>
      <c r="M618" t="s">
        <v>279</v>
      </c>
      <c r="N618" t="s">
        <v>1482</v>
      </c>
      <c r="O618" t="s">
        <v>267</v>
      </c>
      <c r="P618" s="885">
        <v>45940.520879629628</v>
      </c>
      <c r="Q618" t="s">
        <v>268</v>
      </c>
      <c r="R618" t="s">
        <v>269</v>
      </c>
    </row>
    <row r="619" spans="1:18" x14ac:dyDescent="0.15">
      <c r="A619" s="788">
        <v>2309487479</v>
      </c>
      <c r="B619" t="s">
        <v>1485</v>
      </c>
      <c r="C619" s="884">
        <v>45947</v>
      </c>
      <c r="D619" s="884">
        <v>45948</v>
      </c>
      <c r="E619" t="s">
        <v>262</v>
      </c>
      <c r="F619" t="s">
        <v>277</v>
      </c>
      <c r="H619" t="s">
        <v>278</v>
      </c>
      <c r="I619" s="885">
        <v>45942.763888888891</v>
      </c>
      <c r="L619" t="s">
        <v>274</v>
      </c>
      <c r="M619" t="s">
        <v>265</v>
      </c>
      <c r="N619" t="s">
        <v>1331</v>
      </c>
      <c r="O619" t="s">
        <v>267</v>
      </c>
      <c r="P619" s="885">
        <v>45942.769108796296</v>
      </c>
      <c r="Q619" t="s">
        <v>268</v>
      </c>
      <c r="R619" t="s">
        <v>269</v>
      </c>
    </row>
    <row r="620" spans="1:18" x14ac:dyDescent="0.15">
      <c r="A620" s="788">
        <v>2309976428</v>
      </c>
      <c r="B620" t="s">
        <v>1486</v>
      </c>
      <c r="C620" s="884">
        <v>45951</v>
      </c>
      <c r="D620" s="884">
        <v>45952</v>
      </c>
      <c r="E620" t="s">
        <v>262</v>
      </c>
      <c r="F620" t="s">
        <v>277</v>
      </c>
      <c r="H620" t="s">
        <v>411</v>
      </c>
      <c r="I620" s="885">
        <v>45943.505555555559</v>
      </c>
      <c r="L620" t="s">
        <v>274</v>
      </c>
      <c r="M620" t="s">
        <v>279</v>
      </c>
      <c r="N620" t="s">
        <v>1487</v>
      </c>
      <c r="O620" t="s">
        <v>267</v>
      </c>
      <c r="P620" s="885">
        <v>45943.510648148149</v>
      </c>
      <c r="Q620" t="s">
        <v>268</v>
      </c>
      <c r="R620" t="s">
        <v>269</v>
      </c>
    </row>
    <row r="621" spans="1:18" x14ac:dyDescent="0.15">
      <c r="A621" s="788">
        <v>2309976762</v>
      </c>
      <c r="B621" t="s">
        <v>1488</v>
      </c>
      <c r="C621" s="884">
        <v>45951</v>
      </c>
      <c r="D621" s="884">
        <v>45952</v>
      </c>
      <c r="E621" t="s">
        <v>262</v>
      </c>
      <c r="F621" t="s">
        <v>277</v>
      </c>
      <c r="H621" t="s">
        <v>411</v>
      </c>
      <c r="I621" s="885">
        <v>45943.505555555559</v>
      </c>
      <c r="L621" t="s">
        <v>274</v>
      </c>
      <c r="M621" t="s">
        <v>279</v>
      </c>
      <c r="N621" t="s">
        <v>1487</v>
      </c>
      <c r="O621" t="s">
        <v>267</v>
      </c>
      <c r="P621" s="885">
        <v>45943.510648148149</v>
      </c>
      <c r="Q621" t="s">
        <v>268</v>
      </c>
      <c r="R621" t="s">
        <v>269</v>
      </c>
    </row>
    <row r="622" spans="1:18" x14ac:dyDescent="0.15">
      <c r="A622" s="788">
        <v>2310122402</v>
      </c>
      <c r="B622" t="s">
        <v>1489</v>
      </c>
      <c r="C622" s="884">
        <v>46072</v>
      </c>
      <c r="D622" s="884">
        <v>46074</v>
      </c>
      <c r="E622" t="s">
        <v>262</v>
      </c>
      <c r="F622" t="s">
        <v>277</v>
      </c>
      <c r="H622" t="s">
        <v>278</v>
      </c>
      <c r="I622" s="885">
        <v>45943.691666666666</v>
      </c>
      <c r="L622" t="s">
        <v>274</v>
      </c>
      <c r="M622" t="s">
        <v>265</v>
      </c>
      <c r="N622" t="s">
        <v>1024</v>
      </c>
      <c r="O622" t="s">
        <v>267</v>
      </c>
      <c r="P622" s="885">
        <v>45943.698645833334</v>
      </c>
      <c r="Q622" t="s">
        <v>268</v>
      </c>
      <c r="R622" t="s">
        <v>269</v>
      </c>
    </row>
    <row r="623" spans="1:18" x14ac:dyDescent="0.15">
      <c r="A623" s="788">
        <v>2311445287</v>
      </c>
      <c r="B623" t="s">
        <v>1500</v>
      </c>
      <c r="C623" s="884">
        <v>45948</v>
      </c>
      <c r="D623" s="884">
        <v>45949</v>
      </c>
      <c r="E623" t="s">
        <v>262</v>
      </c>
      <c r="F623" t="s">
        <v>277</v>
      </c>
      <c r="H623" t="s">
        <v>278</v>
      </c>
      <c r="I623" s="885">
        <v>45945.378472222219</v>
      </c>
      <c r="L623" t="s">
        <v>274</v>
      </c>
      <c r="M623" t="s">
        <v>265</v>
      </c>
      <c r="N623" t="s">
        <v>1331</v>
      </c>
      <c r="O623" t="s">
        <v>267</v>
      </c>
      <c r="P623" s="885">
        <v>45945.383148148147</v>
      </c>
      <c r="Q623" t="s">
        <v>268</v>
      </c>
      <c r="R623" t="s">
        <v>269</v>
      </c>
    </row>
    <row r="624" spans="1:18" x14ac:dyDescent="0.15">
      <c r="A624" s="788">
        <v>2311551723</v>
      </c>
      <c r="B624" t="s">
        <v>1501</v>
      </c>
      <c r="C624" s="884">
        <v>46083</v>
      </c>
      <c r="D624" s="884">
        <v>46085</v>
      </c>
      <c r="E624" t="s">
        <v>262</v>
      </c>
      <c r="F624" t="s">
        <v>277</v>
      </c>
      <c r="H624" t="s">
        <v>385</v>
      </c>
      <c r="I624" s="885">
        <v>45945.552777777775</v>
      </c>
      <c r="L624" t="s">
        <v>274</v>
      </c>
      <c r="M624" t="s">
        <v>265</v>
      </c>
      <c r="N624" t="s">
        <v>1502</v>
      </c>
      <c r="O624" t="s">
        <v>267</v>
      </c>
      <c r="P624" s="885">
        <v>45945.559340277781</v>
      </c>
      <c r="Q624" t="s">
        <v>268</v>
      </c>
      <c r="R624" t="s">
        <v>269</v>
      </c>
    </row>
    <row r="625" spans="1:18" x14ac:dyDescent="0.15">
      <c r="A625" s="788">
        <v>2311733531</v>
      </c>
      <c r="B625" t="s">
        <v>1503</v>
      </c>
      <c r="C625" s="884">
        <v>45948</v>
      </c>
      <c r="D625" s="884">
        <v>45949</v>
      </c>
      <c r="E625" t="s">
        <v>262</v>
      </c>
      <c r="F625" t="s">
        <v>277</v>
      </c>
      <c r="H625" t="s">
        <v>278</v>
      </c>
      <c r="I625" s="885">
        <v>45945.759027777778</v>
      </c>
      <c r="L625" t="s">
        <v>274</v>
      </c>
      <c r="M625" t="s">
        <v>265</v>
      </c>
      <c r="N625" t="s">
        <v>1331</v>
      </c>
      <c r="O625" t="s">
        <v>267</v>
      </c>
      <c r="P625" s="885">
        <v>45945.762546296297</v>
      </c>
      <c r="Q625" t="s">
        <v>268</v>
      </c>
      <c r="R625" t="s">
        <v>269</v>
      </c>
    </row>
    <row r="626" spans="1:18" x14ac:dyDescent="0.15">
      <c r="A626" s="788">
        <v>2311932610</v>
      </c>
      <c r="B626" t="s">
        <v>1504</v>
      </c>
      <c r="C626" s="884">
        <v>45945</v>
      </c>
      <c r="D626" s="884">
        <v>45946</v>
      </c>
      <c r="E626" t="s">
        <v>262</v>
      </c>
      <c r="F626" t="s">
        <v>277</v>
      </c>
      <c r="H626" t="s">
        <v>411</v>
      </c>
      <c r="I626" s="885">
        <v>45945.982638888891</v>
      </c>
      <c r="L626" t="s">
        <v>274</v>
      </c>
      <c r="M626" t="s">
        <v>265</v>
      </c>
      <c r="N626" t="s">
        <v>1505</v>
      </c>
      <c r="O626" t="s">
        <v>267</v>
      </c>
      <c r="P626" s="885">
        <v>45945.984733796293</v>
      </c>
      <c r="Q626" t="s">
        <v>268</v>
      </c>
      <c r="R626" t="s">
        <v>269</v>
      </c>
    </row>
    <row r="627" spans="1:18" x14ac:dyDescent="0.15">
      <c r="A627" s="788">
        <v>2312929958</v>
      </c>
      <c r="B627" t="s">
        <v>1508</v>
      </c>
      <c r="C627" s="884">
        <v>45975</v>
      </c>
      <c r="D627" s="884">
        <v>45977</v>
      </c>
      <c r="E627" t="s">
        <v>262</v>
      </c>
      <c r="F627" t="s">
        <v>277</v>
      </c>
      <c r="H627" t="s">
        <v>278</v>
      </c>
      <c r="I627" s="885">
        <v>45947.34652777778</v>
      </c>
      <c r="L627" t="s">
        <v>274</v>
      </c>
      <c r="M627" t="s">
        <v>265</v>
      </c>
      <c r="N627" t="s">
        <v>1509</v>
      </c>
      <c r="O627" t="s">
        <v>267</v>
      </c>
      <c r="P627" s="885">
        <v>45947.351006944446</v>
      </c>
      <c r="Q627" t="s">
        <v>268</v>
      </c>
      <c r="R627" t="s">
        <v>269</v>
      </c>
    </row>
    <row r="628" spans="1:18" x14ac:dyDescent="0.15">
      <c r="A628" s="788">
        <v>2313114124</v>
      </c>
      <c r="B628" t="s">
        <v>1521</v>
      </c>
      <c r="C628" s="884">
        <v>45950</v>
      </c>
      <c r="D628" s="884">
        <v>45951</v>
      </c>
      <c r="E628" t="s">
        <v>262</v>
      </c>
      <c r="F628" t="s">
        <v>277</v>
      </c>
      <c r="H628" t="s">
        <v>278</v>
      </c>
      <c r="I628" s="885">
        <v>45947.643055555556</v>
      </c>
      <c r="L628" t="s">
        <v>274</v>
      </c>
      <c r="M628" t="s">
        <v>265</v>
      </c>
      <c r="N628" t="s">
        <v>1522</v>
      </c>
      <c r="O628" t="s">
        <v>267</v>
      </c>
      <c r="P628" s="885">
        <v>45947.649305555555</v>
      </c>
      <c r="Q628" t="s">
        <v>268</v>
      </c>
      <c r="R628" t="s">
        <v>269</v>
      </c>
    </row>
    <row r="629" spans="1:18" x14ac:dyDescent="0.15">
      <c r="A629" s="788">
        <v>2314333018</v>
      </c>
      <c r="B629" t="s">
        <v>1538</v>
      </c>
      <c r="C629" s="884">
        <v>46031</v>
      </c>
      <c r="D629" s="884">
        <v>46033</v>
      </c>
      <c r="E629" t="s">
        <v>262</v>
      </c>
      <c r="F629" t="s">
        <v>277</v>
      </c>
      <c r="H629" t="s">
        <v>278</v>
      </c>
      <c r="I629" s="885">
        <v>45949.745833333334</v>
      </c>
      <c r="L629" t="s">
        <v>274</v>
      </c>
      <c r="M629" t="s">
        <v>265</v>
      </c>
      <c r="N629" t="s">
        <v>1024</v>
      </c>
      <c r="O629" t="s">
        <v>267</v>
      </c>
      <c r="P629" s="885">
        <v>45949.748622685183</v>
      </c>
      <c r="Q629" t="s">
        <v>268</v>
      </c>
      <c r="R629" t="s">
        <v>269</v>
      </c>
    </row>
    <row r="630" spans="1:18" x14ac:dyDescent="0.15">
      <c r="A630" s="788">
        <v>2314480011</v>
      </c>
      <c r="B630" t="s">
        <v>1539</v>
      </c>
      <c r="C630" s="884">
        <v>45957</v>
      </c>
      <c r="D630" s="884">
        <v>45960</v>
      </c>
      <c r="E630" t="s">
        <v>262</v>
      </c>
      <c r="F630" t="s">
        <v>277</v>
      </c>
      <c r="H630" t="s">
        <v>278</v>
      </c>
      <c r="I630" s="885">
        <v>45949.945833333331</v>
      </c>
      <c r="L630" t="s">
        <v>274</v>
      </c>
      <c r="M630" t="s">
        <v>265</v>
      </c>
      <c r="N630" t="s">
        <v>1540</v>
      </c>
      <c r="O630" t="s">
        <v>267</v>
      </c>
      <c r="P630" s="885">
        <v>45949.949259259258</v>
      </c>
      <c r="Q630" t="s">
        <v>268</v>
      </c>
      <c r="R630" t="s">
        <v>269</v>
      </c>
    </row>
    <row r="631" spans="1:18" x14ac:dyDescent="0.15">
      <c r="A631" s="788">
        <v>2314778196</v>
      </c>
      <c r="B631" t="s">
        <v>1541</v>
      </c>
      <c r="C631" s="884">
        <v>45981</v>
      </c>
      <c r="D631" s="884">
        <v>45984</v>
      </c>
      <c r="E631" t="s">
        <v>262</v>
      </c>
      <c r="F631" t="s">
        <v>277</v>
      </c>
      <c r="H631" t="s">
        <v>278</v>
      </c>
      <c r="I631" s="885">
        <v>45950.439583333333</v>
      </c>
      <c r="L631" t="s">
        <v>274</v>
      </c>
      <c r="M631" t="s">
        <v>265</v>
      </c>
      <c r="N631" t="s">
        <v>1542</v>
      </c>
      <c r="O631" t="s">
        <v>267</v>
      </c>
      <c r="P631" s="885">
        <v>45950.443749999999</v>
      </c>
      <c r="Q631" t="s">
        <v>268</v>
      </c>
      <c r="R631" t="s">
        <v>269</v>
      </c>
    </row>
    <row r="632" spans="1:18" x14ac:dyDescent="0.15">
      <c r="A632" s="788">
        <v>2314934683</v>
      </c>
      <c r="B632" t="s">
        <v>1546</v>
      </c>
      <c r="C632" s="884">
        <v>45953</v>
      </c>
      <c r="D632" s="884">
        <v>45954</v>
      </c>
      <c r="E632" t="s">
        <v>262</v>
      </c>
      <c r="F632" t="s">
        <v>277</v>
      </c>
      <c r="H632" t="s">
        <v>278</v>
      </c>
      <c r="I632" s="885">
        <v>45950.665277777778</v>
      </c>
      <c r="L632" t="s">
        <v>274</v>
      </c>
      <c r="M632" t="s">
        <v>265</v>
      </c>
      <c r="N632" t="s">
        <v>1331</v>
      </c>
      <c r="O632" t="s">
        <v>267</v>
      </c>
      <c r="P632" s="885">
        <v>45950.668043981481</v>
      </c>
      <c r="Q632" t="s">
        <v>268</v>
      </c>
      <c r="R632" t="s">
        <v>269</v>
      </c>
    </row>
    <row r="633" spans="1:18" x14ac:dyDescent="0.15">
      <c r="A633" s="788">
        <v>2315170782</v>
      </c>
      <c r="B633" t="s">
        <v>1547</v>
      </c>
      <c r="C633" s="884">
        <v>46049</v>
      </c>
      <c r="D633" s="884">
        <v>46050</v>
      </c>
      <c r="E633" t="s">
        <v>262</v>
      </c>
      <c r="F633" t="s">
        <v>277</v>
      </c>
      <c r="H633" t="s">
        <v>278</v>
      </c>
      <c r="I633" s="885">
        <v>45950.927777777775</v>
      </c>
      <c r="K633" s="885">
        <v>45951.906944444447</v>
      </c>
      <c r="L633" t="s">
        <v>264</v>
      </c>
      <c r="M633" t="s">
        <v>265</v>
      </c>
      <c r="N633" t="s">
        <v>1548</v>
      </c>
      <c r="O633" t="s">
        <v>267</v>
      </c>
      <c r="P633" s="885">
        <v>45951.914039351854</v>
      </c>
      <c r="Q633" t="s">
        <v>268</v>
      </c>
      <c r="R633" t="s">
        <v>269</v>
      </c>
    </row>
    <row r="634" spans="1:18" x14ac:dyDescent="0.15">
      <c r="A634" s="788">
        <v>2315248318</v>
      </c>
      <c r="B634" t="s">
        <v>1549</v>
      </c>
      <c r="C634" s="884">
        <v>45965</v>
      </c>
      <c r="D634" s="884">
        <v>45971</v>
      </c>
      <c r="E634" t="s">
        <v>262</v>
      </c>
      <c r="F634" t="s">
        <v>277</v>
      </c>
      <c r="H634" t="s">
        <v>278</v>
      </c>
      <c r="I634" s="885">
        <v>45951.020833333336</v>
      </c>
      <c r="L634" t="s">
        <v>274</v>
      </c>
      <c r="M634" t="s">
        <v>265</v>
      </c>
      <c r="N634" t="s">
        <v>1550</v>
      </c>
      <c r="O634" t="s">
        <v>267</v>
      </c>
      <c r="P634" s="885">
        <v>45951.024178240739</v>
      </c>
      <c r="Q634" t="s">
        <v>268</v>
      </c>
      <c r="R634" t="s">
        <v>269</v>
      </c>
    </row>
    <row r="635" spans="1:18" x14ac:dyDescent="0.15">
      <c r="A635" s="788">
        <v>2315279503</v>
      </c>
      <c r="B635" t="s">
        <v>1551</v>
      </c>
      <c r="C635" s="884">
        <v>46030</v>
      </c>
      <c r="D635" s="884">
        <v>46033</v>
      </c>
      <c r="E635" t="s">
        <v>262</v>
      </c>
      <c r="F635" t="s">
        <v>277</v>
      </c>
      <c r="H635" t="s">
        <v>263</v>
      </c>
      <c r="I635" s="885">
        <v>45951.063194444447</v>
      </c>
      <c r="L635" t="s">
        <v>274</v>
      </c>
      <c r="M635" t="s">
        <v>265</v>
      </c>
      <c r="N635" t="s">
        <v>1552</v>
      </c>
      <c r="O635" t="s">
        <v>267</v>
      </c>
      <c r="P635" s="885">
        <v>45951.070451388892</v>
      </c>
      <c r="Q635" t="s">
        <v>268</v>
      </c>
      <c r="R635" t="s">
        <v>269</v>
      </c>
    </row>
    <row r="636" spans="1:18" x14ac:dyDescent="0.15">
      <c r="A636" s="788">
        <v>2316427417</v>
      </c>
      <c r="B636" t="s">
        <v>1589</v>
      </c>
      <c r="C636" s="884">
        <v>46023</v>
      </c>
      <c r="D636" s="884">
        <v>46026</v>
      </c>
      <c r="E636" t="s">
        <v>262</v>
      </c>
      <c r="F636" t="s">
        <v>277</v>
      </c>
      <c r="H636" t="s">
        <v>604</v>
      </c>
      <c r="I636" s="885">
        <v>45952.713194444441</v>
      </c>
      <c r="L636" t="s">
        <v>274</v>
      </c>
      <c r="M636" t="s">
        <v>265</v>
      </c>
      <c r="N636" t="s">
        <v>1590</v>
      </c>
      <c r="O636" t="s">
        <v>267</v>
      </c>
      <c r="P636" s="885">
        <v>45952.719305555554</v>
      </c>
      <c r="Q636" t="s">
        <v>268</v>
      </c>
      <c r="R636" t="s">
        <v>269</v>
      </c>
    </row>
    <row r="637" spans="1:18" x14ac:dyDescent="0.15">
      <c r="A637" s="788">
        <v>2316450525</v>
      </c>
      <c r="B637" t="s">
        <v>1591</v>
      </c>
      <c r="C637" s="884">
        <v>46042</v>
      </c>
      <c r="D637" s="884">
        <v>46057</v>
      </c>
      <c r="E637" t="s">
        <v>262</v>
      </c>
      <c r="F637" t="s">
        <v>1592</v>
      </c>
      <c r="H637" t="s">
        <v>1593</v>
      </c>
      <c r="I637" s="885">
        <v>45952.737500000003</v>
      </c>
      <c r="K637" s="885">
        <v>46039.62222222222</v>
      </c>
      <c r="L637" t="s">
        <v>264</v>
      </c>
      <c r="M637" t="s">
        <v>265</v>
      </c>
      <c r="N637" t="s">
        <v>1594</v>
      </c>
      <c r="O637" t="s">
        <v>267</v>
      </c>
      <c r="P637" s="885">
        <v>46039.628275462965</v>
      </c>
      <c r="Q637" t="s">
        <v>268</v>
      </c>
      <c r="R637" t="s">
        <v>269</v>
      </c>
    </row>
    <row r="638" spans="1:18" x14ac:dyDescent="0.15">
      <c r="A638" s="788">
        <v>2316609939</v>
      </c>
      <c r="B638" t="s">
        <v>1595</v>
      </c>
      <c r="C638" s="884">
        <v>46017</v>
      </c>
      <c r="D638" s="884">
        <v>46019</v>
      </c>
      <c r="E638" t="s">
        <v>262</v>
      </c>
      <c r="F638" t="s">
        <v>277</v>
      </c>
      <c r="H638" t="s">
        <v>278</v>
      </c>
      <c r="I638" s="885">
        <v>45952.925694444442</v>
      </c>
      <c r="L638" t="s">
        <v>274</v>
      </c>
      <c r="M638" t="s">
        <v>265</v>
      </c>
      <c r="N638" t="s">
        <v>1024</v>
      </c>
      <c r="O638" t="s">
        <v>267</v>
      </c>
      <c r="P638" s="885">
        <v>45952.928900462961</v>
      </c>
      <c r="Q638" t="s">
        <v>268</v>
      </c>
      <c r="R638" t="s">
        <v>269</v>
      </c>
    </row>
    <row r="639" spans="1:18" x14ac:dyDescent="0.15">
      <c r="A639" s="788">
        <v>2317090716</v>
      </c>
      <c r="B639" t="s">
        <v>1602</v>
      </c>
      <c r="C639" s="884">
        <v>46098</v>
      </c>
      <c r="D639" s="884">
        <v>46099</v>
      </c>
      <c r="E639" t="s">
        <v>262</v>
      </c>
      <c r="F639" t="s">
        <v>277</v>
      </c>
      <c r="H639" t="s">
        <v>278</v>
      </c>
      <c r="I639" s="885">
        <v>45953.674305555556</v>
      </c>
      <c r="L639" t="s">
        <v>274</v>
      </c>
      <c r="M639" t="s">
        <v>265</v>
      </c>
      <c r="N639" t="s">
        <v>1603</v>
      </c>
      <c r="O639" t="s">
        <v>267</v>
      </c>
      <c r="P639" s="885">
        <v>45953.680185185185</v>
      </c>
      <c r="Q639" t="s">
        <v>268</v>
      </c>
      <c r="R639" t="s">
        <v>269</v>
      </c>
    </row>
    <row r="640" spans="1:18" x14ac:dyDescent="0.15">
      <c r="A640" s="788">
        <v>2317698403</v>
      </c>
      <c r="B640" t="s">
        <v>1607</v>
      </c>
      <c r="C640" s="884">
        <v>46027</v>
      </c>
      <c r="D640" s="884">
        <v>46029</v>
      </c>
      <c r="E640" t="s">
        <v>262</v>
      </c>
      <c r="F640" t="s">
        <v>277</v>
      </c>
      <c r="H640" t="s">
        <v>278</v>
      </c>
      <c r="I640" s="885">
        <v>45954.561805555553</v>
      </c>
      <c r="L640" t="s">
        <v>274</v>
      </c>
      <c r="M640" t="s">
        <v>265</v>
      </c>
      <c r="N640" t="s">
        <v>1024</v>
      </c>
      <c r="O640" t="s">
        <v>267</v>
      </c>
      <c r="P640" s="885">
        <v>45954.564710648148</v>
      </c>
      <c r="Q640" t="s">
        <v>268</v>
      </c>
      <c r="R640" t="s">
        <v>269</v>
      </c>
    </row>
    <row r="641" spans="1:18" x14ac:dyDescent="0.15">
      <c r="A641" s="788">
        <v>2318362782</v>
      </c>
      <c r="B641" t="s">
        <v>1620</v>
      </c>
      <c r="C641" s="884">
        <v>45961</v>
      </c>
      <c r="D641" s="884">
        <v>45964</v>
      </c>
      <c r="E641" t="s">
        <v>262</v>
      </c>
      <c r="F641" t="s">
        <v>277</v>
      </c>
      <c r="H641" t="s">
        <v>278</v>
      </c>
      <c r="I641" s="885">
        <v>45955.663194444445</v>
      </c>
      <c r="L641" t="s">
        <v>274</v>
      </c>
      <c r="M641" t="s">
        <v>265</v>
      </c>
      <c r="N641" t="s">
        <v>1621</v>
      </c>
      <c r="O641" t="s">
        <v>267</v>
      </c>
      <c r="P641" s="885">
        <v>45955.667037037034</v>
      </c>
      <c r="Q641" t="s">
        <v>268</v>
      </c>
      <c r="R641" t="s">
        <v>269</v>
      </c>
    </row>
    <row r="642" spans="1:18" x14ac:dyDescent="0.15">
      <c r="A642" s="788">
        <v>2318803043</v>
      </c>
      <c r="B642" t="s">
        <v>1622</v>
      </c>
      <c r="C642" s="884">
        <v>45960</v>
      </c>
      <c r="D642" s="884">
        <v>45963</v>
      </c>
      <c r="E642" t="s">
        <v>262</v>
      </c>
      <c r="F642" t="s">
        <v>277</v>
      </c>
      <c r="H642" t="s">
        <v>278</v>
      </c>
      <c r="I642" s="885">
        <v>45956.519444444442</v>
      </c>
      <c r="L642" t="s">
        <v>274</v>
      </c>
      <c r="M642" t="s">
        <v>265</v>
      </c>
      <c r="N642" t="s">
        <v>1623</v>
      </c>
      <c r="O642" t="s">
        <v>267</v>
      </c>
      <c r="P642" s="885">
        <v>45956.52484953704</v>
      </c>
      <c r="Q642" t="s">
        <v>268</v>
      </c>
      <c r="R642" t="s">
        <v>269</v>
      </c>
    </row>
    <row r="643" spans="1:18" x14ac:dyDescent="0.15">
      <c r="A643" s="788">
        <v>2318835660</v>
      </c>
      <c r="B643" t="s">
        <v>1624</v>
      </c>
      <c r="C643" s="884">
        <v>46048</v>
      </c>
      <c r="D643" s="884">
        <v>46051</v>
      </c>
      <c r="E643" t="s">
        <v>262</v>
      </c>
      <c r="F643" t="s">
        <v>277</v>
      </c>
      <c r="H643" t="s">
        <v>604</v>
      </c>
      <c r="I643" s="885">
        <v>45956.599305555559</v>
      </c>
      <c r="L643" t="s">
        <v>274</v>
      </c>
      <c r="M643" t="s">
        <v>265</v>
      </c>
      <c r="N643" t="s">
        <v>1625</v>
      </c>
      <c r="O643" t="s">
        <v>267</v>
      </c>
      <c r="P643" s="885">
        <v>45956.602870370371</v>
      </c>
      <c r="Q643" t="s">
        <v>268</v>
      </c>
      <c r="R643" t="s">
        <v>269</v>
      </c>
    </row>
    <row r="644" spans="1:18" x14ac:dyDescent="0.15">
      <c r="A644" s="788">
        <v>2318835663</v>
      </c>
      <c r="B644" t="s">
        <v>1624</v>
      </c>
      <c r="C644" s="884">
        <v>46048</v>
      </c>
      <c r="D644" s="884">
        <v>46051</v>
      </c>
      <c r="E644" t="s">
        <v>262</v>
      </c>
      <c r="F644" t="s">
        <v>277</v>
      </c>
      <c r="H644" t="s">
        <v>604</v>
      </c>
      <c r="I644" s="885">
        <v>45956.599305555559</v>
      </c>
      <c r="L644" t="s">
        <v>274</v>
      </c>
      <c r="M644" t="s">
        <v>265</v>
      </c>
      <c r="N644" t="s">
        <v>1625</v>
      </c>
      <c r="O644" t="s">
        <v>267</v>
      </c>
      <c r="P644" s="885">
        <v>45956.602870370371</v>
      </c>
      <c r="Q644" t="s">
        <v>268</v>
      </c>
      <c r="R644" t="s">
        <v>269</v>
      </c>
    </row>
    <row r="645" spans="1:18" x14ac:dyDescent="0.15">
      <c r="A645" s="788">
        <v>2318835753</v>
      </c>
      <c r="B645" t="s">
        <v>1626</v>
      </c>
      <c r="C645" s="884">
        <v>46105</v>
      </c>
      <c r="D645" s="884">
        <v>46107</v>
      </c>
      <c r="E645" t="s">
        <v>262</v>
      </c>
      <c r="F645" t="s">
        <v>440</v>
      </c>
      <c r="H645" t="s">
        <v>441</v>
      </c>
      <c r="I645" s="885">
        <v>45956.599305555559</v>
      </c>
      <c r="K645" s="885">
        <v>45997.45416666667</v>
      </c>
      <c r="L645" t="s">
        <v>264</v>
      </c>
      <c r="M645" t="s">
        <v>265</v>
      </c>
      <c r="N645" t="s">
        <v>1627</v>
      </c>
      <c r="O645" t="s">
        <v>267</v>
      </c>
      <c r="P645" s="885">
        <v>45997.457175925927</v>
      </c>
      <c r="Q645" t="s">
        <v>268</v>
      </c>
      <c r="R645" t="s">
        <v>269</v>
      </c>
    </row>
    <row r="646" spans="1:18" x14ac:dyDescent="0.15">
      <c r="A646" s="788">
        <v>2318840423</v>
      </c>
      <c r="B646" t="s">
        <v>1629</v>
      </c>
      <c r="C646" s="884">
        <v>46037</v>
      </c>
      <c r="D646" s="884">
        <v>46040</v>
      </c>
      <c r="E646" t="s">
        <v>262</v>
      </c>
      <c r="F646" t="s">
        <v>277</v>
      </c>
      <c r="H646" t="s">
        <v>385</v>
      </c>
      <c r="I646" s="885">
        <v>45956.609027777777</v>
      </c>
      <c r="L646" t="s">
        <v>274</v>
      </c>
      <c r="M646" t="s">
        <v>265</v>
      </c>
      <c r="N646" t="s">
        <v>1630</v>
      </c>
      <c r="O646" t="s">
        <v>267</v>
      </c>
      <c r="P646" s="885">
        <v>45956.61341435185</v>
      </c>
      <c r="Q646" t="s">
        <v>268</v>
      </c>
      <c r="R646" t="s">
        <v>269</v>
      </c>
    </row>
    <row r="647" spans="1:18" x14ac:dyDescent="0.15">
      <c r="A647" s="788">
        <v>2320811390</v>
      </c>
      <c r="B647" t="s">
        <v>1649</v>
      </c>
      <c r="C647" s="884">
        <v>45998</v>
      </c>
      <c r="D647" s="884">
        <v>46001</v>
      </c>
      <c r="E647" t="s">
        <v>262</v>
      </c>
      <c r="F647" t="s">
        <v>277</v>
      </c>
      <c r="H647" t="s">
        <v>278</v>
      </c>
      <c r="I647" s="885">
        <v>45959.489583333336</v>
      </c>
      <c r="L647" t="s">
        <v>274</v>
      </c>
      <c r="M647" t="s">
        <v>279</v>
      </c>
      <c r="N647" t="s">
        <v>1650</v>
      </c>
      <c r="O647" t="s">
        <v>267</v>
      </c>
      <c r="P647" s="885">
        <v>45959.493136574078</v>
      </c>
      <c r="Q647" t="s">
        <v>268</v>
      </c>
      <c r="R647" t="s">
        <v>269</v>
      </c>
    </row>
    <row r="648" spans="1:18" x14ac:dyDescent="0.15">
      <c r="A648" s="788">
        <v>2322581121</v>
      </c>
      <c r="B648" t="s">
        <v>1688</v>
      </c>
      <c r="C648" s="884">
        <v>46068</v>
      </c>
      <c r="D648" s="884">
        <v>46069</v>
      </c>
      <c r="E648" t="s">
        <v>262</v>
      </c>
      <c r="F648" t="s">
        <v>277</v>
      </c>
      <c r="H648" t="s">
        <v>278</v>
      </c>
      <c r="I648" s="885">
        <v>45962.029861111114</v>
      </c>
      <c r="L648" t="s">
        <v>274</v>
      </c>
      <c r="M648" t="s">
        <v>265</v>
      </c>
      <c r="N648" t="s">
        <v>813</v>
      </c>
      <c r="O648" t="s">
        <v>267</v>
      </c>
      <c r="P648" s="885">
        <v>45962.034270833334</v>
      </c>
      <c r="Q648" t="s">
        <v>268</v>
      </c>
      <c r="R648" t="s">
        <v>269</v>
      </c>
    </row>
    <row r="649" spans="1:18" x14ac:dyDescent="0.15">
      <c r="A649" s="788">
        <v>2326327200</v>
      </c>
      <c r="B649" t="s">
        <v>1736</v>
      </c>
      <c r="C649" s="884">
        <v>45983</v>
      </c>
      <c r="D649" s="884">
        <v>45985</v>
      </c>
      <c r="E649" t="s">
        <v>262</v>
      </c>
      <c r="F649" t="s">
        <v>277</v>
      </c>
      <c r="H649" t="s">
        <v>278</v>
      </c>
      <c r="I649" s="885">
        <v>45967.771527777775</v>
      </c>
      <c r="L649" t="s">
        <v>274</v>
      </c>
      <c r="M649" t="s">
        <v>265</v>
      </c>
      <c r="N649" t="s">
        <v>1737</v>
      </c>
      <c r="O649" t="s">
        <v>267</v>
      </c>
      <c r="P649" s="885">
        <v>45967.77783564815</v>
      </c>
      <c r="Q649" t="s">
        <v>268</v>
      </c>
      <c r="R649" t="s">
        <v>269</v>
      </c>
    </row>
    <row r="650" spans="1:18" x14ac:dyDescent="0.15">
      <c r="A650" s="788">
        <v>2327904819</v>
      </c>
      <c r="B650" t="s">
        <v>1747</v>
      </c>
      <c r="C650" s="884">
        <v>45999</v>
      </c>
      <c r="D650" s="884">
        <v>46003</v>
      </c>
      <c r="E650" t="s">
        <v>262</v>
      </c>
      <c r="F650" t="s">
        <v>331</v>
      </c>
      <c r="H650" t="s">
        <v>972</v>
      </c>
      <c r="I650" s="885">
        <v>45970.209027777775</v>
      </c>
      <c r="L650" t="s">
        <v>274</v>
      </c>
      <c r="M650" t="s">
        <v>265</v>
      </c>
      <c r="N650" t="s">
        <v>1748</v>
      </c>
      <c r="O650" t="s">
        <v>267</v>
      </c>
      <c r="P650" s="885">
        <v>45970.215405092589</v>
      </c>
      <c r="Q650" t="s">
        <v>268</v>
      </c>
      <c r="R650" t="s">
        <v>269</v>
      </c>
    </row>
    <row r="651" spans="1:18" x14ac:dyDescent="0.15">
      <c r="A651" s="788">
        <v>2328108639</v>
      </c>
      <c r="B651" t="s">
        <v>1752</v>
      </c>
      <c r="C651" s="884">
        <v>46034</v>
      </c>
      <c r="D651" s="884">
        <v>46037</v>
      </c>
      <c r="E651" t="s">
        <v>262</v>
      </c>
      <c r="F651" t="s">
        <v>1753</v>
      </c>
      <c r="H651" t="s">
        <v>441</v>
      </c>
      <c r="I651" s="885">
        <v>45970.699305555558</v>
      </c>
      <c r="L651" t="s">
        <v>274</v>
      </c>
      <c r="M651" t="s">
        <v>265</v>
      </c>
      <c r="N651" t="s">
        <v>1754</v>
      </c>
      <c r="O651" t="s">
        <v>267</v>
      </c>
      <c r="P651" s="885">
        <v>45970.702893518515</v>
      </c>
      <c r="Q651" t="s">
        <v>268</v>
      </c>
      <c r="R651" t="s">
        <v>269</v>
      </c>
    </row>
    <row r="652" spans="1:18" x14ac:dyDescent="0.15">
      <c r="A652" s="788">
        <v>2328116017</v>
      </c>
      <c r="B652" t="s">
        <v>1755</v>
      </c>
      <c r="C652" s="884">
        <v>46034</v>
      </c>
      <c r="D652" s="884">
        <v>46037</v>
      </c>
      <c r="E652" t="s">
        <v>262</v>
      </c>
      <c r="F652" t="s">
        <v>690</v>
      </c>
      <c r="H652" t="s">
        <v>1593</v>
      </c>
      <c r="I652" s="885">
        <v>45970.711111111108</v>
      </c>
      <c r="L652" t="s">
        <v>274</v>
      </c>
      <c r="M652" t="s">
        <v>265</v>
      </c>
      <c r="N652" t="s">
        <v>607</v>
      </c>
      <c r="O652" t="s">
        <v>267</v>
      </c>
      <c r="P652" s="885">
        <v>45970.713379629633</v>
      </c>
      <c r="Q652" t="s">
        <v>268</v>
      </c>
      <c r="R652" t="s">
        <v>269</v>
      </c>
    </row>
    <row r="653" spans="1:18" x14ac:dyDescent="0.15">
      <c r="A653" s="788">
        <v>2330106975</v>
      </c>
      <c r="B653" t="s">
        <v>1778</v>
      </c>
      <c r="C653" s="884">
        <v>46027</v>
      </c>
      <c r="D653" s="884">
        <v>46029</v>
      </c>
      <c r="E653" t="s">
        <v>262</v>
      </c>
      <c r="F653" t="s">
        <v>277</v>
      </c>
      <c r="H653" t="s">
        <v>1779</v>
      </c>
      <c r="I653" s="885">
        <v>45973.52847222222</v>
      </c>
      <c r="L653" t="s">
        <v>274</v>
      </c>
      <c r="M653" t="s">
        <v>265</v>
      </c>
      <c r="N653" t="s">
        <v>716</v>
      </c>
      <c r="O653" t="s">
        <v>267</v>
      </c>
      <c r="P653" s="885">
        <v>45973.534710648149</v>
      </c>
      <c r="Q653" t="s">
        <v>268</v>
      </c>
      <c r="R653" t="s">
        <v>269</v>
      </c>
    </row>
    <row r="654" spans="1:18" x14ac:dyDescent="0.15">
      <c r="A654" s="788">
        <v>2330108026</v>
      </c>
      <c r="B654" t="s">
        <v>1780</v>
      </c>
      <c r="C654" s="884">
        <v>46027</v>
      </c>
      <c r="D654" s="884">
        <v>46029</v>
      </c>
      <c r="E654" t="s">
        <v>262</v>
      </c>
      <c r="F654" t="s">
        <v>277</v>
      </c>
      <c r="H654" t="s">
        <v>1779</v>
      </c>
      <c r="I654" s="885">
        <v>45973.530555555553</v>
      </c>
      <c r="L654" t="s">
        <v>274</v>
      </c>
      <c r="M654" t="s">
        <v>265</v>
      </c>
      <c r="N654" t="s">
        <v>716</v>
      </c>
      <c r="O654" t="s">
        <v>267</v>
      </c>
      <c r="P654" s="885">
        <v>45973.534710648149</v>
      </c>
      <c r="Q654" t="s">
        <v>268</v>
      </c>
      <c r="R654" t="s">
        <v>269</v>
      </c>
    </row>
    <row r="655" spans="1:18" x14ac:dyDescent="0.15">
      <c r="A655" s="788">
        <v>2330752694</v>
      </c>
      <c r="B655" t="s">
        <v>1791</v>
      </c>
      <c r="C655" s="884">
        <v>46012</v>
      </c>
      <c r="D655" s="884">
        <v>46015</v>
      </c>
      <c r="E655" t="s">
        <v>262</v>
      </c>
      <c r="F655" t="s">
        <v>331</v>
      </c>
      <c r="H655" t="s">
        <v>1023</v>
      </c>
      <c r="I655" s="885">
        <v>45974.425694444442</v>
      </c>
      <c r="L655" t="s">
        <v>274</v>
      </c>
      <c r="M655" t="s">
        <v>265</v>
      </c>
      <c r="N655" t="s">
        <v>1704</v>
      </c>
      <c r="O655" t="s">
        <v>267</v>
      </c>
      <c r="P655" s="885">
        <v>45974.428043981483</v>
      </c>
      <c r="Q655" t="s">
        <v>268</v>
      </c>
      <c r="R655" t="s">
        <v>269</v>
      </c>
    </row>
    <row r="656" spans="1:18" x14ac:dyDescent="0.15">
      <c r="A656" s="788">
        <v>2331639689</v>
      </c>
      <c r="B656" t="s">
        <v>1808</v>
      </c>
      <c r="C656" s="884">
        <v>46015</v>
      </c>
      <c r="D656" s="884">
        <v>46019</v>
      </c>
      <c r="E656" t="s">
        <v>262</v>
      </c>
      <c r="F656" t="s">
        <v>277</v>
      </c>
      <c r="H656" t="s">
        <v>1809</v>
      </c>
      <c r="I656" s="885">
        <v>45975.712500000001</v>
      </c>
      <c r="K656" s="885">
        <v>45985.618055555555</v>
      </c>
      <c r="L656" t="s">
        <v>264</v>
      </c>
      <c r="M656" t="s">
        <v>265</v>
      </c>
      <c r="N656" t="s">
        <v>1810</v>
      </c>
      <c r="O656" t="s">
        <v>267</v>
      </c>
      <c r="P656" s="885">
        <v>45985.623229166667</v>
      </c>
      <c r="Q656" t="s">
        <v>268</v>
      </c>
      <c r="R656" t="s">
        <v>269</v>
      </c>
    </row>
    <row r="657" spans="1:18" x14ac:dyDescent="0.15">
      <c r="A657" s="788">
        <v>2332686503</v>
      </c>
      <c r="B657" t="s">
        <v>1821</v>
      </c>
      <c r="C657" s="884">
        <v>46017</v>
      </c>
      <c r="D657" s="884">
        <v>46019</v>
      </c>
      <c r="E657" t="s">
        <v>262</v>
      </c>
      <c r="F657" t="s">
        <v>991</v>
      </c>
      <c r="H657" t="s">
        <v>1822</v>
      </c>
      <c r="I657" s="885">
        <v>45977.570833333331</v>
      </c>
      <c r="L657" t="s">
        <v>274</v>
      </c>
      <c r="M657" t="s">
        <v>265</v>
      </c>
      <c r="N657" t="s">
        <v>538</v>
      </c>
      <c r="O657" t="s">
        <v>267</v>
      </c>
      <c r="P657" s="885">
        <v>45977.57408564815</v>
      </c>
      <c r="Q657" t="s">
        <v>268</v>
      </c>
      <c r="R657" t="s">
        <v>269</v>
      </c>
    </row>
    <row r="658" spans="1:18" x14ac:dyDescent="0.15">
      <c r="A658" s="788">
        <v>2334372024</v>
      </c>
      <c r="B658" t="s">
        <v>1857</v>
      </c>
      <c r="C658" s="884">
        <v>46038</v>
      </c>
      <c r="D658" s="884">
        <v>46040</v>
      </c>
      <c r="E658" t="s">
        <v>262</v>
      </c>
      <c r="F658" t="s">
        <v>277</v>
      </c>
      <c r="H658" t="s">
        <v>1858</v>
      </c>
      <c r="I658" s="885">
        <v>45979.85</v>
      </c>
      <c r="L658" t="s">
        <v>274</v>
      </c>
      <c r="M658" t="s">
        <v>265</v>
      </c>
      <c r="N658" t="s">
        <v>1737</v>
      </c>
      <c r="O658" t="s">
        <v>267</v>
      </c>
      <c r="P658" s="885">
        <v>45979.854814814818</v>
      </c>
      <c r="Q658" t="s">
        <v>268</v>
      </c>
      <c r="R658" t="s">
        <v>269</v>
      </c>
    </row>
    <row r="659" spans="1:18" x14ac:dyDescent="0.15">
      <c r="A659" s="788">
        <v>2335600953</v>
      </c>
      <c r="B659" t="s">
        <v>1878</v>
      </c>
      <c r="C659" s="884">
        <v>46048</v>
      </c>
      <c r="D659" s="884">
        <v>46054</v>
      </c>
      <c r="E659" t="s">
        <v>262</v>
      </c>
      <c r="F659" t="s">
        <v>277</v>
      </c>
      <c r="H659" t="s">
        <v>1779</v>
      </c>
      <c r="I659" s="885">
        <v>45981.453472222223</v>
      </c>
      <c r="L659" t="s">
        <v>274</v>
      </c>
      <c r="M659" t="s">
        <v>265</v>
      </c>
      <c r="N659" t="s">
        <v>1879</v>
      </c>
      <c r="O659" t="s">
        <v>267</v>
      </c>
      <c r="P659" s="885">
        <v>45981.456655092596</v>
      </c>
      <c r="Q659" t="s">
        <v>268</v>
      </c>
      <c r="R659" t="s">
        <v>269</v>
      </c>
    </row>
    <row r="660" spans="1:18" x14ac:dyDescent="0.15">
      <c r="A660" s="788">
        <v>2335639265</v>
      </c>
      <c r="B660" t="s">
        <v>1880</v>
      </c>
      <c r="C660" s="884">
        <v>46317</v>
      </c>
      <c r="D660" s="884">
        <v>46319</v>
      </c>
      <c r="E660" t="s">
        <v>262</v>
      </c>
      <c r="F660" t="s">
        <v>277</v>
      </c>
      <c r="H660" t="s">
        <v>1809</v>
      </c>
      <c r="I660" s="885">
        <v>45981.51666666667</v>
      </c>
      <c r="L660" t="s">
        <v>274</v>
      </c>
      <c r="M660" t="s">
        <v>265</v>
      </c>
      <c r="N660" t="s">
        <v>1881</v>
      </c>
      <c r="O660" t="s">
        <v>267</v>
      </c>
      <c r="P660" s="885">
        <v>45981.518368055556</v>
      </c>
      <c r="Q660" t="s">
        <v>268</v>
      </c>
      <c r="R660" t="s">
        <v>269</v>
      </c>
    </row>
    <row r="661" spans="1:18" x14ac:dyDescent="0.15">
      <c r="A661" s="788">
        <v>2335639269</v>
      </c>
      <c r="B661" t="s">
        <v>1882</v>
      </c>
      <c r="C661" s="884">
        <v>46317</v>
      </c>
      <c r="D661" s="884">
        <v>46319</v>
      </c>
      <c r="E661" t="s">
        <v>262</v>
      </c>
      <c r="F661" t="s">
        <v>277</v>
      </c>
      <c r="H661" t="s">
        <v>1809</v>
      </c>
      <c r="I661" s="885">
        <v>45981.51666666667</v>
      </c>
      <c r="L661" t="s">
        <v>274</v>
      </c>
      <c r="M661" t="s">
        <v>265</v>
      </c>
      <c r="N661" t="s">
        <v>1881</v>
      </c>
      <c r="O661" t="s">
        <v>267</v>
      </c>
      <c r="P661" s="885">
        <v>45981.518368055556</v>
      </c>
      <c r="Q661" t="s">
        <v>268</v>
      </c>
      <c r="R661" t="s">
        <v>269</v>
      </c>
    </row>
    <row r="662" spans="1:18" x14ac:dyDescent="0.15">
      <c r="A662" s="788">
        <v>2337014203</v>
      </c>
      <c r="B662" t="s">
        <v>1893</v>
      </c>
      <c r="C662" s="884">
        <v>45987</v>
      </c>
      <c r="D662" s="884">
        <v>45989</v>
      </c>
      <c r="E662" t="s">
        <v>262</v>
      </c>
      <c r="F662" t="s">
        <v>277</v>
      </c>
      <c r="H662" t="s">
        <v>1858</v>
      </c>
      <c r="I662" s="885">
        <v>45983.379166666666</v>
      </c>
      <c r="L662" t="s">
        <v>274</v>
      </c>
      <c r="M662" t="s">
        <v>279</v>
      </c>
      <c r="N662" t="s">
        <v>1734</v>
      </c>
      <c r="O662" t="s">
        <v>267</v>
      </c>
      <c r="P662" s="885">
        <v>45983.383229166669</v>
      </c>
      <c r="Q662" t="s">
        <v>268</v>
      </c>
      <c r="R662" t="s">
        <v>269</v>
      </c>
    </row>
    <row r="663" spans="1:18" x14ac:dyDescent="0.15">
      <c r="A663" s="788">
        <v>2337014204</v>
      </c>
      <c r="B663" t="s">
        <v>1893</v>
      </c>
      <c r="C663" s="884">
        <v>45987</v>
      </c>
      <c r="D663" s="884">
        <v>45989</v>
      </c>
      <c r="E663" t="s">
        <v>262</v>
      </c>
      <c r="F663" t="s">
        <v>277</v>
      </c>
      <c r="H663" t="s">
        <v>1858</v>
      </c>
      <c r="I663" s="885">
        <v>45983.379166666666</v>
      </c>
      <c r="L663" t="s">
        <v>274</v>
      </c>
      <c r="M663" t="s">
        <v>279</v>
      </c>
      <c r="N663" t="s">
        <v>1734</v>
      </c>
      <c r="O663" t="s">
        <v>267</v>
      </c>
      <c r="P663" s="885">
        <v>45983.383229166669</v>
      </c>
      <c r="Q663" t="s">
        <v>268</v>
      </c>
      <c r="R663" t="s">
        <v>269</v>
      </c>
    </row>
    <row r="664" spans="1:18" x14ac:dyDescent="0.15">
      <c r="A664" s="788">
        <v>2337014206</v>
      </c>
      <c r="B664" t="s">
        <v>1893</v>
      </c>
      <c r="C664" s="884">
        <v>45987</v>
      </c>
      <c r="D664" s="884">
        <v>45989</v>
      </c>
      <c r="E664" t="s">
        <v>262</v>
      </c>
      <c r="F664" t="s">
        <v>277</v>
      </c>
      <c r="H664" t="s">
        <v>1858</v>
      </c>
      <c r="I664" s="885">
        <v>45983.379166666666</v>
      </c>
      <c r="L664" t="s">
        <v>274</v>
      </c>
      <c r="M664" t="s">
        <v>279</v>
      </c>
      <c r="N664" t="s">
        <v>1734</v>
      </c>
      <c r="O664" t="s">
        <v>267</v>
      </c>
      <c r="P664" s="885">
        <v>45983.383229166669</v>
      </c>
      <c r="Q664" t="s">
        <v>268</v>
      </c>
      <c r="R664" t="s">
        <v>269</v>
      </c>
    </row>
    <row r="665" spans="1:18" x14ac:dyDescent="0.15">
      <c r="A665" s="788">
        <v>2337391968</v>
      </c>
      <c r="B665" t="s">
        <v>1895</v>
      </c>
      <c r="C665" s="884">
        <v>46030</v>
      </c>
      <c r="D665" s="884">
        <v>46032</v>
      </c>
      <c r="E665" t="s">
        <v>262</v>
      </c>
      <c r="F665" t="s">
        <v>262</v>
      </c>
      <c r="H665" t="s">
        <v>1858</v>
      </c>
      <c r="I665" s="885">
        <v>45984.052083333336</v>
      </c>
      <c r="L665" t="s">
        <v>274</v>
      </c>
      <c r="M665" t="s">
        <v>265</v>
      </c>
      <c r="N665" t="s">
        <v>1734</v>
      </c>
      <c r="O665" t="s">
        <v>267</v>
      </c>
      <c r="P665" s="885">
        <v>45984.059398148151</v>
      </c>
      <c r="Q665" t="s">
        <v>268</v>
      </c>
      <c r="R665" t="s">
        <v>269</v>
      </c>
    </row>
    <row r="666" spans="1:18" x14ac:dyDescent="0.15">
      <c r="A666" s="788">
        <v>2337653152</v>
      </c>
      <c r="B666" t="s">
        <v>1896</v>
      </c>
      <c r="C666" s="884">
        <v>45997</v>
      </c>
      <c r="D666" s="884">
        <v>45999</v>
      </c>
      <c r="E666" t="s">
        <v>262</v>
      </c>
      <c r="F666" t="s">
        <v>331</v>
      </c>
      <c r="H666" t="s">
        <v>1897</v>
      </c>
      <c r="I666" s="885">
        <v>45984.604166666664</v>
      </c>
      <c r="L666" t="s">
        <v>274</v>
      </c>
      <c r="M666" t="s">
        <v>265</v>
      </c>
      <c r="N666" t="s">
        <v>1898</v>
      </c>
      <c r="O666" t="s">
        <v>267</v>
      </c>
      <c r="P666" s="885">
        <v>45984.605810185189</v>
      </c>
      <c r="Q666" t="s">
        <v>268</v>
      </c>
      <c r="R666" t="s">
        <v>269</v>
      </c>
    </row>
    <row r="667" spans="1:18" x14ac:dyDescent="0.15">
      <c r="A667" s="788">
        <v>2337791594</v>
      </c>
      <c r="B667" t="s">
        <v>1899</v>
      </c>
      <c r="C667" s="884">
        <v>46085</v>
      </c>
      <c r="D667" s="884">
        <v>46087</v>
      </c>
      <c r="E667" t="s">
        <v>262</v>
      </c>
      <c r="F667" t="s">
        <v>262</v>
      </c>
      <c r="H667" t="s">
        <v>1900</v>
      </c>
      <c r="I667" s="885">
        <v>45984.826388888891</v>
      </c>
      <c r="L667" t="s">
        <v>274</v>
      </c>
      <c r="M667" t="s">
        <v>265</v>
      </c>
      <c r="N667" t="s">
        <v>266</v>
      </c>
      <c r="O667" t="s">
        <v>267</v>
      </c>
      <c r="P667" s="885">
        <v>45984.833703703705</v>
      </c>
      <c r="Q667" t="s">
        <v>268</v>
      </c>
      <c r="R667" t="s">
        <v>269</v>
      </c>
    </row>
    <row r="668" spans="1:18" x14ac:dyDescent="0.15">
      <c r="A668" s="788">
        <v>2337839530</v>
      </c>
      <c r="B668" t="s">
        <v>1904</v>
      </c>
      <c r="C668" s="884">
        <v>46116</v>
      </c>
      <c r="D668" s="884">
        <v>46118</v>
      </c>
      <c r="E668" t="s">
        <v>262</v>
      </c>
      <c r="F668" t="s">
        <v>331</v>
      </c>
      <c r="H668" t="s">
        <v>1900</v>
      </c>
      <c r="I668" s="885">
        <v>45984.893750000003</v>
      </c>
      <c r="L668" t="s">
        <v>274</v>
      </c>
      <c r="M668" t="s">
        <v>265</v>
      </c>
      <c r="N668" t="s">
        <v>1905</v>
      </c>
      <c r="O668" t="s">
        <v>267</v>
      </c>
      <c r="P668" s="885">
        <v>45984.897986111115</v>
      </c>
      <c r="Q668" t="s">
        <v>268</v>
      </c>
      <c r="R668" t="s">
        <v>269</v>
      </c>
    </row>
    <row r="669" spans="1:18" x14ac:dyDescent="0.15">
      <c r="A669" s="788">
        <v>2337839533</v>
      </c>
      <c r="B669" t="s">
        <v>1906</v>
      </c>
      <c r="C669" s="884">
        <v>46116</v>
      </c>
      <c r="D669" s="884">
        <v>46118</v>
      </c>
      <c r="E669" t="s">
        <v>262</v>
      </c>
      <c r="F669" t="s">
        <v>331</v>
      </c>
      <c r="H669" t="s">
        <v>1900</v>
      </c>
      <c r="I669" s="885">
        <v>45984.893750000003</v>
      </c>
      <c r="L669" t="s">
        <v>274</v>
      </c>
      <c r="M669" t="s">
        <v>265</v>
      </c>
      <c r="N669" t="s">
        <v>1905</v>
      </c>
      <c r="O669" t="s">
        <v>267</v>
      </c>
      <c r="P669" s="885">
        <v>45984.897986111115</v>
      </c>
      <c r="Q669" t="s">
        <v>268</v>
      </c>
      <c r="R669" t="s">
        <v>269</v>
      </c>
    </row>
    <row r="670" spans="1:18" x14ac:dyDescent="0.15">
      <c r="A670" s="788">
        <v>2337839536</v>
      </c>
      <c r="B670" t="s">
        <v>1907</v>
      </c>
      <c r="C670" s="884">
        <v>46116</v>
      </c>
      <c r="D670" s="884">
        <v>46118</v>
      </c>
      <c r="E670" t="s">
        <v>262</v>
      </c>
      <c r="F670" t="s">
        <v>331</v>
      </c>
      <c r="H670" t="s">
        <v>1900</v>
      </c>
      <c r="I670" s="885">
        <v>45984.893750000003</v>
      </c>
      <c r="L670" t="s">
        <v>274</v>
      </c>
      <c r="M670" t="s">
        <v>265</v>
      </c>
      <c r="N670" t="s">
        <v>1905</v>
      </c>
      <c r="O670" t="s">
        <v>267</v>
      </c>
      <c r="P670" s="885">
        <v>45984.897986111115</v>
      </c>
      <c r="Q670" t="s">
        <v>268</v>
      </c>
      <c r="R670" t="s">
        <v>269</v>
      </c>
    </row>
    <row r="671" spans="1:18" x14ac:dyDescent="0.15">
      <c r="A671" s="788">
        <v>2338439620</v>
      </c>
      <c r="B671" t="s">
        <v>1916</v>
      </c>
      <c r="C671" s="884">
        <v>46038</v>
      </c>
      <c r="D671" s="884">
        <v>46040</v>
      </c>
      <c r="E671" t="s">
        <v>262</v>
      </c>
      <c r="F671" t="s">
        <v>277</v>
      </c>
      <c r="H671" t="s">
        <v>1897</v>
      </c>
      <c r="I671" s="885">
        <v>45985.768055555556</v>
      </c>
      <c r="L671" t="s">
        <v>274</v>
      </c>
      <c r="M671" t="s">
        <v>265</v>
      </c>
      <c r="N671" t="s">
        <v>952</v>
      </c>
      <c r="O671" t="s">
        <v>267</v>
      </c>
      <c r="P671" s="885">
        <v>45985.773541666669</v>
      </c>
      <c r="Q671" t="s">
        <v>268</v>
      </c>
      <c r="R671" t="s">
        <v>269</v>
      </c>
    </row>
    <row r="672" spans="1:18" x14ac:dyDescent="0.15">
      <c r="A672" s="788">
        <v>2338874256</v>
      </c>
      <c r="B672" t="s">
        <v>1919</v>
      </c>
      <c r="C672" s="884">
        <v>46065</v>
      </c>
      <c r="D672" s="884">
        <v>46068</v>
      </c>
      <c r="E672" t="s">
        <v>262</v>
      </c>
      <c r="F672" t="s">
        <v>262</v>
      </c>
      <c r="H672" t="s">
        <v>1858</v>
      </c>
      <c r="I672" s="885">
        <v>45986.313888888886</v>
      </c>
      <c r="L672" t="s">
        <v>274</v>
      </c>
      <c r="M672" t="s">
        <v>265</v>
      </c>
      <c r="N672" t="s">
        <v>1920</v>
      </c>
      <c r="O672" t="s">
        <v>267</v>
      </c>
      <c r="P672" s="885">
        <v>45986.317199074074</v>
      </c>
      <c r="Q672" t="s">
        <v>268</v>
      </c>
      <c r="R672" t="s">
        <v>269</v>
      </c>
    </row>
    <row r="673" spans="1:18" x14ac:dyDescent="0.15">
      <c r="A673" s="788">
        <v>2338959874</v>
      </c>
      <c r="B673" t="s">
        <v>1921</v>
      </c>
      <c r="C673" s="884">
        <v>45989</v>
      </c>
      <c r="D673" s="884">
        <v>45996</v>
      </c>
      <c r="E673" t="s">
        <v>262</v>
      </c>
      <c r="F673" t="s">
        <v>277</v>
      </c>
      <c r="H673" t="s">
        <v>1858</v>
      </c>
      <c r="I673" s="885">
        <v>45986.47152777778</v>
      </c>
      <c r="L673" t="s">
        <v>274</v>
      </c>
      <c r="M673" t="s">
        <v>279</v>
      </c>
      <c r="N673" t="s">
        <v>1922</v>
      </c>
      <c r="O673" t="s">
        <v>267</v>
      </c>
      <c r="P673" s="885">
        <v>45986.47483796296</v>
      </c>
      <c r="Q673" t="s">
        <v>268</v>
      </c>
      <c r="R673" t="s">
        <v>269</v>
      </c>
    </row>
    <row r="674" spans="1:18" x14ac:dyDescent="0.15">
      <c r="A674" s="788">
        <v>2339758005</v>
      </c>
      <c r="B674" t="s">
        <v>1954</v>
      </c>
      <c r="C674" s="884">
        <v>46030</v>
      </c>
      <c r="D674" s="884">
        <v>46031</v>
      </c>
      <c r="E674" t="s">
        <v>262</v>
      </c>
      <c r="F674" t="s">
        <v>277</v>
      </c>
      <c r="H674" t="s">
        <v>1809</v>
      </c>
      <c r="I674" s="885">
        <v>45987.606944444444</v>
      </c>
      <c r="L674" t="s">
        <v>274</v>
      </c>
      <c r="M674" t="s">
        <v>265</v>
      </c>
      <c r="N674" t="s">
        <v>1955</v>
      </c>
      <c r="O674" t="s">
        <v>267</v>
      </c>
      <c r="P674" s="885">
        <v>45987.610115740739</v>
      </c>
      <c r="Q674" t="s">
        <v>268</v>
      </c>
      <c r="R674" t="s">
        <v>269</v>
      </c>
    </row>
    <row r="675" spans="1:18" x14ac:dyDescent="0.15">
      <c r="A675" s="788">
        <v>2339758010</v>
      </c>
      <c r="B675" t="s">
        <v>1956</v>
      </c>
      <c r="C675" s="884">
        <v>46030</v>
      </c>
      <c r="D675" s="884">
        <v>46031</v>
      </c>
      <c r="E675" t="s">
        <v>262</v>
      </c>
      <c r="F675" t="s">
        <v>277</v>
      </c>
      <c r="H675" t="s">
        <v>1809</v>
      </c>
      <c r="I675" s="885">
        <v>45987.606944444444</v>
      </c>
      <c r="L675" t="s">
        <v>274</v>
      </c>
      <c r="M675" t="s">
        <v>265</v>
      </c>
      <c r="N675" t="s">
        <v>1955</v>
      </c>
      <c r="O675" t="s">
        <v>267</v>
      </c>
      <c r="P675" s="885">
        <v>45987.610115740739</v>
      </c>
      <c r="Q675" t="s">
        <v>268</v>
      </c>
      <c r="R675" t="s">
        <v>269</v>
      </c>
    </row>
    <row r="676" spans="1:18" x14ac:dyDescent="0.15">
      <c r="A676" s="788">
        <v>2341023253</v>
      </c>
      <c r="B676" t="s">
        <v>1966</v>
      </c>
      <c r="C676" s="884">
        <v>45994</v>
      </c>
      <c r="D676" s="884">
        <v>45996</v>
      </c>
      <c r="E676" t="s">
        <v>262</v>
      </c>
      <c r="F676" t="s">
        <v>277</v>
      </c>
      <c r="H676" t="s">
        <v>1858</v>
      </c>
      <c r="I676" s="885">
        <v>45989.555555555555</v>
      </c>
      <c r="L676" t="s">
        <v>274</v>
      </c>
      <c r="M676" t="s">
        <v>279</v>
      </c>
      <c r="N676" t="s">
        <v>711</v>
      </c>
      <c r="O676" t="s">
        <v>267</v>
      </c>
      <c r="P676" s="885">
        <v>45989.556921296295</v>
      </c>
      <c r="Q676" t="s">
        <v>268</v>
      </c>
      <c r="R676" t="s">
        <v>269</v>
      </c>
    </row>
    <row r="677" spans="1:18" x14ac:dyDescent="0.15">
      <c r="A677" s="788">
        <v>2341023256</v>
      </c>
      <c r="B677" t="s">
        <v>1967</v>
      </c>
      <c r="C677" s="884">
        <v>45994</v>
      </c>
      <c r="D677" s="884">
        <v>45996</v>
      </c>
      <c r="E677" t="s">
        <v>262</v>
      </c>
      <c r="F677" t="s">
        <v>277</v>
      </c>
      <c r="H677" t="s">
        <v>1858</v>
      </c>
      <c r="I677" s="885">
        <v>45989.555555555555</v>
      </c>
      <c r="L677" t="s">
        <v>274</v>
      </c>
      <c r="M677" t="s">
        <v>279</v>
      </c>
      <c r="N677" t="s">
        <v>711</v>
      </c>
      <c r="O677" t="s">
        <v>267</v>
      </c>
      <c r="P677" s="885">
        <v>45989.556921296295</v>
      </c>
      <c r="Q677" t="s">
        <v>268</v>
      </c>
      <c r="R677" t="s">
        <v>269</v>
      </c>
    </row>
    <row r="678" spans="1:18" x14ac:dyDescent="0.15">
      <c r="A678" s="788">
        <v>2341160029</v>
      </c>
      <c r="B678" t="s">
        <v>1976</v>
      </c>
      <c r="C678" s="884">
        <v>45996</v>
      </c>
      <c r="D678" s="884">
        <v>45999</v>
      </c>
      <c r="E678" t="s">
        <v>262</v>
      </c>
      <c r="F678" t="s">
        <v>262</v>
      </c>
      <c r="H678" t="s">
        <v>1977</v>
      </c>
      <c r="I678" s="885">
        <v>45989.730555555558</v>
      </c>
      <c r="L678" t="s">
        <v>274</v>
      </c>
      <c r="M678" t="s">
        <v>265</v>
      </c>
      <c r="N678" t="s">
        <v>1978</v>
      </c>
      <c r="O678" t="s">
        <v>267</v>
      </c>
      <c r="P678" s="885">
        <v>45989.736168981479</v>
      </c>
      <c r="Q678" t="s">
        <v>268</v>
      </c>
      <c r="R678" t="s">
        <v>269</v>
      </c>
    </row>
    <row r="679" spans="1:18" x14ac:dyDescent="0.15">
      <c r="A679" s="788">
        <v>2341190385</v>
      </c>
      <c r="B679" t="s">
        <v>1979</v>
      </c>
      <c r="C679" s="884">
        <v>46119</v>
      </c>
      <c r="D679" s="884">
        <v>46125</v>
      </c>
      <c r="E679" t="s">
        <v>262</v>
      </c>
      <c r="F679" t="s">
        <v>277</v>
      </c>
      <c r="H679" t="s">
        <v>1858</v>
      </c>
      <c r="I679" s="885">
        <v>45989.760416666664</v>
      </c>
      <c r="L679" t="s">
        <v>274</v>
      </c>
      <c r="M679" t="s">
        <v>265</v>
      </c>
      <c r="N679" t="s">
        <v>1980</v>
      </c>
      <c r="O679" t="s">
        <v>267</v>
      </c>
      <c r="P679" s="885">
        <v>45989.765439814815</v>
      </c>
      <c r="Q679" t="s">
        <v>268</v>
      </c>
      <c r="R679" t="s">
        <v>269</v>
      </c>
    </row>
    <row r="680" spans="1:18" x14ac:dyDescent="0.15">
      <c r="A680" s="788">
        <v>2344582246</v>
      </c>
      <c r="B680" t="s">
        <v>2012</v>
      </c>
      <c r="C680" s="884">
        <v>46130</v>
      </c>
      <c r="D680" s="884">
        <v>46131</v>
      </c>
      <c r="E680" t="s">
        <v>262</v>
      </c>
      <c r="F680" t="s">
        <v>277</v>
      </c>
      <c r="H680" t="s">
        <v>1023</v>
      </c>
      <c r="I680" s="885">
        <v>45994.441666666666</v>
      </c>
      <c r="K680" s="885">
        <v>46001.750694444447</v>
      </c>
      <c r="L680" t="s">
        <v>264</v>
      </c>
      <c r="M680" t="s">
        <v>279</v>
      </c>
      <c r="N680" t="s">
        <v>1080</v>
      </c>
      <c r="O680" t="s">
        <v>267</v>
      </c>
      <c r="P680" s="885">
        <v>46001.755590277775</v>
      </c>
      <c r="Q680" t="s">
        <v>268</v>
      </c>
      <c r="R680" t="s">
        <v>269</v>
      </c>
    </row>
    <row r="681" spans="1:18" x14ac:dyDescent="0.15">
      <c r="A681" s="788">
        <v>2344582248</v>
      </c>
      <c r="B681" t="s">
        <v>2013</v>
      </c>
      <c r="C681" s="884">
        <v>46130</v>
      </c>
      <c r="D681" s="884">
        <v>46131</v>
      </c>
      <c r="E681" t="s">
        <v>262</v>
      </c>
      <c r="F681" t="s">
        <v>277</v>
      </c>
      <c r="H681" t="s">
        <v>1023</v>
      </c>
      <c r="I681" s="885">
        <v>45994.441666666666</v>
      </c>
      <c r="K681" s="885">
        <v>46001.750694444447</v>
      </c>
      <c r="L681" t="s">
        <v>264</v>
      </c>
      <c r="M681" t="s">
        <v>279</v>
      </c>
      <c r="N681" t="s">
        <v>1080</v>
      </c>
      <c r="O681" t="s">
        <v>267</v>
      </c>
      <c r="P681" s="885">
        <v>46001.755590277775</v>
      </c>
      <c r="Q681" t="s">
        <v>268</v>
      </c>
      <c r="R681" t="s">
        <v>269</v>
      </c>
    </row>
    <row r="682" spans="1:18" x14ac:dyDescent="0.15">
      <c r="A682" s="788">
        <v>2344582251</v>
      </c>
      <c r="B682" t="s">
        <v>2014</v>
      </c>
      <c r="C682" s="884">
        <v>46130</v>
      </c>
      <c r="D682" s="884">
        <v>46131</v>
      </c>
      <c r="E682" t="s">
        <v>262</v>
      </c>
      <c r="F682" t="s">
        <v>277</v>
      </c>
      <c r="H682" t="s">
        <v>1023</v>
      </c>
      <c r="I682" s="885">
        <v>45994.441666666666</v>
      </c>
      <c r="K682" s="885">
        <v>46001.750694444447</v>
      </c>
      <c r="L682" t="s">
        <v>264</v>
      </c>
      <c r="M682" t="s">
        <v>279</v>
      </c>
      <c r="N682" t="s">
        <v>1080</v>
      </c>
      <c r="O682" t="s">
        <v>267</v>
      </c>
      <c r="P682" s="885">
        <v>46001.755590277775</v>
      </c>
      <c r="Q682" t="s">
        <v>268</v>
      </c>
      <c r="R682" t="s">
        <v>269</v>
      </c>
    </row>
    <row r="683" spans="1:18" x14ac:dyDescent="0.15">
      <c r="A683" s="788">
        <v>2344582253</v>
      </c>
      <c r="B683" t="s">
        <v>2015</v>
      </c>
      <c r="C683" s="884">
        <v>46130</v>
      </c>
      <c r="D683" s="884">
        <v>46131</v>
      </c>
      <c r="E683" t="s">
        <v>262</v>
      </c>
      <c r="F683" t="s">
        <v>277</v>
      </c>
      <c r="H683" t="s">
        <v>1023</v>
      </c>
      <c r="I683" s="885">
        <v>45994.441666666666</v>
      </c>
      <c r="K683" s="885">
        <v>46001.750694444447</v>
      </c>
      <c r="L683" t="s">
        <v>264</v>
      </c>
      <c r="M683" t="s">
        <v>279</v>
      </c>
      <c r="N683" t="s">
        <v>1080</v>
      </c>
      <c r="O683" t="s">
        <v>267</v>
      </c>
      <c r="P683" s="885">
        <v>46001.755590277775</v>
      </c>
      <c r="Q683" t="s">
        <v>268</v>
      </c>
      <c r="R683" t="s">
        <v>269</v>
      </c>
    </row>
    <row r="684" spans="1:18" x14ac:dyDescent="0.15">
      <c r="A684" s="788">
        <v>2344582255</v>
      </c>
      <c r="B684" t="s">
        <v>2016</v>
      </c>
      <c r="C684" s="884">
        <v>46130</v>
      </c>
      <c r="D684" s="884">
        <v>46131</v>
      </c>
      <c r="E684" t="s">
        <v>262</v>
      </c>
      <c r="F684" t="s">
        <v>277</v>
      </c>
      <c r="H684" t="s">
        <v>1023</v>
      </c>
      <c r="I684" s="885">
        <v>45994.441666666666</v>
      </c>
      <c r="K684" s="885">
        <v>46001.751388888886</v>
      </c>
      <c r="L684" t="s">
        <v>264</v>
      </c>
      <c r="M684" t="s">
        <v>279</v>
      </c>
      <c r="N684" t="s">
        <v>1080</v>
      </c>
      <c r="O684" t="s">
        <v>267</v>
      </c>
      <c r="P684" s="885">
        <v>46001.755590277775</v>
      </c>
      <c r="Q684" t="s">
        <v>268</v>
      </c>
      <c r="R684" t="s">
        <v>269</v>
      </c>
    </row>
    <row r="685" spans="1:18" x14ac:dyDescent="0.15">
      <c r="A685" s="788">
        <v>2345167498</v>
      </c>
      <c r="B685" t="s">
        <v>2019</v>
      </c>
      <c r="C685" s="884">
        <v>45996</v>
      </c>
      <c r="D685" s="884">
        <v>45998</v>
      </c>
      <c r="E685" t="s">
        <v>262</v>
      </c>
      <c r="F685" t="s">
        <v>277</v>
      </c>
      <c r="H685" t="s">
        <v>1977</v>
      </c>
      <c r="I685" s="885">
        <v>45995.316666666666</v>
      </c>
      <c r="L685" t="s">
        <v>274</v>
      </c>
      <c r="M685" t="s">
        <v>265</v>
      </c>
      <c r="N685" t="s">
        <v>2020</v>
      </c>
      <c r="O685" t="s">
        <v>267</v>
      </c>
      <c r="P685" s="885">
        <v>45995.322048611109</v>
      </c>
      <c r="Q685" t="s">
        <v>268</v>
      </c>
      <c r="R685" t="s">
        <v>269</v>
      </c>
    </row>
    <row r="686" spans="1:18" x14ac:dyDescent="0.15">
      <c r="A686" s="788">
        <v>2346172692</v>
      </c>
      <c r="B686" t="s">
        <v>2026</v>
      </c>
      <c r="C686" s="884">
        <v>46004</v>
      </c>
      <c r="D686" s="884">
        <v>46005</v>
      </c>
      <c r="E686" t="s">
        <v>262</v>
      </c>
      <c r="F686" t="s">
        <v>277</v>
      </c>
      <c r="H686" t="s">
        <v>1858</v>
      </c>
      <c r="I686" s="885">
        <v>45996.859027777777</v>
      </c>
      <c r="L686" t="s">
        <v>274</v>
      </c>
      <c r="M686" t="s">
        <v>265</v>
      </c>
      <c r="N686" t="s">
        <v>1266</v>
      </c>
      <c r="O686" t="s">
        <v>267</v>
      </c>
      <c r="P686" s="885">
        <v>45996.86446759259</v>
      </c>
      <c r="Q686" t="s">
        <v>268</v>
      </c>
      <c r="R686" t="s">
        <v>269</v>
      </c>
    </row>
    <row r="687" spans="1:18" x14ac:dyDescent="0.15">
      <c r="A687" s="788">
        <v>2347240456</v>
      </c>
      <c r="B687" t="s">
        <v>1215</v>
      </c>
      <c r="C687" s="884">
        <v>46064</v>
      </c>
      <c r="D687" s="884">
        <v>46074</v>
      </c>
      <c r="E687" t="s">
        <v>262</v>
      </c>
      <c r="F687" t="s">
        <v>331</v>
      </c>
      <c r="H687" t="s">
        <v>1900</v>
      </c>
      <c r="I687" s="885">
        <v>45998.949305555558</v>
      </c>
      <c r="K687" s="885">
        <v>45999.027083333334</v>
      </c>
      <c r="L687" t="s">
        <v>264</v>
      </c>
      <c r="M687" t="s">
        <v>265</v>
      </c>
      <c r="N687" t="s">
        <v>2050</v>
      </c>
      <c r="O687" t="s">
        <v>267</v>
      </c>
      <c r="P687" s="885">
        <v>45999.031956018516</v>
      </c>
      <c r="Q687" t="s">
        <v>268</v>
      </c>
      <c r="R687" t="s">
        <v>269</v>
      </c>
    </row>
    <row r="688" spans="1:18" x14ac:dyDescent="0.15">
      <c r="A688" s="788">
        <v>2347318020</v>
      </c>
      <c r="B688" t="s">
        <v>1215</v>
      </c>
      <c r="C688" s="884">
        <v>46064</v>
      </c>
      <c r="D688" s="884">
        <v>46074</v>
      </c>
      <c r="E688" t="s">
        <v>262</v>
      </c>
      <c r="F688" t="s">
        <v>331</v>
      </c>
      <c r="H688" t="s">
        <v>1900</v>
      </c>
      <c r="I688" s="885">
        <v>45999.067361111112</v>
      </c>
      <c r="L688" t="s">
        <v>274</v>
      </c>
      <c r="M688" t="s">
        <v>265</v>
      </c>
      <c r="N688" t="s">
        <v>2050</v>
      </c>
      <c r="O688" t="s">
        <v>267</v>
      </c>
      <c r="P688" s="885">
        <v>45999.071979166663</v>
      </c>
      <c r="Q688" t="s">
        <v>268</v>
      </c>
      <c r="R688" t="s">
        <v>269</v>
      </c>
    </row>
    <row r="689" spans="1:18" x14ac:dyDescent="0.15">
      <c r="A689" s="788">
        <v>2347649726</v>
      </c>
      <c r="B689" t="s">
        <v>2051</v>
      </c>
      <c r="C689" s="884">
        <v>46053</v>
      </c>
      <c r="D689" s="884">
        <v>46055</v>
      </c>
      <c r="E689" t="s">
        <v>262</v>
      </c>
      <c r="F689" t="s">
        <v>262</v>
      </c>
      <c r="H689" t="s">
        <v>1977</v>
      </c>
      <c r="I689" s="885">
        <v>45999.665972222225</v>
      </c>
      <c r="L689" t="s">
        <v>274</v>
      </c>
      <c r="M689" t="s">
        <v>265</v>
      </c>
      <c r="N689" t="s">
        <v>2052</v>
      </c>
      <c r="O689" t="s">
        <v>267</v>
      </c>
      <c r="P689" s="885">
        <v>45999.669351851851</v>
      </c>
      <c r="Q689" t="s">
        <v>268</v>
      </c>
      <c r="R689" t="s">
        <v>269</v>
      </c>
    </row>
    <row r="690" spans="1:18" x14ac:dyDescent="0.15">
      <c r="A690" s="788">
        <v>2347839435</v>
      </c>
      <c r="B690" t="s">
        <v>261</v>
      </c>
      <c r="C690" s="884">
        <v>46122</v>
      </c>
      <c r="D690" s="884">
        <v>46124</v>
      </c>
      <c r="E690" t="s">
        <v>262</v>
      </c>
      <c r="F690" t="s">
        <v>262</v>
      </c>
      <c r="H690" t="s">
        <v>1977</v>
      </c>
      <c r="I690" s="885">
        <v>45999.905555555553</v>
      </c>
      <c r="L690" t="s">
        <v>274</v>
      </c>
      <c r="M690" t="s">
        <v>265</v>
      </c>
      <c r="N690" t="s">
        <v>2056</v>
      </c>
      <c r="O690" t="s">
        <v>267</v>
      </c>
      <c r="P690" s="885">
        <v>45999.90892361111</v>
      </c>
      <c r="Q690" t="s">
        <v>268</v>
      </c>
      <c r="R690" t="s">
        <v>269</v>
      </c>
    </row>
    <row r="691" spans="1:18" x14ac:dyDescent="0.15">
      <c r="A691" s="788">
        <v>2348809228</v>
      </c>
      <c r="B691" t="s">
        <v>2067</v>
      </c>
      <c r="C691" s="884">
        <v>46002</v>
      </c>
      <c r="D691" s="884">
        <v>46004</v>
      </c>
      <c r="E691" t="s">
        <v>262</v>
      </c>
      <c r="F691" t="s">
        <v>277</v>
      </c>
      <c r="H691" t="s">
        <v>1858</v>
      </c>
      <c r="I691" s="885">
        <v>46001.387499999997</v>
      </c>
      <c r="L691" t="s">
        <v>274</v>
      </c>
      <c r="M691" t="s">
        <v>279</v>
      </c>
      <c r="N691" t="s">
        <v>711</v>
      </c>
      <c r="O691" t="s">
        <v>267</v>
      </c>
      <c r="P691" s="885">
        <v>46001.393020833333</v>
      </c>
      <c r="Q691" t="s">
        <v>268</v>
      </c>
      <c r="R691" t="s">
        <v>269</v>
      </c>
    </row>
    <row r="692" spans="1:18" x14ac:dyDescent="0.15">
      <c r="A692" s="788">
        <v>2348809231</v>
      </c>
      <c r="B692" t="s">
        <v>2067</v>
      </c>
      <c r="C692" s="884">
        <v>46002</v>
      </c>
      <c r="D692" s="884">
        <v>46004</v>
      </c>
      <c r="E692" t="s">
        <v>262</v>
      </c>
      <c r="F692" t="s">
        <v>277</v>
      </c>
      <c r="H692" t="s">
        <v>1858</v>
      </c>
      <c r="I692" s="885">
        <v>46001.387499999997</v>
      </c>
      <c r="L692" t="s">
        <v>274</v>
      </c>
      <c r="M692" t="s">
        <v>279</v>
      </c>
      <c r="N692" t="s">
        <v>711</v>
      </c>
      <c r="O692" t="s">
        <v>267</v>
      </c>
      <c r="P692" s="885">
        <v>46001.393020833333</v>
      </c>
      <c r="Q692" t="s">
        <v>268</v>
      </c>
      <c r="R692" t="s">
        <v>269</v>
      </c>
    </row>
    <row r="693" spans="1:18" x14ac:dyDescent="0.15">
      <c r="A693" s="788">
        <v>2350784134</v>
      </c>
      <c r="B693" t="s">
        <v>2099</v>
      </c>
      <c r="C693" s="884">
        <v>46058</v>
      </c>
      <c r="D693" s="884">
        <v>46061</v>
      </c>
      <c r="E693" t="s">
        <v>262</v>
      </c>
      <c r="F693" t="s">
        <v>277</v>
      </c>
      <c r="H693" t="s">
        <v>1023</v>
      </c>
      <c r="I693" s="885">
        <v>46004.779166666667</v>
      </c>
      <c r="L693" t="s">
        <v>274</v>
      </c>
      <c r="M693" t="s">
        <v>265</v>
      </c>
      <c r="N693" t="s">
        <v>2100</v>
      </c>
      <c r="O693" t="s">
        <v>267</v>
      </c>
      <c r="P693" s="885">
        <v>46004.785474537035</v>
      </c>
      <c r="Q693" t="s">
        <v>268</v>
      </c>
      <c r="R693" t="s">
        <v>269</v>
      </c>
    </row>
    <row r="694" spans="1:18" x14ac:dyDescent="0.15">
      <c r="A694" s="788">
        <v>2351312618</v>
      </c>
      <c r="B694" t="s">
        <v>2109</v>
      </c>
      <c r="C694" s="884">
        <v>46057</v>
      </c>
      <c r="D694" s="884">
        <v>46058</v>
      </c>
      <c r="E694" t="s">
        <v>262</v>
      </c>
      <c r="F694" t="s">
        <v>277</v>
      </c>
      <c r="H694" t="s">
        <v>1023</v>
      </c>
      <c r="I694" s="885">
        <v>46005.867361111108</v>
      </c>
      <c r="L694" t="s">
        <v>274</v>
      </c>
      <c r="M694" t="s">
        <v>265</v>
      </c>
      <c r="N694" t="s">
        <v>2110</v>
      </c>
      <c r="O694" t="s">
        <v>267</v>
      </c>
      <c r="P694" s="885">
        <v>46005.868738425925</v>
      </c>
      <c r="Q694" t="s">
        <v>268</v>
      </c>
      <c r="R694" t="s">
        <v>269</v>
      </c>
    </row>
    <row r="695" spans="1:18" x14ac:dyDescent="0.15">
      <c r="A695" s="788">
        <v>2354141487</v>
      </c>
      <c r="B695" t="s">
        <v>2164</v>
      </c>
      <c r="C695" s="884">
        <v>46038</v>
      </c>
      <c r="D695" s="884">
        <v>46040</v>
      </c>
      <c r="E695" t="s">
        <v>262</v>
      </c>
      <c r="F695" t="s">
        <v>277</v>
      </c>
      <c r="H695" t="s">
        <v>1858</v>
      </c>
      <c r="I695" s="885">
        <v>46010.565972222219</v>
      </c>
      <c r="L695" t="s">
        <v>274</v>
      </c>
      <c r="M695" t="s">
        <v>265</v>
      </c>
      <c r="N695" t="s">
        <v>1737</v>
      </c>
      <c r="O695" t="s">
        <v>267</v>
      </c>
      <c r="P695" s="885">
        <v>46010.571446759262</v>
      </c>
      <c r="Q695" t="s">
        <v>268</v>
      </c>
      <c r="R695" t="s">
        <v>269</v>
      </c>
    </row>
    <row r="696" spans="1:18" x14ac:dyDescent="0.15">
      <c r="A696" s="788">
        <v>2354584808</v>
      </c>
      <c r="B696" t="s">
        <v>2165</v>
      </c>
      <c r="C696" s="884">
        <v>46028</v>
      </c>
      <c r="D696" s="884">
        <v>46033</v>
      </c>
      <c r="E696" t="s">
        <v>262</v>
      </c>
      <c r="F696" t="s">
        <v>277</v>
      </c>
      <c r="H696" t="s">
        <v>2166</v>
      </c>
      <c r="I696" s="885">
        <v>46011.247916666667</v>
      </c>
      <c r="L696" t="s">
        <v>274</v>
      </c>
      <c r="M696" t="s">
        <v>265</v>
      </c>
      <c r="N696" t="s">
        <v>2167</v>
      </c>
      <c r="O696" t="s">
        <v>267</v>
      </c>
      <c r="P696" s="885">
        <v>46011.251064814816</v>
      </c>
      <c r="Q696" t="s">
        <v>268</v>
      </c>
      <c r="R696" t="s">
        <v>269</v>
      </c>
    </row>
    <row r="697" spans="1:18" x14ac:dyDescent="0.15">
      <c r="A697" s="788">
        <v>2355288500</v>
      </c>
      <c r="B697" t="s">
        <v>2179</v>
      </c>
      <c r="C697" s="884">
        <v>46030</v>
      </c>
      <c r="D697" s="884">
        <v>46032</v>
      </c>
      <c r="E697" t="s">
        <v>262</v>
      </c>
      <c r="F697" t="s">
        <v>277</v>
      </c>
      <c r="H697" t="s">
        <v>2166</v>
      </c>
      <c r="I697" s="885">
        <v>46012.76458333333</v>
      </c>
      <c r="L697" t="s">
        <v>274</v>
      </c>
      <c r="M697" t="s">
        <v>265</v>
      </c>
      <c r="N697" t="s">
        <v>2180</v>
      </c>
      <c r="O697" t="s">
        <v>267</v>
      </c>
      <c r="P697" s="885">
        <v>46012.769976851851</v>
      </c>
      <c r="Q697" t="s">
        <v>268</v>
      </c>
      <c r="R697" t="s">
        <v>269</v>
      </c>
    </row>
    <row r="698" spans="1:18" x14ac:dyDescent="0.15">
      <c r="A698" s="788">
        <v>2358324540</v>
      </c>
      <c r="B698" t="s">
        <v>2214</v>
      </c>
      <c r="C698" s="884">
        <v>46062</v>
      </c>
      <c r="D698" s="884">
        <v>46064</v>
      </c>
      <c r="E698" t="s">
        <v>262</v>
      </c>
      <c r="F698" t="s">
        <v>1592</v>
      </c>
      <c r="H698" t="s">
        <v>2215</v>
      </c>
      <c r="I698" s="885">
        <v>46018.52847222222</v>
      </c>
      <c r="K698" s="885">
        <v>46020.479166666664</v>
      </c>
      <c r="L698" t="s">
        <v>264</v>
      </c>
      <c r="M698" t="s">
        <v>265</v>
      </c>
      <c r="N698" t="s">
        <v>2216</v>
      </c>
      <c r="O698" t="s">
        <v>267</v>
      </c>
      <c r="P698" s="885">
        <v>46020.484143518515</v>
      </c>
      <c r="Q698" t="s">
        <v>268</v>
      </c>
      <c r="R698" t="s">
        <v>269</v>
      </c>
    </row>
    <row r="699" spans="1:18" x14ac:dyDescent="0.15">
      <c r="A699" s="788">
        <v>2358808706</v>
      </c>
      <c r="B699" t="s">
        <v>2220</v>
      </c>
      <c r="C699" s="884">
        <v>46065</v>
      </c>
      <c r="D699" s="884">
        <v>46068</v>
      </c>
      <c r="E699" t="s">
        <v>262</v>
      </c>
      <c r="F699" t="s">
        <v>991</v>
      </c>
      <c r="H699" t="s">
        <v>1822</v>
      </c>
      <c r="I699" s="885">
        <v>46019.329861111109</v>
      </c>
      <c r="L699" t="s">
        <v>274</v>
      </c>
      <c r="M699" t="s">
        <v>265</v>
      </c>
      <c r="N699" t="s">
        <v>2221</v>
      </c>
      <c r="O699" t="s">
        <v>267</v>
      </c>
      <c r="P699" s="885">
        <v>46019.336817129632</v>
      </c>
      <c r="Q699" t="s">
        <v>268</v>
      </c>
      <c r="R699" t="s">
        <v>269</v>
      </c>
    </row>
    <row r="700" spans="1:18" x14ac:dyDescent="0.15">
      <c r="A700" s="788">
        <v>2359069418</v>
      </c>
      <c r="B700" t="s">
        <v>2224</v>
      </c>
      <c r="C700" s="884">
        <v>46061</v>
      </c>
      <c r="D700" s="884">
        <v>46063</v>
      </c>
      <c r="E700" t="s">
        <v>262</v>
      </c>
      <c r="F700" t="s">
        <v>262</v>
      </c>
      <c r="H700" t="s">
        <v>1977</v>
      </c>
      <c r="I700" s="885">
        <v>46019.876388888886</v>
      </c>
      <c r="L700" t="s">
        <v>274</v>
      </c>
      <c r="M700" t="s">
        <v>265</v>
      </c>
      <c r="N700" t="s">
        <v>716</v>
      </c>
      <c r="O700" t="s">
        <v>267</v>
      </c>
      <c r="P700" s="885">
        <v>46019.880300925928</v>
      </c>
      <c r="Q700" t="s">
        <v>268</v>
      </c>
      <c r="R700" t="s">
        <v>269</v>
      </c>
    </row>
    <row r="701" spans="1:18" x14ac:dyDescent="0.15">
      <c r="A701" s="788">
        <v>2360106656</v>
      </c>
      <c r="B701" t="s">
        <v>2227</v>
      </c>
      <c r="C701" s="884">
        <v>46021</v>
      </c>
      <c r="D701" s="884">
        <v>46023</v>
      </c>
      <c r="E701" t="s">
        <v>262</v>
      </c>
      <c r="F701" t="s">
        <v>331</v>
      </c>
      <c r="H701" t="s">
        <v>1897</v>
      </c>
      <c r="I701" s="885">
        <v>46021.504861111112</v>
      </c>
      <c r="L701" t="s">
        <v>274</v>
      </c>
      <c r="M701" t="s">
        <v>265</v>
      </c>
      <c r="N701" t="s">
        <v>2228</v>
      </c>
      <c r="O701" t="s">
        <v>267</v>
      </c>
      <c r="P701" s="885">
        <v>46021.508715277778</v>
      </c>
      <c r="Q701" t="s">
        <v>268</v>
      </c>
      <c r="R701" t="s">
        <v>269</v>
      </c>
    </row>
    <row r="702" spans="1:18" x14ac:dyDescent="0.15">
      <c r="A702" s="788">
        <v>2360122172</v>
      </c>
      <c r="B702" t="s">
        <v>2234</v>
      </c>
      <c r="C702" s="884">
        <v>46105</v>
      </c>
      <c r="D702" s="884">
        <v>46106</v>
      </c>
      <c r="E702" t="s">
        <v>262</v>
      </c>
      <c r="F702" t="s">
        <v>277</v>
      </c>
      <c r="H702" t="s">
        <v>1858</v>
      </c>
      <c r="I702" s="885">
        <v>46021.538888888892</v>
      </c>
      <c r="L702" t="s">
        <v>274</v>
      </c>
      <c r="M702" t="s">
        <v>265</v>
      </c>
      <c r="N702" t="s">
        <v>2235</v>
      </c>
      <c r="O702" t="s">
        <v>267</v>
      </c>
      <c r="P702" s="885">
        <v>46021.543009259258</v>
      </c>
      <c r="Q702" t="s">
        <v>268</v>
      </c>
      <c r="R702" t="s">
        <v>269</v>
      </c>
    </row>
    <row r="703" spans="1:18" x14ac:dyDescent="0.15">
      <c r="A703" s="788">
        <v>2361275787</v>
      </c>
      <c r="B703" t="s">
        <v>2247</v>
      </c>
      <c r="C703" s="884">
        <v>46028</v>
      </c>
      <c r="D703" s="884">
        <v>46029</v>
      </c>
      <c r="E703" t="s">
        <v>262</v>
      </c>
      <c r="F703" t="s">
        <v>331</v>
      </c>
      <c r="H703" t="s">
        <v>1897</v>
      </c>
      <c r="I703" s="885">
        <v>46023.469444444447</v>
      </c>
      <c r="L703" t="s">
        <v>274</v>
      </c>
      <c r="M703" t="s">
        <v>265</v>
      </c>
      <c r="N703" t="s">
        <v>2110</v>
      </c>
      <c r="O703" t="s">
        <v>267</v>
      </c>
      <c r="P703" s="885">
        <v>46023.473611111112</v>
      </c>
      <c r="Q703" t="s">
        <v>268</v>
      </c>
      <c r="R703" t="s">
        <v>269</v>
      </c>
    </row>
    <row r="704" spans="1:18" x14ac:dyDescent="0.15">
      <c r="A704" s="788">
        <v>2361305174</v>
      </c>
      <c r="B704" t="s">
        <v>2248</v>
      </c>
      <c r="C704" s="884">
        <v>46025</v>
      </c>
      <c r="D704" s="884">
        <v>46027</v>
      </c>
      <c r="E704" t="s">
        <v>262</v>
      </c>
      <c r="F704" t="s">
        <v>277</v>
      </c>
      <c r="H704" t="s">
        <v>2166</v>
      </c>
      <c r="I704" s="885">
        <v>46023.5625</v>
      </c>
      <c r="L704" t="s">
        <v>274</v>
      </c>
      <c r="M704" t="s">
        <v>265</v>
      </c>
      <c r="N704" t="s">
        <v>2249</v>
      </c>
      <c r="O704" t="s">
        <v>267</v>
      </c>
      <c r="P704" s="885">
        <v>46023.566874999997</v>
      </c>
      <c r="Q704" t="s">
        <v>268</v>
      </c>
      <c r="R704" t="s">
        <v>269</v>
      </c>
    </row>
    <row r="705" spans="1:18" x14ac:dyDescent="0.15">
      <c r="A705" s="788">
        <v>2363007662</v>
      </c>
      <c r="B705" t="s">
        <v>2283</v>
      </c>
      <c r="C705" s="884">
        <v>46081</v>
      </c>
      <c r="D705" s="884">
        <v>46082</v>
      </c>
      <c r="E705" t="s">
        <v>262</v>
      </c>
      <c r="F705" t="s">
        <v>277</v>
      </c>
      <c r="H705" t="s">
        <v>1897</v>
      </c>
      <c r="I705" s="885">
        <v>46026.331250000003</v>
      </c>
      <c r="L705" t="s">
        <v>274</v>
      </c>
      <c r="M705" t="s">
        <v>265</v>
      </c>
      <c r="N705" t="s">
        <v>2284</v>
      </c>
      <c r="O705" t="s">
        <v>267</v>
      </c>
      <c r="P705" s="885">
        <v>46026.336168981485</v>
      </c>
      <c r="Q705" t="s">
        <v>268</v>
      </c>
      <c r="R705" t="s">
        <v>269</v>
      </c>
    </row>
    <row r="706" spans="1:18" x14ac:dyDescent="0.15">
      <c r="A706" s="788">
        <v>2364715811</v>
      </c>
      <c r="B706" t="s">
        <v>2312</v>
      </c>
      <c r="C706" s="884">
        <v>46057</v>
      </c>
      <c r="D706" s="884">
        <v>46062</v>
      </c>
      <c r="E706" t="s">
        <v>262</v>
      </c>
      <c r="F706" t="s">
        <v>262</v>
      </c>
      <c r="H706" t="s">
        <v>1779</v>
      </c>
      <c r="I706" s="885">
        <v>46028.804166666669</v>
      </c>
      <c r="L706" t="s">
        <v>274</v>
      </c>
      <c r="M706" t="s">
        <v>265</v>
      </c>
      <c r="N706" t="s">
        <v>2313</v>
      </c>
      <c r="O706" t="s">
        <v>267</v>
      </c>
      <c r="P706" s="885">
        <v>46028.809004629627</v>
      </c>
      <c r="Q706" t="s">
        <v>268</v>
      </c>
      <c r="R706" t="s">
        <v>269</v>
      </c>
    </row>
    <row r="707" spans="1:18" x14ac:dyDescent="0.15">
      <c r="A707" s="788">
        <v>2365413360</v>
      </c>
      <c r="B707" t="s">
        <v>2331</v>
      </c>
      <c r="C707" s="884">
        <v>46076</v>
      </c>
      <c r="D707" s="884">
        <v>46083</v>
      </c>
      <c r="E707" t="s">
        <v>262</v>
      </c>
      <c r="F707" t="s">
        <v>262</v>
      </c>
      <c r="H707" t="s">
        <v>1897</v>
      </c>
      <c r="I707" s="885">
        <v>46029.711805555555</v>
      </c>
      <c r="L707" t="s">
        <v>274</v>
      </c>
      <c r="M707" t="s">
        <v>265</v>
      </c>
      <c r="N707" t="s">
        <v>2332</v>
      </c>
      <c r="O707" t="s">
        <v>267</v>
      </c>
      <c r="P707" s="885">
        <v>46029.716249999998</v>
      </c>
      <c r="Q707" t="s">
        <v>268</v>
      </c>
      <c r="R707" t="s">
        <v>269</v>
      </c>
    </row>
    <row r="708" spans="1:18" x14ac:dyDescent="0.15">
      <c r="A708" s="788">
        <v>2365986623</v>
      </c>
      <c r="B708" t="s">
        <v>2339</v>
      </c>
      <c r="C708" s="884">
        <v>46047</v>
      </c>
      <c r="D708" s="884">
        <v>46048</v>
      </c>
      <c r="E708" t="s">
        <v>262</v>
      </c>
      <c r="F708" t="s">
        <v>277</v>
      </c>
      <c r="H708" t="s">
        <v>1897</v>
      </c>
      <c r="I708" s="885">
        <v>46030.417361111111</v>
      </c>
      <c r="K708" s="885">
        <v>46038.197916666664</v>
      </c>
      <c r="L708" t="s">
        <v>264</v>
      </c>
      <c r="M708" t="s">
        <v>265</v>
      </c>
      <c r="N708" t="s">
        <v>2340</v>
      </c>
      <c r="O708" t="s">
        <v>267</v>
      </c>
      <c r="P708" s="885">
        <v>46038.203287037039</v>
      </c>
      <c r="Q708" t="s">
        <v>268</v>
      </c>
      <c r="R708" t="s">
        <v>269</v>
      </c>
    </row>
    <row r="709" spans="1:18" x14ac:dyDescent="0.15">
      <c r="A709" s="788">
        <v>2366783050</v>
      </c>
      <c r="B709" t="s">
        <v>2344</v>
      </c>
      <c r="C709" s="884">
        <v>46272</v>
      </c>
      <c r="D709" s="884">
        <v>46273</v>
      </c>
      <c r="E709" t="s">
        <v>262</v>
      </c>
      <c r="F709" t="s">
        <v>277</v>
      </c>
      <c r="H709" t="s">
        <v>1858</v>
      </c>
      <c r="I709" s="885">
        <v>46031.450694444444</v>
      </c>
      <c r="L709" t="s">
        <v>274</v>
      </c>
      <c r="M709" t="s">
        <v>265</v>
      </c>
      <c r="N709" t="s">
        <v>2345</v>
      </c>
      <c r="O709" t="s">
        <v>267</v>
      </c>
      <c r="P709" s="885">
        <v>46031.455775462964</v>
      </c>
      <c r="Q709" t="s">
        <v>268</v>
      </c>
      <c r="R709" t="s">
        <v>269</v>
      </c>
    </row>
    <row r="710" spans="1:18" x14ac:dyDescent="0.15">
      <c r="A710" s="788">
        <v>2368313939</v>
      </c>
      <c r="B710" t="s">
        <v>2372</v>
      </c>
      <c r="C710" s="884">
        <v>46061</v>
      </c>
      <c r="D710" s="884">
        <v>46063</v>
      </c>
      <c r="E710" t="s">
        <v>262</v>
      </c>
      <c r="F710" t="s">
        <v>277</v>
      </c>
      <c r="H710" t="s">
        <v>1897</v>
      </c>
      <c r="I710" s="885">
        <v>46033.794444444444</v>
      </c>
      <c r="L710" t="s">
        <v>274</v>
      </c>
      <c r="M710" t="s">
        <v>265</v>
      </c>
      <c r="N710" t="s">
        <v>2373</v>
      </c>
      <c r="O710" t="s">
        <v>267</v>
      </c>
      <c r="P710" s="885">
        <v>46033.798738425925</v>
      </c>
      <c r="Q710" t="s">
        <v>268</v>
      </c>
      <c r="R710" t="s">
        <v>269</v>
      </c>
    </row>
    <row r="711" spans="1:18" x14ac:dyDescent="0.15">
      <c r="A711" s="788">
        <v>2368543588</v>
      </c>
      <c r="B711" t="s">
        <v>2377</v>
      </c>
      <c r="C711" s="884">
        <v>46052</v>
      </c>
      <c r="D711" s="884">
        <v>46054</v>
      </c>
      <c r="E711" t="s">
        <v>262</v>
      </c>
      <c r="F711" t="s">
        <v>331</v>
      </c>
      <c r="H711" t="s">
        <v>1779</v>
      </c>
      <c r="I711" s="885">
        <v>46034.070833333331</v>
      </c>
      <c r="L711" t="s">
        <v>274</v>
      </c>
      <c r="M711" t="s">
        <v>265</v>
      </c>
      <c r="N711" t="s">
        <v>2052</v>
      </c>
      <c r="O711" t="s">
        <v>267</v>
      </c>
      <c r="P711" s="885">
        <v>46034.076504629629</v>
      </c>
      <c r="Q711" t="s">
        <v>268</v>
      </c>
      <c r="R711" t="s">
        <v>269</v>
      </c>
    </row>
    <row r="712" spans="1:18" x14ac:dyDescent="0.15">
      <c r="A712" s="788">
        <v>2368905950</v>
      </c>
      <c r="B712" t="s">
        <v>2381</v>
      </c>
      <c r="C712" s="884">
        <v>46106</v>
      </c>
      <c r="D712" s="884">
        <v>46109</v>
      </c>
      <c r="E712" t="s">
        <v>262</v>
      </c>
      <c r="F712" t="s">
        <v>331</v>
      </c>
      <c r="H712" t="s">
        <v>1977</v>
      </c>
      <c r="I712" s="885">
        <v>46034.60833333333</v>
      </c>
      <c r="K712" s="885">
        <v>46084.68472222222</v>
      </c>
      <c r="L712" t="s">
        <v>264</v>
      </c>
      <c r="M712" t="s">
        <v>265</v>
      </c>
      <c r="N712" t="s">
        <v>2382</v>
      </c>
      <c r="O712" t="s">
        <v>267</v>
      </c>
      <c r="P712" s="885">
        <v>46084.690520833334</v>
      </c>
      <c r="Q712" t="s">
        <v>268</v>
      </c>
      <c r="R712" t="s">
        <v>269</v>
      </c>
    </row>
    <row r="713" spans="1:18" x14ac:dyDescent="0.15">
      <c r="A713" s="788">
        <v>2369826061</v>
      </c>
      <c r="B713" t="s">
        <v>2386</v>
      </c>
      <c r="C713" s="884">
        <v>46056</v>
      </c>
      <c r="D713" s="884">
        <v>46058</v>
      </c>
      <c r="E713" t="s">
        <v>262</v>
      </c>
      <c r="F713" t="s">
        <v>277</v>
      </c>
      <c r="H713" t="s">
        <v>1809</v>
      </c>
      <c r="I713" s="885">
        <v>46035.70416666667</v>
      </c>
      <c r="L713" t="s">
        <v>274</v>
      </c>
      <c r="M713" t="s">
        <v>265</v>
      </c>
      <c r="N713" t="s">
        <v>940</v>
      </c>
      <c r="O713" t="s">
        <v>267</v>
      </c>
      <c r="P713" s="885">
        <v>46035.708877314813</v>
      </c>
      <c r="Q713" t="s">
        <v>268</v>
      </c>
      <c r="R713" t="s">
        <v>269</v>
      </c>
    </row>
    <row r="714" spans="1:18" x14ac:dyDescent="0.15">
      <c r="A714" s="788">
        <v>2370026856</v>
      </c>
      <c r="B714" t="s">
        <v>2394</v>
      </c>
      <c r="C714" s="884">
        <v>46078</v>
      </c>
      <c r="D714" s="884">
        <v>46081</v>
      </c>
      <c r="E714" t="s">
        <v>262</v>
      </c>
      <c r="F714" t="s">
        <v>277</v>
      </c>
      <c r="H714" t="s">
        <v>1897</v>
      </c>
      <c r="I714" s="885">
        <v>46035.885416666664</v>
      </c>
      <c r="L714" t="s">
        <v>274</v>
      </c>
      <c r="M714" t="s">
        <v>265</v>
      </c>
      <c r="N714" t="s">
        <v>2395</v>
      </c>
      <c r="O714" t="s">
        <v>267</v>
      </c>
      <c r="P714" s="885">
        <v>46035.892638888887</v>
      </c>
      <c r="Q714" t="s">
        <v>268</v>
      </c>
      <c r="R714" t="s">
        <v>269</v>
      </c>
    </row>
    <row r="715" spans="1:18" x14ac:dyDescent="0.15">
      <c r="A715" s="788">
        <v>2370351673</v>
      </c>
      <c r="B715" t="s">
        <v>2398</v>
      </c>
      <c r="C715" s="884">
        <v>46075</v>
      </c>
      <c r="D715" s="884">
        <v>46076</v>
      </c>
      <c r="E715" t="s">
        <v>262</v>
      </c>
      <c r="F715" t="s">
        <v>277</v>
      </c>
      <c r="H715" t="s">
        <v>1858</v>
      </c>
      <c r="I715" s="885">
        <v>46036.23541666667</v>
      </c>
      <c r="L715" t="s">
        <v>274</v>
      </c>
      <c r="M715" t="s">
        <v>265</v>
      </c>
      <c r="N715" t="s">
        <v>1233</v>
      </c>
      <c r="O715" t="s">
        <v>267</v>
      </c>
      <c r="P715" s="885">
        <v>46036.238587962966</v>
      </c>
      <c r="Q715" t="s">
        <v>268</v>
      </c>
      <c r="R715" t="s">
        <v>269</v>
      </c>
    </row>
    <row r="716" spans="1:18" x14ac:dyDescent="0.15">
      <c r="A716" s="788">
        <v>2370371507</v>
      </c>
      <c r="B716" t="s">
        <v>2398</v>
      </c>
      <c r="C716" s="884">
        <v>46075</v>
      </c>
      <c r="D716" s="884">
        <v>46076</v>
      </c>
      <c r="E716" t="s">
        <v>262</v>
      </c>
      <c r="F716" t="s">
        <v>277</v>
      </c>
      <c r="H716" t="s">
        <v>2399</v>
      </c>
      <c r="I716" s="885">
        <v>46036.259027777778</v>
      </c>
      <c r="L716" t="s">
        <v>274</v>
      </c>
      <c r="M716" t="s">
        <v>265</v>
      </c>
      <c r="N716" t="s">
        <v>2400</v>
      </c>
      <c r="O716" t="s">
        <v>267</v>
      </c>
      <c r="P716" s="885">
        <v>46036.264432870368</v>
      </c>
      <c r="Q716" t="s">
        <v>268</v>
      </c>
      <c r="R716" t="s">
        <v>269</v>
      </c>
    </row>
    <row r="717" spans="1:18" x14ac:dyDescent="0.15">
      <c r="A717" s="788">
        <v>2370766322</v>
      </c>
      <c r="B717" t="s">
        <v>2415</v>
      </c>
      <c r="C717" s="884">
        <v>46337</v>
      </c>
      <c r="D717" s="884">
        <v>46339</v>
      </c>
      <c r="E717" t="s">
        <v>262</v>
      </c>
      <c r="F717" t="s">
        <v>277</v>
      </c>
      <c r="H717" t="s">
        <v>1809</v>
      </c>
      <c r="I717" s="885">
        <v>46036.785416666666</v>
      </c>
      <c r="L717" t="s">
        <v>274</v>
      </c>
      <c r="M717" t="s">
        <v>265</v>
      </c>
      <c r="N717" t="s">
        <v>2416</v>
      </c>
      <c r="O717" t="s">
        <v>267</v>
      </c>
      <c r="P717" s="885">
        <v>46036.790254629632</v>
      </c>
      <c r="Q717" t="s">
        <v>268</v>
      </c>
      <c r="R717" t="s">
        <v>269</v>
      </c>
    </row>
    <row r="718" spans="1:18" x14ac:dyDescent="0.15">
      <c r="A718" s="788">
        <v>2370766327</v>
      </c>
      <c r="B718" t="s">
        <v>2417</v>
      </c>
      <c r="C718" s="884">
        <v>46337</v>
      </c>
      <c r="D718" s="884">
        <v>46339</v>
      </c>
      <c r="E718" t="s">
        <v>262</v>
      </c>
      <c r="F718" t="s">
        <v>277</v>
      </c>
      <c r="H718" t="s">
        <v>1809</v>
      </c>
      <c r="I718" s="885">
        <v>46036.785416666666</v>
      </c>
      <c r="L718" t="s">
        <v>274</v>
      </c>
      <c r="M718" t="s">
        <v>265</v>
      </c>
      <c r="N718" t="s">
        <v>2416</v>
      </c>
      <c r="O718" t="s">
        <v>267</v>
      </c>
      <c r="P718" s="885">
        <v>46036.790254629632</v>
      </c>
      <c r="Q718" t="s">
        <v>268</v>
      </c>
      <c r="R718" t="s">
        <v>269</v>
      </c>
    </row>
    <row r="719" spans="1:18" x14ac:dyDescent="0.15">
      <c r="A719" s="788">
        <v>2371715622</v>
      </c>
      <c r="B719" t="s">
        <v>2436</v>
      </c>
      <c r="C719" s="884">
        <v>46045</v>
      </c>
      <c r="D719" s="884">
        <v>46046</v>
      </c>
      <c r="E719" t="s">
        <v>262</v>
      </c>
      <c r="F719" t="s">
        <v>331</v>
      </c>
      <c r="H719" t="s">
        <v>1977</v>
      </c>
      <c r="I719" s="885">
        <v>46037.921527777777</v>
      </c>
      <c r="L719" t="s">
        <v>274</v>
      </c>
      <c r="M719" t="s">
        <v>265</v>
      </c>
      <c r="N719" t="s">
        <v>2437</v>
      </c>
      <c r="O719" t="s">
        <v>267</v>
      </c>
      <c r="P719" s="885">
        <v>46037.925949074073</v>
      </c>
      <c r="Q719" t="s">
        <v>268</v>
      </c>
      <c r="R719" t="s">
        <v>269</v>
      </c>
    </row>
    <row r="720" spans="1:18" x14ac:dyDescent="0.15">
      <c r="A720" s="788">
        <v>2372878311</v>
      </c>
      <c r="B720" t="s">
        <v>2443</v>
      </c>
      <c r="C720" s="884">
        <v>46063</v>
      </c>
      <c r="D720" s="884">
        <v>46066</v>
      </c>
      <c r="E720" t="s">
        <v>262</v>
      </c>
      <c r="F720" t="s">
        <v>277</v>
      </c>
      <c r="H720" t="s">
        <v>1858</v>
      </c>
      <c r="I720" s="885">
        <v>46039.4375</v>
      </c>
      <c r="L720" t="s">
        <v>274</v>
      </c>
      <c r="M720" t="s">
        <v>265</v>
      </c>
      <c r="N720" t="s">
        <v>2444</v>
      </c>
      <c r="O720" t="s">
        <v>267</v>
      </c>
      <c r="P720" s="885">
        <v>46039.438784722224</v>
      </c>
      <c r="Q720" t="s">
        <v>268</v>
      </c>
      <c r="R720" t="s">
        <v>269</v>
      </c>
    </row>
    <row r="721" spans="1:18" x14ac:dyDescent="0.15">
      <c r="A721" s="788">
        <v>2372933189</v>
      </c>
      <c r="B721" t="s">
        <v>2445</v>
      </c>
      <c r="C721" s="884">
        <v>46058</v>
      </c>
      <c r="D721" s="884">
        <v>46061</v>
      </c>
      <c r="E721" t="s">
        <v>262</v>
      </c>
      <c r="F721" t="s">
        <v>331</v>
      </c>
      <c r="H721" t="s">
        <v>1977</v>
      </c>
      <c r="I721" s="885">
        <v>46039.570833333331</v>
      </c>
      <c r="L721" t="s">
        <v>274</v>
      </c>
      <c r="M721" t="s">
        <v>265</v>
      </c>
      <c r="N721" t="s">
        <v>2446</v>
      </c>
      <c r="O721" t="s">
        <v>267</v>
      </c>
      <c r="P721" s="885">
        <v>46039.574178240742</v>
      </c>
      <c r="Q721" t="s">
        <v>268</v>
      </c>
      <c r="R721" t="s">
        <v>269</v>
      </c>
    </row>
    <row r="722" spans="1:18" x14ac:dyDescent="0.15">
      <c r="A722" s="788">
        <v>2373780452</v>
      </c>
      <c r="B722" t="s">
        <v>2454</v>
      </c>
      <c r="C722" s="884">
        <v>46090</v>
      </c>
      <c r="D722" s="884">
        <v>46097</v>
      </c>
      <c r="E722" t="s">
        <v>262</v>
      </c>
      <c r="F722" t="s">
        <v>262</v>
      </c>
      <c r="H722" t="s">
        <v>1977</v>
      </c>
      <c r="I722" s="885">
        <v>46040.883333333331</v>
      </c>
      <c r="L722" t="s">
        <v>274</v>
      </c>
      <c r="M722" t="s">
        <v>279</v>
      </c>
      <c r="N722" t="s">
        <v>2455</v>
      </c>
      <c r="O722" t="s">
        <v>267</v>
      </c>
      <c r="P722" s="885">
        <v>46040.88790509259</v>
      </c>
      <c r="Q722" t="s">
        <v>268</v>
      </c>
      <c r="R722" t="s">
        <v>269</v>
      </c>
    </row>
    <row r="723" spans="1:18" x14ac:dyDescent="0.15">
      <c r="A723" s="788">
        <v>2373805571</v>
      </c>
      <c r="B723" t="s">
        <v>2456</v>
      </c>
      <c r="C723" s="884">
        <v>46081</v>
      </c>
      <c r="D723" s="884">
        <v>46083</v>
      </c>
      <c r="E723" t="s">
        <v>262</v>
      </c>
      <c r="F723" t="s">
        <v>277</v>
      </c>
      <c r="H723" t="s">
        <v>1897</v>
      </c>
      <c r="I723" s="885">
        <v>46040.911805555559</v>
      </c>
      <c r="L723" t="s">
        <v>274</v>
      </c>
      <c r="M723" t="s">
        <v>265</v>
      </c>
      <c r="N723" t="s">
        <v>2457</v>
      </c>
      <c r="O723" t="s">
        <v>267</v>
      </c>
      <c r="P723" s="885">
        <v>46040.917037037034</v>
      </c>
      <c r="Q723" t="s">
        <v>268</v>
      </c>
      <c r="R723" t="s">
        <v>269</v>
      </c>
    </row>
    <row r="724" spans="1:18" x14ac:dyDescent="0.15">
      <c r="A724" s="788">
        <v>2374670941</v>
      </c>
      <c r="B724" t="s">
        <v>2468</v>
      </c>
      <c r="C724" s="884">
        <v>46052</v>
      </c>
      <c r="D724" s="884">
        <v>46056</v>
      </c>
      <c r="E724" t="s">
        <v>262</v>
      </c>
      <c r="F724" t="s">
        <v>331</v>
      </c>
      <c r="H724" t="s">
        <v>1779</v>
      </c>
      <c r="I724" s="885">
        <v>46041.977777777778</v>
      </c>
      <c r="L724" t="s">
        <v>274</v>
      </c>
      <c r="M724" t="s">
        <v>265</v>
      </c>
      <c r="N724" t="s">
        <v>2469</v>
      </c>
      <c r="O724" t="s">
        <v>267</v>
      </c>
      <c r="P724" s="885">
        <v>46041.981435185182</v>
      </c>
      <c r="Q724" t="s">
        <v>268</v>
      </c>
      <c r="R724" t="s">
        <v>269</v>
      </c>
    </row>
    <row r="725" spans="1:18" x14ac:dyDescent="0.15">
      <c r="A725" s="788">
        <v>2377447437</v>
      </c>
      <c r="B725" t="s">
        <v>2498</v>
      </c>
      <c r="C725" s="884">
        <v>46285</v>
      </c>
      <c r="D725" s="884">
        <v>46286</v>
      </c>
      <c r="E725" t="s">
        <v>262</v>
      </c>
      <c r="F725" t="s">
        <v>277</v>
      </c>
      <c r="H725" t="s">
        <v>1858</v>
      </c>
      <c r="I725" s="885">
        <v>46045.652777777781</v>
      </c>
      <c r="L725" t="s">
        <v>274</v>
      </c>
      <c r="M725" t="s">
        <v>265</v>
      </c>
      <c r="N725" t="s">
        <v>2499</v>
      </c>
      <c r="O725" t="s">
        <v>267</v>
      </c>
      <c r="P725" s="885">
        <v>46045.654444444444</v>
      </c>
      <c r="Q725" t="s">
        <v>268</v>
      </c>
      <c r="R725" t="s">
        <v>269</v>
      </c>
    </row>
    <row r="726" spans="1:18" x14ac:dyDescent="0.15">
      <c r="A726" s="788">
        <v>2378019428</v>
      </c>
      <c r="B726" t="s">
        <v>2500</v>
      </c>
      <c r="C726" s="884">
        <v>46101</v>
      </c>
      <c r="D726" s="884">
        <v>46102</v>
      </c>
      <c r="E726" t="s">
        <v>262</v>
      </c>
      <c r="F726" t="s">
        <v>262</v>
      </c>
      <c r="H726" t="s">
        <v>1897</v>
      </c>
      <c r="I726" s="885">
        <v>46046.453472222223</v>
      </c>
      <c r="K726" s="885">
        <v>46050.324305555558</v>
      </c>
      <c r="L726" t="s">
        <v>264</v>
      </c>
      <c r="M726" t="s">
        <v>265</v>
      </c>
      <c r="N726" t="s">
        <v>1695</v>
      </c>
      <c r="O726" t="s">
        <v>267</v>
      </c>
      <c r="P726" s="885">
        <v>46050.330046296294</v>
      </c>
      <c r="Q726" t="s">
        <v>268</v>
      </c>
      <c r="R726" t="s">
        <v>269</v>
      </c>
    </row>
    <row r="727" spans="1:18" x14ac:dyDescent="0.15">
      <c r="A727" s="788">
        <v>2378063707</v>
      </c>
      <c r="B727" t="s">
        <v>2501</v>
      </c>
      <c r="C727" s="884">
        <v>46082</v>
      </c>
      <c r="D727" s="884">
        <v>46084</v>
      </c>
      <c r="E727" t="s">
        <v>262</v>
      </c>
      <c r="F727" t="s">
        <v>331</v>
      </c>
      <c r="H727" t="s">
        <v>1977</v>
      </c>
      <c r="I727" s="885">
        <v>46046.56527777778</v>
      </c>
      <c r="L727" t="s">
        <v>274</v>
      </c>
      <c r="M727" t="s">
        <v>265</v>
      </c>
      <c r="N727" t="s">
        <v>2502</v>
      </c>
      <c r="O727" t="s">
        <v>267</v>
      </c>
      <c r="P727" s="885">
        <v>46046.56994212963</v>
      </c>
      <c r="Q727" t="s">
        <v>268</v>
      </c>
      <c r="R727" t="s">
        <v>269</v>
      </c>
    </row>
    <row r="728" spans="1:18" x14ac:dyDescent="0.15">
      <c r="A728" s="788">
        <v>2378375656</v>
      </c>
      <c r="B728" t="s">
        <v>2516</v>
      </c>
      <c r="C728" s="884">
        <v>46313</v>
      </c>
      <c r="D728" s="884">
        <v>46315</v>
      </c>
      <c r="E728" t="s">
        <v>262</v>
      </c>
      <c r="F728" t="s">
        <v>277</v>
      </c>
      <c r="H728" t="s">
        <v>1858</v>
      </c>
      <c r="I728" s="885">
        <v>46047.020138888889</v>
      </c>
      <c r="L728" t="s">
        <v>274</v>
      </c>
      <c r="M728" t="s">
        <v>265</v>
      </c>
      <c r="N728" t="s">
        <v>2304</v>
      </c>
      <c r="O728" t="s">
        <v>267</v>
      </c>
      <c r="P728" s="885">
        <v>46047.023692129631</v>
      </c>
      <c r="Q728" t="s">
        <v>268</v>
      </c>
      <c r="R728" t="s">
        <v>269</v>
      </c>
    </row>
    <row r="729" spans="1:18" x14ac:dyDescent="0.15">
      <c r="A729" s="788">
        <v>2380018568</v>
      </c>
      <c r="B729" t="s">
        <v>2526</v>
      </c>
      <c r="C729" s="884">
        <v>46059</v>
      </c>
      <c r="D729" s="884">
        <v>46061</v>
      </c>
      <c r="E729" t="s">
        <v>262</v>
      </c>
      <c r="F729" t="s">
        <v>277</v>
      </c>
      <c r="H729" t="s">
        <v>1809</v>
      </c>
      <c r="I729" s="885">
        <v>46049.340277777781</v>
      </c>
      <c r="L729" t="s">
        <v>274</v>
      </c>
      <c r="M729" t="s">
        <v>279</v>
      </c>
      <c r="N729" t="s">
        <v>940</v>
      </c>
      <c r="O729" t="s">
        <v>267</v>
      </c>
      <c r="P729" s="885">
        <v>46049.345543981479</v>
      </c>
      <c r="Q729" t="s">
        <v>268</v>
      </c>
      <c r="R729" t="s">
        <v>269</v>
      </c>
    </row>
    <row r="730" spans="1:18" x14ac:dyDescent="0.15">
      <c r="A730" s="788">
        <v>2380800792</v>
      </c>
      <c r="B730" t="s">
        <v>2500</v>
      </c>
      <c r="C730" s="884">
        <v>46100</v>
      </c>
      <c r="D730" s="884">
        <v>46102</v>
      </c>
      <c r="E730" t="s">
        <v>262</v>
      </c>
      <c r="F730" t="s">
        <v>262</v>
      </c>
      <c r="H730" t="s">
        <v>1779</v>
      </c>
      <c r="I730" s="885">
        <v>46050.32708333333</v>
      </c>
      <c r="K730" s="885">
        <v>46096.42083333333</v>
      </c>
      <c r="L730" t="s">
        <v>264</v>
      </c>
      <c r="M730" t="s">
        <v>265</v>
      </c>
      <c r="N730" t="s">
        <v>1627</v>
      </c>
      <c r="O730" t="s">
        <v>267</v>
      </c>
      <c r="P730" s="885">
        <v>46096.426585648151</v>
      </c>
      <c r="Q730" t="s">
        <v>268</v>
      </c>
      <c r="R730" t="s">
        <v>269</v>
      </c>
    </row>
    <row r="731" spans="1:18" x14ac:dyDescent="0.15">
      <c r="A731" s="788">
        <v>2380943130</v>
      </c>
      <c r="B731" t="s">
        <v>2545</v>
      </c>
      <c r="C731" s="884">
        <v>46052</v>
      </c>
      <c r="D731" s="884">
        <v>46054</v>
      </c>
      <c r="E731" t="s">
        <v>262</v>
      </c>
      <c r="F731" t="s">
        <v>277</v>
      </c>
      <c r="H731" t="s">
        <v>2166</v>
      </c>
      <c r="I731" s="885">
        <v>46050.584027777775</v>
      </c>
      <c r="L731" t="s">
        <v>274</v>
      </c>
      <c r="M731" t="s">
        <v>265</v>
      </c>
      <c r="N731" t="s">
        <v>2180</v>
      </c>
      <c r="O731" t="s">
        <v>267</v>
      </c>
      <c r="P731" s="885">
        <v>46050.589930555558</v>
      </c>
      <c r="Q731" t="s">
        <v>268</v>
      </c>
      <c r="R731" t="s">
        <v>269</v>
      </c>
    </row>
    <row r="732" spans="1:18" x14ac:dyDescent="0.15">
      <c r="A732" s="788">
        <v>2380943134</v>
      </c>
      <c r="B732" t="s">
        <v>2546</v>
      </c>
      <c r="C732" s="884">
        <v>46052</v>
      </c>
      <c r="D732" s="884">
        <v>46054</v>
      </c>
      <c r="E732" t="s">
        <v>262</v>
      </c>
      <c r="F732" t="s">
        <v>277</v>
      </c>
      <c r="H732" t="s">
        <v>2166</v>
      </c>
      <c r="I732" s="885">
        <v>46050.584027777775</v>
      </c>
      <c r="L732" t="s">
        <v>274</v>
      </c>
      <c r="M732" t="s">
        <v>265</v>
      </c>
      <c r="N732" t="s">
        <v>2180</v>
      </c>
      <c r="O732" t="s">
        <v>267</v>
      </c>
      <c r="P732" s="885">
        <v>46050.589930555558</v>
      </c>
      <c r="Q732" t="s">
        <v>268</v>
      </c>
      <c r="R732" t="s">
        <v>269</v>
      </c>
    </row>
    <row r="733" spans="1:18" x14ac:dyDescent="0.15">
      <c r="A733" s="788">
        <v>2380943138</v>
      </c>
      <c r="B733" t="s">
        <v>2547</v>
      </c>
      <c r="C733" s="884">
        <v>46052</v>
      </c>
      <c r="D733" s="884">
        <v>46054</v>
      </c>
      <c r="E733" t="s">
        <v>262</v>
      </c>
      <c r="F733" t="s">
        <v>277</v>
      </c>
      <c r="H733" t="s">
        <v>2166</v>
      </c>
      <c r="I733" s="885">
        <v>46050.584027777775</v>
      </c>
      <c r="L733" t="s">
        <v>274</v>
      </c>
      <c r="M733" t="s">
        <v>265</v>
      </c>
      <c r="N733" t="s">
        <v>2180</v>
      </c>
      <c r="O733" t="s">
        <v>267</v>
      </c>
      <c r="P733" s="885">
        <v>46050.589930555558</v>
      </c>
      <c r="Q733" t="s">
        <v>268</v>
      </c>
      <c r="R733" t="s">
        <v>269</v>
      </c>
    </row>
    <row r="734" spans="1:18" x14ac:dyDescent="0.15">
      <c r="A734" s="788">
        <v>2380943141</v>
      </c>
      <c r="B734" t="s">
        <v>2548</v>
      </c>
      <c r="C734" s="884">
        <v>46052</v>
      </c>
      <c r="D734" s="884">
        <v>46054</v>
      </c>
      <c r="E734" t="s">
        <v>262</v>
      </c>
      <c r="F734" t="s">
        <v>277</v>
      </c>
      <c r="H734" t="s">
        <v>2166</v>
      </c>
      <c r="I734" s="885">
        <v>46050.584027777775</v>
      </c>
      <c r="L734" t="s">
        <v>274</v>
      </c>
      <c r="M734" t="s">
        <v>265</v>
      </c>
      <c r="N734" t="s">
        <v>2180</v>
      </c>
      <c r="O734" t="s">
        <v>267</v>
      </c>
      <c r="P734" s="885">
        <v>46050.589930555558</v>
      </c>
      <c r="Q734" t="s">
        <v>268</v>
      </c>
      <c r="R734" t="s">
        <v>269</v>
      </c>
    </row>
    <row r="735" spans="1:18" x14ac:dyDescent="0.15">
      <c r="A735" s="788">
        <v>2380943144</v>
      </c>
      <c r="B735" t="s">
        <v>2549</v>
      </c>
      <c r="C735" s="884">
        <v>46052</v>
      </c>
      <c r="D735" s="884">
        <v>46054</v>
      </c>
      <c r="E735" t="s">
        <v>262</v>
      </c>
      <c r="F735" t="s">
        <v>277</v>
      </c>
      <c r="H735" t="s">
        <v>2166</v>
      </c>
      <c r="I735" s="885">
        <v>46050.584027777775</v>
      </c>
      <c r="L735" t="s">
        <v>274</v>
      </c>
      <c r="M735" t="s">
        <v>265</v>
      </c>
      <c r="N735" t="s">
        <v>2180</v>
      </c>
      <c r="O735" t="s">
        <v>267</v>
      </c>
      <c r="P735" s="885">
        <v>46050.589930555558</v>
      </c>
      <c r="Q735" t="s">
        <v>268</v>
      </c>
      <c r="R735" t="s">
        <v>269</v>
      </c>
    </row>
    <row r="736" spans="1:18" x14ac:dyDescent="0.15">
      <c r="A736" s="788">
        <v>2380943177</v>
      </c>
      <c r="B736" t="s">
        <v>2550</v>
      </c>
      <c r="C736" s="884">
        <v>46052</v>
      </c>
      <c r="D736" s="884">
        <v>46054</v>
      </c>
      <c r="E736" t="s">
        <v>262</v>
      </c>
      <c r="F736" t="s">
        <v>277</v>
      </c>
      <c r="H736" t="s">
        <v>2166</v>
      </c>
      <c r="I736" s="885">
        <v>46050.584027777775</v>
      </c>
      <c r="J736" s="885">
        <v>46052.39166666667</v>
      </c>
      <c r="L736" t="s">
        <v>720</v>
      </c>
      <c r="M736" t="s">
        <v>265</v>
      </c>
      <c r="N736" t="s">
        <v>2180</v>
      </c>
      <c r="O736" t="s">
        <v>730</v>
      </c>
      <c r="P736" s="885">
        <v>46052.394363425927</v>
      </c>
      <c r="Q736" t="s">
        <v>268</v>
      </c>
      <c r="R736" t="s">
        <v>269</v>
      </c>
    </row>
    <row r="737" spans="1:18" x14ac:dyDescent="0.15">
      <c r="A737" s="788">
        <v>2380943180</v>
      </c>
      <c r="B737" t="s">
        <v>2551</v>
      </c>
      <c r="C737" s="884">
        <v>46052</v>
      </c>
      <c r="D737" s="884">
        <v>46054</v>
      </c>
      <c r="E737" t="s">
        <v>262</v>
      </c>
      <c r="F737" t="s">
        <v>277</v>
      </c>
      <c r="H737" t="s">
        <v>2166</v>
      </c>
      <c r="I737" s="885">
        <v>46050.584027777775</v>
      </c>
      <c r="L737" t="s">
        <v>274</v>
      </c>
      <c r="M737" t="s">
        <v>265</v>
      </c>
      <c r="N737" t="s">
        <v>2180</v>
      </c>
      <c r="O737" t="s">
        <v>267</v>
      </c>
      <c r="P737" s="885">
        <v>46050.589930555558</v>
      </c>
      <c r="Q737" t="s">
        <v>268</v>
      </c>
      <c r="R737" t="s">
        <v>269</v>
      </c>
    </row>
    <row r="738" spans="1:18" x14ac:dyDescent="0.15">
      <c r="A738" s="788">
        <v>2381575441</v>
      </c>
      <c r="B738" t="s">
        <v>2554</v>
      </c>
      <c r="C738" s="884">
        <v>46062</v>
      </c>
      <c r="D738" s="884">
        <v>46065</v>
      </c>
      <c r="E738" t="s">
        <v>262</v>
      </c>
      <c r="F738" t="s">
        <v>331</v>
      </c>
      <c r="H738" t="s">
        <v>1897</v>
      </c>
      <c r="I738" s="885">
        <v>46051.361805555556</v>
      </c>
      <c r="L738" t="s">
        <v>274</v>
      </c>
      <c r="M738" t="s">
        <v>279</v>
      </c>
      <c r="N738" t="s">
        <v>2555</v>
      </c>
      <c r="O738" t="s">
        <v>267</v>
      </c>
      <c r="P738" s="885">
        <v>46051.368703703702</v>
      </c>
      <c r="Q738" t="s">
        <v>268</v>
      </c>
      <c r="R738" t="s">
        <v>269</v>
      </c>
    </row>
    <row r="739" spans="1:18" x14ac:dyDescent="0.15">
      <c r="A739" s="788">
        <v>2381575444</v>
      </c>
      <c r="B739" t="s">
        <v>2556</v>
      </c>
      <c r="C739" s="884">
        <v>46062</v>
      </c>
      <c r="D739" s="884">
        <v>46065</v>
      </c>
      <c r="E739" t="s">
        <v>262</v>
      </c>
      <c r="F739" t="s">
        <v>331</v>
      </c>
      <c r="H739" t="s">
        <v>1897</v>
      </c>
      <c r="I739" s="885">
        <v>46051.361805555556</v>
      </c>
      <c r="L739" t="s">
        <v>274</v>
      </c>
      <c r="M739" t="s">
        <v>279</v>
      </c>
      <c r="N739" t="s">
        <v>2555</v>
      </c>
      <c r="O739" t="s">
        <v>267</v>
      </c>
      <c r="P739" s="885">
        <v>46051.368703703702</v>
      </c>
      <c r="Q739" t="s">
        <v>268</v>
      </c>
      <c r="R739" t="s">
        <v>269</v>
      </c>
    </row>
    <row r="740" spans="1:18" x14ac:dyDescent="0.15">
      <c r="A740" s="788">
        <v>2381633872</v>
      </c>
      <c r="B740" t="s">
        <v>2557</v>
      </c>
      <c r="C740" s="884">
        <v>46052</v>
      </c>
      <c r="D740" s="884">
        <v>46053</v>
      </c>
      <c r="E740" t="s">
        <v>262</v>
      </c>
      <c r="F740" t="s">
        <v>277</v>
      </c>
      <c r="H740" t="s">
        <v>1897</v>
      </c>
      <c r="I740" s="885">
        <v>46051.475694444445</v>
      </c>
      <c r="L740" t="s">
        <v>274</v>
      </c>
      <c r="M740" t="s">
        <v>279</v>
      </c>
      <c r="N740" t="s">
        <v>2110</v>
      </c>
      <c r="O740" t="s">
        <v>267</v>
      </c>
      <c r="P740" s="885">
        <v>46051.481111111112</v>
      </c>
      <c r="Q740" t="s">
        <v>268</v>
      </c>
      <c r="R740" t="s">
        <v>269</v>
      </c>
    </row>
    <row r="741" spans="1:18" x14ac:dyDescent="0.15">
      <c r="A741" s="788">
        <v>2382509821</v>
      </c>
      <c r="B741" t="s">
        <v>2051</v>
      </c>
      <c r="C741" s="884">
        <v>46055</v>
      </c>
      <c r="D741" s="884">
        <v>46056</v>
      </c>
      <c r="E741" t="s">
        <v>262</v>
      </c>
      <c r="F741" t="s">
        <v>262</v>
      </c>
      <c r="H741" t="s">
        <v>1977</v>
      </c>
      <c r="I741" s="885">
        <v>46052.688888888886</v>
      </c>
      <c r="L741" t="s">
        <v>274</v>
      </c>
      <c r="M741" t="s">
        <v>265</v>
      </c>
      <c r="N741" t="s">
        <v>2437</v>
      </c>
      <c r="O741" t="s">
        <v>267</v>
      </c>
      <c r="P741" s="885">
        <v>46052.692384259259</v>
      </c>
      <c r="Q741" t="s">
        <v>268</v>
      </c>
      <c r="R741" t="s">
        <v>269</v>
      </c>
    </row>
    <row r="742" spans="1:18" x14ac:dyDescent="0.15">
      <c r="A742" s="788">
        <v>1125593</v>
      </c>
      <c r="B742" t="s">
        <v>1786</v>
      </c>
      <c r="C742" s="884">
        <v>46043</v>
      </c>
      <c r="D742" s="884">
        <v>46046</v>
      </c>
      <c r="E742" t="s">
        <v>1787</v>
      </c>
      <c r="F742" t="s">
        <v>1787</v>
      </c>
      <c r="H742" t="s">
        <v>1788</v>
      </c>
      <c r="I742" s="885">
        <v>45973.618078703701</v>
      </c>
      <c r="L742" t="s">
        <v>274</v>
      </c>
      <c r="M742" t="s">
        <v>265</v>
      </c>
      <c r="N742" t="s">
        <v>1789</v>
      </c>
      <c r="O742" t="s">
        <v>267</v>
      </c>
      <c r="P742" s="885">
        <v>45973.538229166668</v>
      </c>
      <c r="Q742" t="s">
        <v>268</v>
      </c>
      <c r="R742" t="s">
        <v>269</v>
      </c>
    </row>
    <row r="743" spans="1:18" x14ac:dyDescent="0.15">
      <c r="A743" s="788">
        <v>1132094</v>
      </c>
      <c r="B743" t="s">
        <v>2440</v>
      </c>
      <c r="C743" s="884">
        <v>46100</v>
      </c>
      <c r="D743" s="884">
        <v>46104</v>
      </c>
      <c r="E743" t="s">
        <v>1787</v>
      </c>
      <c r="F743" t="s">
        <v>1787</v>
      </c>
      <c r="H743" t="s">
        <v>2441</v>
      </c>
      <c r="I743" s="885">
        <v>46038.791689814818</v>
      </c>
      <c r="L743" t="s">
        <v>274</v>
      </c>
      <c r="M743" t="s">
        <v>265</v>
      </c>
      <c r="N743" t="s">
        <v>2442</v>
      </c>
      <c r="O743" t="s">
        <v>267</v>
      </c>
      <c r="P743" s="885">
        <v>46038.710069444445</v>
      </c>
      <c r="Q743" t="s">
        <v>268</v>
      </c>
      <c r="R743" t="s">
        <v>269</v>
      </c>
    </row>
    <row r="744" spans="1:18" x14ac:dyDescent="0.15">
      <c r="A744" s="788" t="s">
        <v>979</v>
      </c>
      <c r="B744" t="s">
        <v>980</v>
      </c>
      <c r="C744" s="884">
        <v>45888</v>
      </c>
      <c r="D744" s="884">
        <v>45889</v>
      </c>
      <c r="E744" t="s">
        <v>981</v>
      </c>
      <c r="F744" t="s">
        <v>982</v>
      </c>
      <c r="H744" t="s">
        <v>983</v>
      </c>
      <c r="I744" s="885">
        <v>45887.384745370371</v>
      </c>
      <c r="L744" t="s">
        <v>274</v>
      </c>
      <c r="M744" t="s">
        <v>265</v>
      </c>
      <c r="N744" t="s">
        <v>984</v>
      </c>
      <c r="O744" t="s">
        <v>267</v>
      </c>
      <c r="P744" s="885">
        <v>45887.387083333335</v>
      </c>
      <c r="Q744" t="s">
        <v>268</v>
      </c>
      <c r="R744" t="s">
        <v>269</v>
      </c>
    </row>
    <row r="745" spans="1:18" x14ac:dyDescent="0.15">
      <c r="A745" s="788" t="s">
        <v>1016</v>
      </c>
      <c r="B745" t="s">
        <v>1017</v>
      </c>
      <c r="C745" s="884">
        <v>46015</v>
      </c>
      <c r="D745" s="884">
        <v>46017</v>
      </c>
      <c r="E745" t="s">
        <v>981</v>
      </c>
      <c r="F745" t="s">
        <v>982</v>
      </c>
      <c r="H745" t="s">
        <v>1018</v>
      </c>
      <c r="I745" s="885">
        <v>45890.667037037034</v>
      </c>
      <c r="K745" s="885">
        <v>45891.531527777777</v>
      </c>
      <c r="L745" t="s">
        <v>264</v>
      </c>
      <c r="M745" t="s">
        <v>265</v>
      </c>
      <c r="N745" t="s">
        <v>1019</v>
      </c>
      <c r="O745" t="s">
        <v>267</v>
      </c>
      <c r="P745" s="885">
        <v>45891.534537037034</v>
      </c>
      <c r="Q745" t="s">
        <v>268</v>
      </c>
      <c r="R745" t="s">
        <v>269</v>
      </c>
    </row>
    <row r="746" spans="1:18" x14ac:dyDescent="0.15">
      <c r="A746" s="788" t="s">
        <v>1020</v>
      </c>
      <c r="B746" t="s">
        <v>1021</v>
      </c>
      <c r="C746" s="884">
        <v>46015</v>
      </c>
      <c r="D746" s="884">
        <v>46017</v>
      </c>
      <c r="E746" t="s">
        <v>981</v>
      </c>
      <c r="F746" t="s">
        <v>982</v>
      </c>
      <c r="H746" t="s">
        <v>1018</v>
      </c>
      <c r="I746" s="885">
        <v>45890.677673611113</v>
      </c>
      <c r="K746" s="885">
        <v>45891.521226851852</v>
      </c>
      <c r="L746" t="s">
        <v>264</v>
      </c>
      <c r="M746" t="s">
        <v>265</v>
      </c>
      <c r="N746" t="s">
        <v>1019</v>
      </c>
      <c r="O746" t="s">
        <v>267</v>
      </c>
      <c r="P746" s="885">
        <v>45891.524027777778</v>
      </c>
      <c r="Q746" t="s">
        <v>268</v>
      </c>
      <c r="R746" t="s">
        <v>269</v>
      </c>
    </row>
    <row r="747" spans="1:18" x14ac:dyDescent="0.15">
      <c r="A747" s="788" t="s">
        <v>1028</v>
      </c>
      <c r="B747" t="s">
        <v>1021</v>
      </c>
      <c r="C747" s="884">
        <v>46015</v>
      </c>
      <c r="D747" s="884">
        <v>46018</v>
      </c>
      <c r="E747" t="s">
        <v>981</v>
      </c>
      <c r="F747" t="s">
        <v>982</v>
      </c>
      <c r="H747" t="s">
        <v>1018</v>
      </c>
      <c r="I747" s="885">
        <v>45891.521192129629</v>
      </c>
      <c r="K747" s="885">
        <v>45957.479687500003</v>
      </c>
      <c r="L747" t="s">
        <v>264</v>
      </c>
      <c r="M747" t="s">
        <v>265</v>
      </c>
      <c r="N747" t="s">
        <v>1029</v>
      </c>
      <c r="O747" t="s">
        <v>267</v>
      </c>
      <c r="P747" s="885">
        <v>45957.480358796296</v>
      </c>
      <c r="Q747" t="s">
        <v>268</v>
      </c>
      <c r="R747" t="s">
        <v>269</v>
      </c>
    </row>
    <row r="748" spans="1:18" x14ac:dyDescent="0.15">
      <c r="A748" s="788" t="s">
        <v>1030</v>
      </c>
      <c r="B748" t="s">
        <v>1017</v>
      </c>
      <c r="C748" s="884">
        <v>46015</v>
      </c>
      <c r="D748" s="884">
        <v>46018</v>
      </c>
      <c r="E748" t="s">
        <v>981</v>
      </c>
      <c r="F748" t="s">
        <v>982</v>
      </c>
      <c r="H748" t="s">
        <v>1018</v>
      </c>
      <c r="I748" s="885">
        <v>45891.531527777777</v>
      </c>
      <c r="K748" s="885">
        <v>45957.479687500003</v>
      </c>
      <c r="L748" t="s">
        <v>264</v>
      </c>
      <c r="M748" t="s">
        <v>265</v>
      </c>
      <c r="N748" t="s">
        <v>1029</v>
      </c>
      <c r="O748" t="s">
        <v>267</v>
      </c>
      <c r="P748" s="885">
        <v>45957.480358796296</v>
      </c>
      <c r="Q748" t="s">
        <v>268</v>
      </c>
      <c r="R748" t="s">
        <v>269</v>
      </c>
    </row>
    <row r="749" spans="1:18" x14ac:dyDescent="0.15">
      <c r="A749" s="788" t="s">
        <v>1344</v>
      </c>
      <c r="B749" t="s">
        <v>1345</v>
      </c>
      <c r="C749" s="884">
        <v>46015</v>
      </c>
      <c r="D749" s="884">
        <v>46019</v>
      </c>
      <c r="E749" t="s">
        <v>981</v>
      </c>
      <c r="F749" t="s">
        <v>982</v>
      </c>
      <c r="H749" t="s">
        <v>1018</v>
      </c>
      <c r="I749" s="885">
        <v>45930.563958333332</v>
      </c>
      <c r="K749" s="885">
        <v>45936.667662037034</v>
      </c>
      <c r="L749" t="s">
        <v>264</v>
      </c>
      <c r="M749" t="s">
        <v>265</v>
      </c>
      <c r="N749" t="s">
        <v>1346</v>
      </c>
      <c r="O749" t="s">
        <v>267</v>
      </c>
      <c r="P749" s="885">
        <v>45936.669490740744</v>
      </c>
      <c r="Q749" t="s">
        <v>268</v>
      </c>
      <c r="R749" t="s">
        <v>269</v>
      </c>
    </row>
    <row r="750" spans="1:18" x14ac:dyDescent="0.15">
      <c r="A750" s="788" t="s">
        <v>1347</v>
      </c>
      <c r="B750" t="s">
        <v>1348</v>
      </c>
      <c r="C750" s="884">
        <v>46015</v>
      </c>
      <c r="D750" s="884">
        <v>46019</v>
      </c>
      <c r="E750" t="s">
        <v>981</v>
      </c>
      <c r="F750" t="s">
        <v>982</v>
      </c>
      <c r="H750" t="s">
        <v>1018</v>
      </c>
      <c r="I750" s="885">
        <v>45930.563969907409</v>
      </c>
      <c r="K750" s="885">
        <v>45936.667673611111</v>
      </c>
      <c r="L750" t="s">
        <v>264</v>
      </c>
      <c r="M750" t="s">
        <v>279</v>
      </c>
      <c r="N750" t="s">
        <v>1346</v>
      </c>
      <c r="O750" t="s">
        <v>267</v>
      </c>
      <c r="P750" s="885">
        <v>45936.669490740744</v>
      </c>
      <c r="Q750" t="s">
        <v>268</v>
      </c>
      <c r="R750" t="s">
        <v>269</v>
      </c>
    </row>
    <row r="751" spans="1:18" x14ac:dyDescent="0.15">
      <c r="A751" s="788" t="s">
        <v>1445</v>
      </c>
      <c r="B751" t="s">
        <v>1345</v>
      </c>
      <c r="C751" s="884">
        <v>46015</v>
      </c>
      <c r="D751" s="884">
        <v>46019</v>
      </c>
      <c r="E751" t="s">
        <v>981</v>
      </c>
      <c r="F751" t="s">
        <v>982</v>
      </c>
      <c r="H751" t="s">
        <v>1018</v>
      </c>
      <c r="I751" s="885">
        <v>45936.667523148149</v>
      </c>
      <c r="K751" s="885">
        <v>45938.812800925924</v>
      </c>
      <c r="L751" t="s">
        <v>264</v>
      </c>
      <c r="M751" t="s">
        <v>265</v>
      </c>
      <c r="N751" t="s">
        <v>1346</v>
      </c>
      <c r="O751" t="s">
        <v>267</v>
      </c>
      <c r="P751" s="885">
        <v>45938.814409722225</v>
      </c>
      <c r="Q751" t="s">
        <v>268</v>
      </c>
      <c r="R751" t="s">
        <v>269</v>
      </c>
    </row>
    <row r="752" spans="1:18" x14ac:dyDescent="0.15">
      <c r="A752" s="788" t="s">
        <v>1446</v>
      </c>
      <c r="B752" t="s">
        <v>1348</v>
      </c>
      <c r="C752" s="884">
        <v>46015</v>
      </c>
      <c r="D752" s="884">
        <v>46019</v>
      </c>
      <c r="E752" t="s">
        <v>981</v>
      </c>
      <c r="F752" t="s">
        <v>982</v>
      </c>
      <c r="H752" t="s">
        <v>1018</v>
      </c>
      <c r="I752" s="885">
        <v>45936.667523148149</v>
      </c>
      <c r="K752" s="885">
        <v>45938.812800925924</v>
      </c>
      <c r="L752" t="s">
        <v>264</v>
      </c>
      <c r="M752" t="s">
        <v>279</v>
      </c>
      <c r="N752" t="s">
        <v>1346</v>
      </c>
      <c r="O752" t="s">
        <v>267</v>
      </c>
      <c r="P752" s="885">
        <v>45938.814409722225</v>
      </c>
      <c r="Q752" t="s">
        <v>268</v>
      </c>
      <c r="R752" t="s">
        <v>269</v>
      </c>
    </row>
    <row r="753" spans="1:18" x14ac:dyDescent="0.15">
      <c r="A753" s="788" t="s">
        <v>1473</v>
      </c>
      <c r="B753" t="s">
        <v>1474</v>
      </c>
      <c r="C753" s="884">
        <v>45991</v>
      </c>
      <c r="D753" s="884">
        <v>45993</v>
      </c>
      <c r="E753" t="s">
        <v>981</v>
      </c>
      <c r="F753" t="s">
        <v>982</v>
      </c>
      <c r="H753" t="s">
        <v>1475</v>
      </c>
      <c r="I753" s="885">
        <v>45939.688043981485</v>
      </c>
      <c r="K753" s="885">
        <v>45939.698935185188</v>
      </c>
      <c r="L753" t="s">
        <v>264</v>
      </c>
      <c r="M753" t="s">
        <v>265</v>
      </c>
      <c r="N753" t="s">
        <v>1476</v>
      </c>
      <c r="O753" t="s">
        <v>267</v>
      </c>
      <c r="P753" s="885">
        <v>45939.70207175926</v>
      </c>
      <c r="Q753" t="s">
        <v>268</v>
      </c>
      <c r="R753" t="s">
        <v>269</v>
      </c>
    </row>
    <row r="754" spans="1:18" x14ac:dyDescent="0.15">
      <c r="A754" s="788" t="s">
        <v>1477</v>
      </c>
      <c r="B754" t="s">
        <v>1474</v>
      </c>
      <c r="C754" s="884">
        <v>45991</v>
      </c>
      <c r="D754" s="884">
        <v>45992</v>
      </c>
      <c r="E754" t="s">
        <v>981</v>
      </c>
      <c r="F754" t="s">
        <v>982</v>
      </c>
      <c r="H754" t="s">
        <v>1475</v>
      </c>
      <c r="I754" s="885">
        <v>45939.698981481481</v>
      </c>
      <c r="K754" s="885">
        <v>45941.563356481478</v>
      </c>
      <c r="L754" t="s">
        <v>264</v>
      </c>
      <c r="M754" t="s">
        <v>265</v>
      </c>
      <c r="N754" t="s">
        <v>1478</v>
      </c>
      <c r="O754" t="s">
        <v>267</v>
      </c>
      <c r="P754" s="885">
        <v>45941.565717592595</v>
      </c>
      <c r="Q754" t="s">
        <v>268</v>
      </c>
      <c r="R754" t="s">
        <v>269</v>
      </c>
    </row>
    <row r="755" spans="1:18" x14ac:dyDescent="0.15">
      <c r="A755" s="788" t="s">
        <v>1543</v>
      </c>
      <c r="B755" t="s">
        <v>1544</v>
      </c>
      <c r="C755" s="884">
        <v>46062</v>
      </c>
      <c r="D755" s="884">
        <v>46064</v>
      </c>
      <c r="E755" t="s">
        <v>981</v>
      </c>
      <c r="F755" t="s">
        <v>982</v>
      </c>
      <c r="H755" t="s">
        <v>983</v>
      </c>
      <c r="I755" s="885">
        <v>45950.479722222219</v>
      </c>
      <c r="L755" t="s">
        <v>274</v>
      </c>
      <c r="M755" t="s">
        <v>265</v>
      </c>
      <c r="N755" t="s">
        <v>1545</v>
      </c>
      <c r="O755" t="s">
        <v>267</v>
      </c>
      <c r="P755" s="885">
        <v>45950.481134259258</v>
      </c>
      <c r="Q755" t="s">
        <v>268</v>
      </c>
      <c r="R755" t="s">
        <v>269</v>
      </c>
    </row>
    <row r="756" spans="1:18" x14ac:dyDescent="0.15">
      <c r="A756" s="788" t="s">
        <v>1631</v>
      </c>
      <c r="B756" t="s">
        <v>1021</v>
      </c>
      <c r="C756" s="884">
        <v>46015</v>
      </c>
      <c r="D756" s="884">
        <v>46018</v>
      </c>
      <c r="E756" t="s">
        <v>981</v>
      </c>
      <c r="F756" t="s">
        <v>982</v>
      </c>
      <c r="H756" t="s">
        <v>1632</v>
      </c>
      <c r="I756" s="885">
        <v>45956.687916666669</v>
      </c>
      <c r="K756" s="885">
        <v>45956.698148148149</v>
      </c>
      <c r="L756" t="s">
        <v>264</v>
      </c>
      <c r="M756" t="s">
        <v>265</v>
      </c>
      <c r="N756" t="s">
        <v>1633</v>
      </c>
      <c r="O756" t="s">
        <v>267</v>
      </c>
      <c r="P756" s="885">
        <v>45956.699699074074</v>
      </c>
      <c r="Q756" t="s">
        <v>268</v>
      </c>
      <c r="R756" t="s">
        <v>269</v>
      </c>
    </row>
    <row r="757" spans="1:18" x14ac:dyDescent="0.15">
      <c r="A757" s="788" t="s">
        <v>1761</v>
      </c>
      <c r="B757" t="s">
        <v>1762</v>
      </c>
      <c r="C757" s="884">
        <v>46020</v>
      </c>
      <c r="D757" s="884">
        <v>46022</v>
      </c>
      <c r="E757" t="s">
        <v>981</v>
      </c>
      <c r="F757" t="s">
        <v>982</v>
      </c>
      <c r="H757" t="s">
        <v>1018</v>
      </c>
      <c r="I757" s="885">
        <v>45972.334976851853</v>
      </c>
      <c r="K757" s="885">
        <v>46018.411145833335</v>
      </c>
      <c r="L757" t="s">
        <v>264</v>
      </c>
      <c r="M757" s="884">
        <v>36527</v>
      </c>
      <c r="N757" t="s">
        <v>1763</v>
      </c>
      <c r="O757" t="s">
        <v>267</v>
      </c>
      <c r="P757" s="885">
        <v>46018.414120370369</v>
      </c>
      <c r="Q757" t="s">
        <v>268</v>
      </c>
      <c r="R757" t="s">
        <v>269</v>
      </c>
    </row>
    <row r="758" spans="1:18" x14ac:dyDescent="0.15">
      <c r="A758" s="788" t="s">
        <v>2023</v>
      </c>
      <c r="B758" t="s">
        <v>2024</v>
      </c>
      <c r="C758" s="884">
        <v>46024</v>
      </c>
      <c r="D758" s="884">
        <v>46029</v>
      </c>
      <c r="E758" t="s">
        <v>981</v>
      </c>
      <c r="F758" t="s">
        <v>982</v>
      </c>
      <c r="H758" t="s">
        <v>1018</v>
      </c>
      <c r="I758" s="885">
        <v>45996.573321759257</v>
      </c>
      <c r="J758" s="885">
        <v>45996.739953703705</v>
      </c>
      <c r="L758" t="s">
        <v>720</v>
      </c>
      <c r="M758" t="s">
        <v>265</v>
      </c>
      <c r="N758" t="s">
        <v>2025</v>
      </c>
      <c r="O758" t="s">
        <v>730</v>
      </c>
      <c r="P758" s="885">
        <v>45996.743738425925</v>
      </c>
      <c r="Q758" t="s">
        <v>268</v>
      </c>
      <c r="R758" t="s">
        <v>269</v>
      </c>
    </row>
    <row r="759" spans="1:18" x14ac:dyDescent="0.15">
      <c r="A759" s="788" t="s">
        <v>2101</v>
      </c>
      <c r="B759" t="s">
        <v>2102</v>
      </c>
      <c r="C759" s="884">
        <v>46058</v>
      </c>
      <c r="D759" s="884">
        <v>46061</v>
      </c>
      <c r="E759" t="s">
        <v>981</v>
      </c>
      <c r="F759" t="s">
        <v>982</v>
      </c>
      <c r="H759" t="s">
        <v>1475</v>
      </c>
      <c r="I759" s="885">
        <v>46004.78193287037</v>
      </c>
      <c r="L759" t="s">
        <v>274</v>
      </c>
      <c r="M759" t="s">
        <v>265</v>
      </c>
      <c r="N759" t="s">
        <v>2103</v>
      </c>
      <c r="O759" t="s">
        <v>730</v>
      </c>
      <c r="P759" s="885">
        <v>46004.785474537035</v>
      </c>
      <c r="Q759" t="s">
        <v>268</v>
      </c>
      <c r="R759" t="s">
        <v>269</v>
      </c>
    </row>
    <row r="760" spans="1:18" x14ac:dyDescent="0.15">
      <c r="A760" s="788" t="s">
        <v>2296</v>
      </c>
      <c r="B760" t="s">
        <v>2297</v>
      </c>
      <c r="C760" s="884">
        <v>46069</v>
      </c>
      <c r="D760" s="884">
        <v>46075</v>
      </c>
      <c r="E760" t="s">
        <v>981</v>
      </c>
      <c r="F760" t="s">
        <v>982</v>
      </c>
      <c r="H760" t="s">
        <v>1632</v>
      </c>
      <c r="I760" s="885">
        <v>46026.781481481485</v>
      </c>
      <c r="L760" t="s">
        <v>274</v>
      </c>
      <c r="M760" t="s">
        <v>265</v>
      </c>
      <c r="N760" t="s">
        <v>2298</v>
      </c>
      <c r="O760" t="s">
        <v>267</v>
      </c>
      <c r="P760" s="885">
        <v>46026.78496527778</v>
      </c>
      <c r="Q760" t="s">
        <v>268</v>
      </c>
      <c r="R760" t="s">
        <v>269</v>
      </c>
    </row>
    <row r="761" spans="1:18" x14ac:dyDescent="0.15">
      <c r="A761" s="788" t="s">
        <v>2301</v>
      </c>
      <c r="B761" t="s">
        <v>2297</v>
      </c>
      <c r="C761" s="884">
        <v>46068</v>
      </c>
      <c r="D761" s="884">
        <v>46069</v>
      </c>
      <c r="E761" t="s">
        <v>981</v>
      </c>
      <c r="F761" t="s">
        <v>982</v>
      </c>
      <c r="H761" t="s">
        <v>1632</v>
      </c>
      <c r="I761" s="885">
        <v>46027.396215277775</v>
      </c>
      <c r="L761" t="s">
        <v>274</v>
      </c>
      <c r="M761" t="s">
        <v>265</v>
      </c>
      <c r="N761" t="s">
        <v>2302</v>
      </c>
      <c r="O761" t="s">
        <v>267</v>
      </c>
      <c r="P761" s="885">
        <v>46027.397048611114</v>
      </c>
      <c r="Q761" t="s">
        <v>268</v>
      </c>
      <c r="R761" t="s">
        <v>269</v>
      </c>
    </row>
    <row r="762" spans="1:18" x14ac:dyDescent="0.15">
      <c r="A762" s="788" t="s">
        <v>2521</v>
      </c>
      <c r="B762" t="s">
        <v>2522</v>
      </c>
      <c r="C762" s="884">
        <v>46068</v>
      </c>
      <c r="D762" s="884">
        <v>46070</v>
      </c>
      <c r="E762" t="s">
        <v>981</v>
      </c>
      <c r="F762" t="s">
        <v>982</v>
      </c>
      <c r="H762" t="s">
        <v>1475</v>
      </c>
      <c r="I762" s="885">
        <v>46049.052245370367</v>
      </c>
      <c r="K762" s="885">
        <v>46049.063402777778</v>
      </c>
      <c r="L762" t="s">
        <v>264</v>
      </c>
      <c r="M762" t="s">
        <v>265</v>
      </c>
      <c r="N762" t="s">
        <v>1476</v>
      </c>
      <c r="O762" t="s">
        <v>267</v>
      </c>
      <c r="P762" s="885">
        <v>46049.065659722219</v>
      </c>
      <c r="Q762" t="s">
        <v>268</v>
      </c>
      <c r="R762" t="s">
        <v>269</v>
      </c>
    </row>
    <row r="763" spans="1:18" x14ac:dyDescent="0.15">
      <c r="A763" s="788" t="s">
        <v>2523</v>
      </c>
      <c r="B763" t="s">
        <v>2522</v>
      </c>
      <c r="C763" s="884">
        <v>46069</v>
      </c>
      <c r="D763" s="884">
        <v>46071</v>
      </c>
      <c r="E763" t="s">
        <v>981</v>
      </c>
      <c r="F763" t="s">
        <v>982</v>
      </c>
      <c r="H763" t="s">
        <v>1475</v>
      </c>
      <c r="I763" s="885">
        <v>46049.073969907404</v>
      </c>
      <c r="K763" s="885">
        <v>46052.042025462964</v>
      </c>
      <c r="L763" t="s">
        <v>264</v>
      </c>
      <c r="M763" t="s">
        <v>265</v>
      </c>
      <c r="N763" t="s">
        <v>1476</v>
      </c>
      <c r="O763" t="s">
        <v>267</v>
      </c>
      <c r="P763" s="885">
        <v>46052.045370370368</v>
      </c>
      <c r="Q763" t="s">
        <v>268</v>
      </c>
      <c r="R763" t="s">
        <v>269</v>
      </c>
    </row>
    <row r="764" spans="1:18" x14ac:dyDescent="0.15">
      <c r="A764" s="788">
        <v>1335093</v>
      </c>
      <c r="B764" t="s">
        <v>270</v>
      </c>
      <c r="C764" s="884">
        <v>46120</v>
      </c>
      <c r="D764" s="884">
        <v>46121</v>
      </c>
      <c r="E764" t="s">
        <v>271</v>
      </c>
      <c r="F764" t="s">
        <v>272</v>
      </c>
      <c r="H764" t="s">
        <v>273</v>
      </c>
      <c r="I764" s="885">
        <v>45809.899560185186</v>
      </c>
      <c r="L764" t="s">
        <v>274</v>
      </c>
      <c r="M764" t="s">
        <v>265</v>
      </c>
      <c r="N764" t="s">
        <v>275</v>
      </c>
      <c r="O764" t="s">
        <v>267</v>
      </c>
      <c r="P764" s="885">
        <v>45809.903043981481</v>
      </c>
      <c r="Q764" t="s">
        <v>268</v>
      </c>
      <c r="R764" t="s">
        <v>269</v>
      </c>
    </row>
    <row r="765" spans="1:18" x14ac:dyDescent="0.15">
      <c r="A765" s="788">
        <v>1477431</v>
      </c>
      <c r="B765" t="s">
        <v>684</v>
      </c>
      <c r="C765" s="884">
        <v>45869</v>
      </c>
      <c r="D765" s="884">
        <v>45870</v>
      </c>
      <c r="E765" t="s">
        <v>271</v>
      </c>
      <c r="F765" t="s">
        <v>685</v>
      </c>
      <c r="H765" t="s">
        <v>273</v>
      </c>
      <c r="I765" s="885">
        <v>45863.453379629631</v>
      </c>
      <c r="L765" t="s">
        <v>274</v>
      </c>
      <c r="M765" t="s">
        <v>279</v>
      </c>
      <c r="N765" t="s">
        <v>686</v>
      </c>
      <c r="O765" t="s">
        <v>267</v>
      </c>
      <c r="P765" s="885">
        <v>45863.454224537039</v>
      </c>
      <c r="Q765" t="s">
        <v>268</v>
      </c>
      <c r="R765" t="s">
        <v>269</v>
      </c>
    </row>
    <row r="766" spans="1:18" x14ac:dyDescent="0.15">
      <c r="A766" s="788">
        <v>1540206</v>
      </c>
      <c r="B766" t="s">
        <v>961</v>
      </c>
      <c r="C766" s="884">
        <v>45890</v>
      </c>
      <c r="D766" s="884">
        <v>45895</v>
      </c>
      <c r="E766" t="s">
        <v>271</v>
      </c>
      <c r="F766" t="s">
        <v>685</v>
      </c>
      <c r="H766" t="s">
        <v>273</v>
      </c>
      <c r="I766" s="885">
        <v>45884.523634259262</v>
      </c>
      <c r="K766" s="885">
        <v>45884.572048611109</v>
      </c>
      <c r="L766" t="s">
        <v>264</v>
      </c>
      <c r="M766" t="s">
        <v>265</v>
      </c>
      <c r="N766" t="s">
        <v>962</v>
      </c>
      <c r="O766" t="s">
        <v>267</v>
      </c>
      <c r="P766" s="885">
        <v>45884.573101851849</v>
      </c>
      <c r="Q766" t="s">
        <v>268</v>
      </c>
      <c r="R766" t="s">
        <v>269</v>
      </c>
    </row>
    <row r="767" spans="1:18" x14ac:dyDescent="0.15">
      <c r="A767" s="788">
        <v>1594707</v>
      </c>
      <c r="B767" t="s">
        <v>1128</v>
      </c>
      <c r="C767" s="884">
        <v>45936</v>
      </c>
      <c r="D767" s="884">
        <v>45949</v>
      </c>
      <c r="E767" t="s">
        <v>271</v>
      </c>
      <c r="F767" t="s">
        <v>1129</v>
      </c>
      <c r="H767" t="s">
        <v>273</v>
      </c>
      <c r="I767" s="885">
        <v>45902.192546296297</v>
      </c>
      <c r="K767" s="885">
        <v>45902.203599537039</v>
      </c>
      <c r="L767" t="s">
        <v>264</v>
      </c>
      <c r="M767" t="s">
        <v>279</v>
      </c>
      <c r="N767" t="s">
        <v>1130</v>
      </c>
      <c r="O767" t="s">
        <v>267</v>
      </c>
      <c r="P767" s="885">
        <v>45902.205381944441</v>
      </c>
      <c r="Q767" t="s">
        <v>268</v>
      </c>
      <c r="R767" t="s">
        <v>269</v>
      </c>
    </row>
    <row r="768" spans="1:18" x14ac:dyDescent="0.15">
      <c r="A768" s="788" t="s">
        <v>773</v>
      </c>
      <c r="B768" s="885">
        <v>45870.354062500002</v>
      </c>
      <c r="C768" s="885">
        <v>45933.768703703703</v>
      </c>
      <c r="E768" t="s">
        <v>720</v>
      </c>
      <c r="F768" t="s">
        <v>774</v>
      </c>
      <c r="G768" t="s">
        <v>775</v>
      </c>
      <c r="H768" t="s">
        <v>730</v>
      </c>
      <c r="I768" s="885">
        <v>45933.77103009259</v>
      </c>
      <c r="J768" t="s">
        <v>268</v>
      </c>
      <c r="K768" t="s">
        <v>269</v>
      </c>
    </row>
    <row r="769" spans="1:18" x14ac:dyDescent="0.15">
      <c r="A769" s="788" t="s">
        <v>2183</v>
      </c>
      <c r="B769" s="885">
        <v>46012.98332175926</v>
      </c>
      <c r="C769" s="885">
        <v>46059.493854166663</v>
      </c>
      <c r="E769" t="s">
        <v>720</v>
      </c>
      <c r="F769" s="884">
        <v>36559</v>
      </c>
      <c r="G769" t="s">
        <v>2184</v>
      </c>
      <c r="H769" t="s">
        <v>730</v>
      </c>
      <c r="I769" s="885">
        <v>46059.500462962962</v>
      </c>
      <c r="J769" t="s">
        <v>268</v>
      </c>
      <c r="K769" t="s">
        <v>269</v>
      </c>
    </row>
    <row r="770" spans="1:18" x14ac:dyDescent="0.15">
      <c r="A770" s="788" t="s">
        <v>2337</v>
      </c>
      <c r="B770" s="885">
        <v>46029.968460648146</v>
      </c>
      <c r="C770" s="885">
        <v>46057.723437499997</v>
      </c>
      <c r="E770" t="s">
        <v>720</v>
      </c>
      <c r="F770" s="884">
        <v>36560</v>
      </c>
      <c r="G770" t="s">
        <v>2338</v>
      </c>
      <c r="H770" t="s">
        <v>267</v>
      </c>
      <c r="I770" s="885">
        <v>46057.735694444447</v>
      </c>
      <c r="J770" t="s">
        <v>268</v>
      </c>
      <c r="K770" t="s">
        <v>269</v>
      </c>
    </row>
    <row r="771" spans="1:18" x14ac:dyDescent="0.15">
      <c r="A771" s="788">
        <v>1017692</v>
      </c>
      <c r="B771" t="s">
        <v>1889</v>
      </c>
      <c r="C771" s="884">
        <v>46043</v>
      </c>
      <c r="D771" s="884">
        <v>46045</v>
      </c>
      <c r="E771" t="s">
        <v>1890</v>
      </c>
      <c r="F771" t="s">
        <v>1787</v>
      </c>
      <c r="H771" t="s">
        <v>273</v>
      </c>
      <c r="I771" s="885">
        <v>45982.048634259256</v>
      </c>
      <c r="L771" t="s">
        <v>274</v>
      </c>
      <c r="M771" t="s">
        <v>265</v>
      </c>
      <c r="N771" t="s">
        <v>714</v>
      </c>
      <c r="O771" t="s">
        <v>267</v>
      </c>
      <c r="P771" s="885">
        <v>45981.966956018521</v>
      </c>
      <c r="Q771" t="s">
        <v>268</v>
      </c>
      <c r="R771" t="s">
        <v>269</v>
      </c>
    </row>
    <row r="772" spans="1:18" x14ac:dyDescent="0.15">
      <c r="A772" s="788">
        <v>1018187</v>
      </c>
      <c r="B772" t="s">
        <v>2053</v>
      </c>
      <c r="C772" s="884">
        <v>46085</v>
      </c>
      <c r="D772" s="884">
        <v>46089</v>
      </c>
      <c r="E772" t="s">
        <v>1890</v>
      </c>
      <c r="F772" t="s">
        <v>1787</v>
      </c>
      <c r="H772" t="s">
        <v>2054</v>
      </c>
      <c r="I772" s="885">
        <v>45999.760439814818</v>
      </c>
      <c r="L772" t="s">
        <v>274</v>
      </c>
      <c r="M772" s="884">
        <v>36558</v>
      </c>
      <c r="N772" t="s">
        <v>2055</v>
      </c>
      <c r="O772" t="s">
        <v>267</v>
      </c>
      <c r="P772" s="885">
        <v>45999.679837962962</v>
      </c>
      <c r="Q772" t="s">
        <v>268</v>
      </c>
      <c r="R772" t="s">
        <v>269</v>
      </c>
    </row>
    <row r="773" spans="1:18" x14ac:dyDescent="0.15">
      <c r="A773" s="788">
        <v>1018661</v>
      </c>
      <c r="B773" t="s">
        <v>2252</v>
      </c>
      <c r="C773" s="884">
        <v>46024</v>
      </c>
      <c r="D773" s="884">
        <v>46026</v>
      </c>
      <c r="E773" t="s">
        <v>1890</v>
      </c>
      <c r="F773" t="s">
        <v>1787</v>
      </c>
      <c r="H773" t="s">
        <v>1788</v>
      </c>
      <c r="I773" s="885">
        <v>46023.711828703701</v>
      </c>
      <c r="L773" t="s">
        <v>274</v>
      </c>
      <c r="M773" t="s">
        <v>265</v>
      </c>
      <c r="N773" t="s">
        <v>1015</v>
      </c>
      <c r="O773" t="s">
        <v>267</v>
      </c>
      <c r="P773" s="885">
        <v>46023.628969907404</v>
      </c>
      <c r="Q773" t="s">
        <v>268</v>
      </c>
      <c r="R773" t="s">
        <v>269</v>
      </c>
    </row>
    <row r="774" spans="1:18" x14ac:dyDescent="0.15">
      <c r="A774" s="788">
        <v>88960</v>
      </c>
      <c r="B774" t="s">
        <v>671</v>
      </c>
      <c r="C774" s="884">
        <v>45952</v>
      </c>
      <c r="D774" s="884">
        <v>45956</v>
      </c>
      <c r="E774" t="s">
        <v>672</v>
      </c>
      <c r="F774" t="s">
        <v>673</v>
      </c>
      <c r="H774" t="s">
        <v>674</v>
      </c>
      <c r="I774" s="885">
        <v>45862.567962962959</v>
      </c>
      <c r="L774" t="s">
        <v>274</v>
      </c>
      <c r="M774" t="s">
        <v>265</v>
      </c>
      <c r="N774" t="s">
        <v>675</v>
      </c>
      <c r="O774" t="s">
        <v>267</v>
      </c>
      <c r="P774" s="885">
        <v>45862.569502314815</v>
      </c>
      <c r="Q774" t="s">
        <v>268</v>
      </c>
      <c r="R774" t="s">
        <v>269</v>
      </c>
    </row>
    <row r="775" spans="1:18" x14ac:dyDescent="0.15">
      <c r="A775" s="788">
        <v>96440</v>
      </c>
      <c r="B775" t="s">
        <v>1859</v>
      </c>
      <c r="C775" s="884">
        <v>46022</v>
      </c>
      <c r="D775" s="884">
        <v>46025</v>
      </c>
      <c r="E775" t="s">
        <v>672</v>
      </c>
      <c r="F775" t="s">
        <v>673</v>
      </c>
      <c r="H775" t="s">
        <v>1788</v>
      </c>
      <c r="I775" s="885">
        <v>45980.465266203704</v>
      </c>
      <c r="K775" s="885">
        <v>45981.374027777776</v>
      </c>
      <c r="L775" t="s">
        <v>264</v>
      </c>
      <c r="M775" t="s">
        <v>265</v>
      </c>
      <c r="N775" t="s">
        <v>1789</v>
      </c>
      <c r="O775" t="s">
        <v>267</v>
      </c>
      <c r="P775" s="885">
        <v>45981.37709490741</v>
      </c>
      <c r="Q775" t="s">
        <v>268</v>
      </c>
      <c r="R775" t="s">
        <v>269</v>
      </c>
    </row>
    <row r="776" spans="1:18" x14ac:dyDescent="0.15">
      <c r="A776" s="788">
        <v>96580</v>
      </c>
      <c r="B776" t="s">
        <v>1859</v>
      </c>
      <c r="C776" s="884">
        <v>46019</v>
      </c>
      <c r="D776" s="884">
        <v>46022</v>
      </c>
      <c r="E776" t="s">
        <v>672</v>
      </c>
      <c r="F776" t="s">
        <v>673</v>
      </c>
      <c r="H776" t="s">
        <v>1788</v>
      </c>
      <c r="I776" s="885">
        <v>45980.790462962963</v>
      </c>
      <c r="L776" t="s">
        <v>274</v>
      </c>
      <c r="M776" t="s">
        <v>265</v>
      </c>
      <c r="N776" t="s">
        <v>1789</v>
      </c>
      <c r="O776" t="s">
        <v>267</v>
      </c>
      <c r="P776" s="885">
        <v>45980.794108796297</v>
      </c>
      <c r="Q776" t="s">
        <v>268</v>
      </c>
      <c r="R776" t="s">
        <v>269</v>
      </c>
    </row>
    <row r="777" spans="1:18" x14ac:dyDescent="0.15">
      <c r="A777" s="788">
        <v>99540</v>
      </c>
      <c r="B777" t="s">
        <v>2576</v>
      </c>
      <c r="C777" s="884">
        <v>46184</v>
      </c>
      <c r="D777" s="884">
        <v>46186</v>
      </c>
      <c r="E777" t="s">
        <v>672</v>
      </c>
      <c r="F777" t="s">
        <v>673</v>
      </c>
      <c r="H777" t="s">
        <v>1788</v>
      </c>
      <c r="I777" s="885">
        <v>46052.610150462962</v>
      </c>
      <c r="K777" s="885">
        <v>46058.681886574072</v>
      </c>
      <c r="L777" t="s">
        <v>264</v>
      </c>
      <c r="M777" t="s">
        <v>265</v>
      </c>
      <c r="N777" t="s">
        <v>2577</v>
      </c>
      <c r="O777" t="s">
        <v>267</v>
      </c>
      <c r="P777" s="885">
        <v>46058.685266203705</v>
      </c>
      <c r="Q777" t="s">
        <v>268</v>
      </c>
      <c r="R777" t="s">
        <v>269</v>
      </c>
    </row>
    <row r="778" spans="1:18" x14ac:dyDescent="0.15">
      <c r="A778" s="788">
        <v>99541</v>
      </c>
      <c r="B778" t="s">
        <v>2578</v>
      </c>
      <c r="C778" s="884">
        <v>46184</v>
      </c>
      <c r="D778" s="884">
        <v>46186</v>
      </c>
      <c r="E778" t="s">
        <v>672</v>
      </c>
      <c r="F778" t="s">
        <v>673</v>
      </c>
      <c r="H778" t="s">
        <v>1788</v>
      </c>
      <c r="I778" s="885">
        <v>46052.610208333332</v>
      </c>
      <c r="K778" s="885">
        <v>46058.682071759256</v>
      </c>
      <c r="L778" t="s">
        <v>264</v>
      </c>
      <c r="M778" t="s">
        <v>265</v>
      </c>
      <c r="N778" t="s">
        <v>2577</v>
      </c>
      <c r="O778" t="s">
        <v>267</v>
      </c>
      <c r="P778" s="885">
        <v>46058.685266203705</v>
      </c>
      <c r="Q778" t="s">
        <v>268</v>
      </c>
      <c r="R778" t="s">
        <v>269</v>
      </c>
    </row>
    <row r="779" spans="1:18" x14ac:dyDescent="0.15">
      <c r="A779" s="788" t="s">
        <v>421</v>
      </c>
      <c r="B779" t="s">
        <v>422</v>
      </c>
      <c r="C779" s="884">
        <v>45882</v>
      </c>
      <c r="D779" s="884">
        <v>45883</v>
      </c>
      <c r="E779" t="s">
        <v>423</v>
      </c>
      <c r="F779" t="s">
        <v>424</v>
      </c>
      <c r="H779" t="s">
        <v>425</v>
      </c>
      <c r="I779" s="885">
        <v>45828.547326388885</v>
      </c>
      <c r="K779" s="885">
        <v>45828.687638888892</v>
      </c>
      <c r="L779" t="s">
        <v>264</v>
      </c>
      <c r="M779" t="s">
        <v>265</v>
      </c>
      <c r="N779" t="s">
        <v>426</v>
      </c>
      <c r="O779" t="s">
        <v>267</v>
      </c>
      <c r="P779" s="885">
        <v>45828.688425925924</v>
      </c>
      <c r="Q779" t="s">
        <v>268</v>
      </c>
      <c r="R779" t="s">
        <v>269</v>
      </c>
    </row>
    <row r="780" spans="1:18" x14ac:dyDescent="0.15">
      <c r="A780" s="788" t="s">
        <v>504</v>
      </c>
      <c r="B780" t="s">
        <v>505</v>
      </c>
      <c r="C780" s="884">
        <v>46048</v>
      </c>
      <c r="D780" s="884">
        <v>46049</v>
      </c>
      <c r="E780" t="s">
        <v>423</v>
      </c>
      <c r="F780" t="s">
        <v>506</v>
      </c>
      <c r="H780" t="s">
        <v>507</v>
      </c>
      <c r="I780" s="885">
        <v>45834.719953703701</v>
      </c>
      <c r="L780" t="s">
        <v>274</v>
      </c>
      <c r="M780" t="s">
        <v>265</v>
      </c>
      <c r="N780" t="s">
        <v>395</v>
      </c>
      <c r="O780" t="s">
        <v>267</v>
      </c>
      <c r="P780" s="885">
        <v>45834.722569444442</v>
      </c>
      <c r="Q780" t="s">
        <v>268</v>
      </c>
      <c r="R780" t="s">
        <v>269</v>
      </c>
    </row>
    <row r="781" spans="1:18" x14ac:dyDescent="0.15">
      <c r="A781" s="788" t="s">
        <v>526</v>
      </c>
      <c r="B781" t="s">
        <v>527</v>
      </c>
      <c r="C781" s="884">
        <v>45980</v>
      </c>
      <c r="D781" s="884">
        <v>45981</v>
      </c>
      <c r="E781" t="s">
        <v>423</v>
      </c>
      <c r="F781" t="s">
        <v>506</v>
      </c>
      <c r="H781" t="s">
        <v>425</v>
      </c>
      <c r="I781" s="885">
        <v>45838.875543981485</v>
      </c>
      <c r="L781" t="s">
        <v>274</v>
      </c>
      <c r="M781" t="s">
        <v>265</v>
      </c>
      <c r="N781" t="s">
        <v>528</v>
      </c>
      <c r="O781" t="s">
        <v>267</v>
      </c>
      <c r="P781" s="885">
        <v>45838.878437500003</v>
      </c>
      <c r="Q781" t="s">
        <v>268</v>
      </c>
      <c r="R781" t="s">
        <v>269</v>
      </c>
    </row>
    <row r="782" spans="1:18" x14ac:dyDescent="0.15">
      <c r="A782" s="788" t="s">
        <v>530</v>
      </c>
      <c r="B782" t="s">
        <v>531</v>
      </c>
      <c r="C782" s="884">
        <v>45958</v>
      </c>
      <c r="D782" s="884">
        <v>45960</v>
      </c>
      <c r="E782" t="s">
        <v>423</v>
      </c>
      <c r="F782" t="s">
        <v>532</v>
      </c>
      <c r="H782" t="s">
        <v>425</v>
      </c>
      <c r="I782" s="885">
        <v>45839.687511574077</v>
      </c>
      <c r="K782" s="885">
        <v>45841.480115740742</v>
      </c>
      <c r="L782" t="s">
        <v>264</v>
      </c>
      <c r="M782" t="s">
        <v>265</v>
      </c>
      <c r="N782" t="s">
        <v>533</v>
      </c>
      <c r="O782" t="s">
        <v>267</v>
      </c>
      <c r="P782" s="885">
        <v>45841.48233796296</v>
      </c>
      <c r="Q782" t="s">
        <v>268</v>
      </c>
      <c r="R782" t="s">
        <v>269</v>
      </c>
    </row>
    <row r="783" spans="1:18" x14ac:dyDescent="0.15">
      <c r="A783" s="788" t="s">
        <v>587</v>
      </c>
      <c r="B783" t="s">
        <v>588</v>
      </c>
      <c r="C783" s="884">
        <v>45998</v>
      </c>
      <c r="D783" s="884">
        <v>45999</v>
      </c>
      <c r="E783" t="s">
        <v>423</v>
      </c>
      <c r="F783" t="s">
        <v>506</v>
      </c>
      <c r="H783" t="s">
        <v>425</v>
      </c>
      <c r="I783" s="885">
        <v>45846.365393518521</v>
      </c>
      <c r="L783" t="s">
        <v>274</v>
      </c>
      <c r="M783" t="s">
        <v>265</v>
      </c>
      <c r="N783" t="s">
        <v>528</v>
      </c>
      <c r="O783" t="s">
        <v>267</v>
      </c>
      <c r="P783" s="885">
        <v>45846.367442129631</v>
      </c>
      <c r="Q783" t="s">
        <v>268</v>
      </c>
      <c r="R783" t="s">
        <v>269</v>
      </c>
    </row>
    <row r="784" spans="1:18" x14ac:dyDescent="0.15">
      <c r="A784" s="788" t="s">
        <v>626</v>
      </c>
      <c r="B784" t="s">
        <v>627</v>
      </c>
      <c r="C784" s="884">
        <v>46021</v>
      </c>
      <c r="D784" s="884">
        <v>46025</v>
      </c>
      <c r="E784" t="s">
        <v>423</v>
      </c>
      <c r="F784" t="s">
        <v>628</v>
      </c>
      <c r="H784" t="s">
        <v>629</v>
      </c>
      <c r="I784" s="885">
        <v>45855.688125000001</v>
      </c>
      <c r="K784" s="885">
        <v>45881.655532407407</v>
      </c>
      <c r="L784" t="s">
        <v>264</v>
      </c>
      <c r="M784" t="s">
        <v>265</v>
      </c>
      <c r="N784" t="s">
        <v>630</v>
      </c>
      <c r="O784" t="s">
        <v>267</v>
      </c>
      <c r="P784" s="885">
        <v>45881.657199074078</v>
      </c>
      <c r="Q784" t="s">
        <v>268</v>
      </c>
      <c r="R784" t="s">
        <v>269</v>
      </c>
    </row>
    <row r="785" spans="1:18" x14ac:dyDescent="0.15">
      <c r="A785" s="788" t="s">
        <v>652</v>
      </c>
      <c r="B785" t="s">
        <v>653</v>
      </c>
      <c r="C785" s="884">
        <v>46021</v>
      </c>
      <c r="D785" s="884">
        <v>46024</v>
      </c>
      <c r="E785" t="s">
        <v>423</v>
      </c>
      <c r="F785" t="s">
        <v>654</v>
      </c>
      <c r="H785" t="s">
        <v>655</v>
      </c>
      <c r="I785" s="885">
        <v>45861.629131944443</v>
      </c>
      <c r="K785" s="885">
        <v>45861.629444444443</v>
      </c>
      <c r="L785" t="s">
        <v>264</v>
      </c>
      <c r="M785" t="s">
        <v>292</v>
      </c>
      <c r="N785" t="s">
        <v>656</v>
      </c>
      <c r="Q785" t="s">
        <v>268</v>
      </c>
      <c r="R785" t="s">
        <v>269</v>
      </c>
    </row>
    <row r="786" spans="1:18" x14ac:dyDescent="0.15">
      <c r="A786" s="788" t="s">
        <v>657</v>
      </c>
      <c r="B786" t="s">
        <v>653</v>
      </c>
      <c r="C786" s="884">
        <v>46021</v>
      </c>
      <c r="D786" s="884">
        <v>46023</v>
      </c>
      <c r="E786" t="s">
        <v>423</v>
      </c>
      <c r="F786" t="s">
        <v>654</v>
      </c>
      <c r="H786" t="s">
        <v>655</v>
      </c>
      <c r="I786" s="885">
        <v>45861.63957175926</v>
      </c>
      <c r="K786" s="885">
        <v>45868.870150462964</v>
      </c>
      <c r="L786" t="s">
        <v>264</v>
      </c>
      <c r="M786" t="s">
        <v>292</v>
      </c>
      <c r="N786" t="s">
        <v>658</v>
      </c>
      <c r="O786" t="s">
        <v>267</v>
      </c>
      <c r="P786" s="885">
        <v>45868.873113425929</v>
      </c>
      <c r="Q786" t="s">
        <v>268</v>
      </c>
      <c r="R786" t="s">
        <v>269</v>
      </c>
    </row>
    <row r="787" spans="1:18" x14ac:dyDescent="0.15">
      <c r="A787" s="788" t="s">
        <v>712</v>
      </c>
      <c r="B787" t="s">
        <v>713</v>
      </c>
      <c r="C787" s="884">
        <v>46052</v>
      </c>
      <c r="D787" s="884">
        <v>46054</v>
      </c>
      <c r="E787" t="s">
        <v>423</v>
      </c>
      <c r="F787" t="s">
        <v>654</v>
      </c>
      <c r="H787" t="s">
        <v>425</v>
      </c>
      <c r="I787" s="885">
        <v>45866.562986111108</v>
      </c>
      <c r="L787" t="s">
        <v>274</v>
      </c>
      <c r="M787" t="s">
        <v>265</v>
      </c>
      <c r="N787" t="s">
        <v>714</v>
      </c>
      <c r="O787" t="s">
        <v>267</v>
      </c>
      <c r="P787" s="885">
        <v>45866.56523148148</v>
      </c>
      <c r="Q787" t="s">
        <v>268</v>
      </c>
      <c r="R787" t="s">
        <v>269</v>
      </c>
    </row>
    <row r="788" spans="1:18" x14ac:dyDescent="0.15">
      <c r="A788" s="788" t="s">
        <v>858</v>
      </c>
      <c r="B788" t="s">
        <v>859</v>
      </c>
      <c r="C788" s="884">
        <v>46019</v>
      </c>
      <c r="D788" s="884">
        <v>46022</v>
      </c>
      <c r="E788" t="s">
        <v>423</v>
      </c>
      <c r="F788" t="s">
        <v>654</v>
      </c>
      <c r="H788" t="s">
        <v>860</v>
      </c>
      <c r="I788" s="885">
        <v>45876.498414351852</v>
      </c>
      <c r="L788" t="s">
        <v>274</v>
      </c>
      <c r="M788" t="s">
        <v>520</v>
      </c>
      <c r="N788" t="s">
        <v>861</v>
      </c>
      <c r="O788" t="s">
        <v>267</v>
      </c>
      <c r="P788" s="885">
        <v>45876.501284722224</v>
      </c>
      <c r="Q788" t="s">
        <v>268</v>
      </c>
      <c r="R788" t="s">
        <v>269</v>
      </c>
    </row>
    <row r="789" spans="1:18" x14ac:dyDescent="0.15">
      <c r="A789" s="788" t="s">
        <v>957</v>
      </c>
      <c r="B789" t="s">
        <v>958</v>
      </c>
      <c r="C789" s="884">
        <v>46061</v>
      </c>
      <c r="D789" s="884">
        <v>46067</v>
      </c>
      <c r="E789" t="s">
        <v>423</v>
      </c>
      <c r="F789" t="s">
        <v>959</v>
      </c>
      <c r="H789" t="s">
        <v>860</v>
      </c>
      <c r="I789" s="885">
        <v>45883.639803240738</v>
      </c>
      <c r="K789" s="885">
        <v>45905.595266203702</v>
      </c>
      <c r="L789" t="s">
        <v>264</v>
      </c>
      <c r="M789" t="s">
        <v>292</v>
      </c>
      <c r="N789" t="s">
        <v>960</v>
      </c>
      <c r="O789" t="s">
        <v>267</v>
      </c>
      <c r="P789" s="885">
        <v>45905.598310185182</v>
      </c>
      <c r="Q789" t="s">
        <v>268</v>
      </c>
      <c r="R789" t="s">
        <v>269</v>
      </c>
    </row>
    <row r="790" spans="1:18" x14ac:dyDescent="0.15">
      <c r="A790" s="788" t="s">
        <v>1012</v>
      </c>
      <c r="B790" t="s">
        <v>1013</v>
      </c>
      <c r="C790" s="884">
        <v>45982</v>
      </c>
      <c r="D790" s="884">
        <v>45984</v>
      </c>
      <c r="E790" t="s">
        <v>423</v>
      </c>
      <c r="F790" t="s">
        <v>1014</v>
      </c>
      <c r="H790" t="s">
        <v>629</v>
      </c>
      <c r="I790" s="885">
        <v>45890.57540509259</v>
      </c>
      <c r="L790" t="s">
        <v>274</v>
      </c>
      <c r="M790" t="s">
        <v>265</v>
      </c>
      <c r="N790" t="s">
        <v>1015</v>
      </c>
      <c r="O790" t="s">
        <v>267</v>
      </c>
      <c r="P790" s="885">
        <v>45890.578425925924</v>
      </c>
      <c r="Q790" t="s">
        <v>268</v>
      </c>
      <c r="R790" t="s">
        <v>269</v>
      </c>
    </row>
    <row r="791" spans="1:18" x14ac:dyDescent="0.15">
      <c r="A791" s="788" t="s">
        <v>1122</v>
      </c>
      <c r="B791" t="s">
        <v>1123</v>
      </c>
      <c r="C791" s="884">
        <v>46039</v>
      </c>
      <c r="D791" s="884">
        <v>46043</v>
      </c>
      <c r="E791" t="s">
        <v>423</v>
      </c>
      <c r="F791" t="s">
        <v>654</v>
      </c>
      <c r="H791" t="s">
        <v>425</v>
      </c>
      <c r="I791" s="885">
        <v>45901.366898148146</v>
      </c>
      <c r="K791" s="885">
        <v>45902.407488425924</v>
      </c>
      <c r="L791" t="s">
        <v>264</v>
      </c>
      <c r="M791" t="s">
        <v>265</v>
      </c>
      <c r="N791" t="s">
        <v>658</v>
      </c>
      <c r="O791" t="s">
        <v>267</v>
      </c>
      <c r="P791" s="885">
        <v>45902.408310185187</v>
      </c>
      <c r="Q791" t="s">
        <v>268</v>
      </c>
      <c r="R791" t="s">
        <v>269</v>
      </c>
    </row>
    <row r="792" spans="1:18" x14ac:dyDescent="0.15">
      <c r="A792" s="788" t="s">
        <v>1510</v>
      </c>
      <c r="B792" t="s">
        <v>1511</v>
      </c>
      <c r="C792" s="884">
        <v>46019</v>
      </c>
      <c r="D792" s="884">
        <v>46022</v>
      </c>
      <c r="E792" t="s">
        <v>423</v>
      </c>
      <c r="F792" t="s">
        <v>959</v>
      </c>
      <c r="H792" t="s">
        <v>629</v>
      </c>
      <c r="I792" s="885">
        <v>45947.510462962964</v>
      </c>
      <c r="K792" s="885">
        <v>45959.642187500001</v>
      </c>
      <c r="L792" t="s">
        <v>264</v>
      </c>
      <c r="M792" s="884">
        <v>36527</v>
      </c>
      <c r="N792" t="s">
        <v>1512</v>
      </c>
      <c r="O792" t="s">
        <v>267</v>
      </c>
      <c r="P792" s="885">
        <v>45959.644317129627</v>
      </c>
      <c r="Q792" t="s">
        <v>268</v>
      </c>
      <c r="R792" t="s">
        <v>269</v>
      </c>
    </row>
    <row r="793" spans="1:18" x14ac:dyDescent="0.15">
      <c r="A793" s="788" t="s">
        <v>1562</v>
      </c>
      <c r="B793" t="s">
        <v>1563</v>
      </c>
      <c r="C793" s="884">
        <v>46052</v>
      </c>
      <c r="D793" s="884">
        <v>46060</v>
      </c>
      <c r="E793" t="s">
        <v>423</v>
      </c>
      <c r="F793" t="s">
        <v>959</v>
      </c>
      <c r="H793" t="s">
        <v>629</v>
      </c>
      <c r="I793" s="885">
        <v>45951.429629629631</v>
      </c>
      <c r="K793" s="885">
        <v>45951.43037037037</v>
      </c>
      <c r="L793" t="s">
        <v>264</v>
      </c>
      <c r="M793" t="s">
        <v>265</v>
      </c>
      <c r="N793" t="s">
        <v>861</v>
      </c>
      <c r="O793" t="s">
        <v>267</v>
      </c>
      <c r="P793" s="885">
        <v>45951.434884259259</v>
      </c>
      <c r="Q793" t="s">
        <v>268</v>
      </c>
      <c r="R793" t="s">
        <v>269</v>
      </c>
    </row>
    <row r="794" spans="1:18" x14ac:dyDescent="0.15">
      <c r="A794" s="788" t="s">
        <v>1564</v>
      </c>
      <c r="B794" t="s">
        <v>1563</v>
      </c>
      <c r="C794" s="884">
        <v>46051</v>
      </c>
      <c r="D794" s="884">
        <v>46060</v>
      </c>
      <c r="E794" t="s">
        <v>423</v>
      </c>
      <c r="F794" t="s">
        <v>959</v>
      </c>
      <c r="H794" t="s">
        <v>629</v>
      </c>
      <c r="I794" s="885">
        <v>45951.431215277778</v>
      </c>
      <c r="K794" s="885">
        <v>45960.631006944444</v>
      </c>
      <c r="L794" t="s">
        <v>264</v>
      </c>
      <c r="M794" t="s">
        <v>265</v>
      </c>
      <c r="N794" t="s">
        <v>1565</v>
      </c>
      <c r="O794" t="s">
        <v>267</v>
      </c>
      <c r="P794" s="885">
        <v>45960.63354166667</v>
      </c>
      <c r="Q794" t="s">
        <v>268</v>
      </c>
      <c r="R794" t="s">
        <v>269</v>
      </c>
    </row>
    <row r="795" spans="1:18" x14ac:dyDescent="0.15">
      <c r="A795" s="788" t="s">
        <v>1759</v>
      </c>
      <c r="B795" t="s">
        <v>1760</v>
      </c>
      <c r="C795" s="884">
        <v>46062</v>
      </c>
      <c r="D795" s="884">
        <v>46064</v>
      </c>
      <c r="E795" t="s">
        <v>423</v>
      </c>
      <c r="F795" t="s">
        <v>654</v>
      </c>
      <c r="H795" t="s">
        <v>425</v>
      </c>
      <c r="I795" s="885">
        <v>45971.725624999999</v>
      </c>
      <c r="K795" s="885">
        <v>45978.439560185187</v>
      </c>
      <c r="L795" t="s">
        <v>264</v>
      </c>
      <c r="M795" t="s">
        <v>265</v>
      </c>
      <c r="N795" t="s">
        <v>714</v>
      </c>
      <c r="O795" t="s">
        <v>267</v>
      </c>
      <c r="P795" s="885">
        <v>45978.441423611112</v>
      </c>
      <c r="Q795" t="s">
        <v>268</v>
      </c>
      <c r="R795" t="s">
        <v>269</v>
      </c>
    </row>
    <row r="796" spans="1:18" x14ac:dyDescent="0.15">
      <c r="A796" s="788" t="s">
        <v>1783</v>
      </c>
      <c r="B796" t="s">
        <v>1784</v>
      </c>
      <c r="C796" s="884">
        <v>46048</v>
      </c>
      <c r="D796" s="884">
        <v>46053</v>
      </c>
      <c r="E796" t="s">
        <v>423</v>
      </c>
      <c r="F796" t="s">
        <v>654</v>
      </c>
      <c r="H796" t="s">
        <v>860</v>
      </c>
      <c r="I796" s="885">
        <v>45973.604317129626</v>
      </c>
      <c r="K796" s="885">
        <v>45987.661064814813</v>
      </c>
      <c r="L796" t="s">
        <v>264</v>
      </c>
      <c r="M796" t="s">
        <v>292</v>
      </c>
      <c r="N796" t="s">
        <v>1785</v>
      </c>
      <c r="O796" t="s">
        <v>267</v>
      </c>
      <c r="P796" s="885">
        <v>45987.662546296298</v>
      </c>
      <c r="Q796" t="s">
        <v>268</v>
      </c>
      <c r="R796" t="s">
        <v>269</v>
      </c>
    </row>
    <row r="797" spans="1:18" x14ac:dyDescent="0.15">
      <c r="A797" s="788" t="s">
        <v>1802</v>
      </c>
      <c r="B797" t="s">
        <v>1803</v>
      </c>
      <c r="C797" s="884">
        <v>46016</v>
      </c>
      <c r="D797" s="884">
        <v>46022</v>
      </c>
      <c r="E797" t="s">
        <v>423</v>
      </c>
      <c r="F797" t="s">
        <v>959</v>
      </c>
      <c r="H797" t="s">
        <v>629</v>
      </c>
      <c r="I797" s="885">
        <v>45974.710648148146</v>
      </c>
      <c r="K797" s="885">
        <v>45986.606249999997</v>
      </c>
      <c r="L797" t="s">
        <v>264</v>
      </c>
      <c r="M797" t="s">
        <v>265</v>
      </c>
      <c r="N797" t="s">
        <v>1804</v>
      </c>
      <c r="O797" t="s">
        <v>267</v>
      </c>
      <c r="P797" s="885">
        <v>45986.609976851854</v>
      </c>
      <c r="Q797" t="s">
        <v>268</v>
      </c>
      <c r="R797" t="s">
        <v>269</v>
      </c>
    </row>
    <row r="798" spans="1:18" x14ac:dyDescent="0.15">
      <c r="A798" s="788" t="s">
        <v>1925</v>
      </c>
      <c r="B798" t="s">
        <v>1926</v>
      </c>
      <c r="C798" s="884">
        <v>46029</v>
      </c>
      <c r="D798" s="884">
        <v>46031</v>
      </c>
      <c r="E798" t="s">
        <v>423</v>
      </c>
      <c r="F798" t="s">
        <v>532</v>
      </c>
      <c r="H798" t="s">
        <v>1927</v>
      </c>
      <c r="I798" s="885">
        <v>45986.726423611108</v>
      </c>
      <c r="K798" s="885">
        <v>45987.390543981484</v>
      </c>
      <c r="L798" t="s">
        <v>264</v>
      </c>
      <c r="M798" t="s">
        <v>510</v>
      </c>
      <c r="N798" t="s">
        <v>1804</v>
      </c>
      <c r="O798" t="s">
        <v>267</v>
      </c>
      <c r="P798" s="885">
        <v>45987.393865740742</v>
      </c>
      <c r="Q798" t="s">
        <v>268</v>
      </c>
      <c r="R798" t="s">
        <v>269</v>
      </c>
    </row>
    <row r="799" spans="1:18" x14ac:dyDescent="0.15">
      <c r="A799" s="788" t="s">
        <v>1940</v>
      </c>
      <c r="B799" t="s">
        <v>1941</v>
      </c>
      <c r="C799" s="884">
        <v>46060</v>
      </c>
      <c r="D799" s="884">
        <v>46062</v>
      </c>
      <c r="E799" t="s">
        <v>423</v>
      </c>
      <c r="F799" t="s">
        <v>654</v>
      </c>
      <c r="H799" t="s">
        <v>1942</v>
      </c>
      <c r="I799" s="885">
        <v>45987.254780092589</v>
      </c>
      <c r="K799" s="885">
        <v>45995.34134259259</v>
      </c>
      <c r="L799" t="s">
        <v>264</v>
      </c>
      <c r="M799" t="s">
        <v>265</v>
      </c>
      <c r="N799" t="s">
        <v>1943</v>
      </c>
      <c r="O799" t="s">
        <v>267</v>
      </c>
      <c r="P799" s="885">
        <v>45995.344247685185</v>
      </c>
      <c r="Q799" t="s">
        <v>268</v>
      </c>
      <c r="R799" t="s">
        <v>269</v>
      </c>
    </row>
    <row r="800" spans="1:18" x14ac:dyDescent="0.15">
      <c r="A800" s="788" t="s">
        <v>1944</v>
      </c>
      <c r="B800" t="s">
        <v>1926</v>
      </c>
      <c r="C800" s="884">
        <v>46029</v>
      </c>
      <c r="D800" s="884">
        <v>46031</v>
      </c>
      <c r="E800" t="s">
        <v>423</v>
      </c>
      <c r="F800" t="s">
        <v>532</v>
      </c>
      <c r="H800" t="s">
        <v>1927</v>
      </c>
      <c r="I800" s="885">
        <v>45987.390810185185</v>
      </c>
      <c r="K800" s="885">
        <v>45994.375590277778</v>
      </c>
      <c r="L800" t="s">
        <v>264</v>
      </c>
      <c r="M800" t="s">
        <v>510</v>
      </c>
      <c r="N800" t="s">
        <v>861</v>
      </c>
      <c r="O800" t="s">
        <v>267</v>
      </c>
      <c r="P800" s="885">
        <v>45994.378368055557</v>
      </c>
      <c r="Q800" t="s">
        <v>268</v>
      </c>
      <c r="R800" t="s">
        <v>269</v>
      </c>
    </row>
    <row r="801" spans="1:18" x14ac:dyDescent="0.15">
      <c r="A801" s="788" t="s">
        <v>2008</v>
      </c>
      <c r="B801" t="s">
        <v>2009</v>
      </c>
      <c r="C801" s="884">
        <v>46015</v>
      </c>
      <c r="D801" s="884">
        <v>46019</v>
      </c>
      <c r="E801" t="s">
        <v>423</v>
      </c>
      <c r="F801" t="s">
        <v>532</v>
      </c>
      <c r="H801" t="s">
        <v>629</v>
      </c>
      <c r="I801" s="885">
        <v>45994.008935185186</v>
      </c>
      <c r="K801" s="885">
        <v>46004.484780092593</v>
      </c>
      <c r="L801" t="s">
        <v>264</v>
      </c>
      <c r="M801" t="s">
        <v>265</v>
      </c>
      <c r="N801" t="s">
        <v>1789</v>
      </c>
      <c r="O801" t="s">
        <v>267</v>
      </c>
      <c r="P801" s="885">
        <v>46004.487361111111</v>
      </c>
      <c r="Q801" t="s">
        <v>268</v>
      </c>
      <c r="R801" t="s">
        <v>269</v>
      </c>
    </row>
    <row r="802" spans="1:18" x14ac:dyDescent="0.15">
      <c r="A802" s="788" t="s">
        <v>2095</v>
      </c>
      <c r="B802" t="s">
        <v>2096</v>
      </c>
      <c r="C802" s="884">
        <v>46049</v>
      </c>
      <c r="D802" s="884">
        <v>46050</v>
      </c>
      <c r="E802" t="s">
        <v>423</v>
      </c>
      <c r="F802" t="s">
        <v>654</v>
      </c>
      <c r="H802" t="s">
        <v>507</v>
      </c>
      <c r="I802" s="885">
        <v>46003.652407407404</v>
      </c>
      <c r="K802" s="885">
        <v>46008.659259259257</v>
      </c>
      <c r="L802" t="s">
        <v>264</v>
      </c>
      <c r="M802" t="s">
        <v>265</v>
      </c>
      <c r="N802" t="s">
        <v>395</v>
      </c>
      <c r="O802" t="s">
        <v>267</v>
      </c>
      <c r="P802" s="885">
        <v>46008.660127314812</v>
      </c>
      <c r="Q802" t="s">
        <v>268</v>
      </c>
      <c r="R802" t="s">
        <v>269</v>
      </c>
    </row>
    <row r="803" spans="1:18" x14ac:dyDescent="0.15">
      <c r="A803" s="788" t="s">
        <v>2151</v>
      </c>
      <c r="B803" t="s">
        <v>2152</v>
      </c>
      <c r="C803" s="884">
        <v>46074</v>
      </c>
      <c r="D803" s="884">
        <v>46075</v>
      </c>
      <c r="E803" t="s">
        <v>423</v>
      </c>
      <c r="F803" t="s">
        <v>1014</v>
      </c>
      <c r="H803" t="s">
        <v>860</v>
      </c>
      <c r="I803" s="885">
        <v>46009.554976851854</v>
      </c>
      <c r="K803" s="885">
        <v>46041.503854166665</v>
      </c>
      <c r="L803" t="s">
        <v>264</v>
      </c>
      <c r="M803" t="s">
        <v>292</v>
      </c>
      <c r="N803" t="s">
        <v>1015</v>
      </c>
      <c r="O803" t="s">
        <v>267</v>
      </c>
      <c r="P803" s="885">
        <v>46041.506516203706</v>
      </c>
      <c r="Q803" t="s">
        <v>268</v>
      </c>
      <c r="R803" t="s">
        <v>269</v>
      </c>
    </row>
    <row r="804" spans="1:18" x14ac:dyDescent="0.15">
      <c r="A804" s="788" t="s">
        <v>2157</v>
      </c>
      <c r="B804" t="s">
        <v>2158</v>
      </c>
      <c r="C804" s="884">
        <v>46330</v>
      </c>
      <c r="D804" s="884">
        <v>46332</v>
      </c>
      <c r="E804" t="s">
        <v>423</v>
      </c>
      <c r="F804" t="s">
        <v>506</v>
      </c>
      <c r="H804" t="s">
        <v>2159</v>
      </c>
      <c r="I804" s="885">
        <v>46010.353495370371</v>
      </c>
      <c r="L804" t="s">
        <v>274</v>
      </c>
      <c r="M804" t="s">
        <v>1794</v>
      </c>
      <c r="N804" t="s">
        <v>2160</v>
      </c>
      <c r="O804" t="s">
        <v>267</v>
      </c>
      <c r="P804" s="885">
        <v>46010.356608796297</v>
      </c>
      <c r="Q804" t="s">
        <v>268</v>
      </c>
      <c r="R804" t="s">
        <v>269</v>
      </c>
    </row>
    <row r="805" spans="1:18" x14ac:dyDescent="0.15">
      <c r="A805" s="788" t="s">
        <v>2161</v>
      </c>
      <c r="B805" t="s">
        <v>2158</v>
      </c>
      <c r="C805" s="884">
        <v>46330</v>
      </c>
      <c r="D805" s="884">
        <v>46332</v>
      </c>
      <c r="E805" t="s">
        <v>423</v>
      </c>
      <c r="F805" t="s">
        <v>506</v>
      </c>
      <c r="H805" t="s">
        <v>2159</v>
      </c>
      <c r="I805" s="885">
        <v>46010.353935185187</v>
      </c>
      <c r="K805" s="885">
        <v>46010.607615740744</v>
      </c>
      <c r="L805" t="s">
        <v>264</v>
      </c>
      <c r="M805" t="s">
        <v>1794</v>
      </c>
      <c r="N805" t="s">
        <v>2160</v>
      </c>
      <c r="O805" t="s">
        <v>267</v>
      </c>
      <c r="P805" s="885">
        <v>46010.608182870368</v>
      </c>
      <c r="Q805" t="s">
        <v>268</v>
      </c>
      <c r="R805" t="s">
        <v>269</v>
      </c>
    </row>
    <row r="806" spans="1:18" x14ac:dyDescent="0.15">
      <c r="A806" s="788" t="s">
        <v>2333</v>
      </c>
      <c r="B806" t="s">
        <v>2334</v>
      </c>
      <c r="C806" s="884">
        <v>46122</v>
      </c>
      <c r="D806" s="884">
        <v>46123</v>
      </c>
      <c r="E806" t="s">
        <v>423</v>
      </c>
      <c r="F806" t="s">
        <v>506</v>
      </c>
      <c r="H806" t="s">
        <v>425</v>
      </c>
      <c r="I806" s="885">
        <v>46029.735115740739</v>
      </c>
      <c r="K806" s="885">
        <v>46038.759444444448</v>
      </c>
      <c r="L806" t="s">
        <v>264</v>
      </c>
      <c r="M806" t="s">
        <v>265</v>
      </c>
      <c r="N806" t="s">
        <v>2335</v>
      </c>
      <c r="O806" t="s">
        <v>267</v>
      </c>
      <c r="P806" s="885">
        <v>46038.760520833333</v>
      </c>
      <c r="Q806" t="s">
        <v>268</v>
      </c>
      <c r="R806" t="s">
        <v>269</v>
      </c>
    </row>
    <row r="807" spans="1:18" x14ac:dyDescent="0.15">
      <c r="A807" s="788" t="s">
        <v>2351</v>
      </c>
      <c r="B807" t="s">
        <v>2352</v>
      </c>
      <c r="C807" s="884">
        <v>46153</v>
      </c>
      <c r="D807" s="884">
        <v>46155</v>
      </c>
      <c r="E807" t="s">
        <v>423</v>
      </c>
      <c r="F807" t="s">
        <v>532</v>
      </c>
      <c r="H807" t="s">
        <v>1942</v>
      </c>
      <c r="I807" s="885">
        <v>46031.885648148149</v>
      </c>
      <c r="L807" t="s">
        <v>274</v>
      </c>
      <c r="M807" t="s">
        <v>265</v>
      </c>
      <c r="N807" t="s">
        <v>2353</v>
      </c>
      <c r="O807" t="s">
        <v>267</v>
      </c>
      <c r="P807" s="885">
        <v>46031.887962962966</v>
      </c>
      <c r="Q807" t="s">
        <v>268</v>
      </c>
      <c r="R807" t="s">
        <v>269</v>
      </c>
    </row>
    <row r="808" spans="1:18" x14ac:dyDescent="0.15">
      <c r="A808" s="788" t="s">
        <v>2424</v>
      </c>
      <c r="B808" t="s">
        <v>2425</v>
      </c>
      <c r="C808" s="884">
        <v>46314</v>
      </c>
      <c r="D808" s="884">
        <v>46316</v>
      </c>
      <c r="E808" t="s">
        <v>423</v>
      </c>
      <c r="F808" t="s">
        <v>532</v>
      </c>
      <c r="H808" t="s">
        <v>507</v>
      </c>
      <c r="I808" s="885">
        <v>46037.431041666663</v>
      </c>
      <c r="L808" t="s">
        <v>274</v>
      </c>
      <c r="M808" t="s">
        <v>265</v>
      </c>
      <c r="N808" t="s">
        <v>2426</v>
      </c>
      <c r="O808" t="s">
        <v>267</v>
      </c>
      <c r="P808" s="885">
        <v>46037.43273148148</v>
      </c>
      <c r="Q808" t="s">
        <v>268</v>
      </c>
      <c r="R808" t="s">
        <v>269</v>
      </c>
    </row>
    <row r="809" spans="1:18" x14ac:dyDescent="0.15">
      <c r="A809" s="788" t="s">
        <v>2466</v>
      </c>
      <c r="B809" t="s">
        <v>2467</v>
      </c>
      <c r="C809" s="884">
        <v>46044</v>
      </c>
      <c r="D809" s="884">
        <v>46046</v>
      </c>
      <c r="E809" t="s">
        <v>423</v>
      </c>
      <c r="F809" t="s">
        <v>628</v>
      </c>
      <c r="H809" t="s">
        <v>425</v>
      </c>
      <c r="I809" s="885">
        <v>46041.930231481485</v>
      </c>
      <c r="K809" s="885">
        <v>46042.351724537039</v>
      </c>
      <c r="L809" t="s">
        <v>264</v>
      </c>
      <c r="M809" t="s">
        <v>279</v>
      </c>
      <c r="N809" t="s">
        <v>714</v>
      </c>
      <c r="O809" t="s">
        <v>267</v>
      </c>
      <c r="P809" s="885">
        <v>46042.352025462962</v>
      </c>
      <c r="Q809" t="s">
        <v>268</v>
      </c>
      <c r="R809" t="s">
        <v>269</v>
      </c>
    </row>
    <row r="810" spans="1:18" x14ac:dyDescent="0.15">
      <c r="A810" s="788" t="s">
        <v>2470</v>
      </c>
      <c r="B810" t="s">
        <v>2467</v>
      </c>
      <c r="C810" s="884">
        <v>46075</v>
      </c>
      <c r="D810" s="884">
        <v>46077</v>
      </c>
      <c r="E810" t="s">
        <v>423</v>
      </c>
      <c r="F810" t="s">
        <v>628</v>
      </c>
      <c r="H810" t="s">
        <v>629</v>
      </c>
      <c r="I810" s="885">
        <v>46042.361539351848</v>
      </c>
      <c r="K810" s="885">
        <v>46042.925370370373</v>
      </c>
      <c r="L810" t="s">
        <v>264</v>
      </c>
      <c r="M810" t="s">
        <v>279</v>
      </c>
      <c r="N810" t="s">
        <v>1015</v>
      </c>
      <c r="O810" t="s">
        <v>267</v>
      </c>
      <c r="P810" s="885">
        <v>46042.927777777775</v>
      </c>
      <c r="Q810" t="s">
        <v>268</v>
      </c>
      <c r="R810" t="s">
        <v>269</v>
      </c>
    </row>
    <row r="811" spans="1:18" x14ac:dyDescent="0.15">
      <c r="A811" s="788" t="s">
        <v>2485</v>
      </c>
      <c r="B811" t="s">
        <v>2486</v>
      </c>
      <c r="C811" s="884">
        <v>46254</v>
      </c>
      <c r="D811" s="884">
        <v>46256</v>
      </c>
      <c r="E811" t="s">
        <v>423</v>
      </c>
      <c r="F811" t="s">
        <v>506</v>
      </c>
      <c r="H811" t="s">
        <v>2487</v>
      </c>
      <c r="I811" s="885">
        <v>46044.361400462964</v>
      </c>
      <c r="K811" s="885">
        <v>46064.345023148147</v>
      </c>
      <c r="L811" t="s">
        <v>264</v>
      </c>
      <c r="M811" t="s">
        <v>2488</v>
      </c>
      <c r="N811" t="s">
        <v>2489</v>
      </c>
      <c r="O811" t="s">
        <v>267</v>
      </c>
      <c r="P811" s="885">
        <v>46064.347673611112</v>
      </c>
      <c r="Q811" t="s">
        <v>268</v>
      </c>
      <c r="R811" t="s">
        <v>269</v>
      </c>
    </row>
    <row r="812" spans="1:18" x14ac:dyDescent="0.15">
      <c r="A812" s="788" t="s">
        <v>2527</v>
      </c>
      <c r="B812" t="s">
        <v>2528</v>
      </c>
      <c r="C812" s="884">
        <v>46240</v>
      </c>
      <c r="D812" s="884">
        <v>46242</v>
      </c>
      <c r="E812" t="s">
        <v>423</v>
      </c>
      <c r="F812" t="s">
        <v>506</v>
      </c>
      <c r="H812" t="s">
        <v>425</v>
      </c>
      <c r="I812" s="885">
        <v>46049.532337962963</v>
      </c>
      <c r="L812" t="s">
        <v>274</v>
      </c>
      <c r="M812" t="s">
        <v>265</v>
      </c>
      <c r="N812" t="s">
        <v>2529</v>
      </c>
      <c r="O812" t="s">
        <v>267</v>
      </c>
      <c r="P812" s="885">
        <v>46049.535601851851</v>
      </c>
      <c r="Q812" t="s">
        <v>268</v>
      </c>
      <c r="R812" t="s">
        <v>269</v>
      </c>
    </row>
    <row r="813" spans="1:18" x14ac:dyDescent="0.15">
      <c r="A813" s="788" t="s">
        <v>2560</v>
      </c>
      <c r="B813" t="s">
        <v>2561</v>
      </c>
      <c r="C813" s="884">
        <v>46340</v>
      </c>
      <c r="D813" s="884">
        <v>46342</v>
      </c>
      <c r="E813" t="s">
        <v>423</v>
      </c>
      <c r="F813" t="s">
        <v>2562</v>
      </c>
      <c r="H813" t="s">
        <v>425</v>
      </c>
      <c r="I813" s="885">
        <v>46051.660219907404</v>
      </c>
      <c r="L813" t="s">
        <v>274</v>
      </c>
      <c r="M813" t="s">
        <v>265</v>
      </c>
      <c r="N813" t="s">
        <v>2563</v>
      </c>
      <c r="O813" t="s">
        <v>267</v>
      </c>
      <c r="P813" s="885">
        <v>46051.662210648145</v>
      </c>
      <c r="Q813" t="s">
        <v>268</v>
      </c>
      <c r="R813" t="s">
        <v>269</v>
      </c>
    </row>
    <row r="814" spans="1:18" x14ac:dyDescent="0.15">
      <c r="A814" s="788" t="s">
        <v>2564</v>
      </c>
      <c r="B814" t="s">
        <v>2565</v>
      </c>
      <c r="C814" s="884">
        <v>46340</v>
      </c>
      <c r="D814" s="884">
        <v>46342</v>
      </c>
      <c r="E814" t="s">
        <v>423</v>
      </c>
      <c r="F814" t="s">
        <v>2562</v>
      </c>
      <c r="H814" t="s">
        <v>425</v>
      </c>
      <c r="I814" s="885">
        <v>46051.66034722222</v>
      </c>
      <c r="L814" t="s">
        <v>274</v>
      </c>
      <c r="M814" t="s">
        <v>265</v>
      </c>
      <c r="N814" t="s">
        <v>2563</v>
      </c>
      <c r="O814" t="s">
        <v>267</v>
      </c>
      <c r="P814" s="885">
        <v>46051.662210648145</v>
      </c>
      <c r="Q814" t="s">
        <v>268</v>
      </c>
      <c r="R814" t="s">
        <v>269</v>
      </c>
    </row>
    <row r="815" spans="1:18" x14ac:dyDescent="0.15">
      <c r="A815" s="788" t="s">
        <v>2566</v>
      </c>
      <c r="B815" t="s">
        <v>2567</v>
      </c>
      <c r="C815" s="884">
        <v>46340</v>
      </c>
      <c r="D815" s="884">
        <v>46342</v>
      </c>
      <c r="E815" t="s">
        <v>423</v>
      </c>
      <c r="F815" t="s">
        <v>2562</v>
      </c>
      <c r="H815" t="s">
        <v>425</v>
      </c>
      <c r="I815" s="885">
        <v>46051.660451388889</v>
      </c>
      <c r="L815" t="s">
        <v>274</v>
      </c>
      <c r="M815" t="s">
        <v>265</v>
      </c>
      <c r="N815" t="s">
        <v>2563</v>
      </c>
      <c r="O815" t="s">
        <v>267</v>
      </c>
      <c r="P815" s="885">
        <v>46051.662210648145</v>
      </c>
      <c r="Q815" t="s">
        <v>268</v>
      </c>
      <c r="R815" t="s">
        <v>269</v>
      </c>
    </row>
    <row r="816" spans="1:18" x14ac:dyDescent="0.15">
      <c r="A816" s="788" t="s">
        <v>2571</v>
      </c>
      <c r="B816" t="s">
        <v>2572</v>
      </c>
      <c r="C816" s="884">
        <v>46334</v>
      </c>
      <c r="D816" s="884">
        <v>46336</v>
      </c>
      <c r="E816" t="s">
        <v>423</v>
      </c>
      <c r="F816" t="s">
        <v>506</v>
      </c>
      <c r="H816" t="s">
        <v>655</v>
      </c>
      <c r="I816" s="885">
        <v>46052.5156712963</v>
      </c>
      <c r="K816" s="885">
        <v>46064.447534722225</v>
      </c>
      <c r="L816" t="s">
        <v>264</v>
      </c>
      <c r="M816" t="s">
        <v>292</v>
      </c>
      <c r="N816" t="s">
        <v>2573</v>
      </c>
      <c r="O816" t="s">
        <v>267</v>
      </c>
      <c r="P816" s="885">
        <v>46064.449745370373</v>
      </c>
      <c r="Q816" t="s">
        <v>268</v>
      </c>
      <c r="R816" t="s">
        <v>269</v>
      </c>
    </row>
    <row r="817" spans="1:18" x14ac:dyDescent="0.15">
      <c r="A817" s="788" t="s">
        <v>2574</v>
      </c>
      <c r="B817" t="s">
        <v>2575</v>
      </c>
      <c r="C817" s="884">
        <v>46334</v>
      </c>
      <c r="D817" s="884">
        <v>46336</v>
      </c>
      <c r="E817" t="s">
        <v>423</v>
      </c>
      <c r="F817" t="s">
        <v>506</v>
      </c>
      <c r="H817" t="s">
        <v>655</v>
      </c>
      <c r="I817" s="885">
        <v>46052.516099537039</v>
      </c>
      <c r="K817" s="885">
        <v>46064.447638888887</v>
      </c>
      <c r="L817" t="s">
        <v>264</v>
      </c>
      <c r="M817" t="s">
        <v>265</v>
      </c>
      <c r="N817" t="s">
        <v>2573</v>
      </c>
      <c r="O817" t="s">
        <v>267</v>
      </c>
      <c r="P817" s="885">
        <v>46064.449745370373</v>
      </c>
      <c r="Q817" t="s">
        <v>268</v>
      </c>
      <c r="R817" t="s">
        <v>269</v>
      </c>
    </row>
    <row r="818" spans="1:18" x14ac:dyDescent="0.15">
      <c r="A818" s="788" t="s">
        <v>1469</v>
      </c>
    </row>
  </sheetData>
  <autoFilter ref="A1:AD1" xr:uid="{F8B91A68-59F9-F440-94D5-25DB85A5E291}">
    <sortState xmlns:xlrd2="http://schemas.microsoft.com/office/spreadsheetml/2017/richdata2" ref="A2:AD818">
      <sortCondition ref="E1:E818"/>
    </sortState>
  </autoFilter>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pane xSplit="1" topLeftCell="B1" activePane="topRight" state="frozen"/>
      <selection pane="topRight" activeCell="C2" sqref="C2"/>
    </sheetView>
  </sheetViews>
  <sheetFormatPr baseColWidth="10" defaultColWidth="12.6640625" defaultRowHeight="15" customHeight="1" x14ac:dyDescent="0.15"/>
  <cols>
    <col min="1" max="1" width="8.5" customWidth="1"/>
    <col min="2" max="5" width="13.5" customWidth="1"/>
    <col min="6" max="6" width="10.83203125" customWidth="1"/>
    <col min="7" max="7" width="13.6640625" customWidth="1"/>
    <col min="8" max="8" width="14.83203125" hidden="1" customWidth="1"/>
    <col min="9" max="9" width="13.83203125" hidden="1" customWidth="1"/>
    <col min="10" max="10" width="11.5" customWidth="1"/>
    <col min="11" max="11" width="10.6640625" hidden="1" customWidth="1"/>
    <col min="12" max="12" width="10" hidden="1" customWidth="1"/>
    <col min="13" max="13" width="0.1640625" hidden="1" customWidth="1"/>
    <col min="14" max="14" width="13.6640625" customWidth="1"/>
    <col min="15" max="15" width="14.83203125" hidden="1" customWidth="1"/>
    <col min="16" max="16" width="13.83203125" hidden="1" customWidth="1"/>
    <col min="17" max="17" width="11.5" customWidth="1"/>
    <col min="18" max="26" width="10" customWidth="1"/>
  </cols>
  <sheetData>
    <row r="1" spans="1:26" ht="21" customHeight="1" x14ac:dyDescent="0.2">
      <c r="A1" s="952" t="s">
        <v>146</v>
      </c>
      <c r="B1" s="898"/>
      <c r="C1" s="898"/>
      <c r="D1" s="898"/>
      <c r="E1" s="898"/>
      <c r="F1" s="898"/>
      <c r="G1" s="898"/>
      <c r="H1" s="898"/>
      <c r="I1" s="898"/>
      <c r="J1" s="898"/>
      <c r="K1" s="898"/>
      <c r="L1" s="898"/>
      <c r="M1" s="898"/>
      <c r="N1" s="898"/>
      <c r="O1" s="898"/>
      <c r="P1" s="898"/>
      <c r="Q1" s="899"/>
    </row>
    <row r="2" spans="1:26" ht="24.75" customHeight="1" x14ac:dyDescent="0.15">
      <c r="A2" s="100"/>
      <c r="B2" s="101" t="s">
        <v>147</v>
      </c>
      <c r="C2" s="101" t="s">
        <v>148</v>
      </c>
      <c r="D2" s="101" t="s">
        <v>149</v>
      </c>
      <c r="E2" s="435" t="s">
        <v>150</v>
      </c>
      <c r="F2" s="435" t="s">
        <v>151</v>
      </c>
      <c r="G2" s="588" t="s">
        <v>152</v>
      </c>
      <c r="H2" s="437" t="s">
        <v>112</v>
      </c>
      <c r="I2" s="437" t="s">
        <v>113</v>
      </c>
      <c r="J2" s="438" t="s">
        <v>153</v>
      </c>
      <c r="K2" s="105" t="s">
        <v>117</v>
      </c>
      <c r="L2" s="106" t="s">
        <v>118</v>
      </c>
      <c r="M2" s="107" t="s">
        <v>119</v>
      </c>
      <c r="N2" s="589" t="s">
        <v>154</v>
      </c>
      <c r="O2" s="441" t="s">
        <v>112</v>
      </c>
      <c r="P2" s="441" t="s">
        <v>113</v>
      </c>
      <c r="Q2" s="590" t="s">
        <v>155</v>
      </c>
      <c r="R2" s="100"/>
      <c r="S2" s="100"/>
      <c r="T2" s="100"/>
      <c r="U2" s="100"/>
      <c r="V2" s="100"/>
      <c r="W2" s="100"/>
      <c r="X2" s="100"/>
      <c r="Y2" s="100"/>
      <c r="Z2" s="100"/>
    </row>
    <row r="3" spans="1:26" ht="12.75" hidden="1" customHeight="1" x14ac:dyDescent="0.15">
      <c r="A3" s="14" t="s">
        <v>90</v>
      </c>
      <c r="B3" s="111">
        <v>976369</v>
      </c>
      <c r="C3" s="111">
        <v>976369</v>
      </c>
      <c r="D3" s="111"/>
      <c r="E3" s="442">
        <v>800133</v>
      </c>
      <c r="F3" s="443" t="e">
        <f t="shared" ref="F3:F14" si="0">C3-#REF!</f>
        <v>#REF!</v>
      </c>
      <c r="G3" s="193" t="e">
        <f t="shared" ref="G3:G14" si="1">(#REF!-E3)</f>
        <v>#REF!</v>
      </c>
      <c r="H3" s="444">
        <f t="shared" ref="H3:H11" si="2">C3-I3</f>
        <v>815149</v>
      </c>
      <c r="I3" s="193">
        <v>161220</v>
      </c>
      <c r="J3" s="193">
        <f t="shared" ref="J3:J58" si="3">C3-E3</f>
        <v>176236</v>
      </c>
      <c r="K3" s="116">
        <v>1191028</v>
      </c>
      <c r="L3" s="117"/>
      <c r="M3" s="118"/>
      <c r="N3" s="591" t="e">
        <f t="shared" ref="N3:N14" si="4">(#REF!-L3)</f>
        <v>#REF!</v>
      </c>
      <c r="O3" s="445">
        <f t="shared" ref="O3:O11" si="5">K3-P3</f>
        <v>1029808</v>
      </c>
      <c r="P3" s="591">
        <v>161220</v>
      </c>
      <c r="Q3" s="591">
        <f t="shared" ref="Q3:Q58" si="6">K3-L3</f>
        <v>1191028</v>
      </c>
      <c r="R3" s="100"/>
      <c r="S3" s="100"/>
      <c r="T3" s="100"/>
      <c r="U3" s="100"/>
      <c r="V3" s="100"/>
      <c r="W3" s="100"/>
      <c r="X3" s="100"/>
      <c r="Y3" s="100"/>
      <c r="Z3" s="100"/>
    </row>
    <row r="4" spans="1:26" ht="12.75" hidden="1" customHeight="1" x14ac:dyDescent="0.15">
      <c r="A4" s="14" t="s">
        <v>123</v>
      </c>
      <c r="B4" s="111">
        <v>766954</v>
      </c>
      <c r="C4" s="111">
        <v>766954</v>
      </c>
      <c r="D4" s="111"/>
      <c r="E4" s="442">
        <v>501706</v>
      </c>
      <c r="F4" s="443" t="e">
        <f t="shared" si="0"/>
        <v>#REF!</v>
      </c>
      <c r="G4" s="193" t="e">
        <f t="shared" si="1"/>
        <v>#REF!</v>
      </c>
      <c r="H4" s="444">
        <f t="shared" si="2"/>
        <v>605734</v>
      </c>
      <c r="I4" s="193">
        <v>161220</v>
      </c>
      <c r="J4" s="193">
        <f t="shared" si="3"/>
        <v>265248</v>
      </c>
      <c r="K4" s="116">
        <v>1245578</v>
      </c>
      <c r="L4" s="117"/>
      <c r="M4" s="118"/>
      <c r="N4" s="591" t="e">
        <f t="shared" si="4"/>
        <v>#REF!</v>
      </c>
      <c r="O4" s="445">
        <f t="shared" si="5"/>
        <v>1084358</v>
      </c>
      <c r="P4" s="591">
        <v>161220</v>
      </c>
      <c r="Q4" s="591">
        <f t="shared" si="6"/>
        <v>1245578</v>
      </c>
      <c r="R4" s="100"/>
      <c r="S4" s="100"/>
      <c r="T4" s="100"/>
      <c r="U4" s="100"/>
      <c r="V4" s="100"/>
      <c r="W4" s="100"/>
      <c r="X4" s="100"/>
      <c r="Y4" s="100"/>
      <c r="Z4" s="100"/>
    </row>
    <row r="5" spans="1:26" ht="12.75" hidden="1" customHeight="1" x14ac:dyDescent="0.15">
      <c r="A5" s="14" t="s">
        <v>124</v>
      </c>
      <c r="B5" s="111">
        <v>644339</v>
      </c>
      <c r="C5" s="111">
        <v>644339</v>
      </c>
      <c r="D5" s="111"/>
      <c r="E5" s="442">
        <v>529349</v>
      </c>
      <c r="F5" s="443" t="e">
        <f t="shared" si="0"/>
        <v>#REF!</v>
      </c>
      <c r="G5" s="193" t="e">
        <f t="shared" si="1"/>
        <v>#REF!</v>
      </c>
      <c r="H5" s="444">
        <f t="shared" si="2"/>
        <v>483119</v>
      </c>
      <c r="I5" s="193">
        <v>161220</v>
      </c>
      <c r="J5" s="193">
        <f t="shared" si="3"/>
        <v>114990</v>
      </c>
      <c r="K5" s="116">
        <v>1488076</v>
      </c>
      <c r="L5" s="117"/>
      <c r="M5" s="118"/>
      <c r="N5" s="591" t="e">
        <f t="shared" si="4"/>
        <v>#REF!</v>
      </c>
      <c r="O5" s="445">
        <f t="shared" si="5"/>
        <v>1326856</v>
      </c>
      <c r="P5" s="591">
        <v>161220</v>
      </c>
      <c r="Q5" s="591">
        <f t="shared" si="6"/>
        <v>1488076</v>
      </c>
      <c r="R5" s="100"/>
      <c r="S5" s="100"/>
      <c r="T5" s="100"/>
      <c r="U5" s="100"/>
      <c r="V5" s="100"/>
      <c r="W5" s="100"/>
      <c r="X5" s="100"/>
      <c r="Y5" s="100"/>
      <c r="Z5" s="100"/>
    </row>
    <row r="6" spans="1:26" ht="12.75" hidden="1" customHeight="1" x14ac:dyDescent="0.15">
      <c r="A6" s="14" t="s">
        <v>125</v>
      </c>
      <c r="B6" s="111">
        <v>530924</v>
      </c>
      <c r="C6" s="111">
        <v>530924</v>
      </c>
      <c r="D6" s="111"/>
      <c r="E6" s="442">
        <v>364107</v>
      </c>
      <c r="F6" s="443" t="e">
        <f t="shared" si="0"/>
        <v>#REF!</v>
      </c>
      <c r="G6" s="193" t="e">
        <f t="shared" si="1"/>
        <v>#REF!</v>
      </c>
      <c r="H6" s="444">
        <f t="shared" si="2"/>
        <v>369704</v>
      </c>
      <c r="I6" s="193">
        <v>161220</v>
      </c>
      <c r="J6" s="193">
        <f t="shared" si="3"/>
        <v>166817</v>
      </c>
      <c r="K6" s="116">
        <v>1449686</v>
      </c>
      <c r="L6" s="117"/>
      <c r="M6" s="118"/>
      <c r="N6" s="591" t="e">
        <f t="shared" si="4"/>
        <v>#REF!</v>
      </c>
      <c r="O6" s="445">
        <f t="shared" si="5"/>
        <v>1288466</v>
      </c>
      <c r="P6" s="591">
        <v>161220</v>
      </c>
      <c r="Q6" s="591">
        <f t="shared" si="6"/>
        <v>1449686</v>
      </c>
      <c r="R6" s="100"/>
      <c r="S6" s="100"/>
      <c r="T6" s="100"/>
      <c r="U6" s="100"/>
      <c r="V6" s="100"/>
      <c r="W6" s="100"/>
      <c r="X6" s="100"/>
      <c r="Y6" s="100"/>
      <c r="Z6" s="100"/>
    </row>
    <row r="7" spans="1:26" ht="12.75" hidden="1" customHeight="1" x14ac:dyDescent="0.15">
      <c r="A7" s="14" t="s">
        <v>126</v>
      </c>
      <c r="B7" s="111">
        <v>658052</v>
      </c>
      <c r="C7" s="111">
        <v>658052</v>
      </c>
      <c r="D7" s="111"/>
      <c r="E7" s="442">
        <v>442478</v>
      </c>
      <c r="F7" s="443" t="e">
        <f t="shared" si="0"/>
        <v>#REF!</v>
      </c>
      <c r="G7" s="193" t="e">
        <f t="shared" si="1"/>
        <v>#REF!</v>
      </c>
      <c r="H7" s="444">
        <f t="shared" si="2"/>
        <v>496832</v>
      </c>
      <c r="I7" s="193">
        <v>161220</v>
      </c>
      <c r="J7" s="193">
        <f t="shared" si="3"/>
        <v>215574</v>
      </c>
      <c r="K7" s="116">
        <v>770876</v>
      </c>
      <c r="L7" s="54"/>
      <c r="M7" s="121"/>
      <c r="N7" s="591" t="e">
        <f t="shared" si="4"/>
        <v>#REF!</v>
      </c>
      <c r="O7" s="445">
        <f t="shared" si="5"/>
        <v>609656</v>
      </c>
      <c r="P7" s="591">
        <v>161220</v>
      </c>
      <c r="Q7" s="591">
        <f t="shared" si="6"/>
        <v>770876</v>
      </c>
    </row>
    <row r="8" spans="1:26" ht="12.75" hidden="1" customHeight="1" x14ac:dyDescent="0.15">
      <c r="A8" s="14" t="s">
        <v>127</v>
      </c>
      <c r="B8" s="111">
        <v>648180</v>
      </c>
      <c r="C8" s="111">
        <v>648180</v>
      </c>
      <c r="D8" s="111"/>
      <c r="E8" s="442">
        <v>436658</v>
      </c>
      <c r="F8" s="443" t="e">
        <f t="shared" si="0"/>
        <v>#REF!</v>
      </c>
      <c r="G8" s="193" t="e">
        <f t="shared" si="1"/>
        <v>#REF!</v>
      </c>
      <c r="H8" s="444">
        <f t="shared" si="2"/>
        <v>438056</v>
      </c>
      <c r="I8" s="193">
        <v>210124</v>
      </c>
      <c r="J8" s="193">
        <f t="shared" si="3"/>
        <v>211522</v>
      </c>
      <c r="K8" s="116">
        <v>570574</v>
      </c>
      <c r="L8" s="54"/>
      <c r="M8" s="121"/>
      <c r="N8" s="591" t="e">
        <f t="shared" si="4"/>
        <v>#REF!</v>
      </c>
      <c r="O8" s="445">
        <f t="shared" si="5"/>
        <v>360450</v>
      </c>
      <c r="P8" s="591">
        <v>210124</v>
      </c>
      <c r="Q8" s="591">
        <f t="shared" si="6"/>
        <v>570574</v>
      </c>
    </row>
    <row r="9" spans="1:26" ht="12.75" hidden="1" customHeight="1" x14ac:dyDescent="0.15">
      <c r="A9" s="14" t="s">
        <v>128</v>
      </c>
      <c r="B9" s="111">
        <f t="shared" ref="B9:C9" si="7">310920.68+365482.43</f>
        <v>676403.11</v>
      </c>
      <c r="C9" s="111">
        <f t="shared" si="7"/>
        <v>676403.11</v>
      </c>
      <c r="D9" s="111"/>
      <c r="E9" s="442">
        <v>544088</v>
      </c>
      <c r="F9" s="443" t="e">
        <f t="shared" si="0"/>
        <v>#REF!</v>
      </c>
      <c r="G9" s="193" t="e">
        <f t="shared" si="1"/>
        <v>#REF!</v>
      </c>
      <c r="H9" s="444">
        <f t="shared" si="2"/>
        <v>387627.11</v>
      </c>
      <c r="I9" s="193">
        <v>288776</v>
      </c>
      <c r="J9" s="193">
        <f t="shared" si="3"/>
        <v>132315.10999999999</v>
      </c>
      <c r="K9" s="123"/>
      <c r="L9" s="54"/>
      <c r="M9" s="121"/>
      <c r="N9" s="591" t="e">
        <f t="shared" si="4"/>
        <v>#REF!</v>
      </c>
      <c r="O9" s="445">
        <f t="shared" si="5"/>
        <v>-288776</v>
      </c>
      <c r="P9" s="591">
        <v>288776</v>
      </c>
      <c r="Q9" s="591">
        <f t="shared" si="6"/>
        <v>0</v>
      </c>
    </row>
    <row r="10" spans="1:26" ht="12.75" hidden="1" customHeight="1" x14ac:dyDescent="0.15">
      <c r="A10" s="14" t="s">
        <v>129</v>
      </c>
      <c r="B10" s="111">
        <v>910865</v>
      </c>
      <c r="C10" s="111">
        <v>910865</v>
      </c>
      <c r="D10" s="111"/>
      <c r="E10" s="442">
        <v>635793</v>
      </c>
      <c r="F10" s="443" t="e">
        <f t="shared" si="0"/>
        <v>#REF!</v>
      </c>
      <c r="G10" s="193" t="e">
        <f t="shared" si="1"/>
        <v>#REF!</v>
      </c>
      <c r="H10" s="444">
        <f t="shared" si="2"/>
        <v>697139</v>
      </c>
      <c r="I10" s="193">
        <v>213726</v>
      </c>
      <c r="J10" s="193">
        <f t="shared" si="3"/>
        <v>275072</v>
      </c>
      <c r="K10" s="123"/>
      <c r="L10" s="54"/>
      <c r="M10" s="121"/>
      <c r="N10" s="591" t="e">
        <f t="shared" si="4"/>
        <v>#REF!</v>
      </c>
      <c r="O10" s="445">
        <f t="shared" si="5"/>
        <v>-213726</v>
      </c>
      <c r="P10" s="591">
        <v>213726</v>
      </c>
      <c r="Q10" s="591">
        <f t="shared" si="6"/>
        <v>0</v>
      </c>
    </row>
    <row r="11" spans="1:26" ht="12.75" hidden="1" customHeight="1" x14ac:dyDescent="0.15">
      <c r="A11" s="14" t="s">
        <v>86</v>
      </c>
      <c r="B11" s="111">
        <v>1045436</v>
      </c>
      <c r="C11" s="111">
        <v>1045436</v>
      </c>
      <c r="D11" s="111"/>
      <c r="E11" s="442">
        <v>770879</v>
      </c>
      <c r="F11" s="443" t="e">
        <f t="shared" si="0"/>
        <v>#REF!</v>
      </c>
      <c r="G11" s="193" t="e">
        <f t="shared" si="1"/>
        <v>#REF!</v>
      </c>
      <c r="H11" s="195">
        <f t="shared" si="2"/>
        <v>884526</v>
      </c>
      <c r="I11" s="195">
        <v>160910</v>
      </c>
      <c r="J11" s="193">
        <f t="shared" si="3"/>
        <v>274557</v>
      </c>
      <c r="K11" s="123"/>
      <c r="L11" s="54"/>
      <c r="M11" s="121"/>
      <c r="N11" s="591" t="e">
        <f t="shared" si="4"/>
        <v>#REF!</v>
      </c>
      <c r="O11" s="446">
        <f t="shared" si="5"/>
        <v>-160910</v>
      </c>
      <c r="P11" s="446">
        <v>160910</v>
      </c>
      <c r="Q11" s="591">
        <f t="shared" si="6"/>
        <v>0</v>
      </c>
    </row>
    <row r="12" spans="1:26" ht="12.75" hidden="1" customHeight="1" x14ac:dyDescent="0.15">
      <c r="A12" s="14" t="s">
        <v>87</v>
      </c>
      <c r="B12" s="111">
        <v>1178518</v>
      </c>
      <c r="C12" s="111">
        <v>1178518</v>
      </c>
      <c r="D12" s="111"/>
      <c r="E12" s="442">
        <v>946659</v>
      </c>
      <c r="F12" s="443" t="e">
        <f t="shared" si="0"/>
        <v>#REF!</v>
      </c>
      <c r="G12" s="193" t="e">
        <f t="shared" si="1"/>
        <v>#REF!</v>
      </c>
      <c r="H12" s="195"/>
      <c r="I12" s="195"/>
      <c r="J12" s="193">
        <f t="shared" si="3"/>
        <v>231859</v>
      </c>
      <c r="K12" s="123"/>
      <c r="L12" s="54"/>
      <c r="M12" s="121"/>
      <c r="N12" s="591" t="e">
        <f t="shared" si="4"/>
        <v>#REF!</v>
      </c>
      <c r="O12" s="446"/>
      <c r="P12" s="446"/>
      <c r="Q12" s="591">
        <f t="shared" si="6"/>
        <v>0</v>
      </c>
    </row>
    <row r="13" spans="1:26" ht="12.75" hidden="1" customHeight="1" x14ac:dyDescent="0.15">
      <c r="A13" s="14" t="s">
        <v>88</v>
      </c>
      <c r="B13" s="111">
        <v>1117894</v>
      </c>
      <c r="C13" s="111">
        <v>1117894</v>
      </c>
      <c r="D13" s="111"/>
      <c r="E13" s="442">
        <v>936359</v>
      </c>
      <c r="F13" s="443" t="e">
        <f t="shared" si="0"/>
        <v>#REF!</v>
      </c>
      <c r="G13" s="193" t="e">
        <f t="shared" si="1"/>
        <v>#REF!</v>
      </c>
      <c r="H13" s="195"/>
      <c r="I13" s="195"/>
      <c r="J13" s="193">
        <f t="shared" si="3"/>
        <v>181535</v>
      </c>
      <c r="K13" s="123"/>
      <c r="L13" s="54"/>
      <c r="M13" s="121"/>
      <c r="N13" s="591" t="e">
        <f t="shared" si="4"/>
        <v>#REF!</v>
      </c>
      <c r="O13" s="446"/>
      <c r="P13" s="446"/>
      <c r="Q13" s="591">
        <f t="shared" si="6"/>
        <v>0</v>
      </c>
    </row>
    <row r="14" spans="1:26" ht="12.75" hidden="1" customHeight="1" x14ac:dyDescent="0.15">
      <c r="A14" s="14" t="s">
        <v>89</v>
      </c>
      <c r="B14" s="111">
        <v>1103333</v>
      </c>
      <c r="C14" s="111">
        <v>1103333</v>
      </c>
      <c r="D14" s="111"/>
      <c r="E14" s="442">
        <v>906676</v>
      </c>
      <c r="F14" s="443" t="e">
        <f t="shared" si="0"/>
        <v>#REF!</v>
      </c>
      <c r="G14" s="193" t="e">
        <f t="shared" si="1"/>
        <v>#REF!</v>
      </c>
      <c r="H14" s="195"/>
      <c r="I14" s="195"/>
      <c r="J14" s="193">
        <f t="shared" si="3"/>
        <v>196657</v>
      </c>
      <c r="K14" s="123"/>
      <c r="L14" s="54"/>
      <c r="M14" s="121"/>
      <c r="N14" s="591" t="e">
        <f t="shared" si="4"/>
        <v>#REF!</v>
      </c>
      <c r="O14" s="446"/>
      <c r="P14" s="446"/>
      <c r="Q14" s="591">
        <f t="shared" si="6"/>
        <v>0</v>
      </c>
    </row>
    <row r="15" spans="1:26" ht="12.75" hidden="1" customHeight="1" x14ac:dyDescent="0.15">
      <c r="A15" s="125" t="s">
        <v>130</v>
      </c>
      <c r="B15" s="126">
        <f t="shared" ref="B15:C15" si="8">SUM(B3:B14)</f>
        <v>10257267.109999999</v>
      </c>
      <c r="C15" s="126">
        <f t="shared" si="8"/>
        <v>10257267.109999999</v>
      </c>
      <c r="D15" s="126"/>
      <c r="E15" s="447">
        <f t="shared" ref="E15:G15" si="9">SUM(E3:E14)</f>
        <v>7814885</v>
      </c>
      <c r="F15" s="447" t="e">
        <f t="shared" si="9"/>
        <v>#REF!</v>
      </c>
      <c r="G15" s="448" t="e">
        <f t="shared" si="9"/>
        <v>#REF!</v>
      </c>
      <c r="H15" s="449"/>
      <c r="I15" s="449"/>
      <c r="J15" s="450">
        <f t="shared" si="3"/>
        <v>2442382.1099999994</v>
      </c>
      <c r="K15" s="132"/>
      <c r="L15" s="133"/>
      <c r="M15" s="134"/>
      <c r="N15" s="451" t="e">
        <f>SUM(N3:N14)</f>
        <v>#REF!</v>
      </c>
      <c r="O15" s="452"/>
      <c r="P15" s="452"/>
      <c r="Q15" s="592">
        <f t="shared" si="6"/>
        <v>0</v>
      </c>
      <c r="R15" s="1"/>
      <c r="S15" s="1"/>
      <c r="T15" s="1"/>
      <c r="U15" s="1"/>
      <c r="V15" s="1"/>
      <c r="W15" s="1"/>
      <c r="X15" s="1"/>
      <c r="Y15" s="1"/>
      <c r="Z15" s="1"/>
    </row>
    <row r="16" spans="1:26" ht="12.75" hidden="1" customHeight="1" x14ac:dyDescent="0.15">
      <c r="A16" s="137" t="s">
        <v>129</v>
      </c>
      <c r="B16" s="138">
        <v>1187356</v>
      </c>
      <c r="C16" s="138">
        <v>1187356</v>
      </c>
      <c r="D16" s="138"/>
      <c r="E16" s="442">
        <v>915852</v>
      </c>
      <c r="F16" s="443" t="e">
        <f t="shared" ref="F16:F58" si="10">C16-#REF!</f>
        <v>#REF!</v>
      </c>
      <c r="G16" s="193" t="e">
        <f t="shared" ref="G16:G32" si="11">(#REF!-E16)</f>
        <v>#REF!</v>
      </c>
      <c r="H16" s="195"/>
      <c r="I16" s="195"/>
      <c r="J16" s="453">
        <f t="shared" si="3"/>
        <v>271504</v>
      </c>
      <c r="K16" s="123"/>
      <c r="L16" s="54"/>
      <c r="M16" s="121"/>
      <c r="N16" s="591" t="e">
        <f t="shared" ref="N16:N32" si="12">(#REF!-L16)</f>
        <v>#REF!</v>
      </c>
      <c r="O16" s="446"/>
      <c r="P16" s="446"/>
      <c r="Q16" s="593">
        <f t="shared" si="6"/>
        <v>0</v>
      </c>
    </row>
    <row r="17" spans="1:17" ht="12.75" hidden="1" customHeight="1" x14ac:dyDescent="0.15">
      <c r="A17" s="137" t="s">
        <v>86</v>
      </c>
      <c r="B17" s="138">
        <v>1465604</v>
      </c>
      <c r="C17" s="138">
        <v>1465604</v>
      </c>
      <c r="D17" s="138"/>
      <c r="E17" s="442">
        <v>1379962</v>
      </c>
      <c r="F17" s="443" t="e">
        <f t="shared" si="10"/>
        <v>#REF!</v>
      </c>
      <c r="G17" s="193" t="e">
        <f t="shared" si="11"/>
        <v>#REF!</v>
      </c>
      <c r="H17" s="195"/>
      <c r="I17" s="195"/>
      <c r="J17" s="453">
        <f t="shared" si="3"/>
        <v>85642</v>
      </c>
      <c r="K17" s="123"/>
      <c r="L17" s="54"/>
      <c r="M17" s="121"/>
      <c r="N17" s="591" t="e">
        <f t="shared" si="12"/>
        <v>#REF!</v>
      </c>
      <c r="O17" s="446"/>
      <c r="P17" s="446"/>
      <c r="Q17" s="593">
        <f t="shared" si="6"/>
        <v>0</v>
      </c>
    </row>
    <row r="18" spans="1:17" ht="12.75" hidden="1" customHeight="1" x14ac:dyDescent="0.15">
      <c r="A18" s="137" t="s">
        <v>87</v>
      </c>
      <c r="B18" s="138">
        <v>1353583</v>
      </c>
      <c r="C18" s="138">
        <v>1353583</v>
      </c>
      <c r="D18" s="138"/>
      <c r="E18" s="442">
        <v>979969</v>
      </c>
      <c r="F18" s="443" t="e">
        <f t="shared" si="10"/>
        <v>#REF!</v>
      </c>
      <c r="G18" s="193" t="e">
        <f t="shared" si="11"/>
        <v>#REF!</v>
      </c>
      <c r="H18" s="195"/>
      <c r="I18" s="195"/>
      <c r="J18" s="453">
        <f t="shared" si="3"/>
        <v>373614</v>
      </c>
      <c r="K18" s="123"/>
      <c r="L18" s="54"/>
      <c r="M18" s="121"/>
      <c r="N18" s="591" t="e">
        <f t="shared" si="12"/>
        <v>#REF!</v>
      </c>
      <c r="O18" s="446"/>
      <c r="P18" s="446"/>
      <c r="Q18" s="593">
        <f t="shared" si="6"/>
        <v>0</v>
      </c>
    </row>
    <row r="19" spans="1:17" ht="12.75" hidden="1" customHeight="1" x14ac:dyDescent="0.15">
      <c r="A19" s="137" t="s">
        <v>88</v>
      </c>
      <c r="B19" s="138">
        <v>1039316</v>
      </c>
      <c r="C19" s="138">
        <v>1039316</v>
      </c>
      <c r="D19" s="138"/>
      <c r="E19" s="442">
        <v>693487</v>
      </c>
      <c r="F19" s="443" t="e">
        <f t="shared" si="10"/>
        <v>#REF!</v>
      </c>
      <c r="G19" s="193" t="e">
        <f t="shared" si="11"/>
        <v>#REF!</v>
      </c>
      <c r="H19" s="195"/>
      <c r="I19" s="195"/>
      <c r="J19" s="453">
        <f t="shared" si="3"/>
        <v>345829</v>
      </c>
      <c r="K19" s="123"/>
      <c r="L19" s="54"/>
      <c r="M19" s="121"/>
      <c r="N19" s="591" t="e">
        <f t="shared" si="12"/>
        <v>#REF!</v>
      </c>
      <c r="O19" s="446"/>
      <c r="P19" s="446"/>
      <c r="Q19" s="593">
        <f t="shared" si="6"/>
        <v>0</v>
      </c>
    </row>
    <row r="20" spans="1:17" ht="12.75" hidden="1" customHeight="1" x14ac:dyDescent="0.15">
      <c r="A20" s="137" t="s">
        <v>89</v>
      </c>
      <c r="B20" s="138">
        <v>2032270</v>
      </c>
      <c r="C20" s="138">
        <v>2032270</v>
      </c>
      <c r="D20" s="138"/>
      <c r="E20" s="442">
        <v>1445893</v>
      </c>
      <c r="F20" s="443" t="e">
        <f t="shared" si="10"/>
        <v>#REF!</v>
      </c>
      <c r="G20" s="193" t="e">
        <f t="shared" si="11"/>
        <v>#REF!</v>
      </c>
      <c r="H20" s="195"/>
      <c r="I20" s="195"/>
      <c r="J20" s="453">
        <f t="shared" si="3"/>
        <v>586377</v>
      </c>
      <c r="K20" s="123"/>
      <c r="L20" s="54"/>
      <c r="M20" s="121"/>
      <c r="N20" s="591" t="e">
        <f t="shared" si="12"/>
        <v>#REF!</v>
      </c>
      <c r="O20" s="446"/>
      <c r="P20" s="446"/>
      <c r="Q20" s="593">
        <f t="shared" si="6"/>
        <v>0</v>
      </c>
    </row>
    <row r="21" spans="1:17" ht="12.75" hidden="1" customHeight="1" x14ac:dyDescent="0.15">
      <c r="A21" s="137" t="s">
        <v>90</v>
      </c>
      <c r="B21" s="138">
        <v>1805608</v>
      </c>
      <c r="C21" s="138">
        <v>1805608</v>
      </c>
      <c r="D21" s="138"/>
      <c r="E21" s="442">
        <v>1593289</v>
      </c>
      <c r="F21" s="443" t="e">
        <f t="shared" si="10"/>
        <v>#REF!</v>
      </c>
      <c r="G21" s="193" t="e">
        <f t="shared" si="11"/>
        <v>#REF!</v>
      </c>
      <c r="H21" s="195"/>
      <c r="I21" s="195"/>
      <c r="J21" s="453">
        <f t="shared" si="3"/>
        <v>212319</v>
      </c>
      <c r="K21" s="123"/>
      <c r="L21" s="54"/>
      <c r="M21" s="121"/>
      <c r="N21" s="591" t="e">
        <f t="shared" si="12"/>
        <v>#REF!</v>
      </c>
      <c r="O21" s="446"/>
      <c r="P21" s="446"/>
      <c r="Q21" s="593">
        <f t="shared" si="6"/>
        <v>0</v>
      </c>
    </row>
    <row r="22" spans="1:17" ht="12.75" hidden="1" customHeight="1" x14ac:dyDescent="0.15">
      <c r="A22" s="137" t="s">
        <v>123</v>
      </c>
      <c r="B22" s="138">
        <v>1145562</v>
      </c>
      <c r="C22" s="138">
        <v>1145562</v>
      </c>
      <c r="D22" s="138"/>
      <c r="E22" s="442">
        <v>1182276</v>
      </c>
      <c r="F22" s="443" t="e">
        <f t="shared" si="10"/>
        <v>#REF!</v>
      </c>
      <c r="G22" s="193" t="e">
        <f t="shared" si="11"/>
        <v>#REF!</v>
      </c>
      <c r="H22" s="195"/>
      <c r="I22" s="195"/>
      <c r="J22" s="454">
        <f t="shared" si="3"/>
        <v>-36714</v>
      </c>
      <c r="K22" s="123"/>
      <c r="L22" s="54"/>
      <c r="M22" s="121"/>
      <c r="N22" s="591" t="e">
        <f t="shared" si="12"/>
        <v>#REF!</v>
      </c>
      <c r="O22" s="446"/>
      <c r="P22" s="446"/>
      <c r="Q22" s="594">
        <f t="shared" si="6"/>
        <v>0</v>
      </c>
    </row>
    <row r="23" spans="1:17" ht="12.75" hidden="1" customHeight="1" x14ac:dyDescent="0.15">
      <c r="A23" s="147" t="s">
        <v>124</v>
      </c>
      <c r="B23" s="148">
        <v>1022011</v>
      </c>
      <c r="C23" s="148">
        <v>1022011</v>
      </c>
      <c r="D23" s="148"/>
      <c r="E23" s="442">
        <v>461579</v>
      </c>
      <c r="F23" s="443" t="e">
        <f t="shared" si="10"/>
        <v>#REF!</v>
      </c>
      <c r="G23" s="193" t="e">
        <f t="shared" si="11"/>
        <v>#REF!</v>
      </c>
      <c r="H23" s="195"/>
      <c r="I23" s="195"/>
      <c r="J23" s="455">
        <f t="shared" si="3"/>
        <v>560432</v>
      </c>
      <c r="K23" s="123"/>
      <c r="L23" s="54"/>
      <c r="M23" s="121"/>
      <c r="N23" s="591" t="e">
        <f t="shared" si="12"/>
        <v>#REF!</v>
      </c>
      <c r="O23" s="446"/>
      <c r="P23" s="446"/>
      <c r="Q23" s="595">
        <f t="shared" si="6"/>
        <v>0</v>
      </c>
    </row>
    <row r="24" spans="1:17" ht="12.75" hidden="1" customHeight="1" x14ac:dyDescent="0.15">
      <c r="A24" s="14" t="s">
        <v>123</v>
      </c>
      <c r="B24" s="88">
        <v>1244430</v>
      </c>
      <c r="C24" s="88">
        <v>1244430</v>
      </c>
      <c r="D24" s="88"/>
      <c r="E24" s="442">
        <v>1384173</v>
      </c>
      <c r="F24" s="443" t="e">
        <f t="shared" si="10"/>
        <v>#REF!</v>
      </c>
      <c r="G24" s="193" t="e">
        <f t="shared" si="11"/>
        <v>#REF!</v>
      </c>
      <c r="H24" s="195"/>
      <c r="I24" s="195"/>
      <c r="J24" s="456">
        <f t="shared" si="3"/>
        <v>-139743</v>
      </c>
      <c r="K24" s="123"/>
      <c r="L24" s="54"/>
      <c r="M24" s="121"/>
      <c r="N24" s="591" t="e">
        <f t="shared" si="12"/>
        <v>#REF!</v>
      </c>
      <c r="O24" s="446"/>
      <c r="P24" s="446"/>
      <c r="Q24" s="596">
        <f t="shared" si="6"/>
        <v>0</v>
      </c>
    </row>
    <row r="25" spans="1:17" ht="12.75" hidden="1" customHeight="1" x14ac:dyDescent="0.15">
      <c r="A25" s="14" t="s">
        <v>124</v>
      </c>
      <c r="B25" s="88">
        <v>282761</v>
      </c>
      <c r="C25" s="88">
        <v>282761</v>
      </c>
      <c r="D25" s="88"/>
      <c r="E25" s="442">
        <v>1288620</v>
      </c>
      <c r="F25" s="443" t="e">
        <f t="shared" si="10"/>
        <v>#REF!</v>
      </c>
      <c r="G25" s="193" t="e">
        <f t="shared" si="11"/>
        <v>#REF!</v>
      </c>
      <c r="H25" s="195"/>
      <c r="I25" s="195"/>
      <c r="J25" s="456">
        <f t="shared" si="3"/>
        <v>-1005859</v>
      </c>
      <c r="K25" s="123"/>
      <c r="L25" s="54"/>
      <c r="M25" s="121"/>
      <c r="N25" s="591" t="e">
        <f t="shared" si="12"/>
        <v>#REF!</v>
      </c>
      <c r="O25" s="446"/>
      <c r="P25" s="446"/>
      <c r="Q25" s="596">
        <f t="shared" si="6"/>
        <v>0</v>
      </c>
    </row>
    <row r="26" spans="1:17" ht="12.75" hidden="1" customHeight="1" x14ac:dyDescent="0.15">
      <c r="A26" s="14" t="s">
        <v>131</v>
      </c>
      <c r="B26" s="88">
        <v>108882</v>
      </c>
      <c r="C26" s="88">
        <v>108882</v>
      </c>
      <c r="D26" s="88"/>
      <c r="E26" s="442">
        <v>744340</v>
      </c>
      <c r="F26" s="443" t="e">
        <f t="shared" si="10"/>
        <v>#REF!</v>
      </c>
      <c r="G26" s="193" t="e">
        <f t="shared" si="11"/>
        <v>#REF!</v>
      </c>
      <c r="H26" s="195"/>
      <c r="I26" s="195"/>
      <c r="J26" s="456">
        <f t="shared" si="3"/>
        <v>-635458</v>
      </c>
      <c r="K26" s="123"/>
      <c r="L26" s="54"/>
      <c r="M26" s="121"/>
      <c r="N26" s="591" t="e">
        <f t="shared" si="12"/>
        <v>#REF!</v>
      </c>
      <c r="O26" s="446"/>
      <c r="P26" s="446"/>
      <c r="Q26" s="596">
        <f t="shared" si="6"/>
        <v>0</v>
      </c>
    </row>
    <row r="27" spans="1:17" ht="12.75" hidden="1" customHeight="1" x14ac:dyDescent="0.15">
      <c r="A27" s="159" t="s">
        <v>126</v>
      </c>
      <c r="B27" s="160">
        <v>1267953</v>
      </c>
      <c r="C27" s="160">
        <v>1267953</v>
      </c>
      <c r="D27" s="160"/>
      <c r="E27" s="442">
        <v>854068</v>
      </c>
      <c r="F27" s="443" t="e">
        <f t="shared" si="10"/>
        <v>#REF!</v>
      </c>
      <c r="G27" s="193" t="e">
        <f t="shared" si="11"/>
        <v>#REF!</v>
      </c>
      <c r="H27" s="195"/>
      <c r="I27" s="195"/>
      <c r="J27" s="455">
        <f t="shared" si="3"/>
        <v>413885</v>
      </c>
      <c r="K27" s="123"/>
      <c r="L27" s="54"/>
      <c r="M27" s="121"/>
      <c r="N27" s="591" t="e">
        <f t="shared" si="12"/>
        <v>#REF!</v>
      </c>
      <c r="O27" s="446"/>
      <c r="P27" s="446"/>
      <c r="Q27" s="595">
        <f t="shared" si="6"/>
        <v>0</v>
      </c>
    </row>
    <row r="28" spans="1:17" ht="12.75" hidden="1" customHeight="1" x14ac:dyDescent="0.15">
      <c r="A28" s="147" t="s">
        <v>17</v>
      </c>
      <c r="B28" s="148">
        <v>300416</v>
      </c>
      <c r="C28" s="148">
        <v>300416</v>
      </c>
      <c r="D28" s="148"/>
      <c r="E28" s="442">
        <v>379375</v>
      </c>
      <c r="F28" s="443" t="e">
        <f t="shared" si="10"/>
        <v>#REF!</v>
      </c>
      <c r="G28" s="193" t="e">
        <f t="shared" si="11"/>
        <v>#REF!</v>
      </c>
      <c r="H28" s="195"/>
      <c r="I28" s="195"/>
      <c r="J28" s="456">
        <f t="shared" si="3"/>
        <v>-78959</v>
      </c>
      <c r="K28" s="123"/>
      <c r="L28" s="54"/>
      <c r="M28" s="121"/>
      <c r="N28" s="591" t="e">
        <f t="shared" si="12"/>
        <v>#REF!</v>
      </c>
      <c r="O28" s="446"/>
      <c r="P28" s="446"/>
      <c r="Q28" s="596">
        <f t="shared" si="6"/>
        <v>0</v>
      </c>
    </row>
    <row r="29" spans="1:17" ht="12.75" hidden="1" customHeight="1" x14ac:dyDescent="0.15">
      <c r="A29" s="14" t="s">
        <v>7</v>
      </c>
      <c r="B29" s="88">
        <v>484160</v>
      </c>
      <c r="C29" s="88">
        <v>484160</v>
      </c>
      <c r="D29" s="88"/>
      <c r="E29" s="442">
        <v>571481</v>
      </c>
      <c r="F29" s="443" t="e">
        <f t="shared" si="10"/>
        <v>#REF!</v>
      </c>
      <c r="G29" s="193" t="e">
        <f t="shared" si="11"/>
        <v>#REF!</v>
      </c>
      <c r="H29" s="195"/>
      <c r="I29" s="195"/>
      <c r="J29" s="456">
        <f t="shared" si="3"/>
        <v>-87321</v>
      </c>
      <c r="K29" s="123"/>
      <c r="L29" s="54"/>
      <c r="M29" s="121"/>
      <c r="N29" s="591" t="e">
        <f t="shared" si="12"/>
        <v>#REF!</v>
      </c>
      <c r="O29" s="446"/>
      <c r="P29" s="446"/>
      <c r="Q29" s="596">
        <f t="shared" si="6"/>
        <v>0</v>
      </c>
    </row>
    <row r="30" spans="1:17" ht="12.75" hidden="1" customHeight="1" x14ac:dyDescent="0.15">
      <c r="A30" s="14" t="s">
        <v>8</v>
      </c>
      <c r="B30" s="88">
        <v>403884</v>
      </c>
      <c r="C30" s="88">
        <v>403884</v>
      </c>
      <c r="D30" s="88"/>
      <c r="E30" s="442">
        <v>664128</v>
      </c>
      <c r="F30" s="457" t="e">
        <f t="shared" si="10"/>
        <v>#REF!</v>
      </c>
      <c r="G30" s="193" t="e">
        <f t="shared" si="11"/>
        <v>#REF!</v>
      </c>
      <c r="H30" s="195"/>
      <c r="I30" s="195"/>
      <c r="J30" s="456">
        <f t="shared" si="3"/>
        <v>-260244</v>
      </c>
      <c r="K30" s="123"/>
      <c r="L30" s="54"/>
      <c r="M30" s="121"/>
      <c r="N30" s="591" t="e">
        <f t="shared" si="12"/>
        <v>#REF!</v>
      </c>
      <c r="O30" s="446"/>
      <c r="P30" s="446"/>
      <c r="Q30" s="596">
        <f t="shared" si="6"/>
        <v>0</v>
      </c>
    </row>
    <row r="31" spans="1:17" ht="12.75" hidden="1" customHeight="1" x14ac:dyDescent="0.15">
      <c r="A31" s="147" t="s">
        <v>9</v>
      </c>
      <c r="B31" s="148">
        <v>1196163</v>
      </c>
      <c r="C31" s="148">
        <v>1196163</v>
      </c>
      <c r="D31" s="148"/>
      <c r="E31" s="442">
        <v>1397188</v>
      </c>
      <c r="F31" s="457" t="e">
        <f t="shared" si="10"/>
        <v>#REF!</v>
      </c>
      <c r="G31" s="193" t="e">
        <f t="shared" si="11"/>
        <v>#REF!</v>
      </c>
      <c r="H31" s="195"/>
      <c r="I31" s="195"/>
      <c r="J31" s="456">
        <f t="shared" si="3"/>
        <v>-201025</v>
      </c>
      <c r="K31" s="123"/>
      <c r="L31" s="54"/>
      <c r="M31" s="121"/>
      <c r="N31" s="591" t="e">
        <f t="shared" si="12"/>
        <v>#REF!</v>
      </c>
      <c r="O31" s="446"/>
      <c r="P31" s="446"/>
      <c r="Q31" s="596">
        <f t="shared" si="6"/>
        <v>0</v>
      </c>
    </row>
    <row r="32" spans="1:17" ht="12.75" hidden="1" customHeight="1" x14ac:dyDescent="0.15">
      <c r="A32" s="147" t="s">
        <v>10</v>
      </c>
      <c r="B32" s="148">
        <v>1310080</v>
      </c>
      <c r="C32" s="148">
        <v>1310080</v>
      </c>
      <c r="D32" s="148"/>
      <c r="E32" s="442">
        <v>1760244</v>
      </c>
      <c r="F32" s="457" t="e">
        <f t="shared" si="10"/>
        <v>#REF!</v>
      </c>
      <c r="G32" s="193" t="e">
        <f t="shared" si="11"/>
        <v>#REF!</v>
      </c>
      <c r="H32" s="195"/>
      <c r="I32" s="195"/>
      <c r="J32" s="456">
        <f t="shared" si="3"/>
        <v>-450164</v>
      </c>
      <c r="K32" s="123"/>
      <c r="L32" s="54"/>
      <c r="M32" s="121"/>
      <c r="N32" s="591" t="e">
        <f t="shared" si="12"/>
        <v>#REF!</v>
      </c>
      <c r="O32" s="446"/>
      <c r="P32" s="446"/>
      <c r="Q32" s="596">
        <f t="shared" si="6"/>
        <v>0</v>
      </c>
    </row>
    <row r="33" spans="1:26" ht="12.75" hidden="1" customHeight="1" x14ac:dyDescent="0.15">
      <c r="A33" s="173" t="s">
        <v>14</v>
      </c>
      <c r="B33" s="174">
        <v>1659145</v>
      </c>
      <c r="C33" s="174">
        <v>1659145</v>
      </c>
      <c r="D33" s="174"/>
      <c r="E33" s="442">
        <v>1659998</v>
      </c>
      <c r="F33" s="457" t="e">
        <f t="shared" si="10"/>
        <v>#REF!</v>
      </c>
      <c r="G33" s="193">
        <v>350895.34800000023</v>
      </c>
      <c r="H33" s="195"/>
      <c r="I33" s="195"/>
      <c r="J33" s="456">
        <f t="shared" si="3"/>
        <v>-853</v>
      </c>
      <c r="K33" s="123"/>
      <c r="L33" s="54"/>
      <c r="M33" s="121"/>
      <c r="N33" s="591">
        <v>350895.34800000023</v>
      </c>
      <c r="O33" s="446"/>
      <c r="P33" s="446"/>
      <c r="Q33" s="596">
        <f t="shared" si="6"/>
        <v>0</v>
      </c>
    </row>
    <row r="34" spans="1:26" ht="12.75" hidden="1" customHeight="1" x14ac:dyDescent="0.15">
      <c r="A34" s="57" t="s">
        <v>89</v>
      </c>
      <c r="B34" s="88">
        <v>1879453</v>
      </c>
      <c r="C34" s="88">
        <v>1879453</v>
      </c>
      <c r="D34" s="88"/>
      <c r="E34" s="442">
        <v>1654190</v>
      </c>
      <c r="F34" s="458" t="e">
        <f t="shared" si="10"/>
        <v>#REF!</v>
      </c>
      <c r="G34" s="193" t="e">
        <f t="shared" ref="G34:G35" si="13">(#REF!-E34)</f>
        <v>#REF!</v>
      </c>
      <c r="H34" s="195"/>
      <c r="I34" s="195"/>
      <c r="J34" s="455">
        <f t="shared" si="3"/>
        <v>225263</v>
      </c>
      <c r="K34" s="123"/>
      <c r="L34" s="54"/>
      <c r="M34" s="121"/>
      <c r="N34" s="591" t="e">
        <f t="shared" ref="N34:N35" si="14">(#REF!-L34)</f>
        <v>#REF!</v>
      </c>
      <c r="O34" s="446"/>
      <c r="P34" s="446"/>
      <c r="Q34" s="595">
        <f t="shared" si="6"/>
        <v>0</v>
      </c>
    </row>
    <row r="35" spans="1:26" ht="12.75" hidden="1" customHeight="1" x14ac:dyDescent="0.15">
      <c r="A35" s="14" t="s">
        <v>132</v>
      </c>
      <c r="B35" s="88">
        <v>1257902</v>
      </c>
      <c r="C35" s="88">
        <v>1257902</v>
      </c>
      <c r="D35" s="88"/>
      <c r="E35" s="442">
        <v>1309049</v>
      </c>
      <c r="F35" s="457" t="e">
        <f t="shared" si="10"/>
        <v>#REF!</v>
      </c>
      <c r="G35" s="193" t="e">
        <f t="shared" si="13"/>
        <v>#REF!</v>
      </c>
      <c r="H35" s="195"/>
      <c r="I35" s="195"/>
      <c r="J35" s="456">
        <f t="shared" si="3"/>
        <v>-51147</v>
      </c>
      <c r="K35" s="123"/>
      <c r="L35" s="54"/>
      <c r="M35" s="121"/>
      <c r="N35" s="591" t="e">
        <f t="shared" si="14"/>
        <v>#REF!</v>
      </c>
      <c r="O35" s="446"/>
      <c r="P35" s="446"/>
      <c r="Q35" s="596">
        <f t="shared" si="6"/>
        <v>0</v>
      </c>
    </row>
    <row r="36" spans="1:26" ht="15" hidden="1" customHeight="1" x14ac:dyDescent="0.15">
      <c r="A36" s="14" t="s">
        <v>123</v>
      </c>
      <c r="B36" s="186">
        <v>641964</v>
      </c>
      <c r="C36" s="186">
        <v>641964</v>
      </c>
      <c r="D36" s="88"/>
      <c r="E36" s="442">
        <v>502272</v>
      </c>
      <c r="F36" s="458" t="e">
        <f t="shared" si="10"/>
        <v>#REF!</v>
      </c>
      <c r="G36" s="193">
        <v>50227.20000000007</v>
      </c>
      <c r="H36" s="195"/>
      <c r="I36" s="195"/>
      <c r="J36" s="455">
        <f t="shared" si="3"/>
        <v>139692</v>
      </c>
      <c r="K36" s="123"/>
      <c r="L36" s="54"/>
      <c r="M36" s="121"/>
      <c r="N36" s="591">
        <v>50227.20000000007</v>
      </c>
      <c r="O36" s="446"/>
      <c r="P36" s="446"/>
      <c r="Q36" s="595">
        <f t="shared" si="6"/>
        <v>0</v>
      </c>
    </row>
    <row r="37" spans="1:26" ht="24.75" hidden="1" customHeight="1" x14ac:dyDescent="0.15">
      <c r="A37" s="14" t="s">
        <v>124</v>
      </c>
      <c r="B37" s="186">
        <v>291306</v>
      </c>
      <c r="C37" s="186">
        <v>291306</v>
      </c>
      <c r="D37" s="88"/>
      <c r="E37" s="442">
        <v>312231</v>
      </c>
      <c r="F37" s="457" t="e">
        <f t="shared" si="10"/>
        <v>#REF!</v>
      </c>
      <c r="G37" s="193" t="e">
        <f t="shared" ref="G37:G58" si="15">(#REF!-E37)</f>
        <v>#REF!</v>
      </c>
      <c r="H37" s="195"/>
      <c r="I37" s="195"/>
      <c r="J37" s="398">
        <f t="shared" si="3"/>
        <v>-20925</v>
      </c>
      <c r="K37" s="123"/>
      <c r="L37" s="54"/>
      <c r="M37" s="121"/>
      <c r="N37" s="591" t="e">
        <f t="shared" ref="N37:N58" si="16">(#REF!-L37)</f>
        <v>#REF!</v>
      </c>
      <c r="O37" s="446"/>
      <c r="P37" s="446"/>
      <c r="Q37" s="597">
        <f t="shared" si="6"/>
        <v>0</v>
      </c>
    </row>
    <row r="38" spans="1:26" ht="21.75" hidden="1" customHeight="1" x14ac:dyDescent="0.15">
      <c r="A38" s="188" t="s">
        <v>131</v>
      </c>
      <c r="B38" s="189">
        <v>345442</v>
      </c>
      <c r="C38" s="189">
        <v>345442</v>
      </c>
      <c r="D38" s="190"/>
      <c r="E38" s="442">
        <v>0</v>
      </c>
      <c r="F38" s="457" t="e">
        <f t="shared" si="10"/>
        <v>#REF!</v>
      </c>
      <c r="G38" s="193" t="e">
        <f t="shared" si="15"/>
        <v>#REF!</v>
      </c>
      <c r="H38" s="195"/>
      <c r="I38" s="195"/>
      <c r="J38" s="196">
        <f t="shared" si="3"/>
        <v>345442</v>
      </c>
      <c r="K38" s="123"/>
      <c r="L38" s="54"/>
      <c r="M38" s="121"/>
      <c r="N38" s="591" t="e">
        <f t="shared" si="16"/>
        <v>#REF!</v>
      </c>
      <c r="O38" s="446"/>
      <c r="P38" s="446"/>
      <c r="Q38" s="481">
        <f t="shared" si="6"/>
        <v>0</v>
      </c>
    </row>
    <row r="39" spans="1:26" ht="10.5" hidden="1" customHeight="1" x14ac:dyDescent="0.15">
      <c r="A39" s="188" t="s">
        <v>126</v>
      </c>
      <c r="B39" s="190">
        <v>245810</v>
      </c>
      <c r="C39" s="190">
        <v>245810</v>
      </c>
      <c r="D39" s="190"/>
      <c r="E39" s="442">
        <v>362403</v>
      </c>
      <c r="F39" s="457" t="e">
        <f t="shared" si="10"/>
        <v>#REF!</v>
      </c>
      <c r="G39" s="193" t="e">
        <f t="shared" si="15"/>
        <v>#REF!</v>
      </c>
      <c r="H39" s="195"/>
      <c r="I39" s="195"/>
      <c r="J39" s="197">
        <f t="shared" si="3"/>
        <v>-116593</v>
      </c>
      <c r="K39" s="123"/>
      <c r="L39" s="54"/>
      <c r="M39" s="121"/>
      <c r="N39" s="591" t="e">
        <f t="shared" si="16"/>
        <v>#REF!</v>
      </c>
      <c r="O39" s="446"/>
      <c r="P39" s="446"/>
      <c r="Q39" s="482">
        <f t="shared" si="6"/>
        <v>0</v>
      </c>
    </row>
    <row r="40" spans="1:26" ht="3.75" hidden="1" customHeight="1" x14ac:dyDescent="0.15">
      <c r="A40" s="137" t="s">
        <v>127</v>
      </c>
      <c r="B40" s="198">
        <v>493056</v>
      </c>
      <c r="C40" s="198">
        <v>493056</v>
      </c>
      <c r="D40" s="138"/>
      <c r="E40" s="442">
        <v>300416</v>
      </c>
      <c r="F40" s="458" t="e">
        <f t="shared" si="10"/>
        <v>#REF!</v>
      </c>
      <c r="G40" s="193" t="e">
        <f t="shared" si="15"/>
        <v>#REF!</v>
      </c>
      <c r="H40" s="195"/>
      <c r="I40" s="195"/>
      <c r="J40" s="459">
        <f t="shared" si="3"/>
        <v>192640</v>
      </c>
      <c r="K40" s="123"/>
      <c r="L40" s="54"/>
      <c r="M40" s="121"/>
      <c r="N40" s="591" t="e">
        <f t="shared" si="16"/>
        <v>#REF!</v>
      </c>
      <c r="O40" s="446"/>
      <c r="P40" s="446"/>
      <c r="Q40" s="598">
        <f t="shared" si="6"/>
        <v>0</v>
      </c>
    </row>
    <row r="41" spans="1:26" ht="12.75" hidden="1" customHeight="1" x14ac:dyDescent="0.15">
      <c r="A41" s="57" t="s">
        <v>128</v>
      </c>
      <c r="B41" s="186">
        <v>693980</v>
      </c>
      <c r="C41" s="186">
        <v>693980</v>
      </c>
      <c r="D41" s="88"/>
      <c r="E41" s="442">
        <v>497345</v>
      </c>
      <c r="F41" s="460" t="e">
        <f t="shared" si="10"/>
        <v>#REF!</v>
      </c>
      <c r="G41" s="193" t="e">
        <f t="shared" si="15"/>
        <v>#REF!</v>
      </c>
      <c r="H41" s="195"/>
      <c r="I41" s="195"/>
      <c r="J41" s="459">
        <f t="shared" si="3"/>
        <v>196635</v>
      </c>
      <c r="K41" s="123"/>
      <c r="L41" s="54"/>
      <c r="M41" s="121"/>
      <c r="N41" s="591" t="e">
        <f t="shared" si="16"/>
        <v>#REF!</v>
      </c>
      <c r="O41" s="446"/>
      <c r="P41" s="446"/>
      <c r="Q41" s="598">
        <f t="shared" si="6"/>
        <v>0</v>
      </c>
    </row>
    <row r="42" spans="1:26" ht="12.75" hidden="1" customHeight="1" x14ac:dyDescent="0.15">
      <c r="A42" s="137" t="s">
        <v>129</v>
      </c>
      <c r="B42" s="198">
        <v>614185</v>
      </c>
      <c r="C42" s="198">
        <v>614185</v>
      </c>
      <c r="D42" s="198"/>
      <c r="E42" s="461">
        <v>449973</v>
      </c>
      <c r="F42" s="462" t="e">
        <f t="shared" si="10"/>
        <v>#REF!</v>
      </c>
      <c r="G42" s="193" t="e">
        <f t="shared" si="15"/>
        <v>#REF!</v>
      </c>
      <c r="H42" s="195"/>
      <c r="I42" s="195"/>
      <c r="J42" s="459">
        <f t="shared" si="3"/>
        <v>164212</v>
      </c>
      <c r="K42" s="123"/>
      <c r="L42" s="206"/>
      <c r="M42" s="121"/>
      <c r="N42" s="591" t="e">
        <f t="shared" si="16"/>
        <v>#REF!</v>
      </c>
      <c r="O42" s="446"/>
      <c r="P42" s="446"/>
      <c r="Q42" s="598">
        <f t="shared" si="6"/>
        <v>0</v>
      </c>
    </row>
    <row r="43" spans="1:26" ht="12.75" hidden="1" customHeight="1" x14ac:dyDescent="0.15">
      <c r="A43" s="57" t="s">
        <v>133</v>
      </c>
      <c r="B43" s="88">
        <v>1253995.83</v>
      </c>
      <c r="C43" s="88">
        <v>1253995.83</v>
      </c>
      <c r="D43" s="88"/>
      <c r="E43" s="442">
        <v>1196963</v>
      </c>
      <c r="F43" s="463" t="e">
        <f t="shared" si="10"/>
        <v>#REF!</v>
      </c>
      <c r="G43" s="193" t="e">
        <f t="shared" si="15"/>
        <v>#REF!</v>
      </c>
      <c r="H43" s="195"/>
      <c r="I43" s="195"/>
      <c r="J43" s="459">
        <f t="shared" si="3"/>
        <v>57032.830000000075</v>
      </c>
      <c r="K43" s="116">
        <v>1191028</v>
      </c>
      <c r="L43" s="207">
        <f t="shared" ref="L43:L48" si="17">C43-K43</f>
        <v>62967.830000000075</v>
      </c>
      <c r="M43" s="121"/>
      <c r="N43" s="591" t="e">
        <f t="shared" si="16"/>
        <v>#REF!</v>
      </c>
      <c r="O43" s="446"/>
      <c r="P43" s="446"/>
      <c r="Q43" s="598">
        <f t="shared" si="6"/>
        <v>1128060.17</v>
      </c>
    </row>
    <row r="44" spans="1:26" ht="12.75" hidden="1" customHeight="1" x14ac:dyDescent="0.15">
      <c r="A44" s="208" t="s">
        <v>87</v>
      </c>
      <c r="B44" s="209">
        <v>1298292.3</v>
      </c>
      <c r="C44" s="209">
        <v>1298292.3</v>
      </c>
      <c r="D44" s="211"/>
      <c r="E44" s="442">
        <v>1310080</v>
      </c>
      <c r="F44" s="463" t="e">
        <f t="shared" si="10"/>
        <v>#REF!</v>
      </c>
      <c r="G44" s="193" t="e">
        <f t="shared" si="15"/>
        <v>#REF!</v>
      </c>
      <c r="H44" s="195"/>
      <c r="I44" s="195"/>
      <c r="J44" s="464">
        <f t="shared" si="3"/>
        <v>-11787.699999999953</v>
      </c>
      <c r="K44" s="211">
        <v>1245578</v>
      </c>
      <c r="L44" s="218">
        <f t="shared" si="17"/>
        <v>52714.300000000047</v>
      </c>
      <c r="M44" s="121"/>
      <c r="N44" s="591" t="e">
        <f t="shared" si="16"/>
        <v>#REF!</v>
      </c>
      <c r="O44" s="446"/>
      <c r="P44" s="446"/>
      <c r="Q44" s="599">
        <f t="shared" si="6"/>
        <v>1192863.7</v>
      </c>
      <c r="R44" s="208"/>
      <c r="S44" s="208"/>
      <c r="T44" s="208"/>
      <c r="U44" s="208"/>
      <c r="V44" s="208"/>
      <c r="W44" s="208"/>
      <c r="X44" s="208"/>
      <c r="Y44" s="208"/>
      <c r="Z44" s="208"/>
    </row>
    <row r="45" spans="1:26" ht="12.75" hidden="1" customHeight="1" x14ac:dyDescent="0.15">
      <c r="A45" s="57" t="s">
        <v>88</v>
      </c>
      <c r="B45" s="220">
        <v>1427559</v>
      </c>
      <c r="C45" s="220">
        <v>1427559</v>
      </c>
      <c r="D45" s="465"/>
      <c r="E45" s="442">
        <v>1659145.11</v>
      </c>
      <c r="F45" s="463" t="e">
        <f t="shared" si="10"/>
        <v>#REF!</v>
      </c>
      <c r="G45" s="193" t="e">
        <f t="shared" si="15"/>
        <v>#REF!</v>
      </c>
      <c r="H45" s="195"/>
      <c r="I45" s="195"/>
      <c r="J45" s="464">
        <f t="shared" si="3"/>
        <v>-231586.1100000001</v>
      </c>
      <c r="K45" s="116">
        <v>1488076</v>
      </c>
      <c r="L45" s="207">
        <f t="shared" si="17"/>
        <v>-60517</v>
      </c>
      <c r="M45" s="121"/>
      <c r="N45" s="591" t="e">
        <f t="shared" si="16"/>
        <v>#REF!</v>
      </c>
      <c r="O45" s="446"/>
      <c r="P45" s="446"/>
      <c r="Q45" s="599">
        <f t="shared" si="6"/>
        <v>1548593</v>
      </c>
    </row>
    <row r="46" spans="1:26" ht="12.75" hidden="1" customHeight="1" x14ac:dyDescent="0.15">
      <c r="A46" s="57" t="s">
        <v>89</v>
      </c>
      <c r="B46" s="224">
        <v>1326567</v>
      </c>
      <c r="C46" s="224">
        <v>1326567</v>
      </c>
      <c r="D46" s="224"/>
      <c r="E46" s="442">
        <v>1879453</v>
      </c>
      <c r="F46" s="463" t="e">
        <f t="shared" si="10"/>
        <v>#REF!</v>
      </c>
      <c r="G46" s="193" t="e">
        <f t="shared" si="15"/>
        <v>#REF!</v>
      </c>
      <c r="H46" s="195"/>
      <c r="I46" s="195"/>
      <c r="J46" s="464">
        <f t="shared" si="3"/>
        <v>-552886</v>
      </c>
      <c r="K46" s="116">
        <v>1449686</v>
      </c>
      <c r="L46" s="207">
        <f t="shared" si="17"/>
        <v>-123119</v>
      </c>
      <c r="M46" s="121"/>
      <c r="N46" s="591" t="e">
        <f t="shared" si="16"/>
        <v>#REF!</v>
      </c>
      <c r="O46" s="446"/>
      <c r="P46" s="446"/>
      <c r="Q46" s="599">
        <f t="shared" si="6"/>
        <v>1572805</v>
      </c>
    </row>
    <row r="47" spans="1:26" ht="12.75" hidden="1" customHeight="1" x14ac:dyDescent="0.15">
      <c r="A47" s="57" t="s">
        <v>90</v>
      </c>
      <c r="B47" s="186">
        <v>1088477.18</v>
      </c>
      <c r="C47" s="186">
        <v>1088477.18</v>
      </c>
      <c r="D47" s="186"/>
      <c r="E47" s="461">
        <v>1879453</v>
      </c>
      <c r="F47" s="466" t="e">
        <f t="shared" si="10"/>
        <v>#REF!</v>
      </c>
      <c r="G47" s="467" t="e">
        <f t="shared" si="15"/>
        <v>#REF!</v>
      </c>
      <c r="H47" s="468"/>
      <c r="I47" s="468"/>
      <c r="J47" s="469">
        <f t="shared" si="3"/>
        <v>-790975.82000000007</v>
      </c>
      <c r="K47" s="116">
        <v>770876</v>
      </c>
      <c r="L47" s="207">
        <f t="shared" si="17"/>
        <v>317601.17999999993</v>
      </c>
      <c r="M47" s="121"/>
      <c r="N47" s="600" t="e">
        <f t="shared" si="16"/>
        <v>#REF!</v>
      </c>
      <c r="O47" s="470"/>
      <c r="P47" s="470"/>
      <c r="Q47" s="601">
        <f t="shared" si="6"/>
        <v>453274.82000000007</v>
      </c>
    </row>
    <row r="48" spans="1:26" ht="12.75" hidden="1" customHeight="1" x14ac:dyDescent="0.15">
      <c r="A48" s="57" t="s">
        <v>123</v>
      </c>
      <c r="B48" s="88">
        <v>692652.76</v>
      </c>
      <c r="C48" s="88">
        <v>692652.76</v>
      </c>
      <c r="D48" s="88"/>
      <c r="E48" s="442">
        <v>641964</v>
      </c>
      <c r="F48" s="463" t="e">
        <f t="shared" si="10"/>
        <v>#REF!</v>
      </c>
      <c r="G48" s="193" t="e">
        <f t="shared" si="15"/>
        <v>#REF!</v>
      </c>
      <c r="H48" s="195"/>
      <c r="I48" s="195"/>
      <c r="J48" s="459">
        <f t="shared" si="3"/>
        <v>50688.760000000009</v>
      </c>
      <c r="K48" s="116">
        <v>570574</v>
      </c>
      <c r="L48" s="207">
        <f t="shared" si="17"/>
        <v>122078.76000000001</v>
      </c>
      <c r="M48" s="121"/>
      <c r="N48" s="591" t="e">
        <f t="shared" si="16"/>
        <v>#REF!</v>
      </c>
      <c r="O48" s="446"/>
      <c r="P48" s="446"/>
      <c r="Q48" s="598">
        <f t="shared" si="6"/>
        <v>448495.24</v>
      </c>
    </row>
    <row r="49" spans="1:26" ht="12.75" hidden="1" customHeight="1" x14ac:dyDescent="0.15">
      <c r="A49" s="57" t="s">
        <v>124</v>
      </c>
      <c r="B49" s="186">
        <v>377716</v>
      </c>
      <c r="C49" s="186">
        <v>377716</v>
      </c>
      <c r="D49" s="186"/>
      <c r="E49" s="461">
        <v>291306</v>
      </c>
      <c r="F49" s="471" t="e">
        <f t="shared" si="10"/>
        <v>#REF!</v>
      </c>
      <c r="G49" s="467" t="e">
        <f t="shared" si="15"/>
        <v>#REF!</v>
      </c>
      <c r="H49" s="195"/>
      <c r="I49" s="195"/>
      <c r="J49" s="459">
        <f t="shared" si="3"/>
        <v>86410</v>
      </c>
      <c r="K49" s="234"/>
      <c r="L49" s="235"/>
      <c r="M49" s="121"/>
      <c r="N49" s="600" t="e">
        <f t="shared" si="16"/>
        <v>#REF!</v>
      </c>
      <c r="O49" s="446"/>
      <c r="P49" s="446"/>
      <c r="Q49" s="598">
        <f t="shared" si="6"/>
        <v>0</v>
      </c>
    </row>
    <row r="50" spans="1:26" ht="12.75" hidden="1" customHeight="1" x14ac:dyDescent="0.15">
      <c r="A50" s="57" t="s">
        <v>131</v>
      </c>
      <c r="B50" s="186">
        <v>428676.17</v>
      </c>
      <c r="C50" s="186">
        <v>428676.17</v>
      </c>
      <c r="D50" s="186"/>
      <c r="E50" s="461">
        <v>345442</v>
      </c>
      <c r="F50" s="458" t="e">
        <f t="shared" si="10"/>
        <v>#REF!</v>
      </c>
      <c r="G50" s="193" t="e">
        <f t="shared" si="15"/>
        <v>#REF!</v>
      </c>
      <c r="H50" s="195"/>
      <c r="I50" s="195"/>
      <c r="J50" s="459">
        <f t="shared" si="3"/>
        <v>83234.169999999984</v>
      </c>
      <c r="K50" s="234"/>
      <c r="L50" s="235"/>
      <c r="M50" s="121"/>
      <c r="N50" s="591" t="e">
        <f t="shared" si="16"/>
        <v>#REF!</v>
      </c>
      <c r="O50" s="446"/>
      <c r="P50" s="446"/>
      <c r="Q50" s="598">
        <f t="shared" si="6"/>
        <v>0</v>
      </c>
    </row>
    <row r="51" spans="1:26" ht="12.75" hidden="1" customHeight="1" x14ac:dyDescent="0.15">
      <c r="A51" s="57" t="s">
        <v>126</v>
      </c>
      <c r="B51" s="186">
        <v>412177</v>
      </c>
      <c r="C51" s="186">
        <v>412177</v>
      </c>
      <c r="D51" s="186"/>
      <c r="E51" s="461">
        <v>245810</v>
      </c>
      <c r="F51" s="462" t="e">
        <f t="shared" si="10"/>
        <v>#REF!</v>
      </c>
      <c r="G51" s="193" t="e">
        <f t="shared" si="15"/>
        <v>#REF!</v>
      </c>
      <c r="H51" s="195"/>
      <c r="I51" s="195"/>
      <c r="J51" s="459">
        <f t="shared" si="3"/>
        <v>166367</v>
      </c>
      <c r="K51" s="234"/>
      <c r="L51" s="235"/>
      <c r="M51" s="121"/>
      <c r="N51" s="591" t="e">
        <f t="shared" si="16"/>
        <v>#REF!</v>
      </c>
      <c r="O51" s="446"/>
      <c r="P51" s="446"/>
      <c r="Q51" s="598">
        <f t="shared" si="6"/>
        <v>0</v>
      </c>
    </row>
    <row r="52" spans="1:26" ht="12.75" hidden="1" customHeight="1" x14ac:dyDescent="0.15">
      <c r="A52" s="57" t="s">
        <v>127</v>
      </c>
      <c r="B52" s="186">
        <v>675819</v>
      </c>
      <c r="C52" s="186">
        <v>675819</v>
      </c>
      <c r="D52" s="88"/>
      <c r="E52" s="442">
        <v>493056</v>
      </c>
      <c r="F52" s="462" t="e">
        <f t="shared" si="10"/>
        <v>#REF!</v>
      </c>
      <c r="G52" s="193" t="e">
        <f t="shared" si="15"/>
        <v>#REF!</v>
      </c>
      <c r="H52" s="195"/>
      <c r="I52" s="195"/>
      <c r="J52" s="459">
        <f t="shared" si="3"/>
        <v>182763</v>
      </c>
      <c r="K52" s="234"/>
      <c r="L52" s="235"/>
      <c r="M52" s="121"/>
      <c r="N52" s="591" t="e">
        <f t="shared" si="16"/>
        <v>#REF!</v>
      </c>
      <c r="O52" s="446"/>
      <c r="P52" s="446"/>
      <c r="Q52" s="598">
        <f t="shared" si="6"/>
        <v>0</v>
      </c>
    </row>
    <row r="53" spans="1:26" ht="12.75" hidden="1" customHeight="1" x14ac:dyDescent="0.15">
      <c r="A53" s="238" t="s">
        <v>134</v>
      </c>
      <c r="B53" s="239">
        <v>1003569</v>
      </c>
      <c r="C53" s="239">
        <v>1003569</v>
      </c>
      <c r="D53" s="239"/>
      <c r="E53" s="472">
        <v>693980</v>
      </c>
      <c r="F53" s="473" t="e">
        <f t="shared" si="10"/>
        <v>#REF!</v>
      </c>
      <c r="G53" s="474" t="e">
        <f t="shared" si="15"/>
        <v>#REF!</v>
      </c>
      <c r="H53" s="475"/>
      <c r="I53" s="475"/>
      <c r="J53" s="476">
        <f t="shared" si="3"/>
        <v>309589</v>
      </c>
      <c r="K53" s="248"/>
      <c r="L53" s="249"/>
      <c r="M53" s="250">
        <v>1003569</v>
      </c>
      <c r="N53" s="602" t="e">
        <f t="shared" si="16"/>
        <v>#REF!</v>
      </c>
      <c r="O53" s="477"/>
      <c r="P53" s="477"/>
      <c r="Q53" s="603">
        <f t="shared" si="6"/>
        <v>0</v>
      </c>
      <c r="R53" s="253"/>
      <c r="S53" s="253"/>
      <c r="T53" s="253"/>
      <c r="U53" s="253"/>
      <c r="V53" s="253"/>
      <c r="W53" s="253"/>
      <c r="X53" s="253"/>
      <c r="Y53" s="253"/>
      <c r="Z53" s="253"/>
    </row>
    <row r="54" spans="1:26" ht="12.75" hidden="1" customHeight="1" x14ac:dyDescent="0.15">
      <c r="A54" s="57" t="s">
        <v>129</v>
      </c>
      <c r="B54" s="88">
        <v>781187</v>
      </c>
      <c r="C54" s="88">
        <v>781187</v>
      </c>
      <c r="D54" s="88"/>
      <c r="E54" s="442">
        <v>614185</v>
      </c>
      <c r="F54" s="462" t="e">
        <f t="shared" si="10"/>
        <v>#REF!</v>
      </c>
      <c r="G54" s="193" t="e">
        <f t="shared" si="15"/>
        <v>#REF!</v>
      </c>
      <c r="H54" s="195"/>
      <c r="I54" s="195"/>
      <c r="J54" s="459">
        <f t="shared" si="3"/>
        <v>167002</v>
      </c>
      <c r="K54" s="254"/>
      <c r="L54" s="235"/>
      <c r="M54" s="148">
        <v>588356.37</v>
      </c>
      <c r="N54" s="591" t="e">
        <f t="shared" si="16"/>
        <v>#REF!</v>
      </c>
      <c r="O54" s="446"/>
      <c r="P54" s="446"/>
      <c r="Q54" s="598">
        <f t="shared" si="6"/>
        <v>0</v>
      </c>
    </row>
    <row r="55" spans="1:26" ht="12.75" hidden="1" customHeight="1" x14ac:dyDescent="0.15">
      <c r="A55" s="57" t="s">
        <v>86</v>
      </c>
      <c r="B55" s="88">
        <v>1355145.63</v>
      </c>
      <c r="C55" s="88">
        <v>1355145.63</v>
      </c>
      <c r="D55" s="88"/>
      <c r="E55" s="442">
        <v>1253380</v>
      </c>
      <c r="F55" s="463" t="e">
        <f t="shared" si="10"/>
        <v>#REF!</v>
      </c>
      <c r="G55" s="193" t="e">
        <f t="shared" si="15"/>
        <v>#REF!</v>
      </c>
      <c r="H55" s="195"/>
      <c r="I55" s="195"/>
      <c r="J55" s="459">
        <f t="shared" si="3"/>
        <v>101765.62999999989</v>
      </c>
      <c r="K55" s="254"/>
      <c r="L55" s="235"/>
      <c r="M55" s="148">
        <v>1137132</v>
      </c>
      <c r="N55" s="591" t="e">
        <f t="shared" si="16"/>
        <v>#REF!</v>
      </c>
      <c r="O55" s="446"/>
      <c r="P55" s="446"/>
      <c r="Q55" s="598">
        <f t="shared" si="6"/>
        <v>0</v>
      </c>
    </row>
    <row r="56" spans="1:26" ht="12.75" hidden="1" customHeight="1" x14ac:dyDescent="0.15">
      <c r="A56" s="57" t="s">
        <v>87</v>
      </c>
      <c r="B56" s="88">
        <v>1283036</v>
      </c>
      <c r="C56" s="88">
        <v>1283036</v>
      </c>
      <c r="D56" s="88"/>
      <c r="E56" s="442">
        <v>1298292</v>
      </c>
      <c r="F56" s="463" t="e">
        <f t="shared" si="10"/>
        <v>#REF!</v>
      </c>
      <c r="G56" s="193" t="e">
        <f t="shared" si="15"/>
        <v>#REF!</v>
      </c>
      <c r="H56" s="195"/>
      <c r="I56" s="195"/>
      <c r="J56" s="464">
        <f t="shared" si="3"/>
        <v>-15256</v>
      </c>
      <c r="K56" s="254"/>
      <c r="L56" s="235"/>
      <c r="M56" s="148">
        <v>1137132</v>
      </c>
      <c r="N56" s="591" t="e">
        <f t="shared" si="16"/>
        <v>#REF!</v>
      </c>
      <c r="O56" s="446"/>
      <c r="P56" s="446"/>
      <c r="Q56" s="599">
        <f t="shared" si="6"/>
        <v>0</v>
      </c>
    </row>
    <row r="57" spans="1:26" ht="12.75" hidden="1" customHeight="1" x14ac:dyDescent="0.15">
      <c r="A57" s="57" t="s">
        <v>88</v>
      </c>
      <c r="B57" s="88">
        <v>1625315.81</v>
      </c>
      <c r="C57" s="88">
        <v>1625315.81</v>
      </c>
      <c r="D57" s="88"/>
      <c r="E57" s="442">
        <v>1427559</v>
      </c>
      <c r="F57" s="478" t="e">
        <f t="shared" si="10"/>
        <v>#REF!</v>
      </c>
      <c r="G57" s="193" t="e">
        <f t="shared" si="15"/>
        <v>#REF!</v>
      </c>
      <c r="H57" s="195"/>
      <c r="I57" s="195"/>
      <c r="J57" s="479">
        <f t="shared" si="3"/>
        <v>197756.81000000006</v>
      </c>
      <c r="K57" s="254"/>
      <c r="L57" s="235"/>
      <c r="M57" s="148">
        <v>1290932</v>
      </c>
      <c r="N57" s="591" t="e">
        <f t="shared" si="16"/>
        <v>#REF!</v>
      </c>
      <c r="O57" s="446"/>
      <c r="P57" s="446"/>
      <c r="Q57" s="604">
        <f t="shared" si="6"/>
        <v>0</v>
      </c>
    </row>
    <row r="58" spans="1:26" ht="12.75" hidden="1" customHeight="1" x14ac:dyDescent="0.15">
      <c r="A58" s="14" t="s">
        <v>89</v>
      </c>
      <c r="B58" s="88">
        <v>1514471</v>
      </c>
      <c r="C58" s="88">
        <v>1514471</v>
      </c>
      <c r="D58" s="88"/>
      <c r="E58" s="442">
        <v>1480487</v>
      </c>
      <c r="F58" s="463" t="e">
        <f t="shared" si="10"/>
        <v>#REF!</v>
      </c>
      <c r="G58" s="193" t="e">
        <f t="shared" si="15"/>
        <v>#REF!</v>
      </c>
      <c r="H58" s="195"/>
      <c r="I58" s="195"/>
      <c r="J58" s="479">
        <f t="shared" si="3"/>
        <v>33984</v>
      </c>
      <c r="K58" s="254"/>
      <c r="L58" s="235"/>
      <c r="M58" s="148">
        <v>796680</v>
      </c>
      <c r="N58" s="591" t="e">
        <f t="shared" si="16"/>
        <v>#REF!</v>
      </c>
      <c r="O58" s="446"/>
      <c r="P58" s="446"/>
      <c r="Q58" s="604">
        <f t="shared" si="6"/>
        <v>0</v>
      </c>
    </row>
    <row r="59" spans="1:26" ht="12.75" customHeight="1" x14ac:dyDescent="0.15">
      <c r="A59" s="605" t="s">
        <v>127</v>
      </c>
      <c r="B59" s="88">
        <v>45758</v>
      </c>
      <c r="C59" s="88">
        <v>34616</v>
      </c>
      <c r="D59" s="183">
        <f t="shared" ref="D59:D70" si="18">B59-C59</f>
        <v>11142</v>
      </c>
      <c r="E59" s="442">
        <v>675819</v>
      </c>
      <c r="F59" s="463">
        <f t="shared" ref="F59:F70" si="19">B59-E59</f>
        <v>-630061</v>
      </c>
      <c r="G59" s="193">
        <v>493056</v>
      </c>
      <c r="H59" s="195"/>
      <c r="I59" s="195"/>
      <c r="J59" s="480">
        <f t="shared" ref="J59:J70" si="20">E59-G59</f>
        <v>182763</v>
      </c>
      <c r="K59" s="258"/>
      <c r="L59" s="259"/>
      <c r="M59" s="148">
        <v>61799.69</v>
      </c>
      <c r="N59" s="591">
        <v>300416</v>
      </c>
      <c r="O59" s="446"/>
      <c r="P59" s="446"/>
      <c r="Q59" s="606">
        <f t="shared" ref="Q59:Q70" si="21">G59-N59</f>
        <v>192640</v>
      </c>
    </row>
    <row r="60" spans="1:26" ht="12.75" customHeight="1" x14ac:dyDescent="0.15">
      <c r="A60" s="605" t="s">
        <v>128</v>
      </c>
      <c r="B60" s="88">
        <v>127162</v>
      </c>
      <c r="C60" s="88">
        <v>133969</v>
      </c>
      <c r="D60" s="170">
        <f t="shared" si="18"/>
        <v>-6807</v>
      </c>
      <c r="E60" s="442">
        <v>1003569</v>
      </c>
      <c r="F60" s="463">
        <f t="shared" si="19"/>
        <v>-876407</v>
      </c>
      <c r="G60" s="193">
        <v>697472</v>
      </c>
      <c r="H60" s="195"/>
      <c r="I60" s="195"/>
      <c r="J60" s="196">
        <f t="shared" si="20"/>
        <v>306097</v>
      </c>
      <c r="K60" s="258"/>
      <c r="L60" s="259"/>
      <c r="M60" s="148"/>
      <c r="N60" s="591">
        <v>497345</v>
      </c>
      <c r="O60" s="446"/>
      <c r="P60" s="446"/>
      <c r="Q60" s="481">
        <f t="shared" si="21"/>
        <v>200127</v>
      </c>
    </row>
    <row r="61" spans="1:26" ht="12.75" customHeight="1" x14ac:dyDescent="0.15">
      <c r="A61" s="605" t="s">
        <v>129</v>
      </c>
      <c r="B61" s="88">
        <v>192026</v>
      </c>
      <c r="C61" s="88">
        <v>186267</v>
      </c>
      <c r="D61" s="183">
        <f t="shared" si="18"/>
        <v>5759</v>
      </c>
      <c r="E61" s="442">
        <v>777845</v>
      </c>
      <c r="F61" s="463">
        <f t="shared" si="19"/>
        <v>-585819</v>
      </c>
      <c r="G61" s="193">
        <v>614185</v>
      </c>
      <c r="H61" s="195"/>
      <c r="I61" s="195"/>
      <c r="J61" s="196">
        <f t="shared" si="20"/>
        <v>163660</v>
      </c>
      <c r="K61" s="258"/>
      <c r="L61" s="259"/>
      <c r="M61" s="148"/>
      <c r="N61" s="591">
        <v>449973</v>
      </c>
      <c r="O61" s="446"/>
      <c r="P61" s="446"/>
      <c r="Q61" s="481">
        <f t="shared" si="21"/>
        <v>164212</v>
      </c>
    </row>
    <row r="62" spans="1:26" ht="12.75" customHeight="1" x14ac:dyDescent="0.15">
      <c r="A62" s="605" t="s">
        <v>86</v>
      </c>
      <c r="B62" s="88">
        <v>500325</v>
      </c>
      <c r="C62" s="88">
        <v>500325</v>
      </c>
      <c r="D62" s="88">
        <f t="shared" si="18"/>
        <v>0</v>
      </c>
      <c r="E62" s="442">
        <v>1355145</v>
      </c>
      <c r="F62" s="463">
        <f t="shared" si="19"/>
        <v>-854820</v>
      </c>
      <c r="G62" s="193">
        <v>1253380</v>
      </c>
      <c r="H62" s="195"/>
      <c r="I62" s="195"/>
      <c r="J62" s="196">
        <f t="shared" si="20"/>
        <v>101765</v>
      </c>
      <c r="K62" s="258"/>
      <c r="L62" s="259"/>
      <c r="M62" s="148"/>
      <c r="N62" s="591">
        <v>1196163</v>
      </c>
      <c r="O62" s="446"/>
      <c r="P62" s="446"/>
      <c r="Q62" s="481">
        <f t="shared" si="21"/>
        <v>57217</v>
      </c>
    </row>
    <row r="63" spans="1:26" ht="12.75" customHeight="1" x14ac:dyDescent="0.15">
      <c r="A63" s="605" t="s">
        <v>87</v>
      </c>
      <c r="B63" s="88">
        <v>350989</v>
      </c>
      <c r="C63" s="88">
        <v>342380</v>
      </c>
      <c r="D63" s="183">
        <f t="shared" si="18"/>
        <v>8609</v>
      </c>
      <c r="E63" s="442">
        <v>1283036</v>
      </c>
      <c r="F63" s="463">
        <f t="shared" si="19"/>
        <v>-932047</v>
      </c>
      <c r="G63" s="193">
        <v>1298292</v>
      </c>
      <c r="H63" s="195"/>
      <c r="I63" s="195"/>
      <c r="J63" s="197">
        <f t="shared" si="20"/>
        <v>-15256</v>
      </c>
      <c r="K63" s="258"/>
      <c r="L63" s="259"/>
      <c r="M63" s="148"/>
      <c r="N63" s="591">
        <v>1310080</v>
      </c>
      <c r="O63" s="446"/>
      <c r="P63" s="446"/>
      <c r="Q63" s="482">
        <f t="shared" si="21"/>
        <v>-11788</v>
      </c>
    </row>
    <row r="64" spans="1:26" ht="12.75" customHeight="1" x14ac:dyDescent="0.15">
      <c r="A64" s="605" t="s">
        <v>88</v>
      </c>
      <c r="B64" s="88">
        <v>690410</v>
      </c>
      <c r="C64" s="88">
        <v>689540</v>
      </c>
      <c r="D64" s="183">
        <f t="shared" si="18"/>
        <v>870</v>
      </c>
      <c r="E64" s="442">
        <v>1587254</v>
      </c>
      <c r="F64" s="463">
        <f t="shared" si="19"/>
        <v>-896844</v>
      </c>
      <c r="G64" s="193">
        <v>1427559</v>
      </c>
      <c r="H64" s="195"/>
      <c r="I64" s="195"/>
      <c r="J64" s="196">
        <f t="shared" si="20"/>
        <v>159695</v>
      </c>
      <c r="K64" s="258"/>
      <c r="L64" s="259"/>
      <c r="M64" s="148"/>
      <c r="N64" s="591">
        <v>1659145</v>
      </c>
      <c r="O64" s="446"/>
      <c r="P64" s="446"/>
      <c r="Q64" s="482">
        <f t="shared" si="21"/>
        <v>-231586</v>
      </c>
    </row>
    <row r="65" spans="1:26" ht="12.75" customHeight="1" x14ac:dyDescent="0.15">
      <c r="A65" s="605" t="s">
        <v>89</v>
      </c>
      <c r="B65" s="88">
        <v>1145027</v>
      </c>
      <c r="C65" s="88">
        <v>1145027</v>
      </c>
      <c r="D65" s="88">
        <f t="shared" si="18"/>
        <v>0</v>
      </c>
      <c r="E65" s="442">
        <v>1549058</v>
      </c>
      <c r="F65" s="463">
        <f t="shared" si="19"/>
        <v>-404031</v>
      </c>
      <c r="G65" s="193">
        <v>1480487</v>
      </c>
      <c r="H65" s="195"/>
      <c r="I65" s="195"/>
      <c r="J65" s="196">
        <f t="shared" si="20"/>
        <v>68571</v>
      </c>
      <c r="K65" s="258"/>
      <c r="L65" s="259"/>
      <c r="M65" s="148"/>
      <c r="N65" s="591">
        <v>1879453</v>
      </c>
      <c r="O65" s="446"/>
      <c r="P65" s="446"/>
      <c r="Q65" s="482">
        <f t="shared" si="21"/>
        <v>-398966</v>
      </c>
    </row>
    <row r="66" spans="1:26" ht="12.75" customHeight="1" x14ac:dyDescent="0.15">
      <c r="A66" s="605" t="s">
        <v>90</v>
      </c>
      <c r="B66" s="88">
        <v>337810</v>
      </c>
      <c r="C66" s="88">
        <v>337810</v>
      </c>
      <c r="D66" s="88">
        <f t="shared" si="18"/>
        <v>0</v>
      </c>
      <c r="E66" s="442">
        <v>812859</v>
      </c>
      <c r="F66" s="463">
        <f t="shared" si="19"/>
        <v>-475049</v>
      </c>
      <c r="G66" s="193">
        <v>1086477</v>
      </c>
      <c r="H66" s="195"/>
      <c r="I66" s="195"/>
      <c r="J66" s="197">
        <f t="shared" si="20"/>
        <v>-273618</v>
      </c>
      <c r="K66" s="258"/>
      <c r="L66" s="259"/>
      <c r="M66" s="148"/>
      <c r="N66" s="591">
        <v>1259495</v>
      </c>
      <c r="O66" s="446"/>
      <c r="P66" s="446"/>
      <c r="Q66" s="482">
        <f t="shared" si="21"/>
        <v>-173018</v>
      </c>
    </row>
    <row r="67" spans="1:26" ht="12.75" customHeight="1" x14ac:dyDescent="0.15">
      <c r="A67" s="605" t="s">
        <v>123</v>
      </c>
      <c r="B67" s="88">
        <v>185764</v>
      </c>
      <c r="C67" s="88">
        <v>168441</v>
      </c>
      <c r="D67" s="183">
        <f t="shared" si="18"/>
        <v>17323</v>
      </c>
      <c r="E67" s="442">
        <v>13921</v>
      </c>
      <c r="F67" s="463">
        <f t="shared" si="19"/>
        <v>171843</v>
      </c>
      <c r="G67" s="193">
        <v>668608</v>
      </c>
      <c r="H67" s="195"/>
      <c r="I67" s="195"/>
      <c r="J67" s="197">
        <f t="shared" si="20"/>
        <v>-654687</v>
      </c>
      <c r="K67" s="258"/>
      <c r="L67" s="259"/>
      <c r="M67" s="148"/>
      <c r="N67" s="591">
        <v>641964</v>
      </c>
      <c r="O67" s="446"/>
      <c r="P67" s="446"/>
      <c r="Q67" s="481">
        <f t="shared" si="21"/>
        <v>26644</v>
      </c>
    </row>
    <row r="68" spans="1:26" ht="12.75" customHeight="1" x14ac:dyDescent="0.15">
      <c r="A68" s="605" t="s">
        <v>124</v>
      </c>
      <c r="B68" s="88">
        <v>23448</v>
      </c>
      <c r="C68" s="88">
        <v>23448</v>
      </c>
      <c r="D68" s="88">
        <f t="shared" si="18"/>
        <v>0</v>
      </c>
      <c r="E68" s="442">
        <v>1066</v>
      </c>
      <c r="F68" s="463">
        <f t="shared" si="19"/>
        <v>22382</v>
      </c>
      <c r="G68" s="193">
        <v>377714</v>
      </c>
      <c r="H68" s="195"/>
      <c r="I68" s="195"/>
      <c r="J68" s="197">
        <f t="shared" si="20"/>
        <v>-376648</v>
      </c>
      <c r="K68" s="258"/>
      <c r="L68" s="259"/>
      <c r="M68" s="148"/>
      <c r="N68" s="591">
        <v>291306</v>
      </c>
      <c r="O68" s="446"/>
      <c r="P68" s="446"/>
      <c r="Q68" s="481">
        <f t="shared" si="21"/>
        <v>86408</v>
      </c>
    </row>
    <row r="69" spans="1:26" ht="12.75" customHeight="1" x14ac:dyDescent="0.15">
      <c r="A69" s="605" t="s">
        <v>125</v>
      </c>
      <c r="B69" s="88">
        <v>357815</v>
      </c>
      <c r="C69" s="88">
        <v>14537</v>
      </c>
      <c r="D69" s="183">
        <f t="shared" si="18"/>
        <v>343278</v>
      </c>
      <c r="E69" s="442">
        <v>17978</v>
      </c>
      <c r="F69" s="463">
        <f t="shared" si="19"/>
        <v>339837</v>
      </c>
      <c r="G69" s="193">
        <v>428676</v>
      </c>
      <c r="H69" s="195"/>
      <c r="I69" s="195"/>
      <c r="J69" s="197">
        <f t="shared" si="20"/>
        <v>-410698</v>
      </c>
      <c r="K69" s="258"/>
      <c r="L69" s="259"/>
      <c r="M69" s="148"/>
      <c r="N69" s="591">
        <v>345442</v>
      </c>
      <c r="O69" s="446"/>
      <c r="P69" s="446"/>
      <c r="Q69" s="481">
        <f t="shared" si="21"/>
        <v>83234</v>
      </c>
    </row>
    <row r="70" spans="1:26" ht="12.75" customHeight="1" x14ac:dyDescent="0.15">
      <c r="A70" s="605" t="s">
        <v>126</v>
      </c>
      <c r="B70" s="88">
        <v>7178</v>
      </c>
      <c r="C70" s="88">
        <v>7178</v>
      </c>
      <c r="D70" s="88">
        <f t="shared" si="18"/>
        <v>0</v>
      </c>
      <c r="E70" s="442">
        <v>27248</v>
      </c>
      <c r="F70" s="463">
        <f t="shared" si="19"/>
        <v>-20070</v>
      </c>
      <c r="G70" s="193">
        <v>412177</v>
      </c>
      <c r="H70" s="195"/>
      <c r="I70" s="195"/>
      <c r="J70" s="607">
        <f t="shared" si="20"/>
        <v>-384929</v>
      </c>
      <c r="K70" s="258"/>
      <c r="L70" s="259"/>
      <c r="M70" s="148"/>
      <c r="N70" s="591">
        <v>245810</v>
      </c>
      <c r="O70" s="446"/>
      <c r="P70" s="446"/>
      <c r="Q70" s="481">
        <f t="shared" si="21"/>
        <v>166367</v>
      </c>
    </row>
    <row r="71" spans="1:26" ht="12.75" customHeight="1" x14ac:dyDescent="0.15">
      <c r="A71" s="262"/>
      <c r="B71" s="263">
        <f t="shared" ref="B71:C71" si="22">SUM(B59:B70)</f>
        <v>3963712</v>
      </c>
      <c r="C71" s="263">
        <f t="shared" si="22"/>
        <v>3583538</v>
      </c>
      <c r="D71" s="263"/>
      <c r="E71" s="486">
        <f>SUM(E59:E70)</f>
        <v>9104798</v>
      </c>
      <c r="F71" s="486"/>
      <c r="G71" s="449">
        <f>SUM(G59:G70)</f>
        <v>10238083</v>
      </c>
      <c r="H71" s="449"/>
      <c r="I71" s="449"/>
      <c r="J71" s="487"/>
      <c r="K71" s="269"/>
      <c r="L71" s="270"/>
      <c r="M71" s="271">
        <f>SUM(M53:M70)</f>
        <v>6015601.0600000005</v>
      </c>
      <c r="N71" s="452">
        <f>SUM(N59:N70)</f>
        <v>10076592</v>
      </c>
      <c r="O71" s="452"/>
      <c r="P71" s="452"/>
      <c r="Q71" s="608"/>
    </row>
    <row r="72" spans="1:26" ht="13.5" customHeight="1" x14ac:dyDescent="0.2">
      <c r="A72" s="953" t="s">
        <v>135</v>
      </c>
      <c r="B72" s="912"/>
      <c r="C72" s="912"/>
      <c r="D72" s="912"/>
      <c r="E72" s="912"/>
      <c r="F72" s="912"/>
      <c r="G72" s="912"/>
      <c r="H72" s="912"/>
      <c r="I72" s="912"/>
      <c r="J72" s="912"/>
      <c r="K72" s="912"/>
      <c r="L72" s="912"/>
      <c r="M72" s="912"/>
      <c r="N72" s="912"/>
      <c r="O72" s="912"/>
      <c r="P72" s="912"/>
      <c r="Q72" s="913"/>
    </row>
    <row r="73" spans="1:26" ht="24.75" customHeight="1" x14ac:dyDescent="0.15">
      <c r="A73" s="273"/>
      <c r="B73" s="101" t="s">
        <v>147</v>
      </c>
      <c r="C73" s="101" t="s">
        <v>148</v>
      </c>
      <c r="D73" s="101" t="s">
        <v>149</v>
      </c>
      <c r="E73" s="435" t="s">
        <v>150</v>
      </c>
      <c r="F73" s="435" t="s">
        <v>151</v>
      </c>
      <c r="G73" s="588" t="s">
        <v>152</v>
      </c>
      <c r="H73" s="609" t="s">
        <v>112</v>
      </c>
      <c r="I73" s="436" t="s">
        <v>113</v>
      </c>
      <c r="J73" s="438" t="s">
        <v>153</v>
      </c>
      <c r="K73" s="100"/>
      <c r="L73" s="100"/>
      <c r="M73" s="107" t="s">
        <v>119</v>
      </c>
      <c r="N73" s="589" t="s">
        <v>154</v>
      </c>
      <c r="O73" s="440" t="s">
        <v>112</v>
      </c>
      <c r="P73" s="610" t="s">
        <v>113</v>
      </c>
      <c r="Q73" s="439" t="s">
        <v>153</v>
      </c>
      <c r="R73" s="100"/>
      <c r="S73" s="100"/>
      <c r="T73" s="100"/>
      <c r="U73" s="100"/>
      <c r="V73" s="100"/>
      <c r="W73" s="100"/>
      <c r="X73" s="100"/>
      <c r="Y73" s="100"/>
      <c r="Z73" s="100"/>
    </row>
    <row r="74" spans="1:26" ht="13.5" hidden="1" customHeight="1" x14ac:dyDescent="0.15">
      <c r="A74" s="277" t="s">
        <v>90</v>
      </c>
      <c r="B74" s="278">
        <v>0.88</v>
      </c>
      <c r="C74" s="278">
        <v>0.88</v>
      </c>
      <c r="D74" s="280"/>
      <c r="E74" s="488">
        <v>0.92</v>
      </c>
      <c r="F74" s="489">
        <v>2905</v>
      </c>
      <c r="G74" s="490">
        <v>-0.04</v>
      </c>
      <c r="H74" s="444">
        <f t="shared" ref="H74:H82" si="23">C74-I74</f>
        <v>-365.12</v>
      </c>
      <c r="I74" s="193">
        <v>366</v>
      </c>
      <c r="J74" s="193">
        <f t="shared" ref="J74:J121" si="24">C74-E74</f>
        <v>-4.0000000000000036E-2</v>
      </c>
      <c r="M74" s="147"/>
      <c r="N74" s="491">
        <v>-0.04</v>
      </c>
      <c r="O74" s="445">
        <f t="shared" ref="O74:O82" si="25">K74-P74</f>
        <v>-366</v>
      </c>
      <c r="P74" s="591">
        <v>366</v>
      </c>
      <c r="Q74" s="591">
        <f t="shared" ref="Q74:Q121" si="26">K74-L74</f>
        <v>0</v>
      </c>
    </row>
    <row r="75" spans="1:26" ht="13.5" hidden="1" customHeight="1" x14ac:dyDescent="0.15">
      <c r="A75" s="277" t="s">
        <v>123</v>
      </c>
      <c r="B75" s="278">
        <v>0.71</v>
      </c>
      <c r="C75" s="278">
        <v>0.71</v>
      </c>
      <c r="D75" s="280"/>
      <c r="E75" s="488">
        <v>0.6</v>
      </c>
      <c r="F75" s="489">
        <v>1827</v>
      </c>
      <c r="G75" s="492">
        <v>0.11</v>
      </c>
      <c r="H75" s="444">
        <f t="shared" si="23"/>
        <v>-365.29</v>
      </c>
      <c r="I75" s="193">
        <v>366</v>
      </c>
      <c r="J75" s="193">
        <f t="shared" si="24"/>
        <v>0.10999999999999999</v>
      </c>
      <c r="M75" s="147"/>
      <c r="N75" s="493">
        <v>0.11</v>
      </c>
      <c r="O75" s="445">
        <f t="shared" si="25"/>
        <v>-366</v>
      </c>
      <c r="P75" s="591">
        <v>366</v>
      </c>
      <c r="Q75" s="591">
        <f t="shared" si="26"/>
        <v>0</v>
      </c>
    </row>
    <row r="76" spans="1:26" ht="13.5" hidden="1" customHeight="1" x14ac:dyDescent="0.15">
      <c r="A76" s="277" t="s">
        <v>124</v>
      </c>
      <c r="B76" s="278">
        <v>0.63</v>
      </c>
      <c r="C76" s="278">
        <v>0.63</v>
      </c>
      <c r="D76" s="280"/>
      <c r="E76" s="488">
        <v>0.63</v>
      </c>
      <c r="F76" s="489">
        <v>1956</v>
      </c>
      <c r="G76" s="492">
        <v>0</v>
      </c>
      <c r="H76" s="444">
        <f t="shared" si="23"/>
        <v>-365.37</v>
      </c>
      <c r="I76" s="193">
        <v>366</v>
      </c>
      <c r="J76" s="193">
        <f t="shared" si="24"/>
        <v>0</v>
      </c>
      <c r="M76" s="147"/>
      <c r="N76" s="493">
        <v>0</v>
      </c>
      <c r="O76" s="445">
        <f t="shared" si="25"/>
        <v>-366</v>
      </c>
      <c r="P76" s="591">
        <v>366</v>
      </c>
      <c r="Q76" s="591">
        <f t="shared" si="26"/>
        <v>0</v>
      </c>
    </row>
    <row r="77" spans="1:26" ht="13.5" hidden="1" customHeight="1" x14ac:dyDescent="0.15">
      <c r="A77" s="277" t="s">
        <v>125</v>
      </c>
      <c r="B77" s="278">
        <v>0.56999999999999995</v>
      </c>
      <c r="C77" s="278">
        <v>0.56999999999999995</v>
      </c>
      <c r="D77" s="280"/>
      <c r="E77" s="488">
        <v>0.52</v>
      </c>
      <c r="F77" s="489">
        <v>1558</v>
      </c>
      <c r="G77" s="492">
        <v>0.05</v>
      </c>
      <c r="H77" s="444">
        <f t="shared" si="23"/>
        <v>-365.43</v>
      </c>
      <c r="I77" s="193">
        <v>366</v>
      </c>
      <c r="J77" s="193">
        <f t="shared" si="24"/>
        <v>4.9999999999999933E-2</v>
      </c>
      <c r="M77" s="147"/>
      <c r="N77" s="493">
        <v>0.05</v>
      </c>
      <c r="O77" s="445">
        <f t="shared" si="25"/>
        <v>-366</v>
      </c>
      <c r="P77" s="591">
        <v>366</v>
      </c>
      <c r="Q77" s="591">
        <f t="shared" si="26"/>
        <v>0</v>
      </c>
    </row>
    <row r="78" spans="1:26" ht="13.5" hidden="1" customHeight="1" x14ac:dyDescent="0.15">
      <c r="A78" s="277" t="s">
        <v>126</v>
      </c>
      <c r="B78" s="278">
        <v>0.69</v>
      </c>
      <c r="C78" s="278">
        <v>0.69</v>
      </c>
      <c r="D78" s="280"/>
      <c r="E78" s="488">
        <v>0.55000000000000004</v>
      </c>
      <c r="F78" s="489">
        <v>1714</v>
      </c>
      <c r="G78" s="492">
        <v>0.14000000000000001</v>
      </c>
      <c r="H78" s="444">
        <f t="shared" si="23"/>
        <v>-365.31</v>
      </c>
      <c r="I78" s="193">
        <v>366</v>
      </c>
      <c r="J78" s="193">
        <f t="shared" si="24"/>
        <v>0.1399999999999999</v>
      </c>
      <c r="M78" s="147"/>
      <c r="N78" s="493">
        <v>0.14000000000000001</v>
      </c>
      <c r="O78" s="445">
        <f t="shared" si="25"/>
        <v>-366</v>
      </c>
      <c r="P78" s="591">
        <v>366</v>
      </c>
      <c r="Q78" s="591">
        <f t="shared" si="26"/>
        <v>0</v>
      </c>
    </row>
    <row r="79" spans="1:26" ht="13.5" hidden="1" customHeight="1" x14ac:dyDescent="0.15">
      <c r="A79" s="277" t="s">
        <v>127</v>
      </c>
      <c r="B79" s="278">
        <v>0.67</v>
      </c>
      <c r="C79" s="278">
        <v>0.67</v>
      </c>
      <c r="D79" s="280"/>
      <c r="E79" s="488">
        <v>0.56000000000000005</v>
      </c>
      <c r="F79" s="489">
        <v>1761</v>
      </c>
      <c r="G79" s="492">
        <v>0.11</v>
      </c>
      <c r="H79" s="444">
        <f t="shared" si="23"/>
        <v>-479.33</v>
      </c>
      <c r="I79" s="193">
        <v>480</v>
      </c>
      <c r="J79" s="193">
        <f t="shared" si="24"/>
        <v>0.10999999999999999</v>
      </c>
      <c r="M79" s="147"/>
      <c r="N79" s="493">
        <v>0.11</v>
      </c>
      <c r="O79" s="445">
        <f t="shared" si="25"/>
        <v>-480</v>
      </c>
      <c r="P79" s="591">
        <v>480</v>
      </c>
      <c r="Q79" s="591">
        <f t="shared" si="26"/>
        <v>0</v>
      </c>
    </row>
    <row r="80" spans="1:26" ht="13.5" hidden="1" customHeight="1" x14ac:dyDescent="0.15">
      <c r="A80" s="277" t="s">
        <v>128</v>
      </c>
      <c r="B80" s="278">
        <v>0.67</v>
      </c>
      <c r="C80" s="278">
        <v>0.67</v>
      </c>
      <c r="D80" s="280"/>
      <c r="E80" s="488">
        <v>0.64</v>
      </c>
      <c r="F80" s="489">
        <v>1945</v>
      </c>
      <c r="G80" s="492">
        <v>0.03</v>
      </c>
      <c r="H80" s="444">
        <f t="shared" si="23"/>
        <v>-793.33</v>
      </c>
      <c r="I80" s="193">
        <v>794</v>
      </c>
      <c r="J80" s="193">
        <f t="shared" si="24"/>
        <v>3.0000000000000027E-2</v>
      </c>
      <c r="M80" s="147"/>
      <c r="N80" s="493">
        <v>0.03</v>
      </c>
      <c r="O80" s="445">
        <f t="shared" si="25"/>
        <v>-794</v>
      </c>
      <c r="P80" s="591">
        <v>794</v>
      </c>
      <c r="Q80" s="591">
        <f t="shared" si="26"/>
        <v>0</v>
      </c>
    </row>
    <row r="81" spans="1:17" ht="13.5" hidden="1" customHeight="1" x14ac:dyDescent="0.15">
      <c r="A81" s="277" t="s">
        <v>129</v>
      </c>
      <c r="B81" s="278">
        <v>0.84</v>
      </c>
      <c r="C81" s="278">
        <v>0.84</v>
      </c>
      <c r="D81" s="280"/>
      <c r="E81" s="488">
        <v>0.75</v>
      </c>
      <c r="F81" s="489">
        <v>2304</v>
      </c>
      <c r="G81" s="492">
        <v>0.09</v>
      </c>
      <c r="H81" s="444">
        <f t="shared" si="23"/>
        <v>-386.16</v>
      </c>
      <c r="I81" s="193">
        <v>387</v>
      </c>
      <c r="J81" s="193">
        <f t="shared" si="24"/>
        <v>8.9999999999999969E-2</v>
      </c>
      <c r="M81" s="147"/>
      <c r="N81" s="493">
        <v>0.09</v>
      </c>
      <c r="O81" s="445">
        <f t="shared" si="25"/>
        <v>-387</v>
      </c>
      <c r="P81" s="591">
        <v>387</v>
      </c>
      <c r="Q81" s="591">
        <f t="shared" si="26"/>
        <v>0</v>
      </c>
    </row>
    <row r="82" spans="1:17" ht="13.5" hidden="1" customHeight="1" x14ac:dyDescent="0.15">
      <c r="A82" s="277" t="s">
        <v>86</v>
      </c>
      <c r="B82" s="278">
        <v>0.87</v>
      </c>
      <c r="C82" s="278">
        <v>0.87</v>
      </c>
      <c r="D82" s="280"/>
      <c r="E82" s="488">
        <v>0.91</v>
      </c>
      <c r="F82" s="489">
        <v>2736</v>
      </c>
      <c r="G82" s="492">
        <v>-0.04</v>
      </c>
      <c r="H82" s="195">
        <f t="shared" si="23"/>
        <v>-357.13</v>
      </c>
      <c r="I82" s="195">
        <v>358</v>
      </c>
      <c r="J82" s="193">
        <f t="shared" si="24"/>
        <v>-4.0000000000000036E-2</v>
      </c>
      <c r="M82" s="147"/>
      <c r="N82" s="493">
        <v>-0.04</v>
      </c>
      <c r="O82" s="446">
        <f t="shared" si="25"/>
        <v>-358</v>
      </c>
      <c r="P82" s="446">
        <v>358</v>
      </c>
      <c r="Q82" s="591">
        <f t="shared" si="26"/>
        <v>0</v>
      </c>
    </row>
    <row r="83" spans="1:17" ht="12.75" hidden="1" customHeight="1" x14ac:dyDescent="0.15">
      <c r="A83" s="277" t="s">
        <v>87</v>
      </c>
      <c r="B83" s="278">
        <v>0.89</v>
      </c>
      <c r="C83" s="278">
        <v>0.89</v>
      </c>
      <c r="D83" s="280"/>
      <c r="E83" s="488">
        <v>0.88</v>
      </c>
      <c r="F83" s="494">
        <v>2820</v>
      </c>
      <c r="G83" s="492">
        <v>0.01</v>
      </c>
      <c r="H83" s="338"/>
      <c r="I83" s="338"/>
      <c r="J83" s="193">
        <f t="shared" si="24"/>
        <v>1.0000000000000009E-2</v>
      </c>
      <c r="M83" s="147"/>
      <c r="N83" s="493">
        <v>0.01</v>
      </c>
      <c r="O83" s="495"/>
      <c r="P83" s="495"/>
      <c r="Q83" s="591">
        <f t="shared" si="26"/>
        <v>0</v>
      </c>
    </row>
    <row r="84" spans="1:17" ht="12.75" hidden="1" customHeight="1" x14ac:dyDescent="0.15">
      <c r="A84" s="277" t="s">
        <v>88</v>
      </c>
      <c r="B84" s="278">
        <v>0.82</v>
      </c>
      <c r="C84" s="278">
        <v>0.82</v>
      </c>
      <c r="D84" s="280"/>
      <c r="E84" s="488">
        <v>0.85</v>
      </c>
      <c r="F84" s="494">
        <v>2747</v>
      </c>
      <c r="G84" s="492">
        <v>0.28000000000000003</v>
      </c>
      <c r="H84" s="338"/>
      <c r="I84" s="338"/>
      <c r="J84" s="193">
        <f t="shared" si="24"/>
        <v>-3.0000000000000027E-2</v>
      </c>
      <c r="M84" s="147"/>
      <c r="N84" s="493">
        <v>0.28000000000000003</v>
      </c>
      <c r="O84" s="495"/>
      <c r="P84" s="495"/>
      <c r="Q84" s="591">
        <f t="shared" si="26"/>
        <v>0</v>
      </c>
    </row>
    <row r="85" spans="1:17" ht="12.75" hidden="1" customHeight="1" x14ac:dyDescent="0.15">
      <c r="A85" s="277" t="s">
        <v>89</v>
      </c>
      <c r="B85" s="278">
        <v>0.94</v>
      </c>
      <c r="C85" s="278">
        <v>0.94</v>
      </c>
      <c r="D85" s="280"/>
      <c r="E85" s="488">
        <v>0.92</v>
      </c>
      <c r="F85" s="494">
        <v>2717</v>
      </c>
      <c r="G85" s="492">
        <v>0.02</v>
      </c>
      <c r="H85" s="338"/>
      <c r="I85" s="338"/>
      <c r="J85" s="193">
        <f t="shared" si="24"/>
        <v>1.9999999999999907E-2</v>
      </c>
      <c r="M85" s="147"/>
      <c r="N85" s="493">
        <v>0.02</v>
      </c>
      <c r="O85" s="495"/>
      <c r="P85" s="495"/>
      <c r="Q85" s="591">
        <f t="shared" si="26"/>
        <v>0</v>
      </c>
    </row>
    <row r="86" spans="1:17" ht="12.75" hidden="1" customHeight="1" x14ac:dyDescent="0.15">
      <c r="A86" s="289" t="s">
        <v>129</v>
      </c>
      <c r="B86" s="290">
        <v>0.52</v>
      </c>
      <c r="C86" s="290">
        <v>0.52</v>
      </c>
      <c r="D86" s="292"/>
      <c r="E86" s="488">
        <v>0.56999999999999995</v>
      </c>
      <c r="F86" s="496">
        <v>1490</v>
      </c>
      <c r="G86" s="492">
        <v>-0.05</v>
      </c>
      <c r="H86" s="338"/>
      <c r="I86" s="338"/>
      <c r="J86" s="450">
        <f t="shared" si="24"/>
        <v>-4.9999999999999933E-2</v>
      </c>
      <c r="M86" s="147"/>
      <c r="N86" s="493">
        <v>-0.05</v>
      </c>
      <c r="O86" s="495"/>
      <c r="P86" s="495"/>
      <c r="Q86" s="592">
        <f t="shared" si="26"/>
        <v>0</v>
      </c>
    </row>
    <row r="87" spans="1:17" ht="12.75" hidden="1" customHeight="1" x14ac:dyDescent="0.15">
      <c r="A87" s="289" t="s">
        <v>86</v>
      </c>
      <c r="B87" s="290">
        <v>0.72</v>
      </c>
      <c r="C87" s="290">
        <v>0.72</v>
      </c>
      <c r="D87" s="292"/>
      <c r="E87" s="488">
        <v>0.69</v>
      </c>
      <c r="F87" s="496">
        <v>1744</v>
      </c>
      <c r="G87" s="492">
        <v>0.03</v>
      </c>
      <c r="H87" s="338"/>
      <c r="I87" s="338"/>
      <c r="J87" s="453">
        <f t="shared" si="24"/>
        <v>3.0000000000000027E-2</v>
      </c>
      <c r="M87" s="147"/>
      <c r="N87" s="493">
        <v>0.03</v>
      </c>
      <c r="O87" s="495"/>
      <c r="P87" s="495"/>
      <c r="Q87" s="593">
        <f t="shared" si="26"/>
        <v>0</v>
      </c>
    </row>
    <row r="88" spans="1:17" ht="12.75" hidden="1" customHeight="1" x14ac:dyDescent="0.15">
      <c r="A88" s="289" t="s">
        <v>87</v>
      </c>
      <c r="B88" s="290">
        <v>0.53</v>
      </c>
      <c r="C88" s="290">
        <v>0.53</v>
      </c>
      <c r="D88" s="292"/>
      <c r="E88" s="488">
        <v>0.59</v>
      </c>
      <c r="F88" s="496">
        <v>1415</v>
      </c>
      <c r="G88" s="492">
        <v>-0.06</v>
      </c>
      <c r="H88" s="338"/>
      <c r="I88" s="338"/>
      <c r="J88" s="453">
        <f t="shared" si="24"/>
        <v>-5.9999999999999942E-2</v>
      </c>
      <c r="M88" s="147"/>
      <c r="N88" s="493">
        <v>-0.06</v>
      </c>
      <c r="O88" s="495"/>
      <c r="P88" s="495"/>
      <c r="Q88" s="593">
        <f t="shared" si="26"/>
        <v>0</v>
      </c>
    </row>
    <row r="89" spans="1:17" ht="12.75" hidden="1" customHeight="1" x14ac:dyDescent="0.15">
      <c r="A89" s="289" t="s">
        <v>88</v>
      </c>
      <c r="B89" s="290">
        <v>0.47</v>
      </c>
      <c r="C89" s="290">
        <v>0.47</v>
      </c>
      <c r="D89" s="292"/>
      <c r="E89" s="488">
        <v>0.47</v>
      </c>
      <c r="F89" s="496">
        <v>1004</v>
      </c>
      <c r="G89" s="492">
        <v>0</v>
      </c>
      <c r="H89" s="338"/>
      <c r="I89" s="338"/>
      <c r="J89" s="453">
        <f t="shared" si="24"/>
        <v>0</v>
      </c>
      <c r="M89" s="147"/>
      <c r="N89" s="493">
        <v>0</v>
      </c>
      <c r="O89" s="495"/>
      <c r="P89" s="495"/>
      <c r="Q89" s="593">
        <f t="shared" si="26"/>
        <v>0</v>
      </c>
    </row>
    <row r="90" spans="1:17" ht="12.75" hidden="1" customHeight="1" x14ac:dyDescent="0.15">
      <c r="A90" s="289" t="s">
        <v>89</v>
      </c>
      <c r="B90" s="290">
        <v>0.83</v>
      </c>
      <c r="C90" s="290">
        <v>0.83</v>
      </c>
      <c r="D90" s="292"/>
      <c r="E90" s="488">
        <v>0.68</v>
      </c>
      <c r="F90" s="496">
        <v>1563</v>
      </c>
      <c r="G90" s="492">
        <v>0.12</v>
      </c>
      <c r="H90" s="338"/>
      <c r="I90" s="338"/>
      <c r="J90" s="453">
        <f t="shared" si="24"/>
        <v>0.14999999999999991</v>
      </c>
      <c r="M90" s="147"/>
      <c r="N90" s="493">
        <v>0.12</v>
      </c>
      <c r="O90" s="495"/>
      <c r="P90" s="495"/>
      <c r="Q90" s="593">
        <f t="shared" si="26"/>
        <v>0</v>
      </c>
    </row>
    <row r="91" spans="1:17" ht="12.75" hidden="1" customHeight="1" x14ac:dyDescent="0.15">
      <c r="A91" s="289" t="s">
        <v>90</v>
      </c>
      <c r="B91" s="290">
        <v>0.72</v>
      </c>
      <c r="C91" s="290">
        <v>0.72</v>
      </c>
      <c r="D91" s="292"/>
      <c r="E91" s="488">
        <v>0.73</v>
      </c>
      <c r="F91" s="496">
        <v>1896</v>
      </c>
      <c r="G91" s="492"/>
      <c r="H91" s="338"/>
      <c r="I91" s="338"/>
      <c r="J91" s="453">
        <f t="shared" si="24"/>
        <v>-1.0000000000000009E-2</v>
      </c>
      <c r="M91" s="147"/>
      <c r="N91" s="493"/>
      <c r="O91" s="495"/>
      <c r="P91" s="495"/>
      <c r="Q91" s="593">
        <f t="shared" si="26"/>
        <v>0</v>
      </c>
    </row>
    <row r="92" spans="1:17" ht="12.75" hidden="1" customHeight="1" x14ac:dyDescent="0.15">
      <c r="A92" s="289" t="s">
        <v>123</v>
      </c>
      <c r="B92" s="290">
        <v>0.62</v>
      </c>
      <c r="C92" s="290">
        <v>0.62</v>
      </c>
      <c r="D92" s="292"/>
      <c r="E92" s="488">
        <v>0.66</v>
      </c>
      <c r="F92" s="496">
        <v>1612</v>
      </c>
      <c r="G92" s="492"/>
      <c r="H92" s="338"/>
      <c r="I92" s="338"/>
      <c r="J92" s="453">
        <f t="shared" si="24"/>
        <v>-4.0000000000000036E-2</v>
      </c>
      <c r="M92" s="147"/>
      <c r="N92" s="493"/>
      <c r="O92" s="495"/>
      <c r="P92" s="495"/>
      <c r="Q92" s="593">
        <f t="shared" si="26"/>
        <v>0</v>
      </c>
    </row>
    <row r="93" spans="1:17" ht="12.75" hidden="1" customHeight="1" x14ac:dyDescent="0.15">
      <c r="A93" s="121" t="s">
        <v>124</v>
      </c>
      <c r="B93" s="300">
        <v>0.5</v>
      </c>
      <c r="C93" s="300">
        <v>0.5</v>
      </c>
      <c r="D93" s="301"/>
      <c r="E93" s="488">
        <v>0.63</v>
      </c>
      <c r="F93" s="496">
        <v>701</v>
      </c>
      <c r="G93" s="492"/>
      <c r="H93" s="338"/>
      <c r="I93" s="338"/>
      <c r="J93" s="454">
        <f t="shared" si="24"/>
        <v>-0.13</v>
      </c>
      <c r="M93" s="147"/>
      <c r="N93" s="493"/>
      <c r="O93" s="495"/>
      <c r="P93" s="495"/>
      <c r="Q93" s="594">
        <f t="shared" si="26"/>
        <v>0</v>
      </c>
    </row>
    <row r="94" spans="1:17" ht="12.75" hidden="1" customHeight="1" x14ac:dyDescent="0.15">
      <c r="A94" s="277" t="s">
        <v>123</v>
      </c>
      <c r="B94" s="306">
        <v>0.30399999999999999</v>
      </c>
      <c r="C94" s="306">
        <v>0.30399999999999999</v>
      </c>
      <c r="D94" s="307"/>
      <c r="E94" s="497">
        <v>0.35299999999999998</v>
      </c>
      <c r="F94" s="496">
        <v>424</v>
      </c>
      <c r="G94" s="498">
        <f t="shared" ref="G94:G99" si="27">C94-E94</f>
        <v>-4.8999999999999988E-2</v>
      </c>
      <c r="H94" s="338"/>
      <c r="I94" s="338"/>
      <c r="J94" s="455">
        <f t="shared" si="24"/>
        <v>-4.8999999999999988E-2</v>
      </c>
      <c r="M94" s="147"/>
      <c r="N94" s="499">
        <f t="shared" ref="N94:N99" si="28">K94-L94</f>
        <v>0</v>
      </c>
      <c r="O94" s="495"/>
      <c r="P94" s="495"/>
      <c r="Q94" s="595">
        <f t="shared" si="26"/>
        <v>0</v>
      </c>
    </row>
    <row r="95" spans="1:17" ht="12.75" hidden="1" customHeight="1" x14ac:dyDescent="0.15">
      <c r="A95" s="277" t="s">
        <v>124</v>
      </c>
      <c r="B95" s="306">
        <v>0.19</v>
      </c>
      <c r="C95" s="306">
        <v>0.19</v>
      </c>
      <c r="D95" s="307"/>
      <c r="E95" s="497">
        <v>0.3</v>
      </c>
      <c r="F95" s="496">
        <v>349</v>
      </c>
      <c r="G95" s="498">
        <f t="shared" si="27"/>
        <v>-0.10999999999999999</v>
      </c>
      <c r="H95" s="338"/>
      <c r="I95" s="338"/>
      <c r="J95" s="456">
        <f t="shared" si="24"/>
        <v>-0.10999999999999999</v>
      </c>
      <c r="M95" s="147"/>
      <c r="N95" s="499">
        <f t="shared" si="28"/>
        <v>0</v>
      </c>
      <c r="O95" s="495"/>
      <c r="P95" s="495"/>
      <c r="Q95" s="596">
        <f t="shared" si="26"/>
        <v>0</v>
      </c>
    </row>
    <row r="96" spans="1:17" ht="12.75" hidden="1" customHeight="1" x14ac:dyDescent="0.15">
      <c r="A96" s="277" t="s">
        <v>131</v>
      </c>
      <c r="B96" s="306">
        <v>8.7999999999999995E-2</v>
      </c>
      <c r="C96" s="306">
        <v>8.7999999999999995E-2</v>
      </c>
      <c r="D96" s="307"/>
      <c r="E96" s="497">
        <v>0.13800000000000001</v>
      </c>
      <c r="F96" s="496">
        <v>166</v>
      </c>
      <c r="G96" s="498">
        <f t="shared" si="27"/>
        <v>-5.0000000000000017E-2</v>
      </c>
      <c r="H96" s="338"/>
      <c r="I96" s="338"/>
      <c r="J96" s="456">
        <f t="shared" si="24"/>
        <v>-5.0000000000000017E-2</v>
      </c>
      <c r="M96" s="147"/>
      <c r="N96" s="499">
        <f t="shared" si="28"/>
        <v>0</v>
      </c>
      <c r="O96" s="495"/>
      <c r="P96" s="495"/>
      <c r="Q96" s="596">
        <f t="shared" si="26"/>
        <v>0</v>
      </c>
    </row>
    <row r="97" spans="1:17" ht="12.75" hidden="1" customHeight="1" x14ac:dyDescent="0.15">
      <c r="A97" s="312" t="s">
        <v>126</v>
      </c>
      <c r="B97" s="313">
        <v>0.27400000000000002</v>
      </c>
      <c r="C97" s="313">
        <v>0.27400000000000002</v>
      </c>
      <c r="D97" s="314"/>
      <c r="E97" s="497">
        <v>0.183</v>
      </c>
      <c r="F97" s="496">
        <v>230</v>
      </c>
      <c r="G97" s="498">
        <f t="shared" si="27"/>
        <v>9.1000000000000025E-2</v>
      </c>
      <c r="H97" s="338"/>
      <c r="I97" s="338"/>
      <c r="J97" s="456">
        <f t="shared" si="24"/>
        <v>9.1000000000000025E-2</v>
      </c>
      <c r="M97" s="147"/>
      <c r="N97" s="499">
        <f t="shared" si="28"/>
        <v>0</v>
      </c>
      <c r="O97" s="495"/>
      <c r="P97" s="495"/>
      <c r="Q97" s="596">
        <f t="shared" si="26"/>
        <v>0</v>
      </c>
    </row>
    <row r="98" spans="1:17" ht="12.75" hidden="1" customHeight="1" x14ac:dyDescent="0.15">
      <c r="A98" s="121" t="s">
        <v>17</v>
      </c>
      <c r="B98" s="319">
        <v>0.22</v>
      </c>
      <c r="C98" s="319">
        <v>0.22</v>
      </c>
      <c r="D98" s="320"/>
      <c r="E98" s="497">
        <v>0.29060000000000002</v>
      </c>
      <c r="F98" s="496">
        <v>356</v>
      </c>
      <c r="G98" s="498">
        <f t="shared" si="27"/>
        <v>-7.0600000000000024E-2</v>
      </c>
      <c r="H98" s="338"/>
      <c r="I98" s="338"/>
      <c r="J98" s="455">
        <f t="shared" si="24"/>
        <v>-7.0600000000000024E-2</v>
      </c>
      <c r="M98" s="147"/>
      <c r="N98" s="499">
        <f t="shared" si="28"/>
        <v>0</v>
      </c>
      <c r="O98" s="495"/>
      <c r="P98" s="495"/>
      <c r="Q98" s="595">
        <f t="shared" si="26"/>
        <v>0</v>
      </c>
    </row>
    <row r="99" spans="1:17" ht="12.75" hidden="1" customHeight="1" x14ac:dyDescent="0.15">
      <c r="A99" s="277" t="s">
        <v>7</v>
      </c>
      <c r="B99" s="237">
        <v>0.33</v>
      </c>
      <c r="C99" s="237">
        <v>0.33</v>
      </c>
      <c r="D99" s="344"/>
      <c r="E99" s="497">
        <v>0.443</v>
      </c>
      <c r="F99" s="496">
        <v>513</v>
      </c>
      <c r="G99" s="498">
        <f t="shared" si="27"/>
        <v>-0.11299999999999999</v>
      </c>
      <c r="H99" s="338"/>
      <c r="I99" s="338"/>
      <c r="J99" s="456">
        <f t="shared" si="24"/>
        <v>-0.11299999999999999</v>
      </c>
      <c r="M99" s="147"/>
      <c r="N99" s="499">
        <f t="shared" si="28"/>
        <v>0</v>
      </c>
      <c r="O99" s="495"/>
      <c r="P99" s="495"/>
      <c r="Q99" s="596">
        <f t="shared" si="26"/>
        <v>0</v>
      </c>
    </row>
    <row r="100" spans="1:17" ht="12.75" hidden="1" customHeight="1" x14ac:dyDescent="0.15">
      <c r="A100" s="121" t="s">
        <v>9</v>
      </c>
      <c r="B100" s="300">
        <v>0.62</v>
      </c>
      <c r="C100" s="300">
        <v>0.62</v>
      </c>
      <c r="D100" s="301"/>
      <c r="E100" s="497">
        <v>0.69699999999999995</v>
      </c>
      <c r="F100" s="496"/>
      <c r="G100" s="498"/>
      <c r="H100" s="338"/>
      <c r="I100" s="338"/>
      <c r="J100" s="456">
        <f t="shared" si="24"/>
        <v>-7.6999999999999957E-2</v>
      </c>
      <c r="M100" s="147"/>
      <c r="N100" s="499"/>
      <c r="O100" s="495"/>
      <c r="P100" s="495"/>
      <c r="Q100" s="596">
        <f t="shared" si="26"/>
        <v>0</v>
      </c>
    </row>
    <row r="101" spans="1:17" ht="12.75" hidden="1" customHeight="1" x14ac:dyDescent="0.15">
      <c r="A101" s="121" t="s">
        <v>10</v>
      </c>
      <c r="B101" s="300">
        <v>0.49</v>
      </c>
      <c r="C101" s="300">
        <v>0.49</v>
      </c>
      <c r="D101" s="301"/>
      <c r="E101" s="497">
        <v>0.58499999999999996</v>
      </c>
      <c r="F101" s="496"/>
      <c r="G101" s="498"/>
      <c r="H101" s="338"/>
      <c r="I101" s="338"/>
      <c r="J101" s="456">
        <f t="shared" si="24"/>
        <v>-9.4999999999999973E-2</v>
      </c>
      <c r="M101" s="147"/>
      <c r="N101" s="499"/>
      <c r="O101" s="495"/>
      <c r="P101" s="495"/>
      <c r="Q101" s="596">
        <f t="shared" si="26"/>
        <v>0</v>
      </c>
    </row>
    <row r="102" spans="1:17" ht="12.75" hidden="1" customHeight="1" x14ac:dyDescent="0.15">
      <c r="A102" s="323" t="s">
        <v>14</v>
      </c>
      <c r="B102" s="324">
        <v>0.62</v>
      </c>
      <c r="C102" s="324">
        <v>0.62</v>
      </c>
      <c r="D102" s="500"/>
      <c r="E102" s="497">
        <v>0.81599999999999995</v>
      </c>
      <c r="F102" s="496"/>
      <c r="G102" s="498"/>
      <c r="H102" s="338"/>
      <c r="I102" s="338"/>
      <c r="J102" s="456">
        <f t="shared" si="24"/>
        <v>-0.19599999999999995</v>
      </c>
      <c r="M102" s="147"/>
      <c r="N102" s="499"/>
      <c r="O102" s="495"/>
      <c r="P102" s="495"/>
      <c r="Q102" s="596">
        <f t="shared" si="26"/>
        <v>0</v>
      </c>
    </row>
    <row r="103" spans="1:17" ht="12.75" hidden="1" customHeight="1" x14ac:dyDescent="0.15">
      <c r="A103" s="277" t="s">
        <v>89</v>
      </c>
      <c r="B103" s="237">
        <v>0.84</v>
      </c>
      <c r="C103" s="237">
        <v>0.84</v>
      </c>
      <c r="D103" s="344"/>
      <c r="E103" s="497">
        <v>0.93</v>
      </c>
      <c r="F103" s="496"/>
      <c r="G103" s="498"/>
      <c r="H103" s="338"/>
      <c r="I103" s="338"/>
      <c r="J103" s="456">
        <f t="shared" si="24"/>
        <v>-9.000000000000008E-2</v>
      </c>
      <c r="M103" s="147"/>
      <c r="N103" s="499"/>
      <c r="O103" s="495"/>
      <c r="P103" s="495"/>
      <c r="Q103" s="596">
        <f t="shared" si="26"/>
        <v>0</v>
      </c>
    </row>
    <row r="104" spans="1:17" ht="9" hidden="1" customHeight="1" x14ac:dyDescent="0.15">
      <c r="A104" s="277" t="s">
        <v>132</v>
      </c>
      <c r="B104" s="237">
        <v>0.64</v>
      </c>
      <c r="C104" s="237">
        <v>0.64</v>
      </c>
      <c r="D104" s="344"/>
      <c r="E104" s="497">
        <v>0.77</v>
      </c>
      <c r="F104" s="496"/>
      <c r="G104" s="498"/>
      <c r="H104" s="338"/>
      <c r="I104" s="338"/>
      <c r="J104" s="456">
        <f t="shared" si="24"/>
        <v>-0.13</v>
      </c>
      <c r="M104" s="147"/>
      <c r="N104" s="499"/>
      <c r="O104" s="495"/>
      <c r="P104" s="495"/>
      <c r="Q104" s="596">
        <f t="shared" si="26"/>
        <v>0</v>
      </c>
    </row>
    <row r="105" spans="1:17" ht="18.75" hidden="1" customHeight="1" x14ac:dyDescent="0.15">
      <c r="A105" s="277" t="s">
        <v>123</v>
      </c>
      <c r="B105" s="237">
        <v>0.39</v>
      </c>
      <c r="C105" s="237">
        <v>0.39</v>
      </c>
      <c r="D105" s="344"/>
      <c r="E105" s="497">
        <v>0.3</v>
      </c>
      <c r="F105" s="496"/>
      <c r="G105" s="498"/>
      <c r="H105" s="338"/>
      <c r="I105" s="338"/>
      <c r="J105" s="455">
        <f t="shared" si="24"/>
        <v>9.0000000000000024E-2</v>
      </c>
      <c r="M105" s="147"/>
      <c r="N105" s="499"/>
      <c r="O105" s="495"/>
      <c r="P105" s="495"/>
      <c r="Q105" s="595">
        <f t="shared" si="26"/>
        <v>0</v>
      </c>
    </row>
    <row r="106" spans="1:17" ht="9" hidden="1" customHeight="1" x14ac:dyDescent="0.15">
      <c r="A106" s="277" t="s">
        <v>124</v>
      </c>
      <c r="B106" s="237">
        <v>0.28000000000000003</v>
      </c>
      <c r="C106" s="237">
        <v>0.28000000000000003</v>
      </c>
      <c r="D106" s="344"/>
      <c r="E106" s="497">
        <v>0.20599999999999999</v>
      </c>
      <c r="F106" s="496"/>
      <c r="G106" s="498"/>
      <c r="H106" s="338"/>
      <c r="I106" s="338"/>
      <c r="J106" s="456">
        <f t="shared" si="24"/>
        <v>7.4000000000000038E-2</v>
      </c>
      <c r="M106" s="147"/>
      <c r="N106" s="499"/>
      <c r="O106" s="495"/>
      <c r="P106" s="495"/>
      <c r="Q106" s="596">
        <f t="shared" si="26"/>
        <v>0</v>
      </c>
    </row>
    <row r="107" spans="1:17" ht="12.75" hidden="1" customHeight="1" x14ac:dyDescent="0.15">
      <c r="A107" s="333" t="s">
        <v>131</v>
      </c>
      <c r="B107" s="334">
        <v>0.3</v>
      </c>
      <c r="C107" s="334">
        <v>0.3</v>
      </c>
      <c r="D107" s="492"/>
      <c r="E107" s="497" t="s">
        <v>137</v>
      </c>
      <c r="F107" s="496"/>
      <c r="G107" s="498"/>
      <c r="H107" s="338"/>
      <c r="I107" s="338"/>
      <c r="J107" s="455" t="e">
        <f t="shared" si="24"/>
        <v>#VALUE!</v>
      </c>
      <c r="M107" s="147"/>
      <c r="N107" s="499"/>
      <c r="O107" s="495"/>
      <c r="P107" s="495"/>
      <c r="Q107" s="595">
        <f t="shared" si="26"/>
        <v>0</v>
      </c>
    </row>
    <row r="108" spans="1:17" ht="6.75" hidden="1" customHeight="1" x14ac:dyDescent="0.15">
      <c r="A108" s="333" t="s">
        <v>126</v>
      </c>
      <c r="B108" s="334">
        <v>0.247</v>
      </c>
      <c r="C108" s="334">
        <v>0.247</v>
      </c>
      <c r="D108" s="492"/>
      <c r="E108" s="497"/>
      <c r="F108" s="496"/>
      <c r="G108" s="498"/>
      <c r="H108" s="338"/>
      <c r="I108" s="338"/>
      <c r="J108" s="398">
        <f t="shared" si="24"/>
        <v>0.247</v>
      </c>
      <c r="M108" s="147"/>
      <c r="N108" s="499"/>
      <c r="O108" s="495"/>
      <c r="P108" s="495"/>
      <c r="Q108" s="597">
        <f t="shared" si="26"/>
        <v>0</v>
      </c>
    </row>
    <row r="109" spans="1:17" ht="5.25" hidden="1" customHeight="1" x14ac:dyDescent="0.15">
      <c r="A109" s="289" t="s">
        <v>127</v>
      </c>
      <c r="B109" s="292">
        <v>0.39</v>
      </c>
      <c r="C109" s="292">
        <v>0.39</v>
      </c>
      <c r="D109" s="292"/>
      <c r="E109" s="497">
        <v>0.22</v>
      </c>
      <c r="F109" s="501">
        <v>0.17</v>
      </c>
      <c r="G109" s="498"/>
      <c r="H109" s="338"/>
      <c r="I109" s="338"/>
      <c r="J109" s="196">
        <f t="shared" si="24"/>
        <v>0.17</v>
      </c>
      <c r="M109" s="147"/>
      <c r="N109" s="499"/>
      <c r="O109" s="495"/>
      <c r="P109" s="495"/>
      <c r="Q109" s="481">
        <f t="shared" si="26"/>
        <v>0</v>
      </c>
    </row>
    <row r="110" spans="1:17" ht="12.75" hidden="1" customHeight="1" x14ac:dyDescent="0.15">
      <c r="A110" s="277" t="s">
        <v>128</v>
      </c>
      <c r="B110" s="344">
        <v>0.59</v>
      </c>
      <c r="C110" s="344">
        <v>0.59</v>
      </c>
      <c r="D110" s="344"/>
      <c r="E110" s="497">
        <v>0.35</v>
      </c>
      <c r="F110" s="501">
        <v>0.16</v>
      </c>
      <c r="G110" s="498"/>
      <c r="H110" s="338"/>
      <c r="I110" s="338"/>
      <c r="J110" s="197">
        <f t="shared" si="24"/>
        <v>0.24</v>
      </c>
      <c r="M110" s="147"/>
      <c r="N110" s="499"/>
      <c r="O110" s="495"/>
      <c r="P110" s="495"/>
      <c r="Q110" s="482">
        <f t="shared" si="26"/>
        <v>0</v>
      </c>
    </row>
    <row r="111" spans="1:17" ht="12.75" hidden="1" customHeight="1" x14ac:dyDescent="0.15">
      <c r="A111" s="289" t="s">
        <v>129</v>
      </c>
      <c r="B111" s="292">
        <v>0.47</v>
      </c>
      <c r="C111" s="292">
        <v>0.47</v>
      </c>
      <c r="D111" s="292"/>
      <c r="E111" s="497">
        <v>0.23</v>
      </c>
      <c r="F111" s="501">
        <v>0.06</v>
      </c>
      <c r="G111" s="502"/>
      <c r="H111" s="338"/>
      <c r="I111" s="338"/>
      <c r="J111" s="459">
        <f t="shared" si="24"/>
        <v>0.23999999999999996</v>
      </c>
      <c r="M111" s="147"/>
      <c r="N111" s="503"/>
      <c r="O111" s="495"/>
      <c r="P111" s="495"/>
      <c r="Q111" s="598">
        <f t="shared" si="26"/>
        <v>0</v>
      </c>
    </row>
    <row r="112" spans="1:17" ht="12.75" hidden="1" customHeight="1" x14ac:dyDescent="0.15">
      <c r="A112" s="277" t="s">
        <v>86</v>
      </c>
      <c r="B112" s="344">
        <v>0.77829999999999999</v>
      </c>
      <c r="C112" s="344">
        <v>0.77829999999999999</v>
      </c>
      <c r="D112" s="344"/>
      <c r="E112" s="497">
        <v>0.61</v>
      </c>
      <c r="F112" s="504">
        <v>-0.23</v>
      </c>
      <c r="G112" s="498"/>
      <c r="H112" s="338"/>
      <c r="I112" s="338"/>
      <c r="J112" s="459">
        <f t="shared" si="24"/>
        <v>0.16830000000000001</v>
      </c>
      <c r="M112" s="147"/>
      <c r="N112" s="499"/>
      <c r="O112" s="495"/>
      <c r="P112" s="495"/>
      <c r="Q112" s="598">
        <f t="shared" si="26"/>
        <v>0</v>
      </c>
    </row>
    <row r="113" spans="1:26" ht="12.75" hidden="1" customHeight="1" x14ac:dyDescent="0.15">
      <c r="A113" s="349" t="s">
        <v>87</v>
      </c>
      <c r="B113" s="350">
        <v>0.63070000000000004</v>
      </c>
      <c r="C113" s="350">
        <v>0.63070000000000004</v>
      </c>
      <c r="D113" s="350"/>
      <c r="E113" s="497">
        <v>0.49</v>
      </c>
      <c r="F113" s="504">
        <v>-0.11</v>
      </c>
      <c r="G113" s="498"/>
      <c r="H113" s="338"/>
      <c r="I113" s="338"/>
      <c r="J113" s="459">
        <f t="shared" si="24"/>
        <v>0.14070000000000005</v>
      </c>
      <c r="K113" s="208"/>
      <c r="L113" s="208"/>
      <c r="M113" s="147"/>
      <c r="N113" s="499"/>
      <c r="O113" s="495"/>
      <c r="P113" s="495"/>
      <c r="Q113" s="598">
        <f t="shared" si="26"/>
        <v>0</v>
      </c>
      <c r="R113" s="208"/>
      <c r="S113" s="208"/>
      <c r="T113" s="208"/>
      <c r="U113" s="208"/>
      <c r="V113" s="208"/>
      <c r="W113" s="208"/>
      <c r="X113" s="208"/>
      <c r="Y113" s="208"/>
      <c r="Z113" s="208"/>
    </row>
    <row r="114" spans="1:26" ht="12.75" hidden="1" customHeight="1" x14ac:dyDescent="0.15">
      <c r="A114" s="277" t="s">
        <v>88</v>
      </c>
      <c r="B114" s="280">
        <v>0.68</v>
      </c>
      <c r="C114" s="280">
        <v>0.68</v>
      </c>
      <c r="D114" s="280"/>
      <c r="E114" s="505">
        <v>0.62670000000000003</v>
      </c>
      <c r="F114" s="506">
        <v>-0.26</v>
      </c>
      <c r="G114" s="502"/>
      <c r="H114" s="507"/>
      <c r="I114" s="507"/>
      <c r="J114" s="459">
        <f t="shared" si="24"/>
        <v>5.3300000000000014E-2</v>
      </c>
      <c r="M114" s="147"/>
      <c r="N114" s="503"/>
      <c r="O114" s="508"/>
      <c r="P114" s="508"/>
      <c r="Q114" s="598">
        <f t="shared" si="26"/>
        <v>0</v>
      </c>
    </row>
    <row r="115" spans="1:26" ht="12.75" hidden="1" customHeight="1" x14ac:dyDescent="0.15">
      <c r="A115" s="277" t="s">
        <v>89</v>
      </c>
      <c r="B115" s="344">
        <v>0.67</v>
      </c>
      <c r="C115" s="344">
        <v>0.67</v>
      </c>
      <c r="D115" s="344"/>
      <c r="E115" s="497">
        <v>0.84</v>
      </c>
      <c r="F115" s="504">
        <v>-0.49</v>
      </c>
      <c r="G115" s="498"/>
      <c r="H115" s="338"/>
      <c r="I115" s="338"/>
      <c r="J115" s="464">
        <f t="shared" si="24"/>
        <v>-0.16999999999999993</v>
      </c>
      <c r="M115" s="147"/>
      <c r="N115" s="499"/>
      <c r="O115" s="495"/>
      <c r="P115" s="495"/>
      <c r="Q115" s="599">
        <f t="shared" si="26"/>
        <v>0</v>
      </c>
    </row>
    <row r="116" spans="1:26" ht="12.75" hidden="1" customHeight="1" x14ac:dyDescent="0.15">
      <c r="A116" s="277" t="s">
        <v>90</v>
      </c>
      <c r="B116" s="344">
        <v>0.69789999999999996</v>
      </c>
      <c r="C116" s="344">
        <v>0.69789999999999996</v>
      </c>
      <c r="D116" s="344"/>
      <c r="E116" s="497">
        <v>0.64</v>
      </c>
      <c r="F116" s="501">
        <f t="shared" ref="F116:F127" si="29">C116-E116</f>
        <v>5.7899999999999952E-2</v>
      </c>
      <c r="G116" s="498"/>
      <c r="H116" s="338"/>
      <c r="I116" s="338"/>
      <c r="J116" s="464">
        <f t="shared" si="24"/>
        <v>5.7899999999999952E-2</v>
      </c>
      <c r="M116" s="147"/>
      <c r="N116" s="499"/>
      <c r="O116" s="495"/>
      <c r="P116" s="495"/>
      <c r="Q116" s="599">
        <f t="shared" si="26"/>
        <v>0</v>
      </c>
    </row>
    <row r="117" spans="1:26" ht="12.75" hidden="1" customHeight="1" x14ac:dyDescent="0.15">
      <c r="A117" s="277" t="s">
        <v>123</v>
      </c>
      <c r="B117" s="344">
        <v>0.49220000000000003</v>
      </c>
      <c r="C117" s="344">
        <v>0.49220000000000003</v>
      </c>
      <c r="D117" s="344"/>
      <c r="E117" s="497">
        <v>0.39</v>
      </c>
      <c r="F117" s="504">
        <f t="shared" si="29"/>
        <v>0.10220000000000001</v>
      </c>
      <c r="G117" s="498"/>
      <c r="H117" s="338"/>
      <c r="I117" s="338"/>
      <c r="J117" s="464">
        <f t="shared" si="24"/>
        <v>0.10220000000000001</v>
      </c>
      <c r="M117" s="147"/>
      <c r="N117" s="499"/>
      <c r="O117" s="495"/>
      <c r="P117" s="495"/>
      <c r="Q117" s="599">
        <f t="shared" si="26"/>
        <v>0</v>
      </c>
    </row>
    <row r="118" spans="1:26" ht="12.75" hidden="1" customHeight="1" x14ac:dyDescent="0.15">
      <c r="A118" s="277" t="s">
        <v>124</v>
      </c>
      <c r="B118" s="344">
        <v>0.36</v>
      </c>
      <c r="C118" s="344">
        <v>0.36</v>
      </c>
      <c r="D118" s="509"/>
      <c r="E118" s="510">
        <v>0.28000000000000003</v>
      </c>
      <c r="F118" s="511">
        <f t="shared" si="29"/>
        <v>7.999999999999996E-2</v>
      </c>
      <c r="G118" s="512"/>
      <c r="H118" s="338"/>
      <c r="I118" s="338"/>
      <c r="J118" s="469">
        <f t="shared" si="24"/>
        <v>7.999999999999996E-2</v>
      </c>
      <c r="M118" s="147"/>
      <c r="N118" s="513"/>
      <c r="O118" s="495"/>
      <c r="P118" s="495"/>
      <c r="Q118" s="601">
        <f t="shared" si="26"/>
        <v>0</v>
      </c>
    </row>
    <row r="119" spans="1:26" ht="12.75" hidden="1" customHeight="1" x14ac:dyDescent="0.15">
      <c r="A119" s="277" t="s">
        <v>131</v>
      </c>
      <c r="B119" s="307">
        <v>0.44330000000000003</v>
      </c>
      <c r="C119" s="307">
        <v>0.44330000000000003</v>
      </c>
      <c r="D119" s="359"/>
      <c r="E119" s="510">
        <v>0.3</v>
      </c>
      <c r="F119" s="501">
        <f t="shared" si="29"/>
        <v>0.14330000000000004</v>
      </c>
      <c r="G119" s="512"/>
      <c r="H119" s="338"/>
      <c r="I119" s="338"/>
      <c r="J119" s="459">
        <f t="shared" si="24"/>
        <v>0.14330000000000004</v>
      </c>
      <c r="M119" s="147"/>
      <c r="N119" s="513"/>
      <c r="O119" s="495"/>
      <c r="P119" s="495"/>
      <c r="Q119" s="598">
        <f t="shared" si="26"/>
        <v>0</v>
      </c>
    </row>
    <row r="120" spans="1:26" ht="12.75" hidden="1" customHeight="1" x14ac:dyDescent="0.15">
      <c r="A120" s="277" t="s">
        <v>126</v>
      </c>
      <c r="B120" s="307">
        <v>0.371</v>
      </c>
      <c r="C120" s="307">
        <v>0.371</v>
      </c>
      <c r="D120" s="359"/>
      <c r="E120" s="510">
        <v>0.24</v>
      </c>
      <c r="F120" s="501">
        <f t="shared" si="29"/>
        <v>0.13100000000000001</v>
      </c>
      <c r="G120" s="512"/>
      <c r="H120" s="338"/>
      <c r="I120" s="338"/>
      <c r="J120" s="459">
        <f t="shared" si="24"/>
        <v>0.13100000000000001</v>
      </c>
      <c r="M120" s="147"/>
      <c r="N120" s="513"/>
      <c r="O120" s="495"/>
      <c r="P120" s="495"/>
      <c r="Q120" s="598">
        <f t="shared" si="26"/>
        <v>0</v>
      </c>
    </row>
    <row r="121" spans="1:26" ht="12.75" hidden="1" customHeight="1" x14ac:dyDescent="0.15">
      <c r="A121" s="277" t="s">
        <v>127</v>
      </c>
      <c r="B121" s="307">
        <v>0.46150000000000002</v>
      </c>
      <c r="C121" s="307">
        <v>0.46150000000000002</v>
      </c>
      <c r="D121" s="359"/>
      <c r="E121" s="510">
        <v>0.39</v>
      </c>
      <c r="F121" s="501">
        <f t="shared" si="29"/>
        <v>7.1500000000000008E-2</v>
      </c>
      <c r="G121" s="512"/>
      <c r="H121" s="338"/>
      <c r="I121" s="338"/>
      <c r="J121" s="459">
        <f t="shared" si="24"/>
        <v>7.1500000000000008E-2</v>
      </c>
      <c r="M121" s="147"/>
      <c r="N121" s="513"/>
      <c r="O121" s="495"/>
      <c r="P121" s="495"/>
      <c r="Q121" s="598">
        <f t="shared" si="26"/>
        <v>0</v>
      </c>
    </row>
    <row r="122" spans="1:26" ht="12.75" hidden="1" customHeight="1" x14ac:dyDescent="0.15">
      <c r="A122" s="362" t="s">
        <v>134</v>
      </c>
      <c r="B122" s="363">
        <v>0.66400000000000003</v>
      </c>
      <c r="C122" s="363">
        <v>0.66400000000000003</v>
      </c>
      <c r="D122" s="365"/>
      <c r="E122" s="510">
        <v>0.59</v>
      </c>
      <c r="F122" s="514">
        <f t="shared" si="29"/>
        <v>7.4000000000000066E-2</v>
      </c>
      <c r="G122" s="512"/>
      <c r="H122" s="338"/>
      <c r="I122" s="338"/>
      <c r="J122" s="515">
        <f>66.4-59</f>
        <v>7.4000000000000057</v>
      </c>
      <c r="K122" s="14"/>
      <c r="L122" s="14"/>
      <c r="M122" s="301" t="s">
        <v>138</v>
      </c>
      <c r="N122" s="513"/>
      <c r="O122" s="495"/>
      <c r="P122" s="495"/>
      <c r="Q122" s="611">
        <f>66.4-59</f>
        <v>7.4000000000000057</v>
      </c>
      <c r="R122" s="14"/>
      <c r="S122" s="14"/>
      <c r="T122" s="14"/>
      <c r="U122" s="14"/>
      <c r="V122" s="14"/>
      <c r="W122" s="14"/>
      <c r="X122" s="14"/>
      <c r="Y122" s="14"/>
      <c r="Z122" s="14"/>
    </row>
    <row r="123" spans="1:26" ht="12.75" hidden="1" customHeight="1" x14ac:dyDescent="0.15">
      <c r="A123" s="277" t="s">
        <v>129</v>
      </c>
      <c r="B123" s="307">
        <v>0.55889999999999995</v>
      </c>
      <c r="C123" s="307">
        <v>0.55889999999999995</v>
      </c>
      <c r="D123" s="359"/>
      <c r="E123" s="510">
        <v>0.47</v>
      </c>
      <c r="F123" s="501">
        <f t="shared" si="29"/>
        <v>8.8899999999999979E-2</v>
      </c>
      <c r="G123" s="512"/>
      <c r="H123" s="338"/>
      <c r="I123" s="338"/>
      <c r="J123" s="516">
        <f>55.4-47</f>
        <v>8.3999999999999986</v>
      </c>
      <c r="M123" s="301">
        <v>0.45029999999999998</v>
      </c>
      <c r="N123" s="513"/>
      <c r="O123" s="495"/>
      <c r="P123" s="495"/>
      <c r="Q123" s="612">
        <f>55.4-47</f>
        <v>8.3999999999999986</v>
      </c>
    </row>
    <row r="124" spans="1:26" ht="12.75" hidden="1" customHeight="1" x14ac:dyDescent="0.15">
      <c r="A124" s="277" t="s">
        <v>86</v>
      </c>
      <c r="B124" s="307">
        <v>0.77010000000000001</v>
      </c>
      <c r="C124" s="307">
        <v>0.77010000000000001</v>
      </c>
      <c r="D124" s="359"/>
      <c r="E124" s="510">
        <v>0.78</v>
      </c>
      <c r="F124" s="504">
        <f t="shared" si="29"/>
        <v>-9.9000000000000199E-3</v>
      </c>
      <c r="G124" s="512"/>
      <c r="H124" s="338"/>
      <c r="I124" s="338"/>
      <c r="J124" s="517">
        <f>62.2-78</f>
        <v>-15.799999999999997</v>
      </c>
      <c r="M124" s="301">
        <v>0.71</v>
      </c>
      <c r="N124" s="513"/>
      <c r="O124" s="495"/>
      <c r="P124" s="495"/>
      <c r="Q124" s="613">
        <f>62.2-78</f>
        <v>-15.799999999999997</v>
      </c>
    </row>
    <row r="125" spans="1:26" ht="12.75" hidden="1" customHeight="1" x14ac:dyDescent="0.15">
      <c r="A125" s="277" t="s">
        <v>87</v>
      </c>
      <c r="B125" s="307">
        <v>0.622</v>
      </c>
      <c r="C125" s="307">
        <v>0.622</v>
      </c>
      <c r="D125" s="359"/>
      <c r="E125" s="510">
        <v>0.63</v>
      </c>
      <c r="F125" s="504">
        <f t="shared" si="29"/>
        <v>-8.0000000000000071E-3</v>
      </c>
      <c r="G125" s="512"/>
      <c r="H125" s="338"/>
      <c r="I125" s="338"/>
      <c r="J125" s="517">
        <f>50.2-63</f>
        <v>-12.799999999999997</v>
      </c>
      <c r="M125" s="301">
        <v>0.47</v>
      </c>
      <c r="N125" s="513"/>
      <c r="O125" s="495"/>
      <c r="P125" s="495"/>
      <c r="Q125" s="613">
        <f>50.2-63</f>
        <v>-12.799999999999997</v>
      </c>
    </row>
    <row r="126" spans="1:26" ht="12.75" hidden="1" customHeight="1" x14ac:dyDescent="0.15">
      <c r="A126" s="277" t="s">
        <v>88</v>
      </c>
      <c r="B126" s="307">
        <v>0.71199999999999997</v>
      </c>
      <c r="C126" s="307">
        <v>0.71199999999999997</v>
      </c>
      <c r="D126" s="359"/>
      <c r="E126" s="510">
        <v>0.68</v>
      </c>
      <c r="F126" s="518">
        <f t="shared" si="29"/>
        <v>3.1999999999999917E-2</v>
      </c>
      <c r="G126" s="512"/>
      <c r="H126" s="338"/>
      <c r="I126" s="338"/>
      <c r="J126" s="517">
        <f>59.3-68</f>
        <v>-8.7000000000000028</v>
      </c>
      <c r="M126" s="301">
        <v>0.51</v>
      </c>
      <c r="N126" s="513"/>
      <c r="O126" s="495"/>
      <c r="P126" s="495"/>
      <c r="Q126" s="613">
        <f>59.3-68</f>
        <v>-8.7000000000000028</v>
      </c>
    </row>
    <row r="127" spans="1:26" ht="12.75" hidden="1" customHeight="1" x14ac:dyDescent="0.15">
      <c r="A127" s="277" t="s">
        <v>89</v>
      </c>
      <c r="B127" s="307">
        <v>0.8</v>
      </c>
      <c r="C127" s="307">
        <v>0.8</v>
      </c>
      <c r="D127" s="359"/>
      <c r="E127" s="510">
        <v>0.81899999999999995</v>
      </c>
      <c r="F127" s="504">
        <f t="shared" si="29"/>
        <v>-1.8999999999999906E-2</v>
      </c>
      <c r="G127" s="512"/>
      <c r="H127" s="338"/>
      <c r="I127" s="338"/>
      <c r="J127" s="517">
        <f>63.6-81.9</f>
        <v>-18.300000000000004</v>
      </c>
      <c r="M127" s="301">
        <v>0.36</v>
      </c>
      <c r="N127" s="513"/>
      <c r="O127" s="495"/>
      <c r="P127" s="495"/>
      <c r="Q127" s="613">
        <f>63.6-81.9</f>
        <v>-18.300000000000004</v>
      </c>
    </row>
    <row r="128" spans="1:26" ht="12.75" customHeight="1" x14ac:dyDescent="0.15">
      <c r="A128" s="605" t="s">
        <v>127</v>
      </c>
      <c r="B128" s="519">
        <v>3.2399999999999998E-2</v>
      </c>
      <c r="C128" s="519">
        <v>1.38E-2</v>
      </c>
      <c r="D128" s="520">
        <f t="shared" ref="D128:D139" si="30">B128-C128</f>
        <v>1.8599999999999998E-2</v>
      </c>
      <c r="E128" s="521">
        <v>0.46100000000000002</v>
      </c>
      <c r="F128" s="522">
        <f t="shared" ref="F128:F139" si="31">B128-E128</f>
        <v>-0.42860000000000004</v>
      </c>
      <c r="G128" s="523">
        <v>0.39929999999999999</v>
      </c>
      <c r="H128" s="507"/>
      <c r="I128" s="507"/>
      <c r="J128" s="524">
        <v>6.1699999999999998E-2</v>
      </c>
      <c r="K128" s="525"/>
      <c r="L128" s="525"/>
      <c r="M128" s="526">
        <v>4.8000000000000001E-2</v>
      </c>
      <c r="N128" s="527">
        <v>0.2235</v>
      </c>
      <c r="O128" s="495"/>
      <c r="P128" s="495"/>
      <c r="Q128" s="614">
        <f t="shared" ref="Q128:Q139" si="32">G128-N128</f>
        <v>0.17579999999999998</v>
      </c>
    </row>
    <row r="129" spans="1:26" ht="12.75" customHeight="1" x14ac:dyDescent="0.15">
      <c r="A129" s="605" t="s">
        <v>128</v>
      </c>
      <c r="B129" s="528">
        <v>0.13170000000000001</v>
      </c>
      <c r="C129" s="528">
        <v>0.13489999999999999</v>
      </c>
      <c r="D129" s="535">
        <f t="shared" si="30"/>
        <v>-3.1999999999999806E-3</v>
      </c>
      <c r="E129" s="530">
        <v>0.66390000000000005</v>
      </c>
      <c r="F129" s="531">
        <f t="shared" si="31"/>
        <v>-0.53220000000000001</v>
      </c>
      <c r="G129" s="532">
        <v>0.59870000000000001</v>
      </c>
      <c r="H129" s="338"/>
      <c r="I129" s="338"/>
      <c r="J129" s="533">
        <v>6.5199999999999994E-2</v>
      </c>
      <c r="K129" s="14"/>
      <c r="L129" s="14"/>
      <c r="M129" s="301"/>
      <c r="N129" s="534">
        <v>0.34939999999999999</v>
      </c>
      <c r="O129" s="495"/>
      <c r="P129" s="495"/>
      <c r="Q129" s="615">
        <f t="shared" si="32"/>
        <v>0.24930000000000002</v>
      </c>
    </row>
    <row r="130" spans="1:26" ht="12.75" customHeight="1" x14ac:dyDescent="0.15">
      <c r="A130" s="605" t="s">
        <v>129</v>
      </c>
      <c r="B130" s="528">
        <v>9.2200000000000004E-2</v>
      </c>
      <c r="C130" s="528">
        <v>8.9099999999999999E-2</v>
      </c>
      <c r="D130" s="529">
        <f t="shared" si="30"/>
        <v>3.1000000000000055E-3</v>
      </c>
      <c r="E130" s="530">
        <v>0.56200000000000006</v>
      </c>
      <c r="F130" s="531">
        <f t="shared" si="31"/>
        <v>-0.46980000000000005</v>
      </c>
      <c r="G130" s="532">
        <v>0.4708</v>
      </c>
      <c r="H130" s="338"/>
      <c r="I130" s="338"/>
      <c r="J130" s="533">
        <v>9.1200000000000003E-2</v>
      </c>
      <c r="K130" s="14"/>
      <c r="L130" s="14"/>
      <c r="M130" s="301"/>
      <c r="N130" s="534">
        <v>0.2356</v>
      </c>
      <c r="O130" s="495"/>
      <c r="P130" s="495"/>
      <c r="Q130" s="615">
        <f t="shared" si="32"/>
        <v>0.23519999999999999</v>
      </c>
    </row>
    <row r="131" spans="1:26" ht="12.75" customHeight="1" x14ac:dyDescent="0.15">
      <c r="A131" s="605" t="s">
        <v>86</v>
      </c>
      <c r="B131" s="528">
        <v>0.22409999999999999</v>
      </c>
      <c r="C131" s="528">
        <v>0.22409999999999999</v>
      </c>
      <c r="D131" s="528">
        <f t="shared" si="30"/>
        <v>0</v>
      </c>
      <c r="E131" s="530">
        <v>0.77010000000000001</v>
      </c>
      <c r="F131" s="531">
        <f t="shared" si="31"/>
        <v>-0.54600000000000004</v>
      </c>
      <c r="G131" s="532">
        <v>0.78</v>
      </c>
      <c r="H131" s="338"/>
      <c r="I131" s="338"/>
      <c r="J131" s="536">
        <v>-9.9000000000000008E-3</v>
      </c>
      <c r="K131" s="14"/>
      <c r="L131" s="14"/>
      <c r="M131" s="301"/>
      <c r="N131" s="534">
        <v>0.51839999999999997</v>
      </c>
      <c r="O131" s="495"/>
      <c r="P131" s="495"/>
      <c r="Q131" s="615">
        <f t="shared" si="32"/>
        <v>0.26160000000000005</v>
      </c>
    </row>
    <row r="132" spans="1:26" ht="12.75" customHeight="1" x14ac:dyDescent="0.15">
      <c r="A132" s="605" t="s">
        <v>87</v>
      </c>
      <c r="B132" s="528">
        <v>0.15540000000000001</v>
      </c>
      <c r="C132" s="528">
        <v>0.15079999999999999</v>
      </c>
      <c r="D132" s="529">
        <f t="shared" si="30"/>
        <v>4.6000000000000207E-3</v>
      </c>
      <c r="E132" s="530">
        <v>0.61180000000000001</v>
      </c>
      <c r="F132" s="531">
        <f t="shared" si="31"/>
        <v>-0.45640000000000003</v>
      </c>
      <c r="G132" s="532">
        <v>0.63070000000000004</v>
      </c>
      <c r="H132" s="338"/>
      <c r="I132" s="338"/>
      <c r="J132" s="536">
        <v>-1.89E-2</v>
      </c>
      <c r="K132" s="14"/>
      <c r="L132" s="14"/>
      <c r="M132" s="301"/>
      <c r="N132" s="534">
        <v>0.49609999999999999</v>
      </c>
      <c r="O132" s="495"/>
      <c r="P132" s="495"/>
      <c r="Q132" s="615">
        <f t="shared" si="32"/>
        <v>0.13460000000000005</v>
      </c>
    </row>
    <row r="133" spans="1:26" ht="12.75" customHeight="1" x14ac:dyDescent="0.15">
      <c r="A133" s="605" t="s">
        <v>88</v>
      </c>
      <c r="B133" s="528">
        <v>0.28749999999999998</v>
      </c>
      <c r="C133" s="528">
        <v>0.28439999999999999</v>
      </c>
      <c r="D133" s="529">
        <f t="shared" si="30"/>
        <v>3.0999999999999917E-3</v>
      </c>
      <c r="E133" s="530">
        <v>0.73380000000000001</v>
      </c>
      <c r="F133" s="531">
        <f t="shared" si="31"/>
        <v>-0.44630000000000003</v>
      </c>
      <c r="G133" s="532">
        <v>0.68500000000000005</v>
      </c>
      <c r="H133" s="338"/>
      <c r="I133" s="338"/>
      <c r="J133" s="533">
        <v>4.87E-2</v>
      </c>
      <c r="K133" s="14"/>
      <c r="L133" s="14"/>
      <c r="M133" s="301"/>
      <c r="N133" s="534">
        <v>0.62670000000000003</v>
      </c>
      <c r="O133" s="495"/>
      <c r="P133" s="495"/>
      <c r="Q133" s="615">
        <f t="shared" si="32"/>
        <v>5.8300000000000018E-2</v>
      </c>
    </row>
    <row r="134" spans="1:26" ht="12.75" customHeight="1" x14ac:dyDescent="0.15">
      <c r="A134" s="605" t="s">
        <v>89</v>
      </c>
      <c r="B134" s="528">
        <v>0.53490000000000004</v>
      </c>
      <c r="C134" s="528">
        <v>0.53490000000000004</v>
      </c>
      <c r="D134" s="528">
        <f t="shared" si="30"/>
        <v>0</v>
      </c>
      <c r="E134" s="530">
        <v>0.83709999999999996</v>
      </c>
      <c r="F134" s="531">
        <f t="shared" si="31"/>
        <v>-0.30219999999999991</v>
      </c>
      <c r="G134" s="532">
        <v>0.81950000000000001</v>
      </c>
      <c r="H134" s="338"/>
      <c r="I134" s="338"/>
      <c r="J134" s="533">
        <v>1.7600000000000001E-2</v>
      </c>
      <c r="K134" s="14"/>
      <c r="L134" s="14"/>
      <c r="M134" s="301"/>
      <c r="N134" s="534">
        <v>0.84489999999999998</v>
      </c>
      <c r="O134" s="495"/>
      <c r="P134" s="495"/>
      <c r="Q134" s="616">
        <f t="shared" si="32"/>
        <v>-2.5399999999999978E-2</v>
      </c>
    </row>
    <row r="135" spans="1:26" ht="12.75" customHeight="1" x14ac:dyDescent="0.15">
      <c r="A135" s="605" t="s">
        <v>90</v>
      </c>
      <c r="B135" s="528">
        <v>0.14849999999999999</v>
      </c>
      <c r="C135" s="528">
        <v>0.14849999999999999</v>
      </c>
      <c r="D135" s="528">
        <f t="shared" si="30"/>
        <v>0</v>
      </c>
      <c r="E135" s="530">
        <v>0.57069999999999999</v>
      </c>
      <c r="F135" s="531">
        <f t="shared" si="31"/>
        <v>-0.42220000000000002</v>
      </c>
      <c r="G135" s="532">
        <v>0.69789999999999996</v>
      </c>
      <c r="H135" s="338"/>
      <c r="I135" s="338"/>
      <c r="J135" s="536">
        <v>-0.12720000000000001</v>
      </c>
      <c r="K135" s="14"/>
      <c r="L135" s="14"/>
      <c r="M135" s="301">
        <v>0.2046</v>
      </c>
      <c r="N135" s="534">
        <v>0.65049999999999997</v>
      </c>
      <c r="O135" s="495"/>
      <c r="P135" s="495"/>
      <c r="Q135" s="615">
        <f t="shared" si="32"/>
        <v>4.7399999999999998E-2</v>
      </c>
    </row>
    <row r="136" spans="1:26" ht="12.75" customHeight="1" x14ac:dyDescent="0.15">
      <c r="A136" s="605" t="s">
        <v>123</v>
      </c>
      <c r="B136" s="528">
        <v>0.1056</v>
      </c>
      <c r="C136" s="528">
        <v>9.8400000000000001E-2</v>
      </c>
      <c r="D136" s="529">
        <f t="shared" si="30"/>
        <v>7.1999999999999981E-3</v>
      </c>
      <c r="E136" s="530">
        <v>0.21210000000000001</v>
      </c>
      <c r="F136" s="531">
        <f t="shared" si="31"/>
        <v>-0.10650000000000001</v>
      </c>
      <c r="G136" s="532">
        <v>0.48970000000000002</v>
      </c>
      <c r="H136" s="338"/>
      <c r="I136" s="338"/>
      <c r="J136" s="536">
        <v>-0.2777</v>
      </c>
      <c r="K136" s="14"/>
      <c r="L136" s="14"/>
      <c r="M136" s="301">
        <v>4.8000000000000001E-2</v>
      </c>
      <c r="N136" s="534">
        <v>0.39029999999999998</v>
      </c>
      <c r="O136" s="495"/>
      <c r="P136" s="495"/>
      <c r="Q136" s="615">
        <f t="shared" si="32"/>
        <v>9.9400000000000044E-2</v>
      </c>
    </row>
    <row r="137" spans="1:26" ht="12.75" customHeight="1" x14ac:dyDescent="0.15">
      <c r="A137" s="605" t="s">
        <v>124</v>
      </c>
      <c r="B137" s="528">
        <v>3.15E-2</v>
      </c>
      <c r="C137" s="528">
        <v>3.15E-2</v>
      </c>
      <c r="D137" s="528">
        <f t="shared" si="30"/>
        <v>0</v>
      </c>
      <c r="E137" s="530">
        <v>0</v>
      </c>
      <c r="F137" s="617">
        <f t="shared" si="31"/>
        <v>3.15E-2</v>
      </c>
      <c r="G137" s="532">
        <v>0.36749999999999999</v>
      </c>
      <c r="H137" s="338"/>
      <c r="I137" s="338"/>
      <c r="J137" s="536">
        <v>-0.36749999999999999</v>
      </c>
      <c r="K137" s="14"/>
      <c r="L137" s="14"/>
      <c r="M137" s="301">
        <v>4.8000000000000001E-2</v>
      </c>
      <c r="N137" s="534">
        <v>0.28349999999999997</v>
      </c>
      <c r="O137" s="495"/>
      <c r="P137" s="495"/>
      <c r="Q137" s="615">
        <f t="shared" si="32"/>
        <v>8.4000000000000019E-2</v>
      </c>
    </row>
    <row r="138" spans="1:26" ht="12.75" customHeight="1" x14ac:dyDescent="0.15">
      <c r="A138" s="605" t="s">
        <v>125</v>
      </c>
      <c r="B138" s="528">
        <v>0.37940000000000002</v>
      </c>
      <c r="C138" s="528">
        <v>2.86E-2</v>
      </c>
      <c r="D138" s="529">
        <f t="shared" si="30"/>
        <v>0.3508</v>
      </c>
      <c r="E138" s="530">
        <v>2.6200000000000001E-2</v>
      </c>
      <c r="F138" s="531">
        <f t="shared" si="31"/>
        <v>0.35320000000000001</v>
      </c>
      <c r="G138" s="532">
        <v>0.44330000000000003</v>
      </c>
      <c r="H138" s="338"/>
      <c r="I138" s="338"/>
      <c r="J138" s="536">
        <v>-0.41710000000000003</v>
      </c>
      <c r="K138" s="14"/>
      <c r="L138" s="14"/>
      <c r="M138" s="301">
        <v>4.8000000000000001E-2</v>
      </c>
      <c r="N138" s="534">
        <v>0.30349999999999999</v>
      </c>
      <c r="O138" s="495"/>
      <c r="P138" s="495"/>
      <c r="Q138" s="615">
        <f t="shared" si="32"/>
        <v>0.13980000000000004</v>
      </c>
    </row>
    <row r="139" spans="1:26" ht="12.75" customHeight="1" x14ac:dyDescent="0.15">
      <c r="A139" s="605" t="s">
        <v>126</v>
      </c>
      <c r="B139" s="618">
        <v>2.3800000000000002E-2</v>
      </c>
      <c r="C139" s="618">
        <v>2.3800000000000002E-2</v>
      </c>
      <c r="D139" s="618">
        <f t="shared" si="30"/>
        <v>0</v>
      </c>
      <c r="E139" s="619">
        <v>3.5799999999999998E-2</v>
      </c>
      <c r="F139" s="531">
        <f t="shared" si="31"/>
        <v>-1.1999999999999997E-2</v>
      </c>
      <c r="G139" s="620">
        <v>0.37119999999999997</v>
      </c>
      <c r="H139" s="621"/>
      <c r="I139" s="621"/>
      <c r="J139" s="622">
        <v>-0.33539999999999998</v>
      </c>
      <c r="K139" s="431"/>
      <c r="L139" s="431"/>
      <c r="M139" s="623">
        <v>4.8000000000000001E-2</v>
      </c>
      <c r="N139" s="624">
        <v>0.247</v>
      </c>
      <c r="O139" s="495"/>
      <c r="P139" s="495"/>
      <c r="Q139" s="615">
        <f t="shared" si="32"/>
        <v>0.12419999999999998</v>
      </c>
    </row>
    <row r="140" spans="1:26" ht="14.25" customHeight="1" x14ac:dyDescent="0.2">
      <c r="A140" s="952" t="s">
        <v>139</v>
      </c>
      <c r="B140" s="898"/>
      <c r="C140" s="898"/>
      <c r="D140" s="898"/>
      <c r="E140" s="898"/>
      <c r="F140" s="898"/>
      <c r="G140" s="898"/>
      <c r="H140" s="898"/>
      <c r="I140" s="898"/>
      <c r="J140" s="898"/>
      <c r="K140" s="898"/>
      <c r="L140" s="898"/>
      <c r="M140" s="898"/>
      <c r="N140" s="898"/>
      <c r="O140" s="898"/>
      <c r="P140" s="898"/>
      <c r="Q140" s="899"/>
    </row>
    <row r="141" spans="1:26" ht="24" customHeight="1" x14ac:dyDescent="0.15">
      <c r="A141" s="537"/>
      <c r="B141" s="101" t="s">
        <v>147</v>
      </c>
      <c r="C141" s="101" t="s">
        <v>148</v>
      </c>
      <c r="D141" s="101" t="s">
        <v>149</v>
      </c>
      <c r="E141" s="625" t="s">
        <v>150</v>
      </c>
      <c r="F141" s="435" t="s">
        <v>151</v>
      </c>
      <c r="G141" s="626" t="s">
        <v>152</v>
      </c>
      <c r="H141" s="627" t="s">
        <v>112</v>
      </c>
      <c r="I141" s="569" t="s">
        <v>113</v>
      </c>
      <c r="J141" s="570" t="s">
        <v>153</v>
      </c>
      <c r="K141" s="105" t="s">
        <v>140</v>
      </c>
      <c r="L141" s="105" t="s">
        <v>118</v>
      </c>
      <c r="M141" s="107" t="s">
        <v>119</v>
      </c>
      <c r="N141" s="628" t="s">
        <v>154</v>
      </c>
      <c r="O141" s="538" t="s">
        <v>112</v>
      </c>
      <c r="P141" s="539" t="s">
        <v>113</v>
      </c>
      <c r="Q141" s="439" t="s">
        <v>153</v>
      </c>
      <c r="R141" s="100"/>
      <c r="S141" s="100"/>
      <c r="T141" s="100"/>
      <c r="U141" s="100"/>
      <c r="V141" s="100"/>
      <c r="W141" s="100"/>
      <c r="X141" s="100"/>
      <c r="Y141" s="100"/>
      <c r="Z141" s="100"/>
    </row>
    <row r="142" spans="1:26" ht="12.75" hidden="1" customHeight="1" x14ac:dyDescent="0.15">
      <c r="A142" s="14" t="s">
        <v>90</v>
      </c>
      <c r="B142" s="282" t="e">
        <f t="shared" ref="B142:C142" si="33">B3/#REF!</f>
        <v>#REF!</v>
      </c>
      <c r="C142" s="282" t="e">
        <f t="shared" si="33"/>
        <v>#REF!</v>
      </c>
      <c r="D142" s="540"/>
      <c r="E142" s="541">
        <f t="shared" ref="E142:E147" si="34">E3/F74</f>
        <v>275.43304647160068</v>
      </c>
      <c r="F142" s="541"/>
      <c r="G142" s="492"/>
      <c r="H142" s="444" t="e">
        <f t="shared" ref="H142:H150" si="35">C142-I142</f>
        <v>#REF!</v>
      </c>
      <c r="I142" s="193">
        <v>161220</v>
      </c>
      <c r="J142" s="193" t="e">
        <f t="shared" ref="J142:J194" si="36">C142-E142</f>
        <v>#REF!</v>
      </c>
      <c r="K142" s="123"/>
      <c r="L142" s="123"/>
      <c r="M142" s="147"/>
      <c r="N142" s="493"/>
      <c r="O142" s="445">
        <f t="shared" ref="O142:O150" si="37">K142-P142</f>
        <v>-161220</v>
      </c>
      <c r="P142" s="591">
        <v>161220</v>
      </c>
      <c r="Q142" s="591">
        <f t="shared" ref="Q142:Q194" si="38">K142-L142</f>
        <v>0</v>
      </c>
    </row>
    <row r="143" spans="1:26" ht="12.75" hidden="1" customHeight="1" x14ac:dyDescent="0.15">
      <c r="A143" s="14" t="s">
        <v>123</v>
      </c>
      <c r="B143" s="282" t="e">
        <f t="shared" ref="B143:C143" si="39">B4/#REF!</f>
        <v>#REF!</v>
      </c>
      <c r="C143" s="282" t="e">
        <f t="shared" si="39"/>
        <v>#REF!</v>
      </c>
      <c r="D143" s="540"/>
      <c r="E143" s="541">
        <f t="shared" si="34"/>
        <v>274.60645867542416</v>
      </c>
      <c r="F143" s="541"/>
      <c r="G143" s="492"/>
      <c r="H143" s="444" t="e">
        <f t="shared" si="35"/>
        <v>#REF!</v>
      </c>
      <c r="I143" s="193">
        <v>161220</v>
      </c>
      <c r="J143" s="193" t="e">
        <f t="shared" si="36"/>
        <v>#REF!</v>
      </c>
      <c r="K143" s="123"/>
      <c r="L143" s="123"/>
      <c r="M143" s="147"/>
      <c r="N143" s="493"/>
      <c r="O143" s="445">
        <f t="shared" si="37"/>
        <v>-161220</v>
      </c>
      <c r="P143" s="591">
        <v>161220</v>
      </c>
      <c r="Q143" s="591">
        <f t="shared" si="38"/>
        <v>0</v>
      </c>
    </row>
    <row r="144" spans="1:26" ht="12.75" hidden="1" customHeight="1" x14ac:dyDescent="0.15">
      <c r="A144" s="14" t="s">
        <v>124</v>
      </c>
      <c r="B144" s="282" t="e">
        <f t="shared" ref="B144:C144" si="40">B5/#REF!</f>
        <v>#REF!</v>
      </c>
      <c r="C144" s="282" t="e">
        <f t="shared" si="40"/>
        <v>#REF!</v>
      </c>
      <c r="D144" s="540"/>
      <c r="E144" s="541">
        <f t="shared" si="34"/>
        <v>270.62832310838445</v>
      </c>
      <c r="F144" s="541"/>
      <c r="G144" s="492"/>
      <c r="H144" s="444" t="e">
        <f t="shared" si="35"/>
        <v>#REF!</v>
      </c>
      <c r="I144" s="193">
        <v>161220</v>
      </c>
      <c r="J144" s="193" t="e">
        <f t="shared" si="36"/>
        <v>#REF!</v>
      </c>
      <c r="K144" s="123"/>
      <c r="L144" s="123"/>
      <c r="M144" s="147"/>
      <c r="N144" s="493"/>
      <c r="O144" s="445">
        <f t="shared" si="37"/>
        <v>-161220</v>
      </c>
      <c r="P144" s="591">
        <v>161220</v>
      </c>
      <c r="Q144" s="591">
        <f t="shared" si="38"/>
        <v>0</v>
      </c>
    </row>
    <row r="145" spans="1:17" ht="12.75" hidden="1" customHeight="1" x14ac:dyDescent="0.15">
      <c r="A145" s="14" t="s">
        <v>125</v>
      </c>
      <c r="B145" s="282" t="e">
        <f t="shared" ref="B145:C145" si="41">B6/#REF!</f>
        <v>#REF!</v>
      </c>
      <c r="C145" s="282" t="e">
        <f t="shared" si="41"/>
        <v>#REF!</v>
      </c>
      <c r="D145" s="540"/>
      <c r="E145" s="541">
        <f t="shared" si="34"/>
        <v>233.70154043645701</v>
      </c>
      <c r="F145" s="541"/>
      <c r="G145" s="492"/>
      <c r="H145" s="444" t="e">
        <f t="shared" si="35"/>
        <v>#REF!</v>
      </c>
      <c r="I145" s="193">
        <v>161220</v>
      </c>
      <c r="J145" s="193" t="e">
        <f t="shared" si="36"/>
        <v>#REF!</v>
      </c>
      <c r="K145" s="123"/>
      <c r="L145" s="123"/>
      <c r="M145" s="147"/>
      <c r="N145" s="493"/>
      <c r="O145" s="445">
        <f t="shared" si="37"/>
        <v>-161220</v>
      </c>
      <c r="P145" s="591">
        <v>161220</v>
      </c>
      <c r="Q145" s="591">
        <f t="shared" si="38"/>
        <v>0</v>
      </c>
    </row>
    <row r="146" spans="1:17" ht="12.75" hidden="1" customHeight="1" x14ac:dyDescent="0.15">
      <c r="A146" s="14" t="s">
        <v>126</v>
      </c>
      <c r="B146" s="282" t="e">
        <f t="shared" ref="B146:C146" si="42">B7/#REF!</f>
        <v>#REF!</v>
      </c>
      <c r="C146" s="282" t="e">
        <f t="shared" si="42"/>
        <v>#REF!</v>
      </c>
      <c r="D146" s="540"/>
      <c r="E146" s="541">
        <f t="shared" si="34"/>
        <v>258.15519253208868</v>
      </c>
      <c r="F146" s="541"/>
      <c r="G146" s="492"/>
      <c r="H146" s="444" t="e">
        <f t="shared" si="35"/>
        <v>#REF!</v>
      </c>
      <c r="I146" s="193">
        <v>161220</v>
      </c>
      <c r="J146" s="193" t="e">
        <f t="shared" si="36"/>
        <v>#REF!</v>
      </c>
      <c r="K146" s="123"/>
      <c r="L146" s="123"/>
      <c r="M146" s="147"/>
      <c r="N146" s="493"/>
      <c r="O146" s="445">
        <f t="shared" si="37"/>
        <v>-161220</v>
      </c>
      <c r="P146" s="591">
        <v>161220</v>
      </c>
      <c r="Q146" s="591">
        <f t="shared" si="38"/>
        <v>0</v>
      </c>
    </row>
    <row r="147" spans="1:17" ht="12.75" hidden="1" customHeight="1" x14ac:dyDescent="0.15">
      <c r="A147" s="14" t="s">
        <v>127</v>
      </c>
      <c r="B147" s="282" t="e">
        <f t="shared" ref="B147:C147" si="43">B8/#REF!</f>
        <v>#REF!</v>
      </c>
      <c r="C147" s="282" t="e">
        <f t="shared" si="43"/>
        <v>#REF!</v>
      </c>
      <c r="D147" s="540"/>
      <c r="E147" s="541">
        <f t="shared" si="34"/>
        <v>247.96024985803521</v>
      </c>
      <c r="F147" s="541"/>
      <c r="G147" s="492"/>
      <c r="H147" s="444" t="e">
        <f t="shared" si="35"/>
        <v>#REF!</v>
      </c>
      <c r="I147" s="193">
        <v>210124</v>
      </c>
      <c r="J147" s="193" t="e">
        <f t="shared" si="36"/>
        <v>#REF!</v>
      </c>
      <c r="K147" s="123"/>
      <c r="L147" s="123"/>
      <c r="M147" s="147"/>
      <c r="N147" s="493"/>
      <c r="O147" s="445">
        <f t="shared" si="37"/>
        <v>-210124</v>
      </c>
      <c r="P147" s="591">
        <v>210124</v>
      </c>
      <c r="Q147" s="591">
        <f t="shared" si="38"/>
        <v>0</v>
      </c>
    </row>
    <row r="148" spans="1:17" ht="12.75" hidden="1" customHeight="1" x14ac:dyDescent="0.15">
      <c r="A148" s="14" t="s">
        <v>128</v>
      </c>
      <c r="B148" s="282">
        <f t="shared" ref="B148:C148" si="44">(398+331)/2</f>
        <v>364.5</v>
      </c>
      <c r="C148" s="282">
        <f t="shared" si="44"/>
        <v>364.5</v>
      </c>
      <c r="D148" s="540"/>
      <c r="E148" s="541">
        <v>280</v>
      </c>
      <c r="F148" s="541"/>
      <c r="G148" s="492"/>
      <c r="H148" s="444">
        <f t="shared" si="35"/>
        <v>-288411.5</v>
      </c>
      <c r="I148" s="193">
        <v>288776</v>
      </c>
      <c r="J148" s="193">
        <f t="shared" si="36"/>
        <v>84.5</v>
      </c>
      <c r="K148" s="123"/>
      <c r="L148" s="123"/>
      <c r="M148" s="147"/>
      <c r="N148" s="493"/>
      <c r="O148" s="445">
        <f t="shared" si="37"/>
        <v>-288776</v>
      </c>
      <c r="P148" s="591">
        <v>288776</v>
      </c>
      <c r="Q148" s="591">
        <f t="shared" si="38"/>
        <v>0</v>
      </c>
    </row>
    <row r="149" spans="1:17" ht="12.75" hidden="1" customHeight="1" x14ac:dyDescent="0.15">
      <c r="A149" s="14" t="s">
        <v>129</v>
      </c>
      <c r="B149" s="282">
        <f t="shared" ref="B149:C149" si="45">910865/1838</f>
        <v>495.57399347116433</v>
      </c>
      <c r="C149" s="282">
        <f t="shared" si="45"/>
        <v>495.57399347116433</v>
      </c>
      <c r="D149" s="540"/>
      <c r="E149" s="541">
        <f t="shared" ref="E149:E152" si="46">E10/F81</f>
        <v>275.95182291666669</v>
      </c>
      <c r="F149" s="541"/>
      <c r="G149" s="492"/>
      <c r="H149" s="444">
        <f t="shared" si="35"/>
        <v>-213230.42600652884</v>
      </c>
      <c r="I149" s="193">
        <v>213726</v>
      </c>
      <c r="J149" s="193">
        <f t="shared" si="36"/>
        <v>219.62217055449764</v>
      </c>
      <c r="K149" s="123"/>
      <c r="L149" s="123"/>
      <c r="M149" s="147"/>
      <c r="N149" s="493"/>
      <c r="O149" s="445">
        <f t="shared" si="37"/>
        <v>-213726</v>
      </c>
      <c r="P149" s="591">
        <v>213726</v>
      </c>
      <c r="Q149" s="591">
        <f t="shared" si="38"/>
        <v>0</v>
      </c>
    </row>
    <row r="150" spans="1:17" ht="12.75" hidden="1" customHeight="1" x14ac:dyDescent="0.15">
      <c r="A150" s="14" t="s">
        <v>86</v>
      </c>
      <c r="B150" s="282">
        <f t="shared" ref="B150:C150" si="47">1045436/1860</f>
        <v>562.06236559139779</v>
      </c>
      <c r="C150" s="282">
        <f t="shared" si="47"/>
        <v>562.06236559139779</v>
      </c>
      <c r="D150" s="540"/>
      <c r="E150" s="541">
        <f t="shared" si="46"/>
        <v>281.75402046783626</v>
      </c>
      <c r="F150" s="541"/>
      <c r="G150" s="492"/>
      <c r="H150" s="195">
        <f t="shared" si="35"/>
        <v>-160347.93763440859</v>
      </c>
      <c r="I150" s="195">
        <v>160910</v>
      </c>
      <c r="J150" s="193">
        <f t="shared" si="36"/>
        <v>280.30834512356154</v>
      </c>
      <c r="K150" s="123"/>
      <c r="L150" s="123"/>
      <c r="M150" s="147"/>
      <c r="N150" s="493"/>
      <c r="O150" s="446">
        <f t="shared" si="37"/>
        <v>-160910</v>
      </c>
      <c r="P150" s="446">
        <v>160910</v>
      </c>
      <c r="Q150" s="591">
        <f t="shared" si="38"/>
        <v>0</v>
      </c>
    </row>
    <row r="151" spans="1:17" ht="12.75" hidden="1" customHeight="1" x14ac:dyDescent="0.15">
      <c r="A151" s="14" t="s">
        <v>87</v>
      </c>
      <c r="B151" s="282">
        <f t="shared" ref="B151:C151" si="48">1178518/1966</f>
        <v>599.44964394710075</v>
      </c>
      <c r="C151" s="282">
        <f t="shared" si="48"/>
        <v>599.44964394710075</v>
      </c>
      <c r="D151" s="540"/>
      <c r="E151" s="541">
        <f t="shared" si="46"/>
        <v>335.69468085106382</v>
      </c>
      <c r="F151" s="541"/>
      <c r="G151" s="492"/>
      <c r="H151" s="195"/>
      <c r="I151" s="195"/>
      <c r="J151" s="193">
        <f t="shared" si="36"/>
        <v>263.75496309603693</v>
      </c>
      <c r="K151" s="123"/>
      <c r="L151" s="123"/>
      <c r="M151" s="147"/>
      <c r="N151" s="493"/>
      <c r="O151" s="446"/>
      <c r="P151" s="446"/>
      <c r="Q151" s="591">
        <f t="shared" si="38"/>
        <v>0</v>
      </c>
    </row>
    <row r="152" spans="1:17" ht="12.75" hidden="1" customHeight="1" x14ac:dyDescent="0.15">
      <c r="A152" s="14" t="s">
        <v>88</v>
      </c>
      <c r="B152" s="282">
        <f t="shared" ref="B152:C152" si="49">989940/1657</f>
        <v>597.42908871454438</v>
      </c>
      <c r="C152" s="282">
        <f t="shared" si="49"/>
        <v>597.42908871454438</v>
      </c>
      <c r="D152" s="540"/>
      <c r="E152" s="541">
        <f t="shared" si="46"/>
        <v>340.86603567528215</v>
      </c>
      <c r="F152" s="541"/>
      <c r="G152" s="492"/>
      <c r="H152" s="195"/>
      <c r="I152" s="195"/>
      <c r="J152" s="193">
        <f t="shared" si="36"/>
        <v>256.56305303926223</v>
      </c>
      <c r="K152" s="123"/>
      <c r="L152" s="123"/>
      <c r="M152" s="147"/>
      <c r="N152" s="493"/>
      <c r="O152" s="446"/>
      <c r="P152" s="446"/>
      <c r="Q152" s="591">
        <f t="shared" si="38"/>
        <v>0</v>
      </c>
    </row>
    <row r="153" spans="1:17" ht="12.75" hidden="1" customHeight="1" x14ac:dyDescent="0.15">
      <c r="A153" s="14" t="s">
        <v>89</v>
      </c>
      <c r="B153" s="282">
        <f t="shared" ref="B153:C153" si="50">1103333/1889</f>
        <v>584.08311275807307</v>
      </c>
      <c r="C153" s="282">
        <f t="shared" si="50"/>
        <v>584.08311275807307</v>
      </c>
      <c r="D153" s="540"/>
      <c r="E153" s="541">
        <f>E13/F85</f>
        <v>344.62973868237026</v>
      </c>
      <c r="F153" s="541"/>
      <c r="G153" s="492"/>
      <c r="H153" s="195"/>
      <c r="I153" s="195"/>
      <c r="J153" s="193">
        <f t="shared" si="36"/>
        <v>239.45337407570281</v>
      </c>
      <c r="K153" s="123"/>
      <c r="L153" s="123"/>
      <c r="M153" s="147"/>
      <c r="N153" s="493"/>
      <c r="O153" s="446"/>
      <c r="P153" s="446"/>
      <c r="Q153" s="591">
        <f t="shared" si="38"/>
        <v>0</v>
      </c>
    </row>
    <row r="154" spans="1:17" ht="12.75" hidden="1" customHeight="1" x14ac:dyDescent="0.15">
      <c r="A154" s="137" t="s">
        <v>129</v>
      </c>
      <c r="B154" s="384">
        <v>675</v>
      </c>
      <c r="C154" s="384">
        <v>675</v>
      </c>
      <c r="D154" s="542"/>
      <c r="E154" s="541">
        <v>614</v>
      </c>
      <c r="F154" s="543"/>
      <c r="G154" s="492"/>
      <c r="H154" s="195"/>
      <c r="I154" s="195"/>
      <c r="J154" s="450">
        <f t="shared" si="36"/>
        <v>61</v>
      </c>
      <c r="K154" s="123"/>
      <c r="L154" s="123"/>
      <c r="M154" s="147"/>
      <c r="N154" s="493"/>
      <c r="O154" s="446"/>
      <c r="P154" s="446"/>
      <c r="Q154" s="592">
        <f t="shared" si="38"/>
        <v>0</v>
      </c>
    </row>
    <row r="155" spans="1:17" ht="12.75" hidden="1" customHeight="1" x14ac:dyDescent="0.15">
      <c r="A155" s="137" t="s">
        <v>86</v>
      </c>
      <c r="B155" s="384">
        <v>810</v>
      </c>
      <c r="C155" s="384">
        <v>810</v>
      </c>
      <c r="D155" s="542"/>
      <c r="E155" s="541">
        <f>E17/F87</f>
        <v>791.26261467889913</v>
      </c>
      <c r="F155" s="543"/>
      <c r="G155" s="492"/>
      <c r="H155" s="195"/>
      <c r="I155" s="195"/>
      <c r="J155" s="453">
        <f t="shared" si="36"/>
        <v>18.737385321100874</v>
      </c>
      <c r="K155" s="123"/>
      <c r="L155" s="123"/>
      <c r="M155" s="147"/>
      <c r="N155" s="493"/>
      <c r="O155" s="446"/>
      <c r="P155" s="446"/>
      <c r="Q155" s="593">
        <f t="shared" si="38"/>
        <v>0</v>
      </c>
    </row>
    <row r="156" spans="1:17" ht="12.75" hidden="1" customHeight="1" x14ac:dyDescent="0.15">
      <c r="A156" s="137" t="s">
        <v>87</v>
      </c>
      <c r="B156" s="384">
        <v>978</v>
      </c>
      <c r="C156" s="384">
        <v>978</v>
      </c>
      <c r="D156" s="542"/>
      <c r="E156" s="541">
        <v>722</v>
      </c>
      <c r="F156" s="543"/>
      <c r="G156" s="492"/>
      <c r="H156" s="195"/>
      <c r="I156" s="195"/>
      <c r="J156" s="453">
        <f t="shared" si="36"/>
        <v>256</v>
      </c>
      <c r="K156" s="123"/>
      <c r="L156" s="123"/>
      <c r="M156" s="147"/>
      <c r="N156" s="493"/>
      <c r="O156" s="446"/>
      <c r="P156" s="446"/>
      <c r="Q156" s="593">
        <f t="shared" si="38"/>
        <v>0</v>
      </c>
    </row>
    <row r="157" spans="1:17" ht="12.75" hidden="1" customHeight="1" x14ac:dyDescent="0.15">
      <c r="A157" s="137" t="s">
        <v>88</v>
      </c>
      <c r="B157" s="384">
        <v>857</v>
      </c>
      <c r="C157" s="384">
        <v>857</v>
      </c>
      <c r="D157" s="542"/>
      <c r="E157" s="541">
        <f t="shared" ref="E157:E158" si="51">E19/F89</f>
        <v>690.72410358565742</v>
      </c>
      <c r="F157" s="543"/>
      <c r="G157" s="492"/>
      <c r="H157" s="195"/>
      <c r="I157" s="195"/>
      <c r="J157" s="453">
        <f t="shared" si="36"/>
        <v>166.27589641434258</v>
      </c>
      <c r="K157" s="123"/>
      <c r="L157" s="123"/>
      <c r="M157" s="147"/>
      <c r="N157" s="493"/>
      <c r="O157" s="446"/>
      <c r="P157" s="446"/>
      <c r="Q157" s="593">
        <f t="shared" si="38"/>
        <v>0</v>
      </c>
    </row>
    <row r="158" spans="1:17" ht="12.75" hidden="1" customHeight="1" x14ac:dyDescent="0.15">
      <c r="A158" s="137" t="s">
        <v>89</v>
      </c>
      <c r="B158" s="384">
        <v>991</v>
      </c>
      <c r="C158" s="384">
        <v>991</v>
      </c>
      <c r="D158" s="542"/>
      <c r="E158" s="541">
        <f t="shared" si="51"/>
        <v>925.07549584133073</v>
      </c>
      <c r="F158" s="543"/>
      <c r="G158" s="492"/>
      <c r="H158" s="195"/>
      <c r="I158" s="195"/>
      <c r="J158" s="453">
        <f t="shared" si="36"/>
        <v>65.924504158669265</v>
      </c>
      <c r="K158" s="123"/>
      <c r="L158" s="123"/>
      <c r="M158" s="147"/>
      <c r="N158" s="493"/>
      <c r="O158" s="446"/>
      <c r="P158" s="446"/>
      <c r="Q158" s="593">
        <f t="shared" si="38"/>
        <v>0</v>
      </c>
    </row>
    <row r="159" spans="1:17" ht="12.75" hidden="1" customHeight="1" x14ac:dyDescent="0.15">
      <c r="A159" s="137" t="s">
        <v>90</v>
      </c>
      <c r="B159" s="384">
        <v>956</v>
      </c>
      <c r="C159" s="384">
        <v>956</v>
      </c>
      <c r="D159" s="542"/>
      <c r="E159" s="541">
        <v>840</v>
      </c>
      <c r="F159" s="544"/>
      <c r="G159" s="492"/>
      <c r="H159" s="195"/>
      <c r="I159" s="195"/>
      <c r="J159" s="453">
        <f t="shared" si="36"/>
        <v>116</v>
      </c>
      <c r="K159" s="123"/>
      <c r="L159" s="123"/>
      <c r="M159" s="147"/>
      <c r="N159" s="493"/>
      <c r="O159" s="446"/>
      <c r="P159" s="446"/>
      <c r="Q159" s="593">
        <f t="shared" si="38"/>
        <v>0</v>
      </c>
    </row>
    <row r="160" spans="1:17" ht="12.75" hidden="1" customHeight="1" x14ac:dyDescent="0.15">
      <c r="A160" s="137" t="s">
        <v>123</v>
      </c>
      <c r="B160" s="384">
        <v>735</v>
      </c>
      <c r="C160" s="384">
        <v>735</v>
      </c>
      <c r="D160" s="542"/>
      <c r="E160" s="541">
        <v>733</v>
      </c>
      <c r="F160" s="544"/>
      <c r="G160" s="492"/>
      <c r="H160" s="195"/>
      <c r="I160" s="195"/>
      <c r="J160" s="453">
        <f t="shared" si="36"/>
        <v>2</v>
      </c>
      <c r="K160" s="123"/>
      <c r="L160" s="123"/>
      <c r="M160" s="147"/>
      <c r="N160" s="493"/>
      <c r="O160" s="446"/>
      <c r="P160" s="446"/>
      <c r="Q160" s="593">
        <f t="shared" si="38"/>
        <v>0</v>
      </c>
    </row>
    <row r="161" spans="1:17" ht="12.75" hidden="1" customHeight="1" x14ac:dyDescent="0.15">
      <c r="A161" s="14" t="s">
        <v>123</v>
      </c>
      <c r="B161" s="387">
        <v>1353</v>
      </c>
      <c r="C161" s="387">
        <v>1353</v>
      </c>
      <c r="D161" s="545"/>
      <c r="E161" s="546">
        <v>819.42</v>
      </c>
      <c r="F161" s="544"/>
      <c r="G161" s="492"/>
      <c r="H161" s="195"/>
      <c r="I161" s="195"/>
      <c r="J161" s="454">
        <f t="shared" si="36"/>
        <v>533.58000000000004</v>
      </c>
      <c r="K161" s="123"/>
      <c r="L161" s="123"/>
      <c r="M161" s="147"/>
      <c r="N161" s="493"/>
      <c r="O161" s="446"/>
      <c r="P161" s="446"/>
      <c r="Q161" s="594">
        <f t="shared" si="38"/>
        <v>0</v>
      </c>
    </row>
    <row r="162" spans="1:17" ht="12.75" hidden="1" customHeight="1" x14ac:dyDescent="0.15">
      <c r="A162" s="14" t="s">
        <v>124</v>
      </c>
      <c r="B162" s="387" t="e">
        <f t="shared" ref="B162:C162" si="52">B25/#REF!</f>
        <v>#REF!</v>
      </c>
      <c r="C162" s="387" t="e">
        <f t="shared" si="52"/>
        <v>#REF!</v>
      </c>
      <c r="D162" s="545"/>
      <c r="E162" s="546">
        <v>1070.22</v>
      </c>
      <c r="F162" s="544"/>
      <c r="G162" s="492"/>
      <c r="H162" s="195"/>
      <c r="I162" s="195"/>
      <c r="J162" s="455" t="e">
        <f t="shared" si="36"/>
        <v>#REF!</v>
      </c>
      <c r="K162" s="123"/>
      <c r="L162" s="123"/>
      <c r="M162" s="147"/>
      <c r="N162" s="493"/>
      <c r="O162" s="446"/>
      <c r="P162" s="446"/>
      <c r="Q162" s="595">
        <f t="shared" si="38"/>
        <v>0</v>
      </c>
    </row>
    <row r="163" spans="1:17" ht="12.75" hidden="1" customHeight="1" x14ac:dyDescent="0.15">
      <c r="A163" s="14" t="s">
        <v>131</v>
      </c>
      <c r="B163" s="387" t="e">
        <f t="shared" ref="B163:C163" si="53">B26/#REF!</f>
        <v>#REF!</v>
      </c>
      <c r="C163" s="387" t="e">
        <f t="shared" si="53"/>
        <v>#REF!</v>
      </c>
      <c r="D163" s="545"/>
      <c r="E163" s="546">
        <v>645.02</v>
      </c>
      <c r="F163" s="544"/>
      <c r="G163" s="492"/>
      <c r="H163" s="195"/>
      <c r="I163" s="195"/>
      <c r="J163" s="456" t="e">
        <f t="shared" si="36"/>
        <v>#REF!</v>
      </c>
      <c r="K163" s="123"/>
      <c r="L163" s="123"/>
      <c r="M163" s="147"/>
      <c r="N163" s="493"/>
      <c r="O163" s="446"/>
      <c r="P163" s="446"/>
      <c r="Q163" s="596">
        <f t="shared" si="38"/>
        <v>0</v>
      </c>
    </row>
    <row r="164" spans="1:17" ht="12.75" hidden="1" customHeight="1" x14ac:dyDescent="0.15">
      <c r="A164" s="159" t="s">
        <v>126</v>
      </c>
      <c r="B164" s="389">
        <v>1044.3800000000001</v>
      </c>
      <c r="C164" s="389">
        <v>1044.3800000000001</v>
      </c>
      <c r="D164" s="547"/>
      <c r="E164" s="546">
        <v>913.34</v>
      </c>
      <c r="F164" s="544"/>
      <c r="G164" s="492"/>
      <c r="H164" s="195"/>
      <c r="I164" s="195"/>
      <c r="J164" s="456">
        <f t="shared" si="36"/>
        <v>131.04000000000008</v>
      </c>
      <c r="K164" s="123"/>
      <c r="L164" s="123"/>
      <c r="M164" s="147"/>
      <c r="N164" s="493"/>
      <c r="O164" s="446"/>
      <c r="P164" s="446"/>
      <c r="Q164" s="596">
        <f t="shared" si="38"/>
        <v>0</v>
      </c>
    </row>
    <row r="165" spans="1:17" ht="12.75" hidden="1" customHeight="1" x14ac:dyDescent="0.15">
      <c r="A165" s="147" t="s">
        <v>17</v>
      </c>
      <c r="B165" s="392">
        <v>1061</v>
      </c>
      <c r="C165" s="392">
        <v>1061</v>
      </c>
      <c r="D165" s="548"/>
      <c r="E165" s="443">
        <v>1065.6600000000001</v>
      </c>
      <c r="F165" s="549"/>
      <c r="G165" s="492"/>
      <c r="H165" s="195"/>
      <c r="I165" s="195"/>
      <c r="J165" s="456">
        <f t="shared" si="36"/>
        <v>-4.6600000000000819</v>
      </c>
      <c r="K165" s="123"/>
      <c r="L165" s="123"/>
      <c r="M165" s="147"/>
      <c r="N165" s="493"/>
      <c r="O165" s="446"/>
      <c r="P165" s="446"/>
      <c r="Q165" s="596">
        <f t="shared" si="38"/>
        <v>0</v>
      </c>
    </row>
    <row r="166" spans="1:17" ht="12.75" hidden="1" customHeight="1" x14ac:dyDescent="0.15">
      <c r="A166" s="14" t="s">
        <v>7</v>
      </c>
      <c r="B166" s="393">
        <v>1178</v>
      </c>
      <c r="C166" s="393">
        <v>1178</v>
      </c>
      <c r="D166" s="409"/>
      <c r="E166" s="443">
        <v>1114</v>
      </c>
      <c r="F166" s="543"/>
      <c r="G166" s="492"/>
      <c r="H166" s="195"/>
      <c r="I166" s="195"/>
      <c r="J166" s="455">
        <f t="shared" si="36"/>
        <v>64</v>
      </c>
      <c r="K166" s="123"/>
      <c r="L166" s="123"/>
      <c r="M166" s="147"/>
      <c r="N166" s="493"/>
      <c r="O166" s="446"/>
      <c r="P166" s="446"/>
      <c r="Q166" s="595">
        <f t="shared" si="38"/>
        <v>0</v>
      </c>
    </row>
    <row r="167" spans="1:17" ht="12.75" hidden="1" customHeight="1" x14ac:dyDescent="0.15">
      <c r="A167" s="14" t="s">
        <v>8</v>
      </c>
      <c r="B167" s="393">
        <v>1479</v>
      </c>
      <c r="C167" s="393">
        <v>1479</v>
      </c>
      <c r="D167" s="409"/>
      <c r="E167" s="443">
        <v>1555.34</v>
      </c>
      <c r="F167" s="549"/>
      <c r="G167" s="492"/>
      <c r="H167" s="195"/>
      <c r="I167" s="195"/>
      <c r="J167" s="456">
        <f t="shared" si="36"/>
        <v>-76.339999999999918</v>
      </c>
      <c r="K167" s="123"/>
      <c r="L167" s="123"/>
      <c r="M167" s="147"/>
      <c r="N167" s="493"/>
      <c r="O167" s="446"/>
      <c r="P167" s="446"/>
      <c r="Q167" s="596">
        <f t="shared" si="38"/>
        <v>0</v>
      </c>
    </row>
    <row r="168" spans="1:17" ht="12.75" hidden="1" customHeight="1" x14ac:dyDescent="0.15">
      <c r="A168" s="147" t="s">
        <v>9</v>
      </c>
      <c r="B168" s="392">
        <v>1573</v>
      </c>
      <c r="C168" s="392">
        <v>1573</v>
      </c>
      <c r="D168" s="548"/>
      <c r="E168" s="443">
        <v>1663.32</v>
      </c>
      <c r="F168" s="549"/>
      <c r="G168" s="492"/>
      <c r="H168" s="195"/>
      <c r="I168" s="195"/>
      <c r="J168" s="456">
        <f t="shared" si="36"/>
        <v>-90.319999999999936</v>
      </c>
      <c r="K168" s="123"/>
      <c r="L168" s="123"/>
      <c r="M168" s="147"/>
      <c r="N168" s="493"/>
      <c r="O168" s="446"/>
      <c r="P168" s="446"/>
      <c r="Q168" s="596">
        <f t="shared" si="38"/>
        <v>0</v>
      </c>
    </row>
    <row r="169" spans="1:17" ht="12.75" hidden="1" customHeight="1" x14ac:dyDescent="0.15">
      <c r="A169" s="147" t="s">
        <v>10</v>
      </c>
      <c r="B169" s="392">
        <v>2080</v>
      </c>
      <c r="C169" s="392">
        <v>2080</v>
      </c>
      <c r="D169" s="548"/>
      <c r="E169" s="443">
        <v>2438.0100000000002</v>
      </c>
      <c r="F169" s="549"/>
      <c r="G169" s="492"/>
      <c r="H169" s="195"/>
      <c r="I169" s="195"/>
      <c r="J169" s="456">
        <f t="shared" si="36"/>
        <v>-358.01000000000022</v>
      </c>
      <c r="K169" s="123"/>
      <c r="L169" s="123"/>
      <c r="M169" s="147"/>
      <c r="N169" s="493"/>
      <c r="O169" s="446"/>
      <c r="P169" s="446"/>
      <c r="Q169" s="596">
        <f t="shared" si="38"/>
        <v>0</v>
      </c>
    </row>
    <row r="170" spans="1:17" ht="12.75" hidden="1" customHeight="1" x14ac:dyDescent="0.15">
      <c r="A170" s="173" t="s">
        <v>14</v>
      </c>
      <c r="B170" s="395">
        <v>2089</v>
      </c>
      <c r="C170" s="395">
        <v>2089</v>
      </c>
      <c r="D170" s="550"/>
      <c r="E170" s="443">
        <v>1614.78</v>
      </c>
      <c r="F170" s="543"/>
      <c r="G170" s="492"/>
      <c r="H170" s="195"/>
      <c r="I170" s="195"/>
      <c r="J170" s="456">
        <f t="shared" si="36"/>
        <v>474.22</v>
      </c>
      <c r="K170" s="123"/>
      <c r="L170" s="123"/>
      <c r="M170" s="147"/>
      <c r="N170" s="493"/>
      <c r="O170" s="446"/>
      <c r="P170" s="446"/>
      <c r="Q170" s="596">
        <f t="shared" si="38"/>
        <v>0</v>
      </c>
    </row>
    <row r="171" spans="1:17" ht="12.75" hidden="1" customHeight="1" x14ac:dyDescent="0.15">
      <c r="A171" s="14" t="s">
        <v>11</v>
      </c>
      <c r="B171" s="393">
        <v>1937</v>
      </c>
      <c r="C171" s="393">
        <v>1937</v>
      </c>
      <c r="D171" s="409"/>
      <c r="E171" s="443">
        <v>1541</v>
      </c>
      <c r="F171" s="544"/>
      <c r="G171" s="492"/>
      <c r="H171" s="195"/>
      <c r="I171" s="195"/>
      <c r="J171" s="456">
        <f t="shared" si="36"/>
        <v>396</v>
      </c>
      <c r="K171" s="123"/>
      <c r="L171" s="123"/>
      <c r="M171" s="147"/>
      <c r="N171" s="493"/>
      <c r="O171" s="446"/>
      <c r="P171" s="446"/>
      <c r="Q171" s="596">
        <f t="shared" si="38"/>
        <v>0</v>
      </c>
    </row>
    <row r="172" spans="1:17" ht="11.25" hidden="1" customHeight="1" x14ac:dyDescent="0.15">
      <c r="A172" s="14" t="s">
        <v>132</v>
      </c>
      <c r="B172" s="393">
        <v>1543</v>
      </c>
      <c r="C172" s="393">
        <v>1543</v>
      </c>
      <c r="D172" s="409"/>
      <c r="E172" s="443">
        <v>1349</v>
      </c>
      <c r="F172" s="544"/>
      <c r="G172" s="492"/>
      <c r="H172" s="195"/>
      <c r="I172" s="195"/>
      <c r="J172" s="456">
        <f t="shared" si="36"/>
        <v>194</v>
      </c>
      <c r="K172" s="123"/>
      <c r="L172" s="123"/>
      <c r="M172" s="147"/>
      <c r="N172" s="493"/>
      <c r="O172" s="446"/>
      <c r="P172" s="446"/>
      <c r="Q172" s="596">
        <f t="shared" si="38"/>
        <v>0</v>
      </c>
    </row>
    <row r="173" spans="1:17" ht="12.75" hidden="1" customHeight="1" x14ac:dyDescent="0.15">
      <c r="A173" s="14" t="s">
        <v>123</v>
      </c>
      <c r="B173" s="393">
        <v>1377</v>
      </c>
      <c r="C173" s="393">
        <v>1377</v>
      </c>
      <c r="D173" s="409"/>
      <c r="E173" s="443">
        <v>1353</v>
      </c>
      <c r="F173" s="544"/>
      <c r="G173" s="492"/>
      <c r="H173" s="195"/>
      <c r="I173" s="195"/>
      <c r="J173" s="455">
        <f t="shared" si="36"/>
        <v>24</v>
      </c>
      <c r="K173" s="123"/>
      <c r="L173" s="123"/>
      <c r="M173" s="147"/>
      <c r="N173" s="493"/>
      <c r="O173" s="446"/>
      <c r="P173" s="446"/>
      <c r="Q173" s="595">
        <f t="shared" si="38"/>
        <v>0</v>
      </c>
    </row>
    <row r="174" spans="1:17" ht="9.75" hidden="1" customHeight="1" x14ac:dyDescent="0.15">
      <c r="A174" s="14" t="s">
        <v>124</v>
      </c>
      <c r="B174" s="393">
        <v>829</v>
      </c>
      <c r="C174" s="393">
        <v>829</v>
      </c>
      <c r="D174" s="409"/>
      <c r="E174" s="443">
        <v>1224</v>
      </c>
      <c r="F174" s="549"/>
      <c r="G174" s="492"/>
      <c r="H174" s="195"/>
      <c r="I174" s="195"/>
      <c r="J174" s="456">
        <f t="shared" si="36"/>
        <v>-395</v>
      </c>
      <c r="K174" s="123"/>
      <c r="L174" s="123"/>
      <c r="M174" s="147"/>
      <c r="N174" s="493"/>
      <c r="O174" s="446"/>
      <c r="P174" s="446"/>
      <c r="Q174" s="596">
        <f t="shared" si="38"/>
        <v>0</v>
      </c>
    </row>
    <row r="175" spans="1:17" ht="12" hidden="1" customHeight="1" x14ac:dyDescent="0.15">
      <c r="A175" s="188" t="s">
        <v>131</v>
      </c>
      <c r="B175" s="397">
        <v>1019</v>
      </c>
      <c r="C175" s="397">
        <v>1019</v>
      </c>
      <c r="D175" s="551"/>
      <c r="E175" s="443"/>
      <c r="F175" s="543"/>
      <c r="G175" s="492"/>
      <c r="H175" s="195"/>
      <c r="I175" s="195"/>
      <c r="J175" s="455">
        <f t="shared" si="36"/>
        <v>1019</v>
      </c>
      <c r="K175" s="123"/>
      <c r="L175" s="123"/>
      <c r="M175" s="147"/>
      <c r="N175" s="493"/>
      <c r="O175" s="446"/>
      <c r="P175" s="446"/>
      <c r="Q175" s="595">
        <f t="shared" si="38"/>
        <v>0</v>
      </c>
    </row>
    <row r="176" spans="1:17" ht="8.25" hidden="1" customHeight="1" x14ac:dyDescent="0.15">
      <c r="A176" s="188" t="s">
        <v>126</v>
      </c>
      <c r="B176" s="397">
        <v>787.8</v>
      </c>
      <c r="C176" s="397">
        <v>787.8</v>
      </c>
      <c r="D176" s="551"/>
      <c r="E176" s="443"/>
      <c r="F176" s="543"/>
      <c r="G176" s="492"/>
      <c r="H176" s="195"/>
      <c r="I176" s="195"/>
      <c r="J176" s="398">
        <f t="shared" si="36"/>
        <v>787.8</v>
      </c>
      <c r="K176" s="123"/>
      <c r="L176" s="123"/>
      <c r="M176" s="147"/>
      <c r="N176" s="493"/>
      <c r="O176" s="446"/>
      <c r="P176" s="446"/>
      <c r="Q176" s="597">
        <f t="shared" si="38"/>
        <v>0</v>
      </c>
    </row>
    <row r="177" spans="1:26" ht="6.75" hidden="1" customHeight="1" x14ac:dyDescent="0.15">
      <c r="A177" s="137" t="s">
        <v>127</v>
      </c>
      <c r="B177" s="399">
        <v>1010</v>
      </c>
      <c r="C177" s="399">
        <v>1010</v>
      </c>
      <c r="D177" s="552"/>
      <c r="E177" s="443">
        <v>1061</v>
      </c>
      <c r="F177" s="553">
        <f t="shared" ref="F177:F195" si="54">C177-E177</f>
        <v>-51</v>
      </c>
      <c r="G177" s="492"/>
      <c r="H177" s="195"/>
      <c r="I177" s="195"/>
      <c r="J177" s="196">
        <f t="shared" si="36"/>
        <v>-51</v>
      </c>
      <c r="K177" s="123"/>
      <c r="L177" s="123"/>
      <c r="M177" s="147"/>
      <c r="N177" s="493"/>
      <c r="O177" s="446"/>
      <c r="P177" s="446"/>
      <c r="Q177" s="481">
        <f t="shared" si="38"/>
        <v>0</v>
      </c>
    </row>
    <row r="178" spans="1:26" ht="11.25" hidden="1" customHeight="1" x14ac:dyDescent="0.15">
      <c r="A178" s="57" t="s">
        <v>128</v>
      </c>
      <c r="B178" s="393">
        <v>949</v>
      </c>
      <c r="C178" s="393">
        <v>949</v>
      </c>
      <c r="D178" s="409"/>
      <c r="E178" s="443">
        <v>1162</v>
      </c>
      <c r="F178" s="549">
        <f t="shared" si="54"/>
        <v>-213</v>
      </c>
      <c r="G178" s="492"/>
      <c r="H178" s="195"/>
      <c r="I178" s="195"/>
      <c r="J178" s="197">
        <f t="shared" si="36"/>
        <v>-213</v>
      </c>
      <c r="K178" s="123"/>
      <c r="L178" s="123"/>
      <c r="M178" s="147"/>
      <c r="N178" s="493"/>
      <c r="O178" s="446"/>
      <c r="P178" s="446"/>
      <c r="Q178" s="482">
        <f t="shared" si="38"/>
        <v>0</v>
      </c>
    </row>
    <row r="179" spans="1:26" ht="12.75" hidden="1" customHeight="1" x14ac:dyDescent="0.15">
      <c r="A179" s="137" t="s">
        <v>129</v>
      </c>
      <c r="B179" s="399">
        <v>1030.4000000000001</v>
      </c>
      <c r="C179" s="399">
        <v>1030.4000000000001</v>
      </c>
      <c r="D179" s="552"/>
      <c r="E179" s="443">
        <v>1504</v>
      </c>
      <c r="F179" s="549">
        <f t="shared" si="54"/>
        <v>-473.59999999999991</v>
      </c>
      <c r="G179" s="492"/>
      <c r="H179" s="195"/>
      <c r="I179" s="195"/>
      <c r="J179" s="459">
        <f t="shared" si="36"/>
        <v>-473.59999999999991</v>
      </c>
      <c r="K179" s="123"/>
      <c r="L179" s="123"/>
      <c r="M179" s="147"/>
      <c r="N179" s="493"/>
      <c r="O179" s="446"/>
      <c r="P179" s="446"/>
      <c r="Q179" s="598">
        <f t="shared" si="38"/>
        <v>0</v>
      </c>
    </row>
    <row r="180" spans="1:26" ht="12.75" hidden="1" customHeight="1" x14ac:dyDescent="0.15">
      <c r="A180" s="57" t="s">
        <v>86</v>
      </c>
      <c r="B180" s="393">
        <v>1313.08</v>
      </c>
      <c r="C180" s="393">
        <v>1313.08</v>
      </c>
      <c r="D180" s="409"/>
      <c r="E180" s="443">
        <v>1573</v>
      </c>
      <c r="F180" s="549">
        <f t="shared" si="54"/>
        <v>-259.92000000000007</v>
      </c>
      <c r="G180" s="492"/>
      <c r="H180" s="195"/>
      <c r="I180" s="195"/>
      <c r="J180" s="459">
        <f t="shared" si="36"/>
        <v>-259.92000000000007</v>
      </c>
      <c r="K180" s="400">
        <v>1548</v>
      </c>
      <c r="L180" s="401">
        <f t="shared" ref="L180:L185" si="55">C180-K180</f>
        <v>-234.92000000000007</v>
      </c>
      <c r="M180" s="147"/>
      <c r="N180" s="493"/>
      <c r="O180" s="446"/>
      <c r="P180" s="446"/>
      <c r="Q180" s="598">
        <f t="shared" si="38"/>
        <v>1782.92</v>
      </c>
    </row>
    <row r="181" spans="1:26" ht="12.75" hidden="1" customHeight="1" x14ac:dyDescent="0.15">
      <c r="A181" s="208" t="s">
        <v>87</v>
      </c>
      <c r="B181" s="402">
        <v>1631.02</v>
      </c>
      <c r="C181" s="402">
        <v>1631.02</v>
      </c>
      <c r="D181" s="554"/>
      <c r="E181" s="443">
        <v>2082</v>
      </c>
      <c r="F181" s="549">
        <f t="shared" si="54"/>
        <v>-450.98</v>
      </c>
      <c r="G181" s="492"/>
      <c r="H181" s="195"/>
      <c r="I181" s="195"/>
      <c r="J181" s="459">
        <f t="shared" si="36"/>
        <v>-450.98</v>
      </c>
      <c r="K181" s="404">
        <v>2136</v>
      </c>
      <c r="L181" s="405">
        <f t="shared" si="55"/>
        <v>-504.98</v>
      </c>
      <c r="M181" s="147"/>
      <c r="N181" s="493"/>
      <c r="O181" s="446"/>
      <c r="P181" s="446"/>
      <c r="Q181" s="598">
        <f t="shared" si="38"/>
        <v>2640.98</v>
      </c>
      <c r="R181" s="208"/>
      <c r="S181" s="208"/>
      <c r="T181" s="208"/>
      <c r="U181" s="208"/>
      <c r="V181" s="208"/>
      <c r="W181" s="208"/>
      <c r="X181" s="208"/>
      <c r="Y181" s="208"/>
      <c r="Z181" s="208"/>
    </row>
    <row r="182" spans="1:26" ht="12.75" hidden="1" customHeight="1" x14ac:dyDescent="0.15">
      <c r="A182" s="57" t="s">
        <v>88</v>
      </c>
      <c r="B182" s="406">
        <v>1640</v>
      </c>
      <c r="C182" s="406">
        <v>1640</v>
      </c>
      <c r="D182" s="555"/>
      <c r="E182" s="443">
        <v>2089.6</v>
      </c>
      <c r="F182" s="549">
        <f t="shared" si="54"/>
        <v>-449.59999999999991</v>
      </c>
      <c r="G182" s="492"/>
      <c r="H182" s="195"/>
      <c r="I182" s="195"/>
      <c r="J182" s="459">
        <f t="shared" si="36"/>
        <v>-449.59999999999991</v>
      </c>
      <c r="K182" s="400">
        <v>2268</v>
      </c>
      <c r="L182" s="408">
        <f t="shared" si="55"/>
        <v>-628</v>
      </c>
      <c r="M182" s="147"/>
      <c r="N182" s="493"/>
      <c r="O182" s="446"/>
      <c r="P182" s="446"/>
      <c r="Q182" s="598">
        <f t="shared" si="38"/>
        <v>2896</v>
      </c>
    </row>
    <row r="183" spans="1:26" ht="12.75" hidden="1" customHeight="1" x14ac:dyDescent="0.15">
      <c r="A183" s="57" t="s">
        <v>89</v>
      </c>
      <c r="B183" s="409">
        <v>1707</v>
      </c>
      <c r="C183" s="409">
        <v>1707</v>
      </c>
      <c r="D183" s="409"/>
      <c r="E183" s="443">
        <v>1937</v>
      </c>
      <c r="F183" s="549">
        <f t="shared" si="54"/>
        <v>-230</v>
      </c>
      <c r="G183" s="492"/>
      <c r="H183" s="195"/>
      <c r="I183" s="195"/>
      <c r="J183" s="464">
        <f t="shared" si="36"/>
        <v>-230</v>
      </c>
      <c r="K183" s="400">
        <v>2073</v>
      </c>
      <c r="L183" s="408">
        <f t="shared" si="55"/>
        <v>-366</v>
      </c>
      <c r="M183" s="147"/>
      <c r="N183" s="493"/>
      <c r="O183" s="446"/>
      <c r="P183" s="446"/>
      <c r="Q183" s="599">
        <f t="shared" si="38"/>
        <v>2439</v>
      </c>
    </row>
    <row r="184" spans="1:26" ht="12.75" hidden="1" customHeight="1" x14ac:dyDescent="0.15">
      <c r="A184" s="14" t="s">
        <v>90</v>
      </c>
      <c r="B184" s="409">
        <v>1237.45</v>
      </c>
      <c r="C184" s="409">
        <v>1237.45</v>
      </c>
      <c r="D184" s="409"/>
      <c r="E184" s="443">
        <v>1543</v>
      </c>
      <c r="F184" s="549">
        <f t="shared" si="54"/>
        <v>-305.54999999999995</v>
      </c>
      <c r="G184" s="492"/>
      <c r="H184" s="195"/>
      <c r="I184" s="195"/>
      <c r="J184" s="464">
        <f t="shared" si="36"/>
        <v>-305.54999999999995</v>
      </c>
      <c r="K184" s="400">
        <v>1772</v>
      </c>
      <c r="L184" s="408">
        <f t="shared" si="55"/>
        <v>-534.54999999999995</v>
      </c>
      <c r="M184" s="147"/>
      <c r="N184" s="493"/>
      <c r="O184" s="446"/>
      <c r="P184" s="446"/>
      <c r="Q184" s="599">
        <f t="shared" si="38"/>
        <v>2306.5500000000002</v>
      </c>
    </row>
    <row r="185" spans="1:26" ht="12.75" hidden="1" customHeight="1" x14ac:dyDescent="0.15">
      <c r="A185" s="14" t="s">
        <v>123</v>
      </c>
      <c r="B185" s="409">
        <v>1158.28</v>
      </c>
      <c r="C185" s="409">
        <v>1158.28</v>
      </c>
      <c r="D185" s="409"/>
      <c r="E185" s="443">
        <v>1377</v>
      </c>
      <c r="F185" s="549">
        <f t="shared" si="54"/>
        <v>-218.72000000000003</v>
      </c>
      <c r="G185" s="492"/>
      <c r="H185" s="195"/>
      <c r="I185" s="195"/>
      <c r="J185" s="464">
        <f t="shared" si="36"/>
        <v>-218.72000000000003</v>
      </c>
      <c r="K185" s="411">
        <v>1625</v>
      </c>
      <c r="L185" s="412">
        <f t="shared" si="55"/>
        <v>-466.72</v>
      </c>
      <c r="M185" s="147"/>
      <c r="N185" s="493"/>
      <c r="O185" s="446"/>
      <c r="P185" s="446"/>
      <c r="Q185" s="599">
        <f t="shared" si="38"/>
        <v>2091.7200000000003</v>
      </c>
    </row>
    <row r="186" spans="1:26" ht="12.75" hidden="1" customHeight="1" x14ac:dyDescent="0.15">
      <c r="A186" s="57" t="s">
        <v>124</v>
      </c>
      <c r="B186" s="409">
        <v>830</v>
      </c>
      <c r="C186" s="409">
        <v>830</v>
      </c>
      <c r="D186" s="409"/>
      <c r="E186" s="443">
        <v>829</v>
      </c>
      <c r="F186" s="544">
        <f t="shared" si="54"/>
        <v>1</v>
      </c>
      <c r="G186" s="492"/>
      <c r="H186" s="195"/>
      <c r="I186" s="195"/>
      <c r="J186" s="469">
        <f t="shared" si="36"/>
        <v>1</v>
      </c>
      <c r="M186" s="147"/>
      <c r="N186" s="493"/>
      <c r="O186" s="446"/>
      <c r="P186" s="446"/>
      <c r="Q186" s="601">
        <f t="shared" si="38"/>
        <v>0</v>
      </c>
    </row>
    <row r="187" spans="1:26" ht="12.75" hidden="1" customHeight="1" x14ac:dyDescent="0.15">
      <c r="A187" s="14" t="s">
        <v>131</v>
      </c>
      <c r="B187" s="409">
        <v>795.32</v>
      </c>
      <c r="C187" s="409">
        <v>795.32</v>
      </c>
      <c r="D187" s="409"/>
      <c r="E187" s="443">
        <v>1019</v>
      </c>
      <c r="F187" s="553">
        <f t="shared" si="54"/>
        <v>-223.67999999999995</v>
      </c>
      <c r="G187" s="492"/>
      <c r="H187" s="195"/>
      <c r="I187" s="195"/>
      <c r="J187" s="459">
        <f t="shared" si="36"/>
        <v>-223.67999999999995</v>
      </c>
      <c r="M187" s="147"/>
      <c r="N187" s="493"/>
      <c r="O187" s="446"/>
      <c r="P187" s="446"/>
      <c r="Q187" s="598">
        <f t="shared" si="38"/>
        <v>0</v>
      </c>
    </row>
    <row r="188" spans="1:26" ht="12.75" hidden="1" customHeight="1" x14ac:dyDescent="0.15">
      <c r="A188" s="57" t="s">
        <v>126</v>
      </c>
      <c r="B188" s="409">
        <v>876</v>
      </c>
      <c r="C188" s="409">
        <v>876</v>
      </c>
      <c r="D188" s="409"/>
      <c r="E188" s="443">
        <v>787</v>
      </c>
      <c r="F188" s="544">
        <f t="shared" si="54"/>
        <v>89</v>
      </c>
      <c r="G188" s="492"/>
      <c r="H188" s="195"/>
      <c r="I188" s="195"/>
      <c r="J188" s="459">
        <f t="shared" si="36"/>
        <v>89</v>
      </c>
      <c r="M188" s="147"/>
      <c r="N188" s="493"/>
      <c r="O188" s="446"/>
      <c r="P188" s="446"/>
      <c r="Q188" s="598">
        <f t="shared" si="38"/>
        <v>0</v>
      </c>
    </row>
    <row r="189" spans="1:26" ht="12.75" hidden="1" customHeight="1" x14ac:dyDescent="0.15">
      <c r="A189" s="57" t="s">
        <v>127</v>
      </c>
      <c r="B189" s="409">
        <v>1161</v>
      </c>
      <c r="C189" s="409">
        <v>1161</v>
      </c>
      <c r="D189" s="409"/>
      <c r="E189" s="443">
        <v>1010</v>
      </c>
      <c r="F189" s="544">
        <f t="shared" si="54"/>
        <v>151</v>
      </c>
      <c r="G189" s="492"/>
      <c r="H189" s="195"/>
      <c r="I189" s="195"/>
      <c r="J189" s="459">
        <f t="shared" si="36"/>
        <v>151</v>
      </c>
      <c r="M189" s="147"/>
      <c r="N189" s="493"/>
      <c r="O189" s="446"/>
      <c r="P189" s="446"/>
      <c r="Q189" s="598">
        <f t="shared" si="38"/>
        <v>0</v>
      </c>
    </row>
    <row r="190" spans="1:26" ht="12.75" hidden="1" customHeight="1" x14ac:dyDescent="0.15">
      <c r="A190" s="238" t="s">
        <v>134</v>
      </c>
      <c r="B190" s="414">
        <v>1235</v>
      </c>
      <c r="C190" s="414">
        <v>1235</v>
      </c>
      <c r="D190" s="414"/>
      <c r="E190" s="556">
        <v>949</v>
      </c>
      <c r="F190" s="557">
        <f t="shared" si="54"/>
        <v>286</v>
      </c>
      <c r="G190" s="558"/>
      <c r="H190" s="559"/>
      <c r="I190" s="559"/>
      <c r="J190" s="560">
        <f t="shared" si="36"/>
        <v>286</v>
      </c>
      <c r="K190" s="419"/>
      <c r="L190" s="419"/>
      <c r="M190" s="420">
        <v>1235</v>
      </c>
      <c r="N190" s="629"/>
      <c r="O190" s="561"/>
      <c r="P190" s="561"/>
      <c r="Q190" s="630">
        <f t="shared" si="38"/>
        <v>0</v>
      </c>
      <c r="R190" s="253"/>
      <c r="S190" s="253"/>
      <c r="T190" s="253"/>
      <c r="U190" s="253"/>
      <c r="V190" s="253"/>
      <c r="W190" s="253"/>
      <c r="X190" s="253"/>
      <c r="Y190" s="253"/>
      <c r="Z190" s="253"/>
    </row>
    <row r="191" spans="1:26" ht="12.75" hidden="1" customHeight="1" x14ac:dyDescent="0.15">
      <c r="A191" s="14" t="s">
        <v>129</v>
      </c>
      <c r="B191" s="409">
        <v>1097</v>
      </c>
      <c r="C191" s="409">
        <v>1097</v>
      </c>
      <c r="D191" s="409"/>
      <c r="E191" s="443">
        <v>1030</v>
      </c>
      <c r="F191" s="544">
        <f t="shared" si="54"/>
        <v>67</v>
      </c>
      <c r="G191" s="333"/>
      <c r="H191" s="188"/>
      <c r="I191" s="188"/>
      <c r="J191" s="196">
        <f t="shared" si="36"/>
        <v>67</v>
      </c>
      <c r="K191" s="14"/>
      <c r="L191" s="14"/>
      <c r="M191" s="424">
        <v>1030</v>
      </c>
      <c r="N191" s="631"/>
      <c r="O191" s="562"/>
      <c r="P191" s="562"/>
      <c r="Q191" s="481">
        <f t="shared" si="38"/>
        <v>0</v>
      </c>
    </row>
    <row r="192" spans="1:26" ht="12.75" hidden="1" customHeight="1" x14ac:dyDescent="0.15">
      <c r="A192" s="14" t="s">
        <v>86</v>
      </c>
      <c r="B192" s="409">
        <v>1399.94</v>
      </c>
      <c r="C192" s="409">
        <v>1399.94</v>
      </c>
      <c r="D192" s="409"/>
      <c r="E192" s="443">
        <v>1309</v>
      </c>
      <c r="F192" s="544">
        <f t="shared" si="54"/>
        <v>90.940000000000055</v>
      </c>
      <c r="G192" s="333"/>
      <c r="H192" s="188"/>
      <c r="I192" s="188"/>
      <c r="J192" s="196">
        <f t="shared" si="36"/>
        <v>90.940000000000055</v>
      </c>
      <c r="K192" s="14"/>
      <c r="L192" s="14"/>
      <c r="M192" s="425">
        <v>1292</v>
      </c>
      <c r="N192" s="631"/>
      <c r="O192" s="562"/>
      <c r="P192" s="562"/>
      <c r="Q192" s="481">
        <f t="shared" si="38"/>
        <v>0</v>
      </c>
    </row>
    <row r="193" spans="1:17" ht="12.75" hidden="1" customHeight="1" x14ac:dyDescent="0.15">
      <c r="A193" s="14" t="s">
        <v>87</v>
      </c>
      <c r="B193" s="409">
        <v>1452</v>
      </c>
      <c r="C193" s="409">
        <v>1452</v>
      </c>
      <c r="D193" s="409"/>
      <c r="E193" s="443">
        <v>1631</v>
      </c>
      <c r="F193" s="549">
        <f t="shared" si="54"/>
        <v>-179</v>
      </c>
      <c r="G193" s="333"/>
      <c r="H193" s="188"/>
      <c r="I193" s="188"/>
      <c r="J193" s="197">
        <f t="shared" si="36"/>
        <v>-179</v>
      </c>
      <c r="K193" s="14"/>
      <c r="L193" s="14"/>
      <c r="M193" s="425">
        <v>1850</v>
      </c>
      <c r="N193" s="631"/>
      <c r="O193" s="562"/>
      <c r="P193" s="562"/>
      <c r="Q193" s="482">
        <f t="shared" si="38"/>
        <v>0</v>
      </c>
    </row>
    <row r="194" spans="1:17" ht="12.75" hidden="1" customHeight="1" x14ac:dyDescent="0.15">
      <c r="A194" s="14" t="s">
        <v>88</v>
      </c>
      <c r="B194" s="409">
        <v>1766</v>
      </c>
      <c r="C194" s="409">
        <v>1766</v>
      </c>
      <c r="D194" s="409"/>
      <c r="E194" s="443">
        <v>1640</v>
      </c>
      <c r="F194" s="563">
        <f t="shared" si="54"/>
        <v>126</v>
      </c>
      <c r="G194" s="333"/>
      <c r="H194" s="188"/>
      <c r="I194" s="188"/>
      <c r="J194" s="564">
        <f t="shared" si="36"/>
        <v>126</v>
      </c>
      <c r="K194" s="14"/>
      <c r="L194" s="14"/>
      <c r="M194" s="425">
        <v>1976</v>
      </c>
      <c r="N194" s="631"/>
      <c r="O194" s="562"/>
      <c r="P194" s="562"/>
      <c r="Q194" s="632">
        <f t="shared" si="38"/>
        <v>0</v>
      </c>
    </row>
    <row r="195" spans="1:17" ht="12.75" hidden="1" customHeight="1" x14ac:dyDescent="0.15">
      <c r="A195" s="14" t="s">
        <v>89</v>
      </c>
      <c r="B195" s="409">
        <v>1504</v>
      </c>
      <c r="C195" s="409">
        <v>1504</v>
      </c>
      <c r="D195" s="409"/>
      <c r="E195" s="443">
        <v>1574</v>
      </c>
      <c r="F195" s="549">
        <f t="shared" si="54"/>
        <v>-70</v>
      </c>
      <c r="G195" s="333"/>
      <c r="H195" s="188"/>
      <c r="I195" s="188"/>
      <c r="J195" s="197">
        <v>0.03</v>
      </c>
      <c r="K195" s="14"/>
      <c r="L195" s="14"/>
      <c r="M195" s="425">
        <v>1901</v>
      </c>
      <c r="N195" s="631"/>
      <c r="O195" s="562"/>
      <c r="P195" s="562"/>
      <c r="Q195" s="482">
        <v>0.03</v>
      </c>
    </row>
    <row r="196" spans="1:17" ht="12.75" customHeight="1" x14ac:dyDescent="0.15">
      <c r="A196" s="605" t="s">
        <v>127</v>
      </c>
      <c r="B196" s="409">
        <v>1634</v>
      </c>
      <c r="C196" s="409">
        <v>2884</v>
      </c>
      <c r="D196" s="565">
        <f t="shared" ref="D196:D207" si="56">B196-C196</f>
        <v>-1250</v>
      </c>
      <c r="E196" s="443">
        <v>1161</v>
      </c>
      <c r="F196" s="544">
        <f t="shared" ref="F196:F207" si="57">B196-E196</f>
        <v>473</v>
      </c>
      <c r="G196" s="566">
        <v>1010</v>
      </c>
      <c r="H196" s="188"/>
      <c r="I196" s="188"/>
      <c r="J196" s="480">
        <f t="shared" ref="J196:J207" si="58">E196-G196</f>
        <v>151</v>
      </c>
      <c r="K196" s="14"/>
      <c r="L196" s="14"/>
      <c r="M196" s="425">
        <v>1047</v>
      </c>
      <c r="N196" s="633">
        <v>1061</v>
      </c>
      <c r="O196" s="562"/>
      <c r="P196" s="562"/>
      <c r="Q196" s="597">
        <f t="shared" ref="Q196:Q207" si="59">G196-N196</f>
        <v>-51</v>
      </c>
    </row>
    <row r="197" spans="1:17" ht="12.75" customHeight="1" x14ac:dyDescent="0.15">
      <c r="A197" s="605" t="s">
        <v>128</v>
      </c>
      <c r="B197" s="409">
        <v>766</v>
      </c>
      <c r="C197" s="409">
        <v>788</v>
      </c>
      <c r="D197" s="565">
        <f t="shared" si="56"/>
        <v>-22</v>
      </c>
      <c r="E197" s="443">
        <v>1235</v>
      </c>
      <c r="F197" s="549">
        <f t="shared" si="57"/>
        <v>-469</v>
      </c>
      <c r="G197" s="566">
        <v>950</v>
      </c>
      <c r="H197" s="188"/>
      <c r="I197" s="188"/>
      <c r="J197" s="196">
        <f t="shared" si="58"/>
        <v>285</v>
      </c>
      <c r="K197" s="14"/>
      <c r="L197" s="14"/>
      <c r="M197" s="425"/>
      <c r="N197" s="633">
        <v>1162</v>
      </c>
      <c r="O197" s="562"/>
      <c r="P197" s="562"/>
      <c r="Q197" s="482">
        <f t="shared" si="59"/>
        <v>-212</v>
      </c>
    </row>
    <row r="198" spans="1:17" ht="12.75" customHeight="1" x14ac:dyDescent="0.15">
      <c r="A198" s="605" t="s">
        <v>129</v>
      </c>
      <c r="B198" s="409">
        <v>1600</v>
      </c>
      <c r="C198" s="409">
        <v>1605</v>
      </c>
      <c r="D198" s="565">
        <f t="shared" si="56"/>
        <v>-5</v>
      </c>
      <c r="E198" s="443">
        <v>1086</v>
      </c>
      <c r="F198" s="544">
        <f t="shared" si="57"/>
        <v>514</v>
      </c>
      <c r="G198" s="566">
        <v>1030</v>
      </c>
      <c r="H198" s="188"/>
      <c r="I198" s="188"/>
      <c r="J198" s="196">
        <f t="shared" si="58"/>
        <v>56</v>
      </c>
      <c r="K198" s="14"/>
      <c r="L198" s="14"/>
      <c r="M198" s="425"/>
      <c r="N198" s="633">
        <v>1504</v>
      </c>
      <c r="O198" s="562"/>
      <c r="P198" s="562"/>
      <c r="Q198" s="482">
        <f t="shared" si="59"/>
        <v>-474</v>
      </c>
    </row>
    <row r="199" spans="1:17" ht="12.75" customHeight="1" x14ac:dyDescent="0.15">
      <c r="A199" s="605" t="s">
        <v>86</v>
      </c>
      <c r="B199" s="409">
        <v>1780</v>
      </c>
      <c r="C199" s="409">
        <v>1780</v>
      </c>
      <c r="D199" s="409">
        <f t="shared" si="56"/>
        <v>0</v>
      </c>
      <c r="E199" s="443">
        <v>1399</v>
      </c>
      <c r="F199" s="544">
        <f t="shared" si="57"/>
        <v>381</v>
      </c>
      <c r="G199" s="566">
        <v>1309</v>
      </c>
      <c r="H199" s="188"/>
      <c r="I199" s="188"/>
      <c r="J199" s="196">
        <f t="shared" si="58"/>
        <v>90</v>
      </c>
      <c r="K199" s="14"/>
      <c r="L199" s="14"/>
      <c r="M199" s="425"/>
      <c r="N199" s="633">
        <v>1573</v>
      </c>
      <c r="O199" s="562"/>
      <c r="P199" s="562"/>
      <c r="Q199" s="482">
        <f t="shared" si="59"/>
        <v>-264</v>
      </c>
    </row>
    <row r="200" spans="1:17" ht="12.75" customHeight="1" x14ac:dyDescent="0.15">
      <c r="A200" s="605" t="s">
        <v>87</v>
      </c>
      <c r="B200" s="409">
        <v>1737</v>
      </c>
      <c r="C200" s="409">
        <v>1746</v>
      </c>
      <c r="D200" s="565">
        <f t="shared" si="56"/>
        <v>-9</v>
      </c>
      <c r="E200" s="443">
        <v>1585</v>
      </c>
      <c r="F200" s="544">
        <f t="shared" si="57"/>
        <v>152</v>
      </c>
      <c r="G200" s="566">
        <v>1631</v>
      </c>
      <c r="H200" s="188"/>
      <c r="I200" s="188"/>
      <c r="J200" s="197">
        <f t="shared" si="58"/>
        <v>-46</v>
      </c>
      <c r="K200" s="14"/>
      <c r="L200" s="14"/>
      <c r="M200" s="425"/>
      <c r="N200" s="633">
        <v>2082</v>
      </c>
      <c r="O200" s="562"/>
      <c r="P200" s="562"/>
      <c r="Q200" s="482">
        <f t="shared" si="59"/>
        <v>-451</v>
      </c>
    </row>
    <row r="201" spans="1:17" ht="12.75" customHeight="1" x14ac:dyDescent="0.15">
      <c r="A201" s="605" t="s">
        <v>88</v>
      </c>
      <c r="B201" s="409">
        <v>1867</v>
      </c>
      <c r="C201" s="409">
        <v>1863</v>
      </c>
      <c r="D201" s="567">
        <f t="shared" si="56"/>
        <v>4</v>
      </c>
      <c r="E201" s="443">
        <v>1669</v>
      </c>
      <c r="F201" s="544">
        <f t="shared" si="57"/>
        <v>198</v>
      </c>
      <c r="G201" s="566">
        <v>1640</v>
      </c>
      <c r="H201" s="188"/>
      <c r="I201" s="188"/>
      <c r="J201" s="197">
        <f t="shared" si="58"/>
        <v>29</v>
      </c>
      <c r="K201" s="14"/>
      <c r="L201" s="14"/>
      <c r="M201" s="425"/>
      <c r="N201" s="633">
        <v>2089</v>
      </c>
      <c r="O201" s="562"/>
      <c r="P201" s="562"/>
      <c r="Q201" s="482">
        <f t="shared" si="59"/>
        <v>-449</v>
      </c>
    </row>
    <row r="202" spans="1:17" ht="12.75" customHeight="1" x14ac:dyDescent="0.15">
      <c r="A202" s="605" t="s">
        <v>89</v>
      </c>
      <c r="B202" s="409">
        <v>1820</v>
      </c>
      <c r="C202" s="409">
        <v>1820</v>
      </c>
      <c r="D202" s="409">
        <f t="shared" si="56"/>
        <v>0</v>
      </c>
      <c r="E202" s="443">
        <v>1492</v>
      </c>
      <c r="F202" s="544">
        <f t="shared" si="57"/>
        <v>328</v>
      </c>
      <c r="G202" s="566">
        <v>1574</v>
      </c>
      <c r="H202" s="188"/>
      <c r="I202" s="188"/>
      <c r="J202" s="197">
        <f t="shared" si="58"/>
        <v>-82</v>
      </c>
      <c r="K202" s="14"/>
      <c r="L202" s="14"/>
      <c r="M202" s="425"/>
      <c r="N202" s="633">
        <v>1937</v>
      </c>
      <c r="O202" s="562"/>
      <c r="P202" s="562"/>
      <c r="Q202" s="482">
        <f t="shared" si="59"/>
        <v>-363</v>
      </c>
    </row>
    <row r="203" spans="1:17" ht="12.75" customHeight="1" x14ac:dyDescent="0.15">
      <c r="A203" s="605" t="s">
        <v>90</v>
      </c>
      <c r="B203" s="409">
        <v>1750</v>
      </c>
      <c r="C203" s="409">
        <v>1750</v>
      </c>
      <c r="D203" s="409">
        <f t="shared" si="56"/>
        <v>0</v>
      </c>
      <c r="E203" s="443">
        <v>1370</v>
      </c>
      <c r="F203" s="544">
        <f t="shared" si="57"/>
        <v>380</v>
      </c>
      <c r="G203" s="566">
        <v>1237</v>
      </c>
      <c r="H203" s="188"/>
      <c r="I203" s="188"/>
      <c r="J203" s="196">
        <f t="shared" si="58"/>
        <v>133</v>
      </c>
      <c r="K203" s="14"/>
      <c r="L203" s="14"/>
      <c r="M203" s="426">
        <v>898</v>
      </c>
      <c r="N203" s="633">
        <v>1541</v>
      </c>
      <c r="O203" s="562"/>
      <c r="P203" s="562"/>
      <c r="Q203" s="482">
        <f t="shared" si="59"/>
        <v>-304</v>
      </c>
    </row>
    <row r="204" spans="1:17" ht="12.75" customHeight="1" x14ac:dyDescent="0.15">
      <c r="A204" s="605" t="s">
        <v>123</v>
      </c>
      <c r="B204" s="409">
        <v>1396</v>
      </c>
      <c r="C204" s="409">
        <v>1358</v>
      </c>
      <c r="D204" s="567">
        <f t="shared" si="56"/>
        <v>38</v>
      </c>
      <c r="E204" s="443">
        <v>994</v>
      </c>
      <c r="F204" s="544">
        <f t="shared" si="57"/>
        <v>402</v>
      </c>
      <c r="G204" s="566">
        <v>1123</v>
      </c>
      <c r="H204" s="188"/>
      <c r="I204" s="188"/>
      <c r="J204" s="197">
        <f t="shared" si="58"/>
        <v>-129</v>
      </c>
      <c r="K204" s="14"/>
      <c r="L204" s="14"/>
      <c r="M204" s="425">
        <v>1047</v>
      </c>
      <c r="N204" s="633">
        <v>1377</v>
      </c>
      <c r="O204" s="562"/>
      <c r="P204" s="562"/>
      <c r="Q204" s="482">
        <f t="shared" si="59"/>
        <v>-254</v>
      </c>
    </row>
    <row r="205" spans="1:17" ht="12.75" customHeight="1" x14ac:dyDescent="0.15">
      <c r="A205" s="605" t="s">
        <v>124</v>
      </c>
      <c r="B205" s="409">
        <v>571</v>
      </c>
      <c r="C205" s="409">
        <v>571</v>
      </c>
      <c r="D205" s="409">
        <f t="shared" si="56"/>
        <v>0</v>
      </c>
      <c r="E205" s="443">
        <v>0</v>
      </c>
      <c r="F205" s="544">
        <f t="shared" si="57"/>
        <v>571</v>
      </c>
      <c r="G205" s="566">
        <v>822</v>
      </c>
      <c r="H205" s="188"/>
      <c r="I205" s="188"/>
      <c r="J205" s="197">
        <f t="shared" si="58"/>
        <v>-822</v>
      </c>
      <c r="K205" s="14"/>
      <c r="L205" s="14"/>
      <c r="M205" s="425">
        <v>1047</v>
      </c>
      <c r="N205" s="633">
        <v>829</v>
      </c>
      <c r="O205" s="562"/>
      <c r="P205" s="562"/>
      <c r="Q205" s="482">
        <f t="shared" si="59"/>
        <v>-7</v>
      </c>
    </row>
    <row r="206" spans="1:17" ht="12.75" customHeight="1" x14ac:dyDescent="0.15">
      <c r="A206" s="605" t="s">
        <v>125</v>
      </c>
      <c r="B206" s="409">
        <v>748</v>
      </c>
      <c r="C206" s="409">
        <v>403</v>
      </c>
      <c r="D206" s="567">
        <f t="shared" si="56"/>
        <v>345</v>
      </c>
      <c r="E206" s="443">
        <v>856</v>
      </c>
      <c r="F206" s="549">
        <f t="shared" si="57"/>
        <v>-108</v>
      </c>
      <c r="G206" s="566">
        <v>795</v>
      </c>
      <c r="H206" s="188"/>
      <c r="I206" s="188"/>
      <c r="J206" s="196">
        <f t="shared" si="58"/>
        <v>61</v>
      </c>
      <c r="K206" s="14"/>
      <c r="L206" s="14"/>
      <c r="M206" s="425">
        <v>1047</v>
      </c>
      <c r="N206" s="633">
        <v>1019</v>
      </c>
      <c r="O206" s="562"/>
      <c r="P206" s="562"/>
      <c r="Q206" s="482">
        <f t="shared" si="59"/>
        <v>-224</v>
      </c>
    </row>
    <row r="207" spans="1:17" ht="12.75" customHeight="1" x14ac:dyDescent="0.15">
      <c r="A207" s="605" t="s">
        <v>126</v>
      </c>
      <c r="B207" s="409">
        <v>231</v>
      </c>
      <c r="C207" s="409">
        <v>231</v>
      </c>
      <c r="D207" s="409">
        <f t="shared" si="56"/>
        <v>0</v>
      </c>
      <c r="E207" s="443">
        <v>851</v>
      </c>
      <c r="F207" s="549">
        <f t="shared" si="57"/>
        <v>-620</v>
      </c>
      <c r="G207" s="566">
        <v>876</v>
      </c>
      <c r="H207" s="188"/>
      <c r="I207" s="188"/>
      <c r="J207" s="197">
        <f t="shared" si="58"/>
        <v>-25</v>
      </c>
      <c r="K207" s="14"/>
      <c r="L207" s="14"/>
      <c r="M207" s="425">
        <v>1047</v>
      </c>
      <c r="N207" s="633">
        <v>787</v>
      </c>
      <c r="O207" s="562"/>
      <c r="P207" s="562"/>
      <c r="Q207" s="481">
        <f t="shared" si="59"/>
        <v>89</v>
      </c>
    </row>
    <row r="208" spans="1:17" ht="15.75" customHeight="1" x14ac:dyDescent="0.2">
      <c r="A208" s="918" t="s">
        <v>145</v>
      </c>
      <c r="B208" s="919"/>
      <c r="C208" s="919"/>
      <c r="D208" s="919"/>
      <c r="E208" s="919"/>
      <c r="F208" s="919"/>
      <c r="G208" s="919"/>
      <c r="H208" s="919"/>
      <c r="I208" s="919"/>
      <c r="J208" s="919"/>
      <c r="K208" s="919"/>
      <c r="L208" s="919"/>
      <c r="M208" s="919"/>
      <c r="N208" s="919"/>
      <c r="O208" s="919"/>
      <c r="P208" s="919"/>
      <c r="Q208" s="920"/>
    </row>
    <row r="209" spans="1:17" ht="24.75" customHeight="1" x14ac:dyDescent="0.15">
      <c r="A209" s="537"/>
      <c r="B209" s="101" t="s">
        <v>147</v>
      </c>
      <c r="C209" s="101" t="s">
        <v>148</v>
      </c>
      <c r="D209" s="101" t="s">
        <v>149</v>
      </c>
      <c r="E209" s="625" t="s">
        <v>150</v>
      </c>
      <c r="F209" s="435" t="s">
        <v>151</v>
      </c>
      <c r="G209" s="626" t="s">
        <v>152</v>
      </c>
      <c r="H209" s="627" t="s">
        <v>112</v>
      </c>
      <c r="I209" s="568" t="s">
        <v>113</v>
      </c>
      <c r="J209" s="634" t="s">
        <v>153</v>
      </c>
      <c r="K209" s="635" t="s">
        <v>140</v>
      </c>
      <c r="L209" s="105" t="s">
        <v>118</v>
      </c>
      <c r="M209" s="107" t="s">
        <v>119</v>
      </c>
      <c r="N209" s="628" t="s">
        <v>152</v>
      </c>
      <c r="O209" s="538" t="s">
        <v>112</v>
      </c>
      <c r="P209" s="636" t="s">
        <v>113</v>
      </c>
      <c r="Q209" s="439" t="s">
        <v>153</v>
      </c>
    </row>
    <row r="210" spans="1:17" ht="12.75" customHeight="1" x14ac:dyDescent="0.15">
      <c r="A210" s="571" t="s">
        <v>127</v>
      </c>
      <c r="B210" s="572">
        <f t="shared" ref="B210:C210" si="60">(B196*B128)</f>
        <v>52.941599999999994</v>
      </c>
      <c r="C210" s="572">
        <f t="shared" si="60"/>
        <v>39.799199999999999</v>
      </c>
      <c r="D210" s="572">
        <f t="shared" ref="D210:D221" si="61">B210-C210</f>
        <v>13.142399999999995</v>
      </c>
      <c r="E210" s="573">
        <f t="shared" ref="E210:E221" si="62">(E196*E128)</f>
        <v>535.221</v>
      </c>
      <c r="F210" s="574">
        <f t="shared" ref="F210:F221" si="63">B210-E210</f>
        <v>-482.27940000000001</v>
      </c>
      <c r="G210" s="575">
        <f t="shared" ref="G210:G221" si="64">(G196*G128)</f>
        <v>403.29300000000001</v>
      </c>
      <c r="H210" s="188"/>
      <c r="I210" s="188"/>
      <c r="J210" s="576">
        <f t="shared" ref="J210:J221" si="65">E210-G210</f>
        <v>131.928</v>
      </c>
      <c r="N210" s="577">
        <f t="shared" ref="N210:N221" si="66">(N196*N128)</f>
        <v>237.1335</v>
      </c>
      <c r="O210" s="562"/>
      <c r="P210" s="562"/>
      <c r="Q210" s="637">
        <f t="shared" ref="Q210:Q221" si="67">G210-N210</f>
        <v>166.15950000000001</v>
      </c>
    </row>
    <row r="211" spans="1:17" ht="12.75" customHeight="1" x14ac:dyDescent="0.15">
      <c r="A211" s="578" t="s">
        <v>128</v>
      </c>
      <c r="B211" s="579">
        <f t="shared" ref="B211:C211" si="68">(B197*B129)</f>
        <v>100.88220000000001</v>
      </c>
      <c r="C211" s="579">
        <f t="shared" si="68"/>
        <v>106.30119999999999</v>
      </c>
      <c r="D211" s="580">
        <f t="shared" si="61"/>
        <v>-5.4189999999999827</v>
      </c>
      <c r="E211" s="581">
        <f t="shared" si="62"/>
        <v>819.91650000000004</v>
      </c>
      <c r="F211" s="582">
        <f t="shared" si="63"/>
        <v>-719.03430000000003</v>
      </c>
      <c r="G211" s="583">
        <f t="shared" si="64"/>
        <v>568.76499999999999</v>
      </c>
      <c r="H211" s="188"/>
      <c r="I211" s="188"/>
      <c r="J211" s="576">
        <f t="shared" si="65"/>
        <v>251.15150000000006</v>
      </c>
      <c r="N211" s="584">
        <f t="shared" si="66"/>
        <v>406.00279999999998</v>
      </c>
      <c r="O211" s="562"/>
      <c r="P211" s="562"/>
      <c r="Q211" s="585">
        <f t="shared" si="67"/>
        <v>162.76220000000001</v>
      </c>
    </row>
    <row r="212" spans="1:17" ht="12.75" customHeight="1" x14ac:dyDescent="0.15">
      <c r="A212" s="578" t="s">
        <v>129</v>
      </c>
      <c r="B212" s="579">
        <f t="shared" ref="B212:C212" si="69">(B198*B130)</f>
        <v>147.52000000000001</v>
      </c>
      <c r="C212" s="579">
        <f t="shared" si="69"/>
        <v>143.00549999999998</v>
      </c>
      <c r="D212" s="579">
        <f t="shared" si="61"/>
        <v>4.5145000000000266</v>
      </c>
      <c r="E212" s="581">
        <f t="shared" si="62"/>
        <v>610.33200000000011</v>
      </c>
      <c r="F212" s="582">
        <f t="shared" si="63"/>
        <v>-462.81200000000013</v>
      </c>
      <c r="G212" s="583">
        <f t="shared" si="64"/>
        <v>484.92399999999998</v>
      </c>
      <c r="H212" s="188"/>
      <c r="I212" s="188"/>
      <c r="J212" s="576">
        <f t="shared" si="65"/>
        <v>125.40800000000013</v>
      </c>
      <c r="N212" s="584">
        <f t="shared" si="66"/>
        <v>354.3424</v>
      </c>
      <c r="O212" s="562"/>
      <c r="P212" s="562"/>
      <c r="Q212" s="585">
        <f t="shared" si="67"/>
        <v>130.58159999999998</v>
      </c>
    </row>
    <row r="213" spans="1:17" ht="12.75" customHeight="1" x14ac:dyDescent="0.15">
      <c r="A213" s="578" t="s">
        <v>86</v>
      </c>
      <c r="B213" s="579">
        <f t="shared" ref="B213:C213" si="70">(B199*B131)</f>
        <v>398.89799999999997</v>
      </c>
      <c r="C213" s="579">
        <f t="shared" si="70"/>
        <v>398.89799999999997</v>
      </c>
      <c r="D213" s="579">
        <f t="shared" si="61"/>
        <v>0</v>
      </c>
      <c r="E213" s="581">
        <f t="shared" si="62"/>
        <v>1077.3698999999999</v>
      </c>
      <c r="F213" s="582">
        <f t="shared" si="63"/>
        <v>-678.47190000000001</v>
      </c>
      <c r="G213" s="583">
        <f t="shared" si="64"/>
        <v>1021.02</v>
      </c>
      <c r="H213" s="188"/>
      <c r="I213" s="188"/>
      <c r="J213" s="576">
        <f t="shared" si="65"/>
        <v>56.349899999999934</v>
      </c>
      <c r="N213" s="584">
        <f t="shared" si="66"/>
        <v>815.44319999999993</v>
      </c>
      <c r="O213" s="562"/>
      <c r="P213" s="562"/>
      <c r="Q213" s="585">
        <f t="shared" si="67"/>
        <v>205.57680000000005</v>
      </c>
    </row>
    <row r="214" spans="1:17" ht="12.75" customHeight="1" x14ac:dyDescent="0.15">
      <c r="A214" s="578" t="s">
        <v>87</v>
      </c>
      <c r="B214" s="579">
        <f t="shared" ref="B214:C214" si="71">(B200*B132)</f>
        <v>269.9298</v>
      </c>
      <c r="C214" s="579">
        <f t="shared" si="71"/>
        <v>263.29679999999996</v>
      </c>
      <c r="D214" s="579">
        <f t="shared" si="61"/>
        <v>6.6330000000000382</v>
      </c>
      <c r="E214" s="581">
        <f t="shared" si="62"/>
        <v>969.70299999999997</v>
      </c>
      <c r="F214" s="582">
        <f t="shared" si="63"/>
        <v>-699.77319999999997</v>
      </c>
      <c r="G214" s="583">
        <f t="shared" si="64"/>
        <v>1028.6717000000001</v>
      </c>
      <c r="H214" s="188"/>
      <c r="I214" s="188"/>
      <c r="J214" s="583">
        <f t="shared" si="65"/>
        <v>-58.968700000000126</v>
      </c>
      <c r="N214" s="584">
        <f t="shared" si="66"/>
        <v>1032.8802000000001</v>
      </c>
      <c r="O214" s="562"/>
      <c r="P214" s="562"/>
      <c r="Q214" s="586">
        <f t="shared" si="67"/>
        <v>-4.2084999999999582</v>
      </c>
    </row>
    <row r="215" spans="1:17" ht="12.75" customHeight="1" x14ac:dyDescent="0.15">
      <c r="A215" s="578" t="s">
        <v>88</v>
      </c>
      <c r="B215" s="579">
        <f t="shared" ref="B215:C215" si="72">(B201*B133)</f>
        <v>536.76249999999993</v>
      </c>
      <c r="C215" s="579">
        <f t="shared" si="72"/>
        <v>529.83719999999994</v>
      </c>
      <c r="D215" s="579">
        <f t="shared" si="61"/>
        <v>6.9252999999999929</v>
      </c>
      <c r="E215" s="581">
        <f t="shared" si="62"/>
        <v>1224.7121999999999</v>
      </c>
      <c r="F215" s="582">
        <f t="shared" si="63"/>
        <v>-687.94970000000001</v>
      </c>
      <c r="G215" s="583">
        <f t="shared" si="64"/>
        <v>1123.4000000000001</v>
      </c>
      <c r="H215" s="188"/>
      <c r="I215" s="188"/>
      <c r="J215" s="576">
        <f t="shared" si="65"/>
        <v>101.31219999999985</v>
      </c>
      <c r="N215" s="584">
        <f t="shared" si="66"/>
        <v>1309.1763000000001</v>
      </c>
      <c r="O215" s="562"/>
      <c r="P215" s="562"/>
      <c r="Q215" s="586">
        <f t="shared" si="67"/>
        <v>-185.77629999999999</v>
      </c>
    </row>
    <row r="216" spans="1:17" ht="12.75" customHeight="1" x14ac:dyDescent="0.15">
      <c r="A216" s="578" t="s">
        <v>89</v>
      </c>
      <c r="B216" s="579">
        <f t="shared" ref="B216:C216" si="73">(B202*B134)</f>
        <v>973.51800000000003</v>
      </c>
      <c r="C216" s="579">
        <f t="shared" si="73"/>
        <v>973.51800000000003</v>
      </c>
      <c r="D216" s="579">
        <f t="shared" si="61"/>
        <v>0</v>
      </c>
      <c r="E216" s="581">
        <f t="shared" si="62"/>
        <v>1248.9531999999999</v>
      </c>
      <c r="F216" s="582">
        <f t="shared" si="63"/>
        <v>-275.4351999999999</v>
      </c>
      <c r="G216" s="583">
        <f t="shared" si="64"/>
        <v>1289.893</v>
      </c>
      <c r="H216" s="188"/>
      <c r="I216" s="188"/>
      <c r="J216" s="583">
        <f t="shared" si="65"/>
        <v>-40.939800000000105</v>
      </c>
      <c r="N216" s="584">
        <f t="shared" si="66"/>
        <v>1636.5713000000001</v>
      </c>
      <c r="O216" s="562"/>
      <c r="P216" s="562"/>
      <c r="Q216" s="586">
        <f t="shared" si="67"/>
        <v>-346.67830000000004</v>
      </c>
    </row>
    <row r="217" spans="1:17" ht="12.75" customHeight="1" x14ac:dyDescent="0.15">
      <c r="A217" s="578" t="s">
        <v>90</v>
      </c>
      <c r="B217" s="579">
        <f t="shared" ref="B217:C217" si="74">(B203*B135)</f>
        <v>259.875</v>
      </c>
      <c r="C217" s="579">
        <f t="shared" si="74"/>
        <v>259.875</v>
      </c>
      <c r="D217" s="579">
        <f t="shared" si="61"/>
        <v>0</v>
      </c>
      <c r="E217" s="581">
        <f t="shared" si="62"/>
        <v>781.85899999999992</v>
      </c>
      <c r="F217" s="582">
        <f t="shared" si="63"/>
        <v>-521.98399999999992</v>
      </c>
      <c r="G217" s="583">
        <f t="shared" si="64"/>
        <v>863.30229999999995</v>
      </c>
      <c r="H217" s="188"/>
      <c r="I217" s="188"/>
      <c r="J217" s="583">
        <f t="shared" si="65"/>
        <v>-81.443300000000022</v>
      </c>
      <c r="N217" s="584">
        <f t="shared" si="66"/>
        <v>1002.4204999999999</v>
      </c>
      <c r="O217" s="562"/>
      <c r="P217" s="562"/>
      <c r="Q217" s="586">
        <f t="shared" si="67"/>
        <v>-139.1182</v>
      </c>
    </row>
    <row r="218" spans="1:17" ht="12.75" customHeight="1" x14ac:dyDescent="0.15">
      <c r="A218" s="578" t="s">
        <v>123</v>
      </c>
      <c r="B218" s="579">
        <f t="shared" ref="B218:C218" si="75">(B204*B136)</f>
        <v>147.41759999999999</v>
      </c>
      <c r="C218" s="579">
        <f t="shared" si="75"/>
        <v>133.62719999999999</v>
      </c>
      <c r="D218" s="579">
        <f t="shared" si="61"/>
        <v>13.790400000000005</v>
      </c>
      <c r="E218" s="581">
        <f t="shared" si="62"/>
        <v>210.82740000000001</v>
      </c>
      <c r="F218" s="582">
        <f t="shared" si="63"/>
        <v>-63.409800000000018</v>
      </c>
      <c r="G218" s="583">
        <f t="shared" si="64"/>
        <v>549.93310000000008</v>
      </c>
      <c r="H218" s="188"/>
      <c r="I218" s="188"/>
      <c r="J218" s="583">
        <f t="shared" si="65"/>
        <v>-339.10570000000007</v>
      </c>
      <c r="N218" s="584">
        <f t="shared" si="66"/>
        <v>537.44309999999996</v>
      </c>
      <c r="O218" s="562"/>
      <c r="P218" s="562"/>
      <c r="Q218" s="585">
        <f t="shared" si="67"/>
        <v>12.490000000000123</v>
      </c>
    </row>
    <row r="219" spans="1:17" ht="12.75" customHeight="1" x14ac:dyDescent="0.15">
      <c r="A219" s="578" t="s">
        <v>124</v>
      </c>
      <c r="B219" s="579">
        <f t="shared" ref="B219:C219" si="76">(B205*B137)</f>
        <v>17.986499999999999</v>
      </c>
      <c r="C219" s="579">
        <f t="shared" si="76"/>
        <v>17.986499999999999</v>
      </c>
      <c r="D219" s="579">
        <f t="shared" si="61"/>
        <v>0</v>
      </c>
      <c r="E219" s="581">
        <f t="shared" si="62"/>
        <v>0</v>
      </c>
      <c r="F219" s="587">
        <f t="shared" si="63"/>
        <v>17.986499999999999</v>
      </c>
      <c r="G219" s="583">
        <f t="shared" si="64"/>
        <v>302.08499999999998</v>
      </c>
      <c r="H219" s="188"/>
      <c r="I219" s="188"/>
      <c r="J219" s="583">
        <f t="shared" si="65"/>
        <v>-302.08499999999998</v>
      </c>
      <c r="N219" s="584">
        <f t="shared" si="66"/>
        <v>235.02149999999997</v>
      </c>
      <c r="O219" s="562"/>
      <c r="P219" s="562"/>
      <c r="Q219" s="585">
        <f t="shared" si="67"/>
        <v>67.063500000000005</v>
      </c>
    </row>
    <row r="220" spans="1:17" ht="12.75" customHeight="1" x14ac:dyDescent="0.15">
      <c r="A220" s="578" t="s">
        <v>125</v>
      </c>
      <c r="B220" s="579">
        <f t="shared" ref="B220:C220" si="77">(B206*B138)</f>
        <v>283.7912</v>
      </c>
      <c r="C220" s="579">
        <f t="shared" si="77"/>
        <v>11.5258</v>
      </c>
      <c r="D220" s="579">
        <f t="shared" si="61"/>
        <v>272.2654</v>
      </c>
      <c r="E220" s="581">
        <f t="shared" si="62"/>
        <v>22.427199999999999</v>
      </c>
      <c r="F220" s="587">
        <f t="shared" si="63"/>
        <v>261.36400000000003</v>
      </c>
      <c r="G220" s="583">
        <f t="shared" si="64"/>
        <v>352.42350000000005</v>
      </c>
      <c r="H220" s="188"/>
      <c r="I220" s="188"/>
      <c r="J220" s="583">
        <f t="shared" si="65"/>
        <v>-329.99630000000002</v>
      </c>
      <c r="N220" s="584">
        <f t="shared" si="66"/>
        <v>309.26650000000001</v>
      </c>
      <c r="O220" s="562"/>
      <c r="P220" s="562"/>
      <c r="Q220" s="585">
        <f t="shared" si="67"/>
        <v>43.157000000000039</v>
      </c>
    </row>
    <row r="221" spans="1:17" ht="12.75" customHeight="1" x14ac:dyDescent="0.15">
      <c r="A221" s="638" t="s">
        <v>126</v>
      </c>
      <c r="B221" s="639">
        <f t="shared" ref="B221:C221" si="78">(B207*B139)</f>
        <v>5.4978000000000007</v>
      </c>
      <c r="C221" s="639">
        <f t="shared" si="78"/>
        <v>5.4978000000000007</v>
      </c>
      <c r="D221" s="639">
        <f t="shared" si="61"/>
        <v>0</v>
      </c>
      <c r="E221" s="640">
        <f t="shared" si="62"/>
        <v>30.465799999999998</v>
      </c>
      <c r="F221" s="641">
        <f t="shared" si="63"/>
        <v>-24.967999999999996</v>
      </c>
      <c r="G221" s="642">
        <f t="shared" si="64"/>
        <v>325.1712</v>
      </c>
      <c r="H221" s="188"/>
      <c r="I221" s="188"/>
      <c r="J221" s="642">
        <f t="shared" si="65"/>
        <v>-294.7054</v>
      </c>
      <c r="N221" s="643">
        <f t="shared" si="66"/>
        <v>194.38900000000001</v>
      </c>
      <c r="O221" s="562"/>
      <c r="P221" s="562"/>
      <c r="Q221" s="644">
        <f t="shared" si="67"/>
        <v>130.78219999999999</v>
      </c>
    </row>
    <row r="222" spans="1:17" ht="12.75" customHeight="1" x14ac:dyDescent="0.15"/>
    <row r="223" spans="1:17" ht="12.75" customHeight="1" x14ac:dyDescent="0.15"/>
    <row r="224" spans="1:17"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mergeCells count="4">
    <mergeCell ref="A1:Q1"/>
    <mergeCell ref="A72:Q72"/>
    <mergeCell ref="A140:Q140"/>
    <mergeCell ref="A208:Q208"/>
  </mergeCells>
  <pageMargins left="0.7" right="0.7" top="0.75" bottom="0.75" header="0" footer="0"/>
  <pageSetup orientation="landscape"/>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2.6640625" defaultRowHeight="15" customHeight="1" x14ac:dyDescent="0.15"/>
  <cols>
    <col min="1" max="3" width="11.5" customWidth="1"/>
    <col min="4" max="4" width="17.33203125" customWidth="1"/>
    <col min="5" max="5" width="11.5" customWidth="1"/>
    <col min="6" max="6" width="17.33203125" customWidth="1"/>
    <col min="7" max="7" width="11.5" customWidth="1"/>
    <col min="8" max="8" width="17.33203125" customWidth="1"/>
    <col min="9" max="26" width="10" customWidth="1"/>
  </cols>
  <sheetData>
    <row r="1" spans="1:26" ht="12.75" customHeight="1" x14ac:dyDescent="0.15">
      <c r="A1" s="954" t="s">
        <v>156</v>
      </c>
      <c r="B1" s="905"/>
      <c r="C1" s="905"/>
      <c r="D1" s="905"/>
      <c r="E1" s="905"/>
      <c r="F1" s="59"/>
      <c r="H1" s="59"/>
    </row>
    <row r="2" spans="1:26" ht="12.75" customHeight="1" x14ac:dyDescent="0.15">
      <c r="B2" s="645">
        <v>2017</v>
      </c>
      <c r="C2" s="645">
        <v>2018</v>
      </c>
      <c r="D2" s="646" t="s">
        <v>157</v>
      </c>
      <c r="E2" s="645">
        <v>2019</v>
      </c>
      <c r="F2" s="646" t="s">
        <v>158</v>
      </c>
      <c r="G2" s="645">
        <v>2020</v>
      </c>
      <c r="H2" s="646" t="s">
        <v>159</v>
      </c>
    </row>
    <row r="3" spans="1:26" ht="12.75" customHeight="1" x14ac:dyDescent="0.15">
      <c r="A3" s="647" t="s">
        <v>88</v>
      </c>
      <c r="B3" s="88">
        <v>1659998</v>
      </c>
      <c r="C3" s="75">
        <v>1659145</v>
      </c>
      <c r="D3" s="170">
        <f t="shared" ref="D3:D15" si="0">C3-B3</f>
        <v>-853</v>
      </c>
      <c r="E3" s="75">
        <v>1427559</v>
      </c>
      <c r="F3" s="170">
        <f t="shared" ref="F3:F15" si="1">E3-C3</f>
        <v>-231586</v>
      </c>
      <c r="G3" s="75">
        <v>1587254</v>
      </c>
      <c r="H3" s="88">
        <f t="shared" ref="H3:H15" si="2">G3-E3</f>
        <v>159695</v>
      </c>
    </row>
    <row r="4" spans="1:26" ht="12.75" customHeight="1" x14ac:dyDescent="0.15">
      <c r="A4" s="648" t="s">
        <v>89</v>
      </c>
      <c r="B4" s="88">
        <v>1644190</v>
      </c>
      <c r="C4" s="75">
        <v>1879453</v>
      </c>
      <c r="D4" s="88">
        <f t="shared" si="0"/>
        <v>235263</v>
      </c>
      <c r="E4" s="75">
        <v>1480487</v>
      </c>
      <c r="F4" s="170">
        <f t="shared" si="1"/>
        <v>-398966</v>
      </c>
      <c r="G4" s="75">
        <v>1549058</v>
      </c>
      <c r="H4" s="88">
        <f t="shared" si="2"/>
        <v>68571</v>
      </c>
    </row>
    <row r="5" spans="1:26" ht="12.75" customHeight="1" x14ac:dyDescent="0.15">
      <c r="A5" s="648" t="s">
        <v>90</v>
      </c>
      <c r="B5" s="88">
        <v>1309049</v>
      </c>
      <c r="C5" s="75">
        <v>1259485</v>
      </c>
      <c r="D5" s="170">
        <f t="shared" si="0"/>
        <v>-49564</v>
      </c>
      <c r="E5" s="75">
        <v>1086477</v>
      </c>
      <c r="F5" s="170">
        <f t="shared" si="1"/>
        <v>-173008</v>
      </c>
      <c r="G5" s="75">
        <v>1086477</v>
      </c>
      <c r="H5" s="170">
        <f t="shared" si="2"/>
        <v>0</v>
      </c>
    </row>
    <row r="6" spans="1:26" ht="12.75" customHeight="1" x14ac:dyDescent="0.15">
      <c r="A6" s="648" t="s">
        <v>123</v>
      </c>
      <c r="B6" s="88">
        <v>502272</v>
      </c>
      <c r="C6" s="75">
        <v>641964</v>
      </c>
      <c r="D6" s="88">
        <f t="shared" si="0"/>
        <v>139692</v>
      </c>
      <c r="E6" s="75">
        <v>668608</v>
      </c>
      <c r="F6" s="88">
        <f t="shared" si="1"/>
        <v>26644</v>
      </c>
      <c r="G6" s="75">
        <v>668608</v>
      </c>
      <c r="H6" s="88">
        <f t="shared" si="2"/>
        <v>0</v>
      </c>
    </row>
    <row r="7" spans="1:26" ht="12.75" customHeight="1" x14ac:dyDescent="0.15">
      <c r="A7" s="648" t="s">
        <v>124</v>
      </c>
      <c r="B7" s="88">
        <v>312231</v>
      </c>
      <c r="C7" s="75">
        <v>291306</v>
      </c>
      <c r="D7" s="170">
        <f t="shared" si="0"/>
        <v>-20925</v>
      </c>
      <c r="E7" s="75">
        <v>377714</v>
      </c>
      <c r="F7" s="88">
        <f t="shared" si="1"/>
        <v>86408</v>
      </c>
      <c r="G7" s="75">
        <v>377714</v>
      </c>
      <c r="H7" s="88">
        <f t="shared" si="2"/>
        <v>0</v>
      </c>
    </row>
    <row r="8" spans="1:26" ht="12.75" customHeight="1" x14ac:dyDescent="0.15">
      <c r="A8" s="648" t="s">
        <v>125</v>
      </c>
      <c r="B8" s="88">
        <v>-155924</v>
      </c>
      <c r="C8" s="75">
        <v>345442</v>
      </c>
      <c r="D8" s="88">
        <f t="shared" si="0"/>
        <v>501366</v>
      </c>
      <c r="E8" s="75">
        <v>428767</v>
      </c>
      <c r="F8" s="88">
        <f t="shared" si="1"/>
        <v>83325</v>
      </c>
      <c r="G8" s="75">
        <v>428767</v>
      </c>
      <c r="H8" s="88">
        <f t="shared" si="2"/>
        <v>0</v>
      </c>
    </row>
    <row r="9" spans="1:26" ht="12.75" customHeight="1" x14ac:dyDescent="0.15">
      <c r="A9" s="648" t="s">
        <v>160</v>
      </c>
      <c r="B9" s="88">
        <v>362403</v>
      </c>
      <c r="C9" s="75">
        <v>245810</v>
      </c>
      <c r="D9" s="170">
        <f t="shared" si="0"/>
        <v>-116593</v>
      </c>
      <c r="E9" s="75">
        <v>412177</v>
      </c>
      <c r="F9" s="88">
        <f t="shared" si="1"/>
        <v>166367</v>
      </c>
      <c r="G9" s="75">
        <v>412177</v>
      </c>
      <c r="H9" s="88">
        <f t="shared" si="2"/>
        <v>0</v>
      </c>
    </row>
    <row r="10" spans="1:26" ht="12.75" customHeight="1" x14ac:dyDescent="0.15">
      <c r="A10" s="648" t="s">
        <v>127</v>
      </c>
      <c r="B10" s="88">
        <v>300416</v>
      </c>
      <c r="C10" s="75">
        <v>493056</v>
      </c>
      <c r="D10" s="88">
        <f t="shared" si="0"/>
        <v>192640</v>
      </c>
      <c r="E10" s="75">
        <v>675819</v>
      </c>
      <c r="F10" s="88">
        <f t="shared" si="1"/>
        <v>182763</v>
      </c>
      <c r="G10" s="75">
        <v>675819</v>
      </c>
      <c r="H10" s="88">
        <f t="shared" si="2"/>
        <v>0</v>
      </c>
    </row>
    <row r="11" spans="1:26" ht="12.75" customHeight="1" x14ac:dyDescent="0.15">
      <c r="A11" s="648" t="s">
        <v>128</v>
      </c>
      <c r="B11" s="88">
        <v>497345</v>
      </c>
      <c r="C11" s="75">
        <v>697473</v>
      </c>
      <c r="D11" s="88">
        <f t="shared" si="0"/>
        <v>200128</v>
      </c>
      <c r="E11" s="75">
        <v>1003569</v>
      </c>
      <c r="F11" s="88">
        <f t="shared" si="1"/>
        <v>306096</v>
      </c>
      <c r="G11" s="75">
        <v>1003569</v>
      </c>
      <c r="H11" s="88">
        <f t="shared" si="2"/>
        <v>0</v>
      </c>
    </row>
    <row r="12" spans="1:26" ht="12.75" customHeight="1" x14ac:dyDescent="0.15">
      <c r="A12" s="648" t="s">
        <v>129</v>
      </c>
      <c r="B12" s="88">
        <v>449973</v>
      </c>
      <c r="C12" s="75">
        <v>614185</v>
      </c>
      <c r="D12" s="88">
        <f t="shared" si="0"/>
        <v>164212</v>
      </c>
      <c r="E12" s="75">
        <v>777843</v>
      </c>
      <c r="F12" s="88">
        <f t="shared" si="1"/>
        <v>163658</v>
      </c>
      <c r="G12" s="75">
        <v>777843</v>
      </c>
      <c r="H12" s="88">
        <f t="shared" si="2"/>
        <v>0</v>
      </c>
    </row>
    <row r="13" spans="1:26" ht="12.75" customHeight="1" x14ac:dyDescent="0.15">
      <c r="A13" s="648" t="s">
        <v>133</v>
      </c>
      <c r="B13" s="88">
        <v>1196163</v>
      </c>
      <c r="C13" s="75">
        <v>1253380</v>
      </c>
      <c r="D13" s="88">
        <f t="shared" si="0"/>
        <v>57217</v>
      </c>
      <c r="E13" s="75">
        <v>1355145</v>
      </c>
      <c r="F13" s="88">
        <f t="shared" si="1"/>
        <v>101765</v>
      </c>
      <c r="G13" s="75">
        <v>1355145</v>
      </c>
      <c r="H13" s="88">
        <f t="shared" si="2"/>
        <v>0</v>
      </c>
    </row>
    <row r="14" spans="1:26" ht="12.75" customHeight="1" x14ac:dyDescent="0.15">
      <c r="A14" s="649" t="s">
        <v>87</v>
      </c>
      <c r="B14" s="91">
        <v>1310080</v>
      </c>
      <c r="C14" s="75">
        <v>1298292</v>
      </c>
      <c r="D14" s="650">
        <f t="shared" si="0"/>
        <v>-11788</v>
      </c>
      <c r="E14" s="75">
        <v>1283036</v>
      </c>
      <c r="F14" s="650">
        <f t="shared" si="1"/>
        <v>-15256</v>
      </c>
      <c r="G14" s="75">
        <v>1283036</v>
      </c>
      <c r="H14" s="650">
        <f t="shared" si="2"/>
        <v>0</v>
      </c>
    </row>
    <row r="15" spans="1:26" ht="12.75" customHeight="1" x14ac:dyDescent="0.15">
      <c r="A15" s="651" t="s">
        <v>161</v>
      </c>
      <c r="B15" s="652">
        <f t="shared" ref="B15:C15" si="3">SUM(B3:B14)</f>
        <v>9388196</v>
      </c>
      <c r="C15" s="652">
        <f t="shared" si="3"/>
        <v>10678991</v>
      </c>
      <c r="D15" s="652">
        <f t="shared" si="0"/>
        <v>1290795</v>
      </c>
      <c r="E15" s="652">
        <f>SUM(E3:E14)</f>
        <v>10977201</v>
      </c>
      <c r="F15" s="652">
        <f t="shared" si="1"/>
        <v>298210</v>
      </c>
      <c r="G15" s="652">
        <f>SUM(G3:G14)</f>
        <v>11205467</v>
      </c>
      <c r="H15" s="652">
        <f t="shared" si="2"/>
        <v>228266</v>
      </c>
      <c r="I15" s="51"/>
      <c r="J15" s="51"/>
      <c r="K15" s="51"/>
      <c r="L15" s="51"/>
      <c r="M15" s="51"/>
      <c r="N15" s="51"/>
      <c r="O15" s="51"/>
      <c r="P15" s="51"/>
      <c r="Q15" s="51"/>
      <c r="R15" s="51"/>
      <c r="S15" s="51"/>
      <c r="T15" s="51"/>
      <c r="U15" s="51"/>
      <c r="V15" s="51"/>
      <c r="W15" s="51"/>
      <c r="X15" s="51"/>
      <c r="Y15" s="51"/>
      <c r="Z15" s="51"/>
    </row>
    <row r="16" spans="1:26" ht="12.75" customHeight="1" x14ac:dyDescent="0.15">
      <c r="D16" s="59"/>
      <c r="F16" s="59"/>
      <c r="H16" s="59"/>
    </row>
    <row r="17" spans="4:8" ht="12.75" customHeight="1" x14ac:dyDescent="0.15">
      <c r="D17" s="59"/>
      <c r="F17" s="59"/>
      <c r="H17" s="59"/>
    </row>
    <row r="18" spans="4:8" ht="12.75" customHeight="1" x14ac:dyDescent="0.15">
      <c r="D18" s="59"/>
      <c r="F18" s="59"/>
      <c r="H18" s="59"/>
    </row>
    <row r="19" spans="4:8" ht="12.75" customHeight="1" x14ac:dyDescent="0.15">
      <c r="D19" s="59"/>
      <c r="F19" s="59"/>
      <c r="H19" s="59"/>
    </row>
    <row r="20" spans="4:8" ht="12.75" customHeight="1" x14ac:dyDescent="0.15">
      <c r="D20" s="59"/>
      <c r="F20" s="59"/>
      <c r="H20" s="59"/>
    </row>
    <row r="21" spans="4:8" ht="12.75" customHeight="1" x14ac:dyDescent="0.15">
      <c r="D21" s="59"/>
      <c r="F21" s="59"/>
      <c r="H21" s="59"/>
    </row>
    <row r="22" spans="4:8" ht="12.75" customHeight="1" x14ac:dyDescent="0.15">
      <c r="D22" s="59"/>
      <c r="F22" s="59"/>
      <c r="H22" s="59"/>
    </row>
    <row r="23" spans="4:8" ht="12.75" customHeight="1" x14ac:dyDescent="0.15">
      <c r="D23" s="59"/>
      <c r="F23" s="59"/>
      <c r="H23" s="59"/>
    </row>
    <row r="24" spans="4:8" ht="12.75" customHeight="1" x14ac:dyDescent="0.15">
      <c r="D24" s="59"/>
      <c r="F24" s="59"/>
      <c r="H24" s="59"/>
    </row>
    <row r="25" spans="4:8" ht="12.75" customHeight="1" x14ac:dyDescent="0.15">
      <c r="D25" s="59"/>
      <c r="F25" s="59"/>
      <c r="H25" s="59"/>
    </row>
    <row r="26" spans="4:8" ht="12.75" customHeight="1" x14ac:dyDescent="0.15">
      <c r="D26" s="59"/>
      <c r="F26" s="59"/>
      <c r="H26" s="59"/>
    </row>
    <row r="27" spans="4:8" ht="12.75" customHeight="1" x14ac:dyDescent="0.15">
      <c r="D27" s="59"/>
      <c r="F27" s="59"/>
      <c r="H27" s="59"/>
    </row>
    <row r="28" spans="4:8" ht="12.75" customHeight="1" x14ac:dyDescent="0.15">
      <c r="D28" s="59"/>
      <c r="F28" s="59"/>
      <c r="H28" s="59"/>
    </row>
    <row r="29" spans="4:8" ht="12.75" customHeight="1" x14ac:dyDescent="0.15">
      <c r="D29" s="59"/>
      <c r="F29" s="59"/>
      <c r="H29" s="59"/>
    </row>
    <row r="30" spans="4:8" ht="12.75" customHeight="1" x14ac:dyDescent="0.15">
      <c r="D30" s="59"/>
      <c r="F30" s="59"/>
      <c r="H30" s="59"/>
    </row>
    <row r="31" spans="4:8" ht="12.75" customHeight="1" x14ac:dyDescent="0.15">
      <c r="D31" s="59"/>
      <c r="F31" s="59"/>
      <c r="H31" s="59"/>
    </row>
    <row r="32" spans="4:8" ht="12.75" customHeight="1" x14ac:dyDescent="0.15">
      <c r="D32" s="59"/>
      <c r="F32" s="59"/>
      <c r="H32" s="59"/>
    </row>
    <row r="33" spans="4:8" ht="12.75" customHeight="1" x14ac:dyDescent="0.15">
      <c r="D33" s="59"/>
      <c r="F33" s="59"/>
      <c r="H33" s="59"/>
    </row>
    <row r="34" spans="4:8" ht="12.75" customHeight="1" x14ac:dyDescent="0.15">
      <c r="D34" s="59"/>
      <c r="F34" s="59"/>
      <c r="H34" s="59"/>
    </row>
    <row r="35" spans="4:8" ht="12.75" customHeight="1" x14ac:dyDescent="0.15">
      <c r="D35" s="59"/>
      <c r="F35" s="59"/>
      <c r="H35" s="59"/>
    </row>
    <row r="36" spans="4:8" ht="12.75" customHeight="1" x14ac:dyDescent="0.15">
      <c r="D36" s="59"/>
      <c r="F36" s="59"/>
      <c r="H36" s="59"/>
    </row>
    <row r="37" spans="4:8" ht="12.75" customHeight="1" x14ac:dyDescent="0.15">
      <c r="D37" s="59"/>
      <c r="F37" s="59"/>
      <c r="H37" s="59"/>
    </row>
    <row r="38" spans="4:8" ht="12.75" customHeight="1" x14ac:dyDescent="0.15">
      <c r="D38" s="59"/>
      <c r="F38" s="59"/>
      <c r="H38" s="59"/>
    </row>
    <row r="39" spans="4:8" ht="12.75" customHeight="1" x14ac:dyDescent="0.15">
      <c r="D39" s="59"/>
      <c r="F39" s="59"/>
      <c r="H39" s="59"/>
    </row>
    <row r="40" spans="4:8" ht="12.75" customHeight="1" x14ac:dyDescent="0.15">
      <c r="D40" s="59"/>
      <c r="F40" s="59"/>
      <c r="H40" s="59"/>
    </row>
    <row r="41" spans="4:8" ht="12.75" customHeight="1" x14ac:dyDescent="0.15">
      <c r="D41" s="59"/>
      <c r="F41" s="59"/>
      <c r="H41" s="59"/>
    </row>
    <row r="42" spans="4:8" ht="12.75" customHeight="1" x14ac:dyDescent="0.15">
      <c r="D42" s="59"/>
      <c r="F42" s="59"/>
      <c r="H42" s="59"/>
    </row>
    <row r="43" spans="4:8" ht="12.75" customHeight="1" x14ac:dyDescent="0.15">
      <c r="D43" s="59"/>
      <c r="F43" s="59"/>
      <c r="H43" s="59"/>
    </row>
    <row r="44" spans="4:8" ht="12.75" customHeight="1" x14ac:dyDescent="0.15">
      <c r="D44" s="59"/>
      <c r="F44" s="59"/>
      <c r="H44" s="59"/>
    </row>
    <row r="45" spans="4:8" ht="12.75" customHeight="1" x14ac:dyDescent="0.15">
      <c r="D45" s="59"/>
      <c r="F45" s="59"/>
      <c r="H45" s="59"/>
    </row>
    <row r="46" spans="4:8" ht="12.75" customHeight="1" x14ac:dyDescent="0.15">
      <c r="D46" s="59"/>
      <c r="F46" s="59"/>
      <c r="H46" s="59"/>
    </row>
    <row r="47" spans="4:8" ht="12.75" customHeight="1" x14ac:dyDescent="0.15">
      <c r="D47" s="59"/>
      <c r="F47" s="59"/>
      <c r="H47" s="59"/>
    </row>
    <row r="48" spans="4:8" ht="12.75" customHeight="1" x14ac:dyDescent="0.15">
      <c r="D48" s="59"/>
      <c r="F48" s="59"/>
      <c r="H48" s="59"/>
    </row>
    <row r="49" spans="4:8" ht="12.75" customHeight="1" x14ac:dyDescent="0.15">
      <c r="D49" s="59"/>
      <c r="F49" s="59"/>
      <c r="H49" s="59"/>
    </row>
    <row r="50" spans="4:8" ht="12.75" customHeight="1" x14ac:dyDescent="0.15">
      <c r="D50" s="59"/>
      <c r="F50" s="59"/>
      <c r="H50" s="59"/>
    </row>
    <row r="51" spans="4:8" ht="12.75" customHeight="1" x14ac:dyDescent="0.15">
      <c r="D51" s="59"/>
      <c r="F51" s="59"/>
      <c r="H51" s="59"/>
    </row>
    <row r="52" spans="4:8" ht="12.75" customHeight="1" x14ac:dyDescent="0.15">
      <c r="D52" s="59"/>
      <c r="F52" s="59"/>
      <c r="H52" s="59"/>
    </row>
    <row r="53" spans="4:8" ht="12.75" customHeight="1" x14ac:dyDescent="0.15">
      <c r="D53" s="59"/>
      <c r="F53" s="59"/>
      <c r="H53" s="59"/>
    </row>
    <row r="54" spans="4:8" ht="12.75" customHeight="1" x14ac:dyDescent="0.15">
      <c r="D54" s="59"/>
      <c r="F54" s="59"/>
      <c r="H54" s="59"/>
    </row>
    <row r="55" spans="4:8" ht="12.75" customHeight="1" x14ac:dyDescent="0.15">
      <c r="D55" s="59"/>
      <c r="F55" s="59"/>
      <c r="H55" s="59"/>
    </row>
    <row r="56" spans="4:8" ht="12.75" customHeight="1" x14ac:dyDescent="0.15">
      <c r="D56" s="59"/>
      <c r="F56" s="59"/>
      <c r="H56" s="59"/>
    </row>
    <row r="57" spans="4:8" ht="12.75" customHeight="1" x14ac:dyDescent="0.15">
      <c r="D57" s="59"/>
      <c r="F57" s="59"/>
      <c r="H57" s="59"/>
    </row>
    <row r="58" spans="4:8" ht="12.75" customHeight="1" x14ac:dyDescent="0.15">
      <c r="D58" s="59"/>
      <c r="F58" s="59"/>
      <c r="H58" s="59"/>
    </row>
    <row r="59" spans="4:8" ht="12.75" customHeight="1" x14ac:dyDescent="0.15">
      <c r="D59" s="59"/>
      <c r="F59" s="59"/>
      <c r="H59" s="59"/>
    </row>
    <row r="60" spans="4:8" ht="12.75" customHeight="1" x14ac:dyDescent="0.15">
      <c r="D60" s="59"/>
      <c r="F60" s="59"/>
      <c r="H60" s="59"/>
    </row>
    <row r="61" spans="4:8" ht="12.75" customHeight="1" x14ac:dyDescent="0.15">
      <c r="D61" s="59"/>
      <c r="F61" s="59"/>
      <c r="H61" s="59"/>
    </row>
    <row r="62" spans="4:8" ht="12.75" customHeight="1" x14ac:dyDescent="0.15">
      <c r="D62" s="59"/>
      <c r="F62" s="59"/>
      <c r="H62" s="59"/>
    </row>
    <row r="63" spans="4:8" ht="12.75" customHeight="1" x14ac:dyDescent="0.15">
      <c r="D63" s="59"/>
      <c r="F63" s="59"/>
      <c r="H63" s="59"/>
    </row>
    <row r="64" spans="4:8" ht="12.75" customHeight="1" x14ac:dyDescent="0.15">
      <c r="D64" s="59"/>
      <c r="F64" s="59"/>
      <c r="H64" s="59"/>
    </row>
    <row r="65" spans="4:8" ht="12.75" customHeight="1" x14ac:dyDescent="0.15">
      <c r="D65" s="59"/>
      <c r="F65" s="59"/>
      <c r="H65" s="59"/>
    </row>
    <row r="66" spans="4:8" ht="12.75" customHeight="1" x14ac:dyDescent="0.15">
      <c r="D66" s="59"/>
      <c r="F66" s="59"/>
      <c r="H66" s="59"/>
    </row>
    <row r="67" spans="4:8" ht="12.75" customHeight="1" x14ac:dyDescent="0.15">
      <c r="D67" s="59"/>
      <c r="F67" s="59"/>
      <c r="H67" s="59"/>
    </row>
    <row r="68" spans="4:8" ht="12.75" customHeight="1" x14ac:dyDescent="0.15">
      <c r="D68" s="59"/>
      <c r="F68" s="59"/>
      <c r="H68" s="59"/>
    </row>
    <row r="69" spans="4:8" ht="12.75" customHeight="1" x14ac:dyDescent="0.15">
      <c r="D69" s="59"/>
      <c r="F69" s="59"/>
      <c r="H69" s="59"/>
    </row>
    <row r="70" spans="4:8" ht="12.75" customHeight="1" x14ac:dyDescent="0.15">
      <c r="D70" s="59"/>
      <c r="F70" s="59"/>
      <c r="H70" s="59"/>
    </row>
    <row r="71" spans="4:8" ht="12.75" customHeight="1" x14ac:dyDescent="0.15">
      <c r="D71" s="59"/>
      <c r="F71" s="59"/>
      <c r="H71" s="59"/>
    </row>
    <row r="72" spans="4:8" ht="12.75" customHeight="1" x14ac:dyDescent="0.15">
      <c r="D72" s="59"/>
      <c r="F72" s="59"/>
      <c r="H72" s="59"/>
    </row>
    <row r="73" spans="4:8" ht="12.75" customHeight="1" x14ac:dyDescent="0.15">
      <c r="D73" s="59"/>
      <c r="F73" s="59"/>
      <c r="H73" s="59"/>
    </row>
    <row r="74" spans="4:8" ht="12.75" customHeight="1" x14ac:dyDescent="0.15">
      <c r="D74" s="59"/>
      <c r="F74" s="59"/>
      <c r="H74" s="59"/>
    </row>
    <row r="75" spans="4:8" ht="12.75" customHeight="1" x14ac:dyDescent="0.15">
      <c r="D75" s="59"/>
      <c r="F75" s="59"/>
      <c r="H75" s="59"/>
    </row>
    <row r="76" spans="4:8" ht="12.75" customHeight="1" x14ac:dyDescent="0.15">
      <c r="D76" s="59"/>
      <c r="F76" s="59"/>
      <c r="H76" s="59"/>
    </row>
    <row r="77" spans="4:8" ht="12.75" customHeight="1" x14ac:dyDescent="0.15">
      <c r="D77" s="59"/>
      <c r="F77" s="59"/>
      <c r="H77" s="59"/>
    </row>
    <row r="78" spans="4:8" ht="12.75" customHeight="1" x14ac:dyDescent="0.15">
      <c r="D78" s="59"/>
      <c r="F78" s="59"/>
      <c r="H78" s="59"/>
    </row>
    <row r="79" spans="4:8" ht="12.75" customHeight="1" x14ac:dyDescent="0.15">
      <c r="D79" s="59"/>
      <c r="F79" s="59"/>
      <c r="H79" s="59"/>
    </row>
    <row r="80" spans="4:8" ht="12.75" customHeight="1" x14ac:dyDescent="0.15">
      <c r="D80" s="59"/>
      <c r="F80" s="59"/>
      <c r="H80" s="59"/>
    </row>
    <row r="81" spans="4:8" ht="12.75" customHeight="1" x14ac:dyDescent="0.15">
      <c r="D81" s="59"/>
      <c r="F81" s="59"/>
      <c r="H81" s="59"/>
    </row>
    <row r="82" spans="4:8" ht="12.75" customHeight="1" x14ac:dyDescent="0.15">
      <c r="D82" s="59"/>
      <c r="F82" s="59"/>
      <c r="H82" s="59"/>
    </row>
    <row r="83" spans="4:8" ht="12.75" customHeight="1" x14ac:dyDescent="0.15">
      <c r="D83" s="59"/>
      <c r="F83" s="59"/>
      <c r="H83" s="59"/>
    </row>
    <row r="84" spans="4:8" ht="12.75" customHeight="1" x14ac:dyDescent="0.15">
      <c r="D84" s="59"/>
      <c r="F84" s="59"/>
      <c r="H84" s="59"/>
    </row>
    <row r="85" spans="4:8" ht="12.75" customHeight="1" x14ac:dyDescent="0.15">
      <c r="D85" s="59"/>
      <c r="F85" s="59"/>
      <c r="H85" s="59"/>
    </row>
    <row r="86" spans="4:8" ht="12.75" customHeight="1" x14ac:dyDescent="0.15">
      <c r="D86" s="59"/>
      <c r="F86" s="59"/>
      <c r="H86" s="59"/>
    </row>
    <row r="87" spans="4:8" ht="12.75" customHeight="1" x14ac:dyDescent="0.15">
      <c r="D87" s="59"/>
      <c r="F87" s="59"/>
      <c r="H87" s="59"/>
    </row>
    <row r="88" spans="4:8" ht="12.75" customHeight="1" x14ac:dyDescent="0.15">
      <c r="D88" s="59"/>
      <c r="F88" s="59"/>
      <c r="H88" s="59"/>
    </row>
    <row r="89" spans="4:8" ht="12.75" customHeight="1" x14ac:dyDescent="0.15">
      <c r="D89" s="59"/>
      <c r="F89" s="59"/>
      <c r="H89" s="59"/>
    </row>
    <row r="90" spans="4:8" ht="12.75" customHeight="1" x14ac:dyDescent="0.15">
      <c r="D90" s="59"/>
      <c r="F90" s="59"/>
      <c r="H90" s="59"/>
    </row>
    <row r="91" spans="4:8" ht="12.75" customHeight="1" x14ac:dyDescent="0.15">
      <c r="D91" s="59"/>
      <c r="F91" s="59"/>
      <c r="H91" s="59"/>
    </row>
    <row r="92" spans="4:8" ht="12.75" customHeight="1" x14ac:dyDescent="0.15">
      <c r="D92" s="59"/>
      <c r="F92" s="59"/>
      <c r="H92" s="59"/>
    </row>
    <row r="93" spans="4:8" ht="12.75" customHeight="1" x14ac:dyDescent="0.15">
      <c r="D93" s="59"/>
      <c r="F93" s="59"/>
      <c r="H93" s="59"/>
    </row>
    <row r="94" spans="4:8" ht="12.75" customHeight="1" x14ac:dyDescent="0.15">
      <c r="D94" s="59"/>
      <c r="F94" s="59"/>
      <c r="H94" s="59"/>
    </row>
    <row r="95" spans="4:8" ht="12.75" customHeight="1" x14ac:dyDescent="0.15">
      <c r="D95" s="59"/>
      <c r="F95" s="59"/>
      <c r="H95" s="59"/>
    </row>
    <row r="96" spans="4:8" ht="12.75" customHeight="1" x14ac:dyDescent="0.15">
      <c r="D96" s="59"/>
      <c r="F96" s="59"/>
      <c r="H96" s="59"/>
    </row>
    <row r="97" spans="4:8" ht="12.75" customHeight="1" x14ac:dyDescent="0.15">
      <c r="D97" s="59"/>
      <c r="F97" s="59"/>
      <c r="H97" s="59"/>
    </row>
    <row r="98" spans="4:8" ht="12.75" customHeight="1" x14ac:dyDescent="0.15">
      <c r="D98" s="59"/>
      <c r="F98" s="59"/>
      <c r="H98" s="59"/>
    </row>
    <row r="99" spans="4:8" ht="12.75" customHeight="1" x14ac:dyDescent="0.15">
      <c r="D99" s="59"/>
      <c r="F99" s="59"/>
      <c r="H99" s="59"/>
    </row>
    <row r="100" spans="4:8" ht="12.75" customHeight="1" x14ac:dyDescent="0.15">
      <c r="D100" s="59"/>
      <c r="F100" s="59"/>
      <c r="H100" s="59"/>
    </row>
    <row r="101" spans="4:8" ht="12.75" customHeight="1" x14ac:dyDescent="0.15">
      <c r="D101" s="59"/>
      <c r="F101" s="59"/>
      <c r="H101" s="59"/>
    </row>
    <row r="102" spans="4:8" ht="12.75" customHeight="1" x14ac:dyDescent="0.15">
      <c r="D102" s="59"/>
      <c r="F102" s="59"/>
      <c r="H102" s="59"/>
    </row>
    <row r="103" spans="4:8" ht="12.75" customHeight="1" x14ac:dyDescent="0.15">
      <c r="D103" s="59"/>
      <c r="F103" s="59"/>
      <c r="H103" s="59"/>
    </row>
    <row r="104" spans="4:8" ht="12.75" customHeight="1" x14ac:dyDescent="0.15">
      <c r="D104" s="59"/>
      <c r="F104" s="59"/>
      <c r="H104" s="59"/>
    </row>
    <row r="105" spans="4:8" ht="12.75" customHeight="1" x14ac:dyDescent="0.15">
      <c r="D105" s="59"/>
      <c r="F105" s="59"/>
      <c r="H105" s="59"/>
    </row>
    <row r="106" spans="4:8" ht="12.75" customHeight="1" x14ac:dyDescent="0.15">
      <c r="D106" s="59"/>
      <c r="F106" s="59"/>
      <c r="H106" s="59"/>
    </row>
    <row r="107" spans="4:8" ht="12.75" customHeight="1" x14ac:dyDescent="0.15">
      <c r="D107" s="59"/>
      <c r="F107" s="59"/>
      <c r="H107" s="59"/>
    </row>
    <row r="108" spans="4:8" ht="12.75" customHeight="1" x14ac:dyDescent="0.15">
      <c r="D108" s="59"/>
      <c r="F108" s="59"/>
      <c r="H108" s="59"/>
    </row>
    <row r="109" spans="4:8" ht="12.75" customHeight="1" x14ac:dyDescent="0.15">
      <c r="D109" s="59"/>
      <c r="F109" s="59"/>
      <c r="H109" s="59"/>
    </row>
    <row r="110" spans="4:8" ht="12.75" customHeight="1" x14ac:dyDescent="0.15">
      <c r="D110" s="59"/>
      <c r="F110" s="59"/>
      <c r="H110" s="59"/>
    </row>
    <row r="111" spans="4:8" ht="12.75" customHeight="1" x14ac:dyDescent="0.15">
      <c r="D111" s="59"/>
      <c r="F111" s="59"/>
      <c r="H111" s="59"/>
    </row>
    <row r="112" spans="4:8" ht="12.75" customHeight="1" x14ac:dyDescent="0.15">
      <c r="D112" s="59"/>
      <c r="F112" s="59"/>
      <c r="H112" s="59"/>
    </row>
    <row r="113" spans="4:8" ht="12.75" customHeight="1" x14ac:dyDescent="0.15">
      <c r="D113" s="59"/>
      <c r="F113" s="59"/>
      <c r="H113" s="59"/>
    </row>
    <row r="114" spans="4:8" ht="12.75" customHeight="1" x14ac:dyDescent="0.15">
      <c r="D114" s="59"/>
      <c r="F114" s="59"/>
      <c r="H114" s="59"/>
    </row>
    <row r="115" spans="4:8" ht="12.75" customHeight="1" x14ac:dyDescent="0.15">
      <c r="D115" s="59"/>
      <c r="F115" s="59"/>
      <c r="H115" s="59"/>
    </row>
    <row r="116" spans="4:8" ht="12.75" customHeight="1" x14ac:dyDescent="0.15">
      <c r="D116" s="59"/>
      <c r="F116" s="59"/>
      <c r="H116" s="59"/>
    </row>
    <row r="117" spans="4:8" ht="12.75" customHeight="1" x14ac:dyDescent="0.15">
      <c r="D117" s="59"/>
      <c r="F117" s="59"/>
      <c r="H117" s="59"/>
    </row>
    <row r="118" spans="4:8" ht="12.75" customHeight="1" x14ac:dyDescent="0.15">
      <c r="D118" s="59"/>
      <c r="F118" s="59"/>
      <c r="H118" s="59"/>
    </row>
    <row r="119" spans="4:8" ht="12.75" customHeight="1" x14ac:dyDescent="0.15">
      <c r="D119" s="59"/>
      <c r="F119" s="59"/>
      <c r="H119" s="59"/>
    </row>
    <row r="120" spans="4:8" ht="12.75" customHeight="1" x14ac:dyDescent="0.15">
      <c r="D120" s="59"/>
      <c r="F120" s="59"/>
      <c r="H120" s="59"/>
    </row>
    <row r="121" spans="4:8" ht="12.75" customHeight="1" x14ac:dyDescent="0.15">
      <c r="D121" s="59"/>
      <c r="F121" s="59"/>
      <c r="H121" s="59"/>
    </row>
    <row r="122" spans="4:8" ht="12.75" customHeight="1" x14ac:dyDescent="0.15">
      <c r="D122" s="59"/>
      <c r="F122" s="59"/>
      <c r="H122" s="59"/>
    </row>
    <row r="123" spans="4:8" ht="12.75" customHeight="1" x14ac:dyDescent="0.15">
      <c r="D123" s="59"/>
      <c r="F123" s="59"/>
      <c r="H123" s="59"/>
    </row>
    <row r="124" spans="4:8" ht="12.75" customHeight="1" x14ac:dyDescent="0.15">
      <c r="D124" s="59"/>
      <c r="F124" s="59"/>
      <c r="H124" s="59"/>
    </row>
    <row r="125" spans="4:8" ht="12.75" customHeight="1" x14ac:dyDescent="0.15">
      <c r="D125" s="59"/>
      <c r="F125" s="59"/>
      <c r="H125" s="59"/>
    </row>
    <row r="126" spans="4:8" ht="12.75" customHeight="1" x14ac:dyDescent="0.15">
      <c r="D126" s="59"/>
      <c r="F126" s="59"/>
      <c r="H126" s="59"/>
    </row>
    <row r="127" spans="4:8" ht="12.75" customHeight="1" x14ac:dyDescent="0.15">
      <c r="D127" s="59"/>
      <c r="F127" s="59"/>
      <c r="H127" s="59"/>
    </row>
    <row r="128" spans="4:8" ht="12.75" customHeight="1" x14ac:dyDescent="0.15">
      <c r="D128" s="59"/>
      <c r="F128" s="59"/>
      <c r="H128" s="59"/>
    </row>
    <row r="129" spans="4:8" ht="12.75" customHeight="1" x14ac:dyDescent="0.15">
      <c r="D129" s="59"/>
      <c r="F129" s="59"/>
      <c r="H129" s="59"/>
    </row>
    <row r="130" spans="4:8" ht="12.75" customHeight="1" x14ac:dyDescent="0.15">
      <c r="D130" s="59"/>
      <c r="F130" s="59"/>
      <c r="H130" s="59"/>
    </row>
    <row r="131" spans="4:8" ht="12.75" customHeight="1" x14ac:dyDescent="0.15">
      <c r="D131" s="59"/>
      <c r="F131" s="59"/>
      <c r="H131" s="59"/>
    </row>
    <row r="132" spans="4:8" ht="12.75" customHeight="1" x14ac:dyDescent="0.15">
      <c r="D132" s="59"/>
      <c r="F132" s="59"/>
      <c r="H132" s="59"/>
    </row>
    <row r="133" spans="4:8" ht="12.75" customHeight="1" x14ac:dyDescent="0.15">
      <c r="D133" s="59"/>
      <c r="F133" s="59"/>
      <c r="H133" s="59"/>
    </row>
    <row r="134" spans="4:8" ht="12.75" customHeight="1" x14ac:dyDescent="0.15">
      <c r="D134" s="59"/>
      <c r="F134" s="59"/>
      <c r="H134" s="59"/>
    </row>
    <row r="135" spans="4:8" ht="12.75" customHeight="1" x14ac:dyDescent="0.15">
      <c r="D135" s="59"/>
      <c r="F135" s="59"/>
      <c r="H135" s="59"/>
    </row>
    <row r="136" spans="4:8" ht="12.75" customHeight="1" x14ac:dyDescent="0.15">
      <c r="D136" s="59"/>
      <c r="F136" s="59"/>
      <c r="H136" s="59"/>
    </row>
    <row r="137" spans="4:8" ht="12.75" customHeight="1" x14ac:dyDescent="0.15">
      <c r="D137" s="59"/>
      <c r="F137" s="59"/>
      <c r="H137" s="59"/>
    </row>
    <row r="138" spans="4:8" ht="12.75" customHeight="1" x14ac:dyDescent="0.15">
      <c r="D138" s="59"/>
      <c r="F138" s="59"/>
      <c r="H138" s="59"/>
    </row>
    <row r="139" spans="4:8" ht="12.75" customHeight="1" x14ac:dyDescent="0.15">
      <c r="D139" s="59"/>
      <c r="F139" s="59"/>
      <c r="H139" s="59"/>
    </row>
    <row r="140" spans="4:8" ht="12.75" customHeight="1" x14ac:dyDescent="0.15">
      <c r="D140" s="59"/>
      <c r="F140" s="59"/>
      <c r="H140" s="59"/>
    </row>
    <row r="141" spans="4:8" ht="12.75" customHeight="1" x14ac:dyDescent="0.15">
      <c r="D141" s="59"/>
      <c r="F141" s="59"/>
      <c r="H141" s="59"/>
    </row>
    <row r="142" spans="4:8" ht="12.75" customHeight="1" x14ac:dyDescent="0.15">
      <c r="D142" s="59"/>
      <c r="F142" s="59"/>
      <c r="H142" s="59"/>
    </row>
    <row r="143" spans="4:8" ht="12.75" customHeight="1" x14ac:dyDescent="0.15">
      <c r="D143" s="59"/>
      <c r="F143" s="59"/>
      <c r="H143" s="59"/>
    </row>
    <row r="144" spans="4:8" ht="12.75" customHeight="1" x14ac:dyDescent="0.15">
      <c r="D144" s="59"/>
      <c r="F144" s="59"/>
      <c r="H144" s="59"/>
    </row>
    <row r="145" spans="4:8" ht="12.75" customHeight="1" x14ac:dyDescent="0.15">
      <c r="D145" s="59"/>
      <c r="F145" s="59"/>
      <c r="H145" s="59"/>
    </row>
    <row r="146" spans="4:8" ht="12.75" customHeight="1" x14ac:dyDescent="0.15">
      <c r="D146" s="59"/>
      <c r="F146" s="59"/>
      <c r="H146" s="59"/>
    </row>
    <row r="147" spans="4:8" ht="12.75" customHeight="1" x14ac:dyDescent="0.15">
      <c r="D147" s="59"/>
      <c r="F147" s="59"/>
      <c r="H147" s="59"/>
    </row>
    <row r="148" spans="4:8" ht="12.75" customHeight="1" x14ac:dyDescent="0.15">
      <c r="D148" s="59"/>
      <c r="F148" s="59"/>
      <c r="H148" s="59"/>
    </row>
    <row r="149" spans="4:8" ht="12.75" customHeight="1" x14ac:dyDescent="0.15">
      <c r="D149" s="59"/>
      <c r="F149" s="59"/>
      <c r="H149" s="59"/>
    </row>
    <row r="150" spans="4:8" ht="12.75" customHeight="1" x14ac:dyDescent="0.15">
      <c r="D150" s="59"/>
      <c r="F150" s="59"/>
      <c r="H150" s="59"/>
    </row>
    <row r="151" spans="4:8" ht="12.75" customHeight="1" x14ac:dyDescent="0.15">
      <c r="D151" s="59"/>
      <c r="F151" s="59"/>
      <c r="H151" s="59"/>
    </row>
    <row r="152" spans="4:8" ht="12.75" customHeight="1" x14ac:dyDescent="0.15">
      <c r="D152" s="59"/>
      <c r="F152" s="59"/>
      <c r="H152" s="59"/>
    </row>
    <row r="153" spans="4:8" ht="12.75" customHeight="1" x14ac:dyDescent="0.15">
      <c r="D153" s="59"/>
      <c r="F153" s="59"/>
      <c r="H153" s="59"/>
    </row>
    <row r="154" spans="4:8" ht="12.75" customHeight="1" x14ac:dyDescent="0.15">
      <c r="D154" s="59"/>
      <c r="F154" s="59"/>
      <c r="H154" s="59"/>
    </row>
    <row r="155" spans="4:8" ht="12.75" customHeight="1" x14ac:dyDescent="0.15">
      <c r="D155" s="59"/>
      <c r="F155" s="59"/>
      <c r="H155" s="59"/>
    </row>
    <row r="156" spans="4:8" ht="12.75" customHeight="1" x14ac:dyDescent="0.15">
      <c r="D156" s="59"/>
      <c r="F156" s="59"/>
      <c r="H156" s="59"/>
    </row>
    <row r="157" spans="4:8" ht="12.75" customHeight="1" x14ac:dyDescent="0.15">
      <c r="D157" s="59"/>
      <c r="F157" s="59"/>
      <c r="H157" s="59"/>
    </row>
    <row r="158" spans="4:8" ht="12.75" customHeight="1" x14ac:dyDescent="0.15">
      <c r="D158" s="59"/>
      <c r="F158" s="59"/>
      <c r="H158" s="59"/>
    </row>
    <row r="159" spans="4:8" ht="12.75" customHeight="1" x14ac:dyDescent="0.15">
      <c r="D159" s="59"/>
      <c r="F159" s="59"/>
      <c r="H159" s="59"/>
    </row>
    <row r="160" spans="4:8" ht="12.75" customHeight="1" x14ac:dyDescent="0.15">
      <c r="D160" s="59"/>
      <c r="F160" s="59"/>
      <c r="H160" s="59"/>
    </row>
    <row r="161" spans="4:8" ht="12.75" customHeight="1" x14ac:dyDescent="0.15">
      <c r="D161" s="59"/>
      <c r="F161" s="59"/>
      <c r="H161" s="59"/>
    </row>
    <row r="162" spans="4:8" ht="12.75" customHeight="1" x14ac:dyDescent="0.15">
      <c r="D162" s="59"/>
      <c r="F162" s="59"/>
      <c r="H162" s="59"/>
    </row>
    <row r="163" spans="4:8" ht="12.75" customHeight="1" x14ac:dyDescent="0.15">
      <c r="D163" s="59"/>
      <c r="F163" s="59"/>
      <c r="H163" s="59"/>
    </row>
    <row r="164" spans="4:8" ht="12.75" customHeight="1" x14ac:dyDescent="0.15">
      <c r="D164" s="59"/>
      <c r="F164" s="59"/>
      <c r="H164" s="59"/>
    </row>
    <row r="165" spans="4:8" ht="12.75" customHeight="1" x14ac:dyDescent="0.15">
      <c r="D165" s="59"/>
      <c r="F165" s="59"/>
      <c r="H165" s="59"/>
    </row>
    <row r="166" spans="4:8" ht="12.75" customHeight="1" x14ac:dyDescent="0.15">
      <c r="D166" s="59"/>
      <c r="F166" s="59"/>
      <c r="H166" s="59"/>
    </row>
    <row r="167" spans="4:8" ht="12.75" customHeight="1" x14ac:dyDescent="0.15">
      <c r="D167" s="59"/>
      <c r="F167" s="59"/>
      <c r="H167" s="59"/>
    </row>
    <row r="168" spans="4:8" ht="12.75" customHeight="1" x14ac:dyDescent="0.15">
      <c r="D168" s="59"/>
      <c r="F168" s="59"/>
      <c r="H168" s="59"/>
    </row>
    <row r="169" spans="4:8" ht="12.75" customHeight="1" x14ac:dyDescent="0.15">
      <c r="D169" s="59"/>
      <c r="F169" s="59"/>
      <c r="H169" s="59"/>
    </row>
    <row r="170" spans="4:8" ht="12.75" customHeight="1" x14ac:dyDescent="0.15">
      <c r="D170" s="59"/>
      <c r="F170" s="59"/>
      <c r="H170" s="59"/>
    </row>
    <row r="171" spans="4:8" ht="12.75" customHeight="1" x14ac:dyDescent="0.15">
      <c r="D171" s="59"/>
      <c r="F171" s="59"/>
      <c r="H171" s="59"/>
    </row>
    <row r="172" spans="4:8" ht="12.75" customHeight="1" x14ac:dyDescent="0.15">
      <c r="D172" s="59"/>
      <c r="F172" s="59"/>
      <c r="H172" s="59"/>
    </row>
    <row r="173" spans="4:8" ht="12.75" customHeight="1" x14ac:dyDescent="0.15">
      <c r="D173" s="59"/>
      <c r="F173" s="59"/>
      <c r="H173" s="59"/>
    </row>
    <row r="174" spans="4:8" ht="12.75" customHeight="1" x14ac:dyDescent="0.15">
      <c r="D174" s="59"/>
      <c r="F174" s="59"/>
      <c r="H174" s="59"/>
    </row>
    <row r="175" spans="4:8" ht="12.75" customHeight="1" x14ac:dyDescent="0.15">
      <c r="D175" s="59"/>
      <c r="F175" s="59"/>
      <c r="H175" s="59"/>
    </row>
    <row r="176" spans="4:8" ht="12.75" customHeight="1" x14ac:dyDescent="0.15">
      <c r="D176" s="59"/>
      <c r="F176" s="59"/>
      <c r="H176" s="59"/>
    </row>
    <row r="177" spans="4:8" ht="12.75" customHeight="1" x14ac:dyDescent="0.15">
      <c r="D177" s="59"/>
      <c r="F177" s="59"/>
      <c r="H177" s="59"/>
    </row>
    <row r="178" spans="4:8" ht="12.75" customHeight="1" x14ac:dyDescent="0.15">
      <c r="D178" s="59"/>
      <c r="F178" s="59"/>
      <c r="H178" s="59"/>
    </row>
    <row r="179" spans="4:8" ht="12.75" customHeight="1" x14ac:dyDescent="0.15">
      <c r="D179" s="59"/>
      <c r="F179" s="59"/>
      <c r="H179" s="59"/>
    </row>
    <row r="180" spans="4:8" ht="12.75" customHeight="1" x14ac:dyDescent="0.15">
      <c r="D180" s="59"/>
      <c r="F180" s="59"/>
      <c r="H180" s="59"/>
    </row>
    <row r="181" spans="4:8" ht="12.75" customHeight="1" x14ac:dyDescent="0.15">
      <c r="D181" s="59"/>
      <c r="F181" s="59"/>
      <c r="H181" s="59"/>
    </row>
    <row r="182" spans="4:8" ht="12.75" customHeight="1" x14ac:dyDescent="0.15">
      <c r="D182" s="59"/>
      <c r="F182" s="59"/>
      <c r="H182" s="59"/>
    </row>
    <row r="183" spans="4:8" ht="12.75" customHeight="1" x14ac:dyDescent="0.15">
      <c r="D183" s="59"/>
      <c r="F183" s="59"/>
      <c r="H183" s="59"/>
    </row>
    <row r="184" spans="4:8" ht="12.75" customHeight="1" x14ac:dyDescent="0.15">
      <c r="D184" s="59"/>
      <c r="F184" s="59"/>
      <c r="H184" s="59"/>
    </row>
    <row r="185" spans="4:8" ht="12.75" customHeight="1" x14ac:dyDescent="0.15">
      <c r="D185" s="59"/>
      <c r="F185" s="59"/>
      <c r="H185" s="59"/>
    </row>
    <row r="186" spans="4:8" ht="12.75" customHeight="1" x14ac:dyDescent="0.15">
      <c r="D186" s="59"/>
      <c r="F186" s="59"/>
      <c r="H186" s="59"/>
    </row>
    <row r="187" spans="4:8" ht="12.75" customHeight="1" x14ac:dyDescent="0.15">
      <c r="D187" s="59"/>
      <c r="F187" s="59"/>
      <c r="H187" s="59"/>
    </row>
    <row r="188" spans="4:8" ht="12.75" customHeight="1" x14ac:dyDescent="0.15">
      <c r="D188" s="59"/>
      <c r="F188" s="59"/>
      <c r="H188" s="59"/>
    </row>
    <row r="189" spans="4:8" ht="12.75" customHeight="1" x14ac:dyDescent="0.15">
      <c r="D189" s="59"/>
      <c r="F189" s="59"/>
      <c r="H189" s="59"/>
    </row>
    <row r="190" spans="4:8" ht="12.75" customHeight="1" x14ac:dyDescent="0.15">
      <c r="D190" s="59"/>
      <c r="F190" s="59"/>
      <c r="H190" s="59"/>
    </row>
    <row r="191" spans="4:8" ht="12.75" customHeight="1" x14ac:dyDescent="0.15">
      <c r="D191" s="59"/>
      <c r="F191" s="59"/>
      <c r="H191" s="59"/>
    </row>
    <row r="192" spans="4:8" ht="12.75" customHeight="1" x14ac:dyDescent="0.15">
      <c r="D192" s="59"/>
      <c r="F192" s="59"/>
      <c r="H192" s="59"/>
    </row>
    <row r="193" spans="4:8" ht="12.75" customHeight="1" x14ac:dyDescent="0.15">
      <c r="D193" s="59"/>
      <c r="F193" s="59"/>
      <c r="H193" s="59"/>
    </row>
    <row r="194" spans="4:8" ht="12.75" customHeight="1" x14ac:dyDescent="0.15">
      <c r="D194" s="59"/>
      <c r="F194" s="59"/>
      <c r="H194" s="59"/>
    </row>
    <row r="195" spans="4:8" ht="12.75" customHeight="1" x14ac:dyDescent="0.15">
      <c r="D195" s="59"/>
      <c r="F195" s="59"/>
      <c r="H195" s="59"/>
    </row>
    <row r="196" spans="4:8" ht="12.75" customHeight="1" x14ac:dyDescent="0.15">
      <c r="D196" s="59"/>
      <c r="F196" s="59"/>
      <c r="H196" s="59"/>
    </row>
    <row r="197" spans="4:8" ht="12.75" customHeight="1" x14ac:dyDescent="0.15">
      <c r="D197" s="59"/>
      <c r="F197" s="59"/>
      <c r="H197" s="59"/>
    </row>
    <row r="198" spans="4:8" ht="12.75" customHeight="1" x14ac:dyDescent="0.15">
      <c r="D198" s="59"/>
      <c r="F198" s="59"/>
      <c r="H198" s="59"/>
    </row>
    <row r="199" spans="4:8" ht="12.75" customHeight="1" x14ac:dyDescent="0.15">
      <c r="D199" s="59"/>
      <c r="F199" s="59"/>
      <c r="H199" s="59"/>
    </row>
    <row r="200" spans="4:8" ht="12.75" customHeight="1" x14ac:dyDescent="0.15">
      <c r="D200" s="59"/>
      <c r="F200" s="59"/>
      <c r="H200" s="59"/>
    </row>
    <row r="201" spans="4:8" ht="12.75" customHeight="1" x14ac:dyDescent="0.15">
      <c r="D201" s="59"/>
      <c r="F201" s="59"/>
      <c r="H201" s="59"/>
    </row>
    <row r="202" spans="4:8" ht="12.75" customHeight="1" x14ac:dyDescent="0.15">
      <c r="D202" s="59"/>
      <c r="F202" s="59"/>
      <c r="H202" s="59"/>
    </row>
    <row r="203" spans="4:8" ht="12.75" customHeight="1" x14ac:dyDescent="0.15">
      <c r="D203" s="59"/>
      <c r="F203" s="59"/>
      <c r="H203" s="59"/>
    </row>
    <row r="204" spans="4:8" ht="12.75" customHeight="1" x14ac:dyDescent="0.15">
      <c r="D204" s="59"/>
      <c r="F204" s="59"/>
      <c r="H204" s="59"/>
    </row>
    <row r="205" spans="4:8" ht="12.75" customHeight="1" x14ac:dyDescent="0.15">
      <c r="D205" s="59"/>
      <c r="F205" s="59"/>
      <c r="H205" s="59"/>
    </row>
    <row r="206" spans="4:8" ht="12.75" customHeight="1" x14ac:dyDescent="0.15">
      <c r="D206" s="59"/>
      <c r="F206" s="59"/>
      <c r="H206" s="59"/>
    </row>
    <row r="207" spans="4:8" ht="12.75" customHeight="1" x14ac:dyDescent="0.15">
      <c r="D207" s="59"/>
      <c r="F207" s="59"/>
      <c r="H207" s="59"/>
    </row>
    <row r="208" spans="4:8" ht="12.75" customHeight="1" x14ac:dyDescent="0.15">
      <c r="D208" s="59"/>
      <c r="F208" s="59"/>
      <c r="H208" s="59"/>
    </row>
    <row r="209" spans="4:8" ht="12.75" customHeight="1" x14ac:dyDescent="0.15">
      <c r="D209" s="59"/>
      <c r="F209" s="59"/>
      <c r="H209" s="59"/>
    </row>
    <row r="210" spans="4:8" ht="12.75" customHeight="1" x14ac:dyDescent="0.15">
      <c r="D210" s="59"/>
      <c r="F210" s="59"/>
      <c r="H210" s="59"/>
    </row>
    <row r="211" spans="4:8" ht="12.75" customHeight="1" x14ac:dyDescent="0.15">
      <c r="D211" s="59"/>
      <c r="F211" s="59"/>
      <c r="H211" s="59"/>
    </row>
    <row r="212" spans="4:8" ht="12.75" customHeight="1" x14ac:dyDescent="0.15">
      <c r="D212" s="59"/>
      <c r="F212" s="59"/>
      <c r="H212" s="59"/>
    </row>
    <row r="213" spans="4:8" ht="12.75" customHeight="1" x14ac:dyDescent="0.15">
      <c r="D213" s="59"/>
      <c r="F213" s="59"/>
      <c r="H213" s="59"/>
    </row>
    <row r="214" spans="4:8" ht="12.75" customHeight="1" x14ac:dyDescent="0.15">
      <c r="D214" s="59"/>
      <c r="F214" s="59"/>
      <c r="H214" s="59"/>
    </row>
    <row r="215" spans="4:8" ht="12.75" customHeight="1" x14ac:dyDescent="0.15">
      <c r="D215" s="59"/>
      <c r="F215" s="59"/>
      <c r="H215" s="59"/>
    </row>
    <row r="216" spans="4:8" ht="12.75" customHeight="1" x14ac:dyDescent="0.15">
      <c r="D216" s="59"/>
      <c r="F216" s="59"/>
      <c r="H216" s="59"/>
    </row>
    <row r="217" spans="4:8" ht="12.75" customHeight="1" x14ac:dyDescent="0.15">
      <c r="D217" s="59"/>
      <c r="F217" s="59"/>
      <c r="H217" s="59"/>
    </row>
    <row r="218" spans="4:8" ht="12.75" customHeight="1" x14ac:dyDescent="0.15">
      <c r="D218" s="59"/>
      <c r="F218" s="59"/>
      <c r="H218" s="59"/>
    </row>
    <row r="219" spans="4:8" ht="12.75" customHeight="1" x14ac:dyDescent="0.15">
      <c r="D219" s="59"/>
      <c r="F219" s="59"/>
      <c r="H219" s="59"/>
    </row>
    <row r="220" spans="4:8" ht="12.75" customHeight="1" x14ac:dyDescent="0.15">
      <c r="D220" s="59"/>
      <c r="F220" s="59"/>
      <c r="H220" s="59"/>
    </row>
    <row r="221" spans="4:8" ht="12.75" customHeight="1" x14ac:dyDescent="0.15">
      <c r="D221" s="59"/>
      <c r="F221" s="59"/>
      <c r="H221" s="59"/>
    </row>
    <row r="222" spans="4:8" ht="12.75" customHeight="1" x14ac:dyDescent="0.15">
      <c r="D222" s="59"/>
      <c r="F222" s="59"/>
      <c r="H222" s="59"/>
    </row>
    <row r="223" spans="4:8" ht="12.75" customHeight="1" x14ac:dyDescent="0.15">
      <c r="D223" s="59"/>
      <c r="F223" s="59"/>
      <c r="H223" s="59"/>
    </row>
    <row r="224" spans="4:8" ht="12.75" customHeight="1" x14ac:dyDescent="0.15">
      <c r="D224" s="59"/>
      <c r="F224" s="59"/>
      <c r="H224" s="59"/>
    </row>
    <row r="225" spans="4:8" ht="12.75" customHeight="1" x14ac:dyDescent="0.15">
      <c r="D225" s="59"/>
      <c r="F225" s="59"/>
      <c r="H225" s="59"/>
    </row>
    <row r="226" spans="4:8" ht="12.75" customHeight="1" x14ac:dyDescent="0.15">
      <c r="D226" s="59"/>
      <c r="F226" s="59"/>
      <c r="H226" s="59"/>
    </row>
    <row r="227" spans="4:8" ht="12.75" customHeight="1" x14ac:dyDescent="0.15">
      <c r="D227" s="59"/>
      <c r="F227" s="59"/>
      <c r="H227" s="59"/>
    </row>
    <row r="228" spans="4:8" ht="12.75" customHeight="1" x14ac:dyDescent="0.15">
      <c r="D228" s="59"/>
      <c r="F228" s="59"/>
      <c r="H228" s="59"/>
    </row>
    <row r="229" spans="4:8" ht="12.75" customHeight="1" x14ac:dyDescent="0.15">
      <c r="D229" s="59"/>
      <c r="F229" s="59"/>
      <c r="H229" s="59"/>
    </row>
    <row r="230" spans="4:8" ht="12.75" customHeight="1" x14ac:dyDescent="0.15">
      <c r="D230" s="59"/>
      <c r="F230" s="59"/>
      <c r="H230" s="59"/>
    </row>
    <row r="231" spans="4:8" ht="12.75" customHeight="1" x14ac:dyDescent="0.15">
      <c r="D231" s="59"/>
      <c r="F231" s="59"/>
      <c r="H231" s="59"/>
    </row>
    <row r="232" spans="4:8" ht="12.75" customHeight="1" x14ac:dyDescent="0.15">
      <c r="D232" s="59"/>
      <c r="F232" s="59"/>
      <c r="H232" s="59"/>
    </row>
    <row r="233" spans="4:8" ht="12.75" customHeight="1" x14ac:dyDescent="0.15">
      <c r="D233" s="59"/>
      <c r="F233" s="59"/>
      <c r="H233" s="59"/>
    </row>
    <row r="234" spans="4:8" ht="12.75" customHeight="1" x14ac:dyDescent="0.15">
      <c r="D234" s="59"/>
      <c r="F234" s="59"/>
      <c r="H234" s="59"/>
    </row>
    <row r="235" spans="4:8" ht="12.75" customHeight="1" x14ac:dyDescent="0.15">
      <c r="D235" s="59"/>
      <c r="F235" s="59"/>
      <c r="H235" s="59"/>
    </row>
    <row r="236" spans="4:8" ht="12.75" customHeight="1" x14ac:dyDescent="0.15">
      <c r="D236" s="59"/>
      <c r="F236" s="59"/>
      <c r="H236" s="59"/>
    </row>
    <row r="237" spans="4:8" ht="12.75" customHeight="1" x14ac:dyDescent="0.15">
      <c r="D237" s="59"/>
      <c r="F237" s="59"/>
      <c r="H237" s="59"/>
    </row>
    <row r="238" spans="4:8" ht="12.75" customHeight="1" x14ac:dyDescent="0.15">
      <c r="D238" s="59"/>
      <c r="F238" s="59"/>
      <c r="H238" s="59"/>
    </row>
    <row r="239" spans="4:8" ht="12.75" customHeight="1" x14ac:dyDescent="0.15">
      <c r="D239" s="59"/>
      <c r="F239" s="59"/>
      <c r="H239" s="59"/>
    </row>
    <row r="240" spans="4:8" ht="12.75" customHeight="1" x14ac:dyDescent="0.15">
      <c r="D240" s="59"/>
      <c r="F240" s="59"/>
      <c r="H240" s="59"/>
    </row>
    <row r="241" spans="4:8" ht="12.75" customHeight="1" x14ac:dyDescent="0.15">
      <c r="D241" s="59"/>
      <c r="F241" s="59"/>
      <c r="H241" s="59"/>
    </row>
    <row r="242" spans="4:8" ht="12.75" customHeight="1" x14ac:dyDescent="0.15">
      <c r="D242" s="59"/>
      <c r="F242" s="59"/>
      <c r="H242" s="59"/>
    </row>
    <row r="243" spans="4:8" ht="12.75" customHeight="1" x14ac:dyDescent="0.15">
      <c r="D243" s="59"/>
      <c r="F243" s="59"/>
      <c r="H243" s="59"/>
    </row>
    <row r="244" spans="4:8" ht="12.75" customHeight="1" x14ac:dyDescent="0.15">
      <c r="D244" s="59"/>
      <c r="F244" s="59"/>
      <c r="H244" s="59"/>
    </row>
    <row r="245" spans="4:8" ht="12.75" customHeight="1" x14ac:dyDescent="0.15">
      <c r="D245" s="59"/>
      <c r="F245" s="59"/>
      <c r="H245" s="59"/>
    </row>
    <row r="246" spans="4:8" ht="12.75" customHeight="1" x14ac:dyDescent="0.15">
      <c r="D246" s="59"/>
      <c r="F246" s="59"/>
      <c r="H246" s="59"/>
    </row>
    <row r="247" spans="4:8" ht="12.75" customHeight="1" x14ac:dyDescent="0.15">
      <c r="D247" s="59"/>
      <c r="F247" s="59"/>
      <c r="H247" s="59"/>
    </row>
    <row r="248" spans="4:8" ht="12.75" customHeight="1" x14ac:dyDescent="0.15">
      <c r="D248" s="59"/>
      <c r="F248" s="59"/>
      <c r="H248" s="59"/>
    </row>
    <row r="249" spans="4:8" ht="12.75" customHeight="1" x14ac:dyDescent="0.15">
      <c r="D249" s="59"/>
      <c r="F249" s="59"/>
      <c r="H249" s="59"/>
    </row>
    <row r="250" spans="4:8" ht="12.75" customHeight="1" x14ac:dyDescent="0.15">
      <c r="D250" s="59"/>
      <c r="F250" s="59"/>
      <c r="H250" s="59"/>
    </row>
    <row r="251" spans="4:8" ht="12.75" customHeight="1" x14ac:dyDescent="0.15">
      <c r="D251" s="59"/>
      <c r="F251" s="59"/>
      <c r="H251" s="59"/>
    </row>
    <row r="252" spans="4:8" ht="12.75" customHeight="1" x14ac:dyDescent="0.15">
      <c r="D252" s="59"/>
      <c r="F252" s="59"/>
      <c r="H252" s="59"/>
    </row>
    <row r="253" spans="4:8" ht="12.75" customHeight="1" x14ac:dyDescent="0.15">
      <c r="D253" s="59"/>
      <c r="F253" s="59"/>
      <c r="H253" s="59"/>
    </row>
    <row r="254" spans="4:8" ht="12.75" customHeight="1" x14ac:dyDescent="0.15">
      <c r="D254" s="59"/>
      <c r="F254" s="59"/>
      <c r="H254" s="59"/>
    </row>
    <row r="255" spans="4:8" ht="12.75" customHeight="1" x14ac:dyDescent="0.15">
      <c r="D255" s="59"/>
      <c r="F255" s="59"/>
      <c r="H255" s="59"/>
    </row>
    <row r="256" spans="4:8" ht="12.75" customHeight="1" x14ac:dyDescent="0.15">
      <c r="D256" s="59"/>
      <c r="F256" s="59"/>
      <c r="H256" s="59"/>
    </row>
    <row r="257" spans="4:8" ht="12.75" customHeight="1" x14ac:dyDescent="0.15">
      <c r="D257" s="59"/>
      <c r="F257" s="59"/>
      <c r="H257" s="59"/>
    </row>
    <row r="258" spans="4:8" ht="12.75" customHeight="1" x14ac:dyDescent="0.15">
      <c r="D258" s="59"/>
      <c r="F258" s="59"/>
      <c r="H258" s="59"/>
    </row>
    <row r="259" spans="4:8" ht="12.75" customHeight="1" x14ac:dyDescent="0.15">
      <c r="D259" s="59"/>
      <c r="F259" s="59"/>
      <c r="H259" s="59"/>
    </row>
    <row r="260" spans="4:8" ht="12.75" customHeight="1" x14ac:dyDescent="0.15">
      <c r="D260" s="59"/>
      <c r="F260" s="59"/>
      <c r="H260" s="59"/>
    </row>
    <row r="261" spans="4:8" ht="12.75" customHeight="1" x14ac:dyDescent="0.15">
      <c r="D261" s="59"/>
      <c r="F261" s="59"/>
      <c r="H261" s="59"/>
    </row>
    <row r="262" spans="4:8" ht="12.75" customHeight="1" x14ac:dyDescent="0.15">
      <c r="D262" s="59"/>
      <c r="F262" s="59"/>
      <c r="H262" s="59"/>
    </row>
    <row r="263" spans="4:8" ht="12.75" customHeight="1" x14ac:dyDescent="0.15">
      <c r="D263" s="59"/>
      <c r="F263" s="59"/>
      <c r="H263" s="59"/>
    </row>
    <row r="264" spans="4:8" ht="12.75" customHeight="1" x14ac:dyDescent="0.15">
      <c r="D264" s="59"/>
      <c r="F264" s="59"/>
      <c r="H264" s="59"/>
    </row>
    <row r="265" spans="4:8" ht="12.75" customHeight="1" x14ac:dyDescent="0.15">
      <c r="D265" s="59"/>
      <c r="F265" s="59"/>
      <c r="H265" s="59"/>
    </row>
    <row r="266" spans="4:8" ht="12.75" customHeight="1" x14ac:dyDescent="0.15">
      <c r="D266" s="59"/>
      <c r="F266" s="59"/>
      <c r="H266" s="59"/>
    </row>
    <row r="267" spans="4:8" ht="12.75" customHeight="1" x14ac:dyDescent="0.15">
      <c r="D267" s="59"/>
      <c r="F267" s="59"/>
      <c r="H267" s="59"/>
    </row>
    <row r="268" spans="4:8" ht="12.75" customHeight="1" x14ac:dyDescent="0.15">
      <c r="D268" s="59"/>
      <c r="F268" s="59"/>
      <c r="H268" s="59"/>
    </row>
    <row r="269" spans="4:8" ht="12.75" customHeight="1" x14ac:dyDescent="0.15">
      <c r="D269" s="59"/>
      <c r="F269" s="59"/>
      <c r="H269" s="59"/>
    </row>
    <row r="270" spans="4:8" ht="12.75" customHeight="1" x14ac:dyDescent="0.15">
      <c r="D270" s="59"/>
      <c r="F270" s="59"/>
      <c r="H270" s="59"/>
    </row>
    <row r="271" spans="4:8" ht="12.75" customHeight="1" x14ac:dyDescent="0.15">
      <c r="D271" s="59"/>
      <c r="F271" s="59"/>
      <c r="H271" s="59"/>
    </row>
    <row r="272" spans="4:8" ht="12.75" customHeight="1" x14ac:dyDescent="0.15">
      <c r="D272" s="59"/>
      <c r="F272" s="59"/>
      <c r="H272" s="59"/>
    </row>
    <row r="273" spans="4:8" ht="12.75" customHeight="1" x14ac:dyDescent="0.15">
      <c r="D273" s="59"/>
      <c r="F273" s="59"/>
      <c r="H273" s="59"/>
    </row>
    <row r="274" spans="4:8" ht="12.75" customHeight="1" x14ac:dyDescent="0.15">
      <c r="D274" s="59"/>
      <c r="F274" s="59"/>
      <c r="H274" s="59"/>
    </row>
    <row r="275" spans="4:8" ht="12.75" customHeight="1" x14ac:dyDescent="0.15">
      <c r="D275" s="59"/>
      <c r="F275" s="59"/>
      <c r="H275" s="59"/>
    </row>
    <row r="276" spans="4:8" ht="12.75" customHeight="1" x14ac:dyDescent="0.15">
      <c r="D276" s="59"/>
      <c r="F276" s="59"/>
      <c r="H276" s="59"/>
    </row>
    <row r="277" spans="4:8" ht="12.75" customHeight="1" x14ac:dyDescent="0.15">
      <c r="D277" s="59"/>
      <c r="F277" s="59"/>
      <c r="H277" s="59"/>
    </row>
    <row r="278" spans="4:8" ht="12.75" customHeight="1" x14ac:dyDescent="0.15">
      <c r="D278" s="59"/>
      <c r="F278" s="59"/>
      <c r="H278" s="59"/>
    </row>
    <row r="279" spans="4:8" ht="12.75" customHeight="1" x14ac:dyDescent="0.15">
      <c r="D279" s="59"/>
      <c r="F279" s="59"/>
      <c r="H279" s="59"/>
    </row>
    <row r="280" spans="4:8" ht="12.75" customHeight="1" x14ac:dyDescent="0.15">
      <c r="D280" s="59"/>
      <c r="F280" s="59"/>
      <c r="H280" s="59"/>
    </row>
    <row r="281" spans="4:8" ht="12.75" customHeight="1" x14ac:dyDescent="0.15">
      <c r="D281" s="59"/>
      <c r="F281" s="59"/>
      <c r="H281" s="59"/>
    </row>
    <row r="282" spans="4:8" ht="12.75" customHeight="1" x14ac:dyDescent="0.15">
      <c r="D282" s="59"/>
      <c r="F282" s="59"/>
      <c r="H282" s="59"/>
    </row>
    <row r="283" spans="4:8" ht="12.75" customHeight="1" x14ac:dyDescent="0.15">
      <c r="D283" s="59"/>
      <c r="F283" s="59"/>
      <c r="H283" s="59"/>
    </row>
    <row r="284" spans="4:8" ht="12.75" customHeight="1" x14ac:dyDescent="0.15">
      <c r="D284" s="59"/>
      <c r="F284" s="59"/>
      <c r="H284" s="59"/>
    </row>
    <row r="285" spans="4:8" ht="12.75" customHeight="1" x14ac:dyDescent="0.15">
      <c r="D285" s="59"/>
      <c r="F285" s="59"/>
      <c r="H285" s="59"/>
    </row>
    <row r="286" spans="4:8" ht="12.75" customHeight="1" x14ac:dyDescent="0.15">
      <c r="D286" s="59"/>
      <c r="F286" s="59"/>
      <c r="H286" s="59"/>
    </row>
    <row r="287" spans="4:8" ht="12.75" customHeight="1" x14ac:dyDescent="0.15">
      <c r="D287" s="59"/>
      <c r="F287" s="59"/>
      <c r="H287" s="59"/>
    </row>
    <row r="288" spans="4:8" ht="12.75" customHeight="1" x14ac:dyDescent="0.15">
      <c r="D288" s="59"/>
      <c r="F288" s="59"/>
      <c r="H288" s="59"/>
    </row>
    <row r="289" spans="4:8" ht="12.75" customHeight="1" x14ac:dyDescent="0.15">
      <c r="D289" s="59"/>
      <c r="F289" s="59"/>
      <c r="H289" s="59"/>
    </row>
    <row r="290" spans="4:8" ht="12.75" customHeight="1" x14ac:dyDescent="0.15">
      <c r="D290" s="59"/>
      <c r="F290" s="59"/>
      <c r="H290" s="59"/>
    </row>
    <row r="291" spans="4:8" ht="12.75" customHeight="1" x14ac:dyDescent="0.15">
      <c r="D291" s="59"/>
      <c r="F291" s="59"/>
      <c r="H291" s="59"/>
    </row>
    <row r="292" spans="4:8" ht="12.75" customHeight="1" x14ac:dyDescent="0.15">
      <c r="D292" s="59"/>
      <c r="F292" s="59"/>
      <c r="H292" s="59"/>
    </row>
    <row r="293" spans="4:8" ht="12.75" customHeight="1" x14ac:dyDescent="0.15">
      <c r="D293" s="59"/>
      <c r="F293" s="59"/>
      <c r="H293" s="59"/>
    </row>
    <row r="294" spans="4:8" ht="12.75" customHeight="1" x14ac:dyDescent="0.15">
      <c r="D294" s="59"/>
      <c r="F294" s="59"/>
      <c r="H294" s="59"/>
    </row>
    <row r="295" spans="4:8" ht="12.75" customHeight="1" x14ac:dyDescent="0.15">
      <c r="D295" s="59"/>
      <c r="F295" s="59"/>
      <c r="H295" s="59"/>
    </row>
    <row r="296" spans="4:8" ht="12.75" customHeight="1" x14ac:dyDescent="0.15">
      <c r="D296" s="59"/>
      <c r="F296" s="59"/>
      <c r="H296" s="59"/>
    </row>
    <row r="297" spans="4:8" ht="12.75" customHeight="1" x14ac:dyDescent="0.15">
      <c r="D297" s="59"/>
      <c r="F297" s="59"/>
      <c r="H297" s="59"/>
    </row>
    <row r="298" spans="4:8" ht="12.75" customHeight="1" x14ac:dyDescent="0.15">
      <c r="D298" s="59"/>
      <c r="F298" s="59"/>
      <c r="H298" s="59"/>
    </row>
    <row r="299" spans="4:8" ht="12.75" customHeight="1" x14ac:dyDescent="0.15">
      <c r="D299" s="59"/>
      <c r="F299" s="59"/>
      <c r="H299" s="59"/>
    </row>
    <row r="300" spans="4:8" ht="12.75" customHeight="1" x14ac:dyDescent="0.15">
      <c r="D300" s="59"/>
      <c r="F300" s="59"/>
      <c r="H300" s="59"/>
    </row>
    <row r="301" spans="4:8" ht="12.75" customHeight="1" x14ac:dyDescent="0.15">
      <c r="D301" s="59"/>
      <c r="F301" s="59"/>
      <c r="H301" s="59"/>
    </row>
    <row r="302" spans="4:8" ht="12.75" customHeight="1" x14ac:dyDescent="0.15">
      <c r="D302" s="59"/>
      <c r="F302" s="59"/>
      <c r="H302" s="59"/>
    </row>
    <row r="303" spans="4:8" ht="12.75" customHeight="1" x14ac:dyDescent="0.15">
      <c r="D303" s="59"/>
      <c r="F303" s="59"/>
      <c r="H303" s="59"/>
    </row>
    <row r="304" spans="4:8" ht="12.75" customHeight="1" x14ac:dyDescent="0.15">
      <c r="D304" s="59"/>
      <c r="F304" s="59"/>
      <c r="H304" s="59"/>
    </row>
    <row r="305" spans="4:8" ht="12.75" customHeight="1" x14ac:dyDescent="0.15">
      <c r="D305" s="59"/>
      <c r="F305" s="59"/>
      <c r="H305" s="59"/>
    </row>
    <row r="306" spans="4:8" ht="12.75" customHeight="1" x14ac:dyDescent="0.15">
      <c r="D306" s="59"/>
      <c r="F306" s="59"/>
      <c r="H306" s="59"/>
    </row>
    <row r="307" spans="4:8" ht="12.75" customHeight="1" x14ac:dyDescent="0.15">
      <c r="D307" s="59"/>
      <c r="F307" s="59"/>
      <c r="H307" s="59"/>
    </row>
    <row r="308" spans="4:8" ht="12.75" customHeight="1" x14ac:dyDescent="0.15">
      <c r="D308" s="59"/>
      <c r="F308" s="59"/>
      <c r="H308" s="59"/>
    </row>
    <row r="309" spans="4:8" ht="12.75" customHeight="1" x14ac:dyDescent="0.15">
      <c r="D309" s="59"/>
      <c r="F309" s="59"/>
      <c r="H309" s="59"/>
    </row>
    <row r="310" spans="4:8" ht="12.75" customHeight="1" x14ac:dyDescent="0.15">
      <c r="D310" s="59"/>
      <c r="F310" s="59"/>
      <c r="H310" s="59"/>
    </row>
    <row r="311" spans="4:8" ht="12.75" customHeight="1" x14ac:dyDescent="0.15">
      <c r="D311" s="59"/>
      <c r="F311" s="59"/>
      <c r="H311" s="59"/>
    </row>
    <row r="312" spans="4:8" ht="12.75" customHeight="1" x14ac:dyDescent="0.15">
      <c r="D312" s="59"/>
      <c r="F312" s="59"/>
      <c r="H312" s="59"/>
    </row>
    <row r="313" spans="4:8" ht="12.75" customHeight="1" x14ac:dyDescent="0.15">
      <c r="D313" s="59"/>
      <c r="F313" s="59"/>
      <c r="H313" s="59"/>
    </row>
    <row r="314" spans="4:8" ht="12.75" customHeight="1" x14ac:dyDescent="0.15">
      <c r="D314" s="59"/>
      <c r="F314" s="59"/>
      <c r="H314" s="59"/>
    </row>
    <row r="315" spans="4:8" ht="12.75" customHeight="1" x14ac:dyDescent="0.15">
      <c r="D315" s="59"/>
      <c r="F315" s="59"/>
      <c r="H315" s="59"/>
    </row>
    <row r="316" spans="4:8" ht="12.75" customHeight="1" x14ac:dyDescent="0.15">
      <c r="D316" s="59"/>
      <c r="F316" s="59"/>
      <c r="H316" s="59"/>
    </row>
    <row r="317" spans="4:8" ht="12.75" customHeight="1" x14ac:dyDescent="0.15">
      <c r="D317" s="59"/>
      <c r="F317" s="59"/>
      <c r="H317" s="59"/>
    </row>
    <row r="318" spans="4:8" ht="12.75" customHeight="1" x14ac:dyDescent="0.15">
      <c r="D318" s="59"/>
      <c r="F318" s="59"/>
      <c r="H318" s="59"/>
    </row>
    <row r="319" spans="4:8" ht="12.75" customHeight="1" x14ac:dyDescent="0.15">
      <c r="D319" s="59"/>
      <c r="F319" s="59"/>
      <c r="H319" s="59"/>
    </row>
    <row r="320" spans="4:8" ht="12.75" customHeight="1" x14ac:dyDescent="0.15">
      <c r="D320" s="59"/>
      <c r="F320" s="59"/>
      <c r="H320" s="59"/>
    </row>
    <row r="321" spans="4:8" ht="12.75" customHeight="1" x14ac:dyDescent="0.15">
      <c r="D321" s="59"/>
      <c r="F321" s="59"/>
      <c r="H321" s="59"/>
    </row>
    <row r="322" spans="4:8" ht="12.75" customHeight="1" x14ac:dyDescent="0.15">
      <c r="D322" s="59"/>
      <c r="F322" s="59"/>
      <c r="H322" s="59"/>
    </row>
    <row r="323" spans="4:8" ht="12.75" customHeight="1" x14ac:dyDescent="0.15">
      <c r="D323" s="59"/>
      <c r="F323" s="59"/>
      <c r="H323" s="59"/>
    </row>
    <row r="324" spans="4:8" ht="12.75" customHeight="1" x14ac:dyDescent="0.15">
      <c r="D324" s="59"/>
      <c r="F324" s="59"/>
      <c r="H324" s="59"/>
    </row>
    <row r="325" spans="4:8" ht="12.75" customHeight="1" x14ac:dyDescent="0.15">
      <c r="D325" s="59"/>
      <c r="F325" s="59"/>
      <c r="H325" s="59"/>
    </row>
    <row r="326" spans="4:8" ht="12.75" customHeight="1" x14ac:dyDescent="0.15">
      <c r="D326" s="59"/>
      <c r="F326" s="59"/>
      <c r="H326" s="59"/>
    </row>
    <row r="327" spans="4:8" ht="12.75" customHeight="1" x14ac:dyDescent="0.15">
      <c r="D327" s="59"/>
      <c r="F327" s="59"/>
      <c r="H327" s="59"/>
    </row>
    <row r="328" spans="4:8" ht="12.75" customHeight="1" x14ac:dyDescent="0.15">
      <c r="D328" s="59"/>
      <c r="F328" s="59"/>
      <c r="H328" s="59"/>
    </row>
    <row r="329" spans="4:8" ht="12.75" customHeight="1" x14ac:dyDescent="0.15">
      <c r="D329" s="59"/>
      <c r="F329" s="59"/>
      <c r="H329" s="59"/>
    </row>
    <row r="330" spans="4:8" ht="12.75" customHeight="1" x14ac:dyDescent="0.15">
      <c r="D330" s="59"/>
      <c r="F330" s="59"/>
      <c r="H330" s="59"/>
    </row>
    <row r="331" spans="4:8" ht="12.75" customHeight="1" x14ac:dyDescent="0.15">
      <c r="D331" s="59"/>
      <c r="F331" s="59"/>
      <c r="H331" s="59"/>
    </row>
    <row r="332" spans="4:8" ht="12.75" customHeight="1" x14ac:dyDescent="0.15">
      <c r="D332" s="59"/>
      <c r="F332" s="59"/>
      <c r="H332" s="59"/>
    </row>
    <row r="333" spans="4:8" ht="12.75" customHeight="1" x14ac:dyDescent="0.15">
      <c r="D333" s="59"/>
      <c r="F333" s="59"/>
      <c r="H333" s="59"/>
    </row>
    <row r="334" spans="4:8" ht="12.75" customHeight="1" x14ac:dyDescent="0.15">
      <c r="D334" s="59"/>
      <c r="F334" s="59"/>
      <c r="H334" s="59"/>
    </row>
    <row r="335" spans="4:8" ht="12.75" customHeight="1" x14ac:dyDescent="0.15">
      <c r="D335" s="59"/>
      <c r="F335" s="59"/>
      <c r="H335" s="59"/>
    </row>
    <row r="336" spans="4:8" ht="12.75" customHeight="1" x14ac:dyDescent="0.15">
      <c r="D336" s="59"/>
      <c r="F336" s="59"/>
      <c r="H336" s="59"/>
    </row>
    <row r="337" spans="4:8" ht="12.75" customHeight="1" x14ac:dyDescent="0.15">
      <c r="D337" s="59"/>
      <c r="F337" s="59"/>
      <c r="H337" s="59"/>
    </row>
    <row r="338" spans="4:8" ht="12.75" customHeight="1" x14ac:dyDescent="0.15">
      <c r="D338" s="59"/>
      <c r="F338" s="59"/>
      <c r="H338" s="59"/>
    </row>
    <row r="339" spans="4:8" ht="12.75" customHeight="1" x14ac:dyDescent="0.15">
      <c r="D339" s="59"/>
      <c r="F339" s="59"/>
      <c r="H339" s="59"/>
    </row>
    <row r="340" spans="4:8" ht="12.75" customHeight="1" x14ac:dyDescent="0.15">
      <c r="D340" s="59"/>
      <c r="F340" s="59"/>
      <c r="H340" s="59"/>
    </row>
    <row r="341" spans="4:8" ht="12.75" customHeight="1" x14ac:dyDescent="0.15">
      <c r="D341" s="59"/>
      <c r="F341" s="59"/>
      <c r="H341" s="59"/>
    </row>
    <row r="342" spans="4:8" ht="12.75" customHeight="1" x14ac:dyDescent="0.15">
      <c r="D342" s="59"/>
      <c r="F342" s="59"/>
      <c r="H342" s="59"/>
    </row>
    <row r="343" spans="4:8" ht="12.75" customHeight="1" x14ac:dyDescent="0.15">
      <c r="D343" s="59"/>
      <c r="F343" s="59"/>
      <c r="H343" s="59"/>
    </row>
    <row r="344" spans="4:8" ht="12.75" customHeight="1" x14ac:dyDescent="0.15">
      <c r="D344" s="59"/>
      <c r="F344" s="59"/>
      <c r="H344" s="59"/>
    </row>
    <row r="345" spans="4:8" ht="12.75" customHeight="1" x14ac:dyDescent="0.15">
      <c r="D345" s="59"/>
      <c r="F345" s="59"/>
      <c r="H345" s="59"/>
    </row>
    <row r="346" spans="4:8" ht="12.75" customHeight="1" x14ac:dyDescent="0.15">
      <c r="D346" s="59"/>
      <c r="F346" s="59"/>
      <c r="H346" s="59"/>
    </row>
    <row r="347" spans="4:8" ht="12.75" customHeight="1" x14ac:dyDescent="0.15">
      <c r="D347" s="59"/>
      <c r="F347" s="59"/>
      <c r="H347" s="59"/>
    </row>
    <row r="348" spans="4:8" ht="12.75" customHeight="1" x14ac:dyDescent="0.15">
      <c r="D348" s="59"/>
      <c r="F348" s="59"/>
      <c r="H348" s="59"/>
    </row>
    <row r="349" spans="4:8" ht="12.75" customHeight="1" x14ac:dyDescent="0.15">
      <c r="D349" s="59"/>
      <c r="F349" s="59"/>
      <c r="H349" s="59"/>
    </row>
    <row r="350" spans="4:8" ht="12.75" customHeight="1" x14ac:dyDescent="0.15">
      <c r="D350" s="59"/>
      <c r="F350" s="59"/>
      <c r="H350" s="59"/>
    </row>
    <row r="351" spans="4:8" ht="12.75" customHeight="1" x14ac:dyDescent="0.15">
      <c r="D351" s="59"/>
      <c r="F351" s="59"/>
      <c r="H351" s="59"/>
    </row>
    <row r="352" spans="4:8" ht="12.75" customHeight="1" x14ac:dyDescent="0.15">
      <c r="D352" s="59"/>
      <c r="F352" s="59"/>
      <c r="H352" s="59"/>
    </row>
    <row r="353" spans="4:8" ht="12.75" customHeight="1" x14ac:dyDescent="0.15">
      <c r="D353" s="59"/>
      <c r="F353" s="59"/>
      <c r="H353" s="59"/>
    </row>
    <row r="354" spans="4:8" ht="12.75" customHeight="1" x14ac:dyDescent="0.15">
      <c r="D354" s="59"/>
      <c r="F354" s="59"/>
      <c r="H354" s="59"/>
    </row>
    <row r="355" spans="4:8" ht="12.75" customHeight="1" x14ac:dyDescent="0.15">
      <c r="D355" s="59"/>
      <c r="F355" s="59"/>
      <c r="H355" s="59"/>
    </row>
    <row r="356" spans="4:8" ht="12.75" customHeight="1" x14ac:dyDescent="0.15">
      <c r="D356" s="59"/>
      <c r="F356" s="59"/>
      <c r="H356" s="59"/>
    </row>
    <row r="357" spans="4:8" ht="12.75" customHeight="1" x14ac:dyDescent="0.15">
      <c r="D357" s="59"/>
      <c r="F357" s="59"/>
      <c r="H357" s="59"/>
    </row>
    <row r="358" spans="4:8" ht="12.75" customHeight="1" x14ac:dyDescent="0.15">
      <c r="D358" s="59"/>
      <c r="F358" s="59"/>
      <c r="H358" s="59"/>
    </row>
    <row r="359" spans="4:8" ht="12.75" customHeight="1" x14ac:dyDescent="0.15">
      <c r="D359" s="59"/>
      <c r="F359" s="59"/>
      <c r="H359" s="59"/>
    </row>
    <row r="360" spans="4:8" ht="12.75" customHeight="1" x14ac:dyDescent="0.15">
      <c r="D360" s="59"/>
      <c r="F360" s="59"/>
      <c r="H360" s="59"/>
    </row>
    <row r="361" spans="4:8" ht="12.75" customHeight="1" x14ac:dyDescent="0.15">
      <c r="D361" s="59"/>
      <c r="F361" s="59"/>
      <c r="H361" s="59"/>
    </row>
    <row r="362" spans="4:8" ht="12.75" customHeight="1" x14ac:dyDescent="0.15">
      <c r="D362" s="59"/>
      <c r="F362" s="59"/>
      <c r="H362" s="59"/>
    </row>
    <row r="363" spans="4:8" ht="12.75" customHeight="1" x14ac:dyDescent="0.15">
      <c r="D363" s="59"/>
      <c r="F363" s="59"/>
      <c r="H363" s="59"/>
    </row>
    <row r="364" spans="4:8" ht="12.75" customHeight="1" x14ac:dyDescent="0.15">
      <c r="D364" s="59"/>
      <c r="F364" s="59"/>
      <c r="H364" s="59"/>
    </row>
    <row r="365" spans="4:8" ht="12.75" customHeight="1" x14ac:dyDescent="0.15">
      <c r="D365" s="59"/>
      <c r="F365" s="59"/>
      <c r="H365" s="59"/>
    </row>
    <row r="366" spans="4:8" ht="12.75" customHeight="1" x14ac:dyDescent="0.15">
      <c r="D366" s="59"/>
      <c r="F366" s="59"/>
      <c r="H366" s="59"/>
    </row>
    <row r="367" spans="4:8" ht="12.75" customHeight="1" x14ac:dyDescent="0.15">
      <c r="D367" s="59"/>
      <c r="F367" s="59"/>
      <c r="H367" s="59"/>
    </row>
    <row r="368" spans="4:8" ht="12.75" customHeight="1" x14ac:dyDescent="0.15">
      <c r="D368" s="59"/>
      <c r="F368" s="59"/>
      <c r="H368" s="59"/>
    </row>
    <row r="369" spans="4:8" ht="12.75" customHeight="1" x14ac:dyDescent="0.15">
      <c r="D369" s="59"/>
      <c r="F369" s="59"/>
      <c r="H369" s="59"/>
    </row>
    <row r="370" spans="4:8" ht="12.75" customHeight="1" x14ac:dyDescent="0.15">
      <c r="D370" s="59"/>
      <c r="F370" s="59"/>
      <c r="H370" s="59"/>
    </row>
    <row r="371" spans="4:8" ht="12.75" customHeight="1" x14ac:dyDescent="0.15">
      <c r="D371" s="59"/>
      <c r="F371" s="59"/>
      <c r="H371" s="59"/>
    </row>
    <row r="372" spans="4:8" ht="12.75" customHeight="1" x14ac:dyDescent="0.15">
      <c r="D372" s="59"/>
      <c r="F372" s="59"/>
      <c r="H372" s="59"/>
    </row>
    <row r="373" spans="4:8" ht="12.75" customHeight="1" x14ac:dyDescent="0.15">
      <c r="D373" s="59"/>
      <c r="F373" s="59"/>
      <c r="H373" s="59"/>
    </row>
    <row r="374" spans="4:8" ht="12.75" customHeight="1" x14ac:dyDescent="0.15">
      <c r="D374" s="59"/>
      <c r="F374" s="59"/>
      <c r="H374" s="59"/>
    </row>
    <row r="375" spans="4:8" ht="12.75" customHeight="1" x14ac:dyDescent="0.15">
      <c r="D375" s="59"/>
      <c r="F375" s="59"/>
      <c r="H375" s="59"/>
    </row>
    <row r="376" spans="4:8" ht="12.75" customHeight="1" x14ac:dyDescent="0.15">
      <c r="D376" s="59"/>
      <c r="F376" s="59"/>
      <c r="H376" s="59"/>
    </row>
    <row r="377" spans="4:8" ht="12.75" customHeight="1" x14ac:dyDescent="0.15">
      <c r="D377" s="59"/>
      <c r="F377" s="59"/>
      <c r="H377" s="59"/>
    </row>
    <row r="378" spans="4:8" ht="12.75" customHeight="1" x14ac:dyDescent="0.15">
      <c r="D378" s="59"/>
      <c r="F378" s="59"/>
      <c r="H378" s="59"/>
    </row>
    <row r="379" spans="4:8" ht="12.75" customHeight="1" x14ac:dyDescent="0.15">
      <c r="D379" s="59"/>
      <c r="F379" s="59"/>
      <c r="H379" s="59"/>
    </row>
    <row r="380" spans="4:8" ht="12.75" customHeight="1" x14ac:dyDescent="0.15">
      <c r="D380" s="59"/>
      <c r="F380" s="59"/>
      <c r="H380" s="59"/>
    </row>
    <row r="381" spans="4:8" ht="12.75" customHeight="1" x14ac:dyDescent="0.15">
      <c r="D381" s="59"/>
      <c r="F381" s="59"/>
      <c r="H381" s="59"/>
    </row>
    <row r="382" spans="4:8" ht="12.75" customHeight="1" x14ac:dyDescent="0.15">
      <c r="D382" s="59"/>
      <c r="F382" s="59"/>
      <c r="H382" s="59"/>
    </row>
    <row r="383" spans="4:8" ht="12.75" customHeight="1" x14ac:dyDescent="0.15">
      <c r="D383" s="59"/>
      <c r="F383" s="59"/>
      <c r="H383" s="59"/>
    </row>
    <row r="384" spans="4:8" ht="12.75" customHeight="1" x14ac:dyDescent="0.15">
      <c r="D384" s="59"/>
      <c r="F384" s="59"/>
      <c r="H384" s="59"/>
    </row>
    <row r="385" spans="4:8" ht="12.75" customHeight="1" x14ac:dyDescent="0.15">
      <c r="D385" s="59"/>
      <c r="F385" s="59"/>
      <c r="H385" s="59"/>
    </row>
    <row r="386" spans="4:8" ht="12.75" customHeight="1" x14ac:dyDescent="0.15">
      <c r="D386" s="59"/>
      <c r="F386" s="59"/>
      <c r="H386" s="59"/>
    </row>
    <row r="387" spans="4:8" ht="12.75" customHeight="1" x14ac:dyDescent="0.15">
      <c r="D387" s="59"/>
      <c r="F387" s="59"/>
      <c r="H387" s="59"/>
    </row>
    <row r="388" spans="4:8" ht="12.75" customHeight="1" x14ac:dyDescent="0.15">
      <c r="D388" s="59"/>
      <c r="F388" s="59"/>
      <c r="H388" s="59"/>
    </row>
    <row r="389" spans="4:8" ht="12.75" customHeight="1" x14ac:dyDescent="0.15">
      <c r="D389" s="59"/>
      <c r="F389" s="59"/>
      <c r="H389" s="59"/>
    </row>
    <row r="390" spans="4:8" ht="12.75" customHeight="1" x14ac:dyDescent="0.15">
      <c r="D390" s="59"/>
      <c r="F390" s="59"/>
      <c r="H390" s="59"/>
    </row>
    <row r="391" spans="4:8" ht="12.75" customHeight="1" x14ac:dyDescent="0.15">
      <c r="D391" s="59"/>
      <c r="F391" s="59"/>
      <c r="H391" s="59"/>
    </row>
    <row r="392" spans="4:8" ht="12.75" customHeight="1" x14ac:dyDescent="0.15">
      <c r="D392" s="59"/>
      <c r="F392" s="59"/>
      <c r="H392" s="59"/>
    </row>
    <row r="393" spans="4:8" ht="12.75" customHeight="1" x14ac:dyDescent="0.15">
      <c r="D393" s="59"/>
      <c r="F393" s="59"/>
      <c r="H393" s="59"/>
    </row>
    <row r="394" spans="4:8" ht="12.75" customHeight="1" x14ac:dyDescent="0.15">
      <c r="D394" s="59"/>
      <c r="F394" s="59"/>
      <c r="H394" s="59"/>
    </row>
    <row r="395" spans="4:8" ht="12.75" customHeight="1" x14ac:dyDescent="0.15">
      <c r="D395" s="59"/>
      <c r="F395" s="59"/>
      <c r="H395" s="59"/>
    </row>
    <row r="396" spans="4:8" ht="12.75" customHeight="1" x14ac:dyDescent="0.15">
      <c r="D396" s="59"/>
      <c r="F396" s="59"/>
      <c r="H396" s="59"/>
    </row>
    <row r="397" spans="4:8" ht="12.75" customHeight="1" x14ac:dyDescent="0.15">
      <c r="D397" s="59"/>
      <c r="F397" s="59"/>
      <c r="H397" s="59"/>
    </row>
    <row r="398" spans="4:8" ht="12.75" customHeight="1" x14ac:dyDescent="0.15">
      <c r="D398" s="59"/>
      <c r="F398" s="59"/>
      <c r="H398" s="59"/>
    </row>
    <row r="399" spans="4:8" ht="12.75" customHeight="1" x14ac:dyDescent="0.15">
      <c r="D399" s="59"/>
      <c r="F399" s="59"/>
      <c r="H399" s="59"/>
    </row>
    <row r="400" spans="4:8" ht="12.75" customHeight="1" x14ac:dyDescent="0.15">
      <c r="D400" s="59"/>
      <c r="F400" s="59"/>
      <c r="H400" s="59"/>
    </row>
    <row r="401" spans="4:8" ht="12.75" customHeight="1" x14ac:dyDescent="0.15">
      <c r="D401" s="59"/>
      <c r="F401" s="59"/>
      <c r="H401" s="59"/>
    </row>
    <row r="402" spans="4:8" ht="12.75" customHeight="1" x14ac:dyDescent="0.15">
      <c r="D402" s="59"/>
      <c r="F402" s="59"/>
      <c r="H402" s="59"/>
    </row>
    <row r="403" spans="4:8" ht="12.75" customHeight="1" x14ac:dyDescent="0.15">
      <c r="D403" s="59"/>
      <c r="F403" s="59"/>
      <c r="H403" s="59"/>
    </row>
    <row r="404" spans="4:8" ht="12.75" customHeight="1" x14ac:dyDescent="0.15">
      <c r="D404" s="59"/>
      <c r="F404" s="59"/>
      <c r="H404" s="59"/>
    </row>
    <row r="405" spans="4:8" ht="12.75" customHeight="1" x14ac:dyDescent="0.15">
      <c r="D405" s="59"/>
      <c r="F405" s="59"/>
      <c r="H405" s="59"/>
    </row>
    <row r="406" spans="4:8" ht="12.75" customHeight="1" x14ac:dyDescent="0.15">
      <c r="D406" s="59"/>
      <c r="F406" s="59"/>
      <c r="H406" s="59"/>
    </row>
    <row r="407" spans="4:8" ht="12.75" customHeight="1" x14ac:dyDescent="0.15">
      <c r="D407" s="59"/>
      <c r="F407" s="59"/>
      <c r="H407" s="59"/>
    </row>
    <row r="408" spans="4:8" ht="12.75" customHeight="1" x14ac:dyDescent="0.15">
      <c r="D408" s="59"/>
      <c r="F408" s="59"/>
      <c r="H408" s="59"/>
    </row>
    <row r="409" spans="4:8" ht="12.75" customHeight="1" x14ac:dyDescent="0.15">
      <c r="D409" s="59"/>
      <c r="F409" s="59"/>
      <c r="H409" s="59"/>
    </row>
    <row r="410" spans="4:8" ht="12.75" customHeight="1" x14ac:dyDescent="0.15">
      <c r="D410" s="59"/>
      <c r="F410" s="59"/>
      <c r="H410" s="59"/>
    </row>
    <row r="411" spans="4:8" ht="12.75" customHeight="1" x14ac:dyDescent="0.15">
      <c r="D411" s="59"/>
      <c r="F411" s="59"/>
      <c r="H411" s="59"/>
    </row>
    <row r="412" spans="4:8" ht="12.75" customHeight="1" x14ac:dyDescent="0.15">
      <c r="D412" s="59"/>
      <c r="F412" s="59"/>
      <c r="H412" s="59"/>
    </row>
    <row r="413" spans="4:8" ht="12.75" customHeight="1" x14ac:dyDescent="0.15">
      <c r="D413" s="59"/>
      <c r="F413" s="59"/>
      <c r="H413" s="59"/>
    </row>
    <row r="414" spans="4:8" ht="12.75" customHeight="1" x14ac:dyDescent="0.15">
      <c r="D414" s="59"/>
      <c r="F414" s="59"/>
      <c r="H414" s="59"/>
    </row>
    <row r="415" spans="4:8" ht="12.75" customHeight="1" x14ac:dyDescent="0.15">
      <c r="D415" s="59"/>
      <c r="F415" s="59"/>
      <c r="H415" s="59"/>
    </row>
    <row r="416" spans="4:8" ht="12.75" customHeight="1" x14ac:dyDescent="0.15">
      <c r="D416" s="59"/>
      <c r="F416" s="59"/>
      <c r="H416" s="59"/>
    </row>
    <row r="417" spans="4:8" ht="12.75" customHeight="1" x14ac:dyDescent="0.15">
      <c r="D417" s="59"/>
      <c r="F417" s="59"/>
      <c r="H417" s="59"/>
    </row>
    <row r="418" spans="4:8" ht="12.75" customHeight="1" x14ac:dyDescent="0.15">
      <c r="D418" s="59"/>
      <c r="F418" s="59"/>
      <c r="H418" s="59"/>
    </row>
    <row r="419" spans="4:8" ht="12.75" customHeight="1" x14ac:dyDescent="0.15">
      <c r="D419" s="59"/>
      <c r="F419" s="59"/>
      <c r="H419" s="59"/>
    </row>
    <row r="420" spans="4:8" ht="12.75" customHeight="1" x14ac:dyDescent="0.15">
      <c r="D420" s="59"/>
      <c r="F420" s="59"/>
      <c r="H420" s="59"/>
    </row>
    <row r="421" spans="4:8" ht="12.75" customHeight="1" x14ac:dyDescent="0.15">
      <c r="D421" s="59"/>
      <c r="F421" s="59"/>
      <c r="H421" s="59"/>
    </row>
    <row r="422" spans="4:8" ht="12.75" customHeight="1" x14ac:dyDescent="0.15">
      <c r="D422" s="59"/>
      <c r="F422" s="59"/>
      <c r="H422" s="59"/>
    </row>
    <row r="423" spans="4:8" ht="12.75" customHeight="1" x14ac:dyDescent="0.15">
      <c r="D423" s="59"/>
      <c r="F423" s="59"/>
      <c r="H423" s="59"/>
    </row>
    <row r="424" spans="4:8" ht="12.75" customHeight="1" x14ac:dyDescent="0.15">
      <c r="D424" s="59"/>
      <c r="F424" s="59"/>
      <c r="H424" s="59"/>
    </row>
    <row r="425" spans="4:8" ht="12.75" customHeight="1" x14ac:dyDescent="0.15">
      <c r="D425" s="59"/>
      <c r="F425" s="59"/>
      <c r="H425" s="59"/>
    </row>
    <row r="426" spans="4:8" ht="12.75" customHeight="1" x14ac:dyDescent="0.15">
      <c r="D426" s="59"/>
      <c r="F426" s="59"/>
      <c r="H426" s="59"/>
    </row>
    <row r="427" spans="4:8" ht="12.75" customHeight="1" x14ac:dyDescent="0.15">
      <c r="D427" s="59"/>
      <c r="F427" s="59"/>
      <c r="H427" s="59"/>
    </row>
    <row r="428" spans="4:8" ht="12.75" customHeight="1" x14ac:dyDescent="0.15">
      <c r="D428" s="59"/>
      <c r="F428" s="59"/>
      <c r="H428" s="59"/>
    </row>
    <row r="429" spans="4:8" ht="12.75" customHeight="1" x14ac:dyDescent="0.15">
      <c r="D429" s="59"/>
      <c r="F429" s="59"/>
      <c r="H429" s="59"/>
    </row>
    <row r="430" spans="4:8" ht="12.75" customHeight="1" x14ac:dyDescent="0.15">
      <c r="D430" s="59"/>
      <c r="F430" s="59"/>
      <c r="H430" s="59"/>
    </row>
    <row r="431" spans="4:8" ht="12.75" customHeight="1" x14ac:dyDescent="0.15">
      <c r="D431" s="59"/>
      <c r="F431" s="59"/>
      <c r="H431" s="59"/>
    </row>
    <row r="432" spans="4:8" ht="12.75" customHeight="1" x14ac:dyDescent="0.15">
      <c r="D432" s="59"/>
      <c r="F432" s="59"/>
      <c r="H432" s="59"/>
    </row>
    <row r="433" spans="4:8" ht="12.75" customHeight="1" x14ac:dyDescent="0.15">
      <c r="D433" s="59"/>
      <c r="F433" s="59"/>
      <c r="H433" s="59"/>
    </row>
    <row r="434" spans="4:8" ht="12.75" customHeight="1" x14ac:dyDescent="0.15">
      <c r="D434" s="59"/>
      <c r="F434" s="59"/>
      <c r="H434" s="59"/>
    </row>
    <row r="435" spans="4:8" ht="12.75" customHeight="1" x14ac:dyDescent="0.15">
      <c r="D435" s="59"/>
      <c r="F435" s="59"/>
      <c r="H435" s="59"/>
    </row>
    <row r="436" spans="4:8" ht="12.75" customHeight="1" x14ac:dyDescent="0.15">
      <c r="D436" s="59"/>
      <c r="F436" s="59"/>
      <c r="H436" s="59"/>
    </row>
    <row r="437" spans="4:8" ht="12.75" customHeight="1" x14ac:dyDescent="0.15">
      <c r="D437" s="59"/>
      <c r="F437" s="59"/>
      <c r="H437" s="59"/>
    </row>
    <row r="438" spans="4:8" ht="12.75" customHeight="1" x14ac:dyDescent="0.15">
      <c r="D438" s="59"/>
      <c r="F438" s="59"/>
      <c r="H438" s="59"/>
    </row>
    <row r="439" spans="4:8" ht="12.75" customHeight="1" x14ac:dyDescent="0.15">
      <c r="D439" s="59"/>
      <c r="F439" s="59"/>
      <c r="H439" s="59"/>
    </row>
    <row r="440" spans="4:8" ht="12.75" customHeight="1" x14ac:dyDescent="0.15">
      <c r="D440" s="59"/>
      <c r="F440" s="59"/>
      <c r="H440" s="59"/>
    </row>
    <row r="441" spans="4:8" ht="12.75" customHeight="1" x14ac:dyDescent="0.15">
      <c r="D441" s="59"/>
      <c r="F441" s="59"/>
      <c r="H441" s="59"/>
    </row>
    <row r="442" spans="4:8" ht="12.75" customHeight="1" x14ac:dyDescent="0.15">
      <c r="D442" s="59"/>
      <c r="F442" s="59"/>
      <c r="H442" s="59"/>
    </row>
    <row r="443" spans="4:8" ht="12.75" customHeight="1" x14ac:dyDescent="0.15">
      <c r="D443" s="59"/>
      <c r="F443" s="59"/>
      <c r="H443" s="59"/>
    </row>
    <row r="444" spans="4:8" ht="12.75" customHeight="1" x14ac:dyDescent="0.15">
      <c r="D444" s="59"/>
      <c r="F444" s="59"/>
      <c r="H444" s="59"/>
    </row>
    <row r="445" spans="4:8" ht="12.75" customHeight="1" x14ac:dyDescent="0.15">
      <c r="D445" s="59"/>
      <c r="F445" s="59"/>
      <c r="H445" s="59"/>
    </row>
    <row r="446" spans="4:8" ht="12.75" customHeight="1" x14ac:dyDescent="0.15">
      <c r="D446" s="59"/>
      <c r="F446" s="59"/>
      <c r="H446" s="59"/>
    </row>
    <row r="447" spans="4:8" ht="12.75" customHeight="1" x14ac:dyDescent="0.15">
      <c r="D447" s="59"/>
      <c r="F447" s="59"/>
      <c r="H447" s="59"/>
    </row>
    <row r="448" spans="4:8" ht="12.75" customHeight="1" x14ac:dyDescent="0.15">
      <c r="D448" s="59"/>
      <c r="F448" s="59"/>
      <c r="H448" s="59"/>
    </row>
    <row r="449" spans="4:8" ht="12.75" customHeight="1" x14ac:dyDescent="0.15">
      <c r="D449" s="59"/>
      <c r="F449" s="59"/>
      <c r="H449" s="59"/>
    </row>
    <row r="450" spans="4:8" ht="12.75" customHeight="1" x14ac:dyDescent="0.15">
      <c r="D450" s="59"/>
      <c r="F450" s="59"/>
      <c r="H450" s="59"/>
    </row>
    <row r="451" spans="4:8" ht="12.75" customHeight="1" x14ac:dyDescent="0.15">
      <c r="D451" s="59"/>
      <c r="F451" s="59"/>
      <c r="H451" s="59"/>
    </row>
    <row r="452" spans="4:8" ht="12.75" customHeight="1" x14ac:dyDescent="0.15">
      <c r="D452" s="59"/>
      <c r="F452" s="59"/>
      <c r="H452" s="59"/>
    </row>
    <row r="453" spans="4:8" ht="12.75" customHeight="1" x14ac:dyDescent="0.15">
      <c r="D453" s="59"/>
      <c r="F453" s="59"/>
      <c r="H453" s="59"/>
    </row>
    <row r="454" spans="4:8" ht="12.75" customHeight="1" x14ac:dyDescent="0.15">
      <c r="D454" s="59"/>
      <c r="F454" s="59"/>
      <c r="H454" s="59"/>
    </row>
    <row r="455" spans="4:8" ht="12.75" customHeight="1" x14ac:dyDescent="0.15">
      <c r="D455" s="59"/>
      <c r="F455" s="59"/>
      <c r="H455" s="59"/>
    </row>
    <row r="456" spans="4:8" ht="12.75" customHeight="1" x14ac:dyDescent="0.15">
      <c r="D456" s="59"/>
      <c r="F456" s="59"/>
      <c r="H456" s="59"/>
    </row>
    <row r="457" spans="4:8" ht="12.75" customHeight="1" x14ac:dyDescent="0.15">
      <c r="D457" s="59"/>
      <c r="F457" s="59"/>
      <c r="H457" s="59"/>
    </row>
    <row r="458" spans="4:8" ht="12.75" customHeight="1" x14ac:dyDescent="0.15">
      <c r="D458" s="59"/>
      <c r="F458" s="59"/>
      <c r="H458" s="59"/>
    </row>
    <row r="459" spans="4:8" ht="12.75" customHeight="1" x14ac:dyDescent="0.15">
      <c r="D459" s="59"/>
      <c r="F459" s="59"/>
      <c r="H459" s="59"/>
    </row>
    <row r="460" spans="4:8" ht="12.75" customHeight="1" x14ac:dyDescent="0.15">
      <c r="D460" s="59"/>
      <c r="F460" s="59"/>
      <c r="H460" s="59"/>
    </row>
    <row r="461" spans="4:8" ht="12.75" customHeight="1" x14ac:dyDescent="0.15">
      <c r="D461" s="59"/>
      <c r="F461" s="59"/>
      <c r="H461" s="59"/>
    </row>
    <row r="462" spans="4:8" ht="12.75" customHeight="1" x14ac:dyDescent="0.15">
      <c r="D462" s="59"/>
      <c r="F462" s="59"/>
      <c r="H462" s="59"/>
    </row>
    <row r="463" spans="4:8" ht="12.75" customHeight="1" x14ac:dyDescent="0.15">
      <c r="D463" s="59"/>
      <c r="F463" s="59"/>
      <c r="H463" s="59"/>
    </row>
    <row r="464" spans="4:8" ht="12.75" customHeight="1" x14ac:dyDescent="0.15">
      <c r="D464" s="59"/>
      <c r="F464" s="59"/>
      <c r="H464" s="59"/>
    </row>
    <row r="465" spans="4:8" ht="12.75" customHeight="1" x14ac:dyDescent="0.15">
      <c r="D465" s="59"/>
      <c r="F465" s="59"/>
      <c r="H465" s="59"/>
    </row>
    <row r="466" spans="4:8" ht="12.75" customHeight="1" x14ac:dyDescent="0.15">
      <c r="D466" s="59"/>
      <c r="F466" s="59"/>
      <c r="H466" s="59"/>
    </row>
    <row r="467" spans="4:8" ht="12.75" customHeight="1" x14ac:dyDescent="0.15">
      <c r="D467" s="59"/>
      <c r="F467" s="59"/>
      <c r="H467" s="59"/>
    </row>
    <row r="468" spans="4:8" ht="12.75" customHeight="1" x14ac:dyDescent="0.15">
      <c r="D468" s="59"/>
      <c r="F468" s="59"/>
      <c r="H468" s="59"/>
    </row>
    <row r="469" spans="4:8" ht="12.75" customHeight="1" x14ac:dyDescent="0.15">
      <c r="D469" s="59"/>
      <c r="F469" s="59"/>
      <c r="H469" s="59"/>
    </row>
    <row r="470" spans="4:8" ht="12.75" customHeight="1" x14ac:dyDescent="0.15">
      <c r="D470" s="59"/>
      <c r="F470" s="59"/>
      <c r="H470" s="59"/>
    </row>
    <row r="471" spans="4:8" ht="12.75" customHeight="1" x14ac:dyDescent="0.15">
      <c r="D471" s="59"/>
      <c r="F471" s="59"/>
      <c r="H471" s="59"/>
    </row>
    <row r="472" spans="4:8" ht="12.75" customHeight="1" x14ac:dyDescent="0.15">
      <c r="D472" s="59"/>
      <c r="F472" s="59"/>
      <c r="H472" s="59"/>
    </row>
    <row r="473" spans="4:8" ht="12.75" customHeight="1" x14ac:dyDescent="0.15">
      <c r="D473" s="59"/>
      <c r="F473" s="59"/>
      <c r="H473" s="59"/>
    </row>
    <row r="474" spans="4:8" ht="12.75" customHeight="1" x14ac:dyDescent="0.15">
      <c r="D474" s="59"/>
      <c r="F474" s="59"/>
      <c r="H474" s="59"/>
    </row>
    <row r="475" spans="4:8" ht="12.75" customHeight="1" x14ac:dyDescent="0.15">
      <c r="D475" s="59"/>
      <c r="F475" s="59"/>
      <c r="H475" s="59"/>
    </row>
    <row r="476" spans="4:8" ht="12.75" customHeight="1" x14ac:dyDescent="0.15">
      <c r="D476" s="59"/>
      <c r="F476" s="59"/>
      <c r="H476" s="59"/>
    </row>
    <row r="477" spans="4:8" ht="12.75" customHeight="1" x14ac:dyDescent="0.15">
      <c r="D477" s="59"/>
      <c r="F477" s="59"/>
      <c r="H477" s="59"/>
    </row>
    <row r="478" spans="4:8" ht="12.75" customHeight="1" x14ac:dyDescent="0.15">
      <c r="D478" s="59"/>
      <c r="F478" s="59"/>
      <c r="H478" s="59"/>
    </row>
    <row r="479" spans="4:8" ht="12.75" customHeight="1" x14ac:dyDescent="0.15">
      <c r="D479" s="59"/>
      <c r="F479" s="59"/>
      <c r="H479" s="59"/>
    </row>
    <row r="480" spans="4:8" ht="12.75" customHeight="1" x14ac:dyDescent="0.15">
      <c r="D480" s="59"/>
      <c r="F480" s="59"/>
      <c r="H480" s="59"/>
    </row>
    <row r="481" spans="4:8" ht="12.75" customHeight="1" x14ac:dyDescent="0.15">
      <c r="D481" s="59"/>
      <c r="F481" s="59"/>
      <c r="H481" s="59"/>
    </row>
    <row r="482" spans="4:8" ht="12.75" customHeight="1" x14ac:dyDescent="0.15">
      <c r="D482" s="59"/>
      <c r="F482" s="59"/>
      <c r="H482" s="59"/>
    </row>
    <row r="483" spans="4:8" ht="12.75" customHeight="1" x14ac:dyDescent="0.15">
      <c r="D483" s="59"/>
      <c r="F483" s="59"/>
      <c r="H483" s="59"/>
    </row>
    <row r="484" spans="4:8" ht="12.75" customHeight="1" x14ac:dyDescent="0.15">
      <c r="D484" s="59"/>
      <c r="F484" s="59"/>
      <c r="H484" s="59"/>
    </row>
    <row r="485" spans="4:8" ht="12.75" customHeight="1" x14ac:dyDescent="0.15">
      <c r="D485" s="59"/>
      <c r="F485" s="59"/>
      <c r="H485" s="59"/>
    </row>
    <row r="486" spans="4:8" ht="12.75" customHeight="1" x14ac:dyDescent="0.15">
      <c r="D486" s="59"/>
      <c r="F486" s="59"/>
      <c r="H486" s="59"/>
    </row>
    <row r="487" spans="4:8" ht="12.75" customHeight="1" x14ac:dyDescent="0.15">
      <c r="D487" s="59"/>
      <c r="F487" s="59"/>
      <c r="H487" s="59"/>
    </row>
    <row r="488" spans="4:8" ht="12.75" customHeight="1" x14ac:dyDescent="0.15">
      <c r="D488" s="59"/>
      <c r="F488" s="59"/>
      <c r="H488" s="59"/>
    </row>
    <row r="489" spans="4:8" ht="12.75" customHeight="1" x14ac:dyDescent="0.15">
      <c r="D489" s="59"/>
      <c r="F489" s="59"/>
      <c r="H489" s="59"/>
    </row>
    <row r="490" spans="4:8" ht="12.75" customHeight="1" x14ac:dyDescent="0.15">
      <c r="D490" s="59"/>
      <c r="F490" s="59"/>
      <c r="H490" s="59"/>
    </row>
    <row r="491" spans="4:8" ht="12.75" customHeight="1" x14ac:dyDescent="0.15">
      <c r="D491" s="59"/>
      <c r="F491" s="59"/>
      <c r="H491" s="59"/>
    </row>
    <row r="492" spans="4:8" ht="12.75" customHeight="1" x14ac:dyDescent="0.15">
      <c r="D492" s="59"/>
      <c r="F492" s="59"/>
      <c r="H492" s="59"/>
    </row>
    <row r="493" spans="4:8" ht="12.75" customHeight="1" x14ac:dyDescent="0.15">
      <c r="D493" s="59"/>
      <c r="F493" s="59"/>
      <c r="H493" s="59"/>
    </row>
    <row r="494" spans="4:8" ht="12.75" customHeight="1" x14ac:dyDescent="0.15">
      <c r="D494" s="59"/>
      <c r="F494" s="59"/>
      <c r="H494" s="59"/>
    </row>
    <row r="495" spans="4:8" ht="12.75" customHeight="1" x14ac:dyDescent="0.15">
      <c r="D495" s="59"/>
      <c r="F495" s="59"/>
      <c r="H495" s="59"/>
    </row>
    <row r="496" spans="4:8" ht="12.75" customHeight="1" x14ac:dyDescent="0.15">
      <c r="D496" s="59"/>
      <c r="F496" s="59"/>
      <c r="H496" s="59"/>
    </row>
    <row r="497" spans="4:8" ht="12.75" customHeight="1" x14ac:dyDescent="0.15">
      <c r="D497" s="59"/>
      <c r="F497" s="59"/>
      <c r="H497" s="59"/>
    </row>
    <row r="498" spans="4:8" ht="12.75" customHeight="1" x14ac:dyDescent="0.15">
      <c r="D498" s="59"/>
      <c r="F498" s="59"/>
      <c r="H498" s="59"/>
    </row>
    <row r="499" spans="4:8" ht="12.75" customHeight="1" x14ac:dyDescent="0.15">
      <c r="D499" s="59"/>
      <c r="F499" s="59"/>
      <c r="H499" s="59"/>
    </row>
    <row r="500" spans="4:8" ht="12.75" customHeight="1" x14ac:dyDescent="0.15">
      <c r="D500" s="59"/>
      <c r="F500" s="59"/>
      <c r="H500" s="59"/>
    </row>
    <row r="501" spans="4:8" ht="12.75" customHeight="1" x14ac:dyDescent="0.15">
      <c r="D501" s="59"/>
      <c r="F501" s="59"/>
      <c r="H501" s="59"/>
    </row>
    <row r="502" spans="4:8" ht="12.75" customHeight="1" x14ac:dyDescent="0.15">
      <c r="D502" s="59"/>
      <c r="F502" s="59"/>
      <c r="H502" s="59"/>
    </row>
    <row r="503" spans="4:8" ht="12.75" customHeight="1" x14ac:dyDescent="0.15">
      <c r="D503" s="59"/>
      <c r="F503" s="59"/>
      <c r="H503" s="59"/>
    </row>
    <row r="504" spans="4:8" ht="12.75" customHeight="1" x14ac:dyDescent="0.15">
      <c r="D504" s="59"/>
      <c r="F504" s="59"/>
      <c r="H504" s="59"/>
    </row>
    <row r="505" spans="4:8" ht="12.75" customHeight="1" x14ac:dyDescent="0.15">
      <c r="D505" s="59"/>
      <c r="F505" s="59"/>
      <c r="H505" s="59"/>
    </row>
    <row r="506" spans="4:8" ht="12.75" customHeight="1" x14ac:dyDescent="0.15">
      <c r="D506" s="59"/>
      <c r="F506" s="59"/>
      <c r="H506" s="59"/>
    </row>
    <row r="507" spans="4:8" ht="12.75" customHeight="1" x14ac:dyDescent="0.15">
      <c r="D507" s="59"/>
      <c r="F507" s="59"/>
      <c r="H507" s="59"/>
    </row>
    <row r="508" spans="4:8" ht="12.75" customHeight="1" x14ac:dyDescent="0.15">
      <c r="D508" s="59"/>
      <c r="F508" s="59"/>
      <c r="H508" s="59"/>
    </row>
    <row r="509" spans="4:8" ht="12.75" customHeight="1" x14ac:dyDescent="0.15">
      <c r="D509" s="59"/>
      <c r="F509" s="59"/>
      <c r="H509" s="59"/>
    </row>
    <row r="510" spans="4:8" ht="12.75" customHeight="1" x14ac:dyDescent="0.15">
      <c r="D510" s="59"/>
      <c r="F510" s="59"/>
      <c r="H510" s="59"/>
    </row>
    <row r="511" spans="4:8" ht="12.75" customHeight="1" x14ac:dyDescent="0.15">
      <c r="D511" s="59"/>
      <c r="F511" s="59"/>
      <c r="H511" s="59"/>
    </row>
    <row r="512" spans="4:8" ht="12.75" customHeight="1" x14ac:dyDescent="0.15">
      <c r="D512" s="59"/>
      <c r="F512" s="59"/>
      <c r="H512" s="59"/>
    </row>
    <row r="513" spans="4:8" ht="12.75" customHeight="1" x14ac:dyDescent="0.15">
      <c r="D513" s="59"/>
      <c r="F513" s="59"/>
      <c r="H513" s="59"/>
    </row>
    <row r="514" spans="4:8" ht="12.75" customHeight="1" x14ac:dyDescent="0.15">
      <c r="D514" s="59"/>
      <c r="F514" s="59"/>
      <c r="H514" s="59"/>
    </row>
    <row r="515" spans="4:8" ht="12.75" customHeight="1" x14ac:dyDescent="0.15">
      <c r="D515" s="59"/>
      <c r="F515" s="59"/>
      <c r="H515" s="59"/>
    </row>
    <row r="516" spans="4:8" ht="12.75" customHeight="1" x14ac:dyDescent="0.15">
      <c r="D516" s="59"/>
      <c r="F516" s="59"/>
      <c r="H516" s="59"/>
    </row>
    <row r="517" spans="4:8" ht="12.75" customHeight="1" x14ac:dyDescent="0.15">
      <c r="D517" s="59"/>
      <c r="F517" s="59"/>
      <c r="H517" s="59"/>
    </row>
    <row r="518" spans="4:8" ht="12.75" customHeight="1" x14ac:dyDescent="0.15">
      <c r="D518" s="59"/>
      <c r="F518" s="59"/>
      <c r="H518" s="59"/>
    </row>
    <row r="519" spans="4:8" ht="12.75" customHeight="1" x14ac:dyDescent="0.15">
      <c r="D519" s="59"/>
      <c r="F519" s="59"/>
      <c r="H519" s="59"/>
    </row>
    <row r="520" spans="4:8" ht="12.75" customHeight="1" x14ac:dyDescent="0.15">
      <c r="D520" s="59"/>
      <c r="F520" s="59"/>
      <c r="H520" s="59"/>
    </row>
    <row r="521" spans="4:8" ht="12.75" customHeight="1" x14ac:dyDescent="0.15">
      <c r="D521" s="59"/>
      <c r="F521" s="59"/>
      <c r="H521" s="59"/>
    </row>
    <row r="522" spans="4:8" ht="12.75" customHeight="1" x14ac:dyDescent="0.15">
      <c r="D522" s="59"/>
      <c r="F522" s="59"/>
      <c r="H522" s="59"/>
    </row>
    <row r="523" spans="4:8" ht="12.75" customHeight="1" x14ac:dyDescent="0.15">
      <c r="D523" s="59"/>
      <c r="F523" s="59"/>
      <c r="H523" s="59"/>
    </row>
    <row r="524" spans="4:8" ht="12.75" customHeight="1" x14ac:dyDescent="0.15">
      <c r="D524" s="59"/>
      <c r="F524" s="59"/>
      <c r="H524" s="59"/>
    </row>
    <row r="525" spans="4:8" ht="12.75" customHeight="1" x14ac:dyDescent="0.15">
      <c r="D525" s="59"/>
      <c r="F525" s="59"/>
      <c r="H525" s="59"/>
    </row>
    <row r="526" spans="4:8" ht="12.75" customHeight="1" x14ac:dyDescent="0.15">
      <c r="D526" s="59"/>
      <c r="F526" s="59"/>
      <c r="H526" s="59"/>
    </row>
    <row r="527" spans="4:8" ht="12.75" customHeight="1" x14ac:dyDescent="0.15">
      <c r="D527" s="59"/>
      <c r="F527" s="59"/>
      <c r="H527" s="59"/>
    </row>
    <row r="528" spans="4:8" ht="12.75" customHeight="1" x14ac:dyDescent="0.15">
      <c r="D528" s="59"/>
      <c r="F528" s="59"/>
      <c r="H528" s="59"/>
    </row>
    <row r="529" spans="4:8" ht="12.75" customHeight="1" x14ac:dyDescent="0.15">
      <c r="D529" s="59"/>
      <c r="F529" s="59"/>
      <c r="H529" s="59"/>
    </row>
    <row r="530" spans="4:8" ht="12.75" customHeight="1" x14ac:dyDescent="0.15">
      <c r="D530" s="59"/>
      <c r="F530" s="59"/>
      <c r="H530" s="59"/>
    </row>
    <row r="531" spans="4:8" ht="12.75" customHeight="1" x14ac:dyDescent="0.15">
      <c r="D531" s="59"/>
      <c r="F531" s="59"/>
      <c r="H531" s="59"/>
    </row>
    <row r="532" spans="4:8" ht="12.75" customHeight="1" x14ac:dyDescent="0.15">
      <c r="D532" s="59"/>
      <c r="F532" s="59"/>
      <c r="H532" s="59"/>
    </row>
    <row r="533" spans="4:8" ht="12.75" customHeight="1" x14ac:dyDescent="0.15">
      <c r="D533" s="59"/>
      <c r="F533" s="59"/>
      <c r="H533" s="59"/>
    </row>
    <row r="534" spans="4:8" ht="12.75" customHeight="1" x14ac:dyDescent="0.15">
      <c r="D534" s="59"/>
      <c r="F534" s="59"/>
      <c r="H534" s="59"/>
    </row>
    <row r="535" spans="4:8" ht="12.75" customHeight="1" x14ac:dyDescent="0.15">
      <c r="D535" s="59"/>
      <c r="F535" s="59"/>
      <c r="H535" s="59"/>
    </row>
    <row r="536" spans="4:8" ht="12.75" customHeight="1" x14ac:dyDescent="0.15">
      <c r="D536" s="59"/>
      <c r="F536" s="59"/>
      <c r="H536" s="59"/>
    </row>
    <row r="537" spans="4:8" ht="12.75" customHeight="1" x14ac:dyDescent="0.15">
      <c r="D537" s="59"/>
      <c r="F537" s="59"/>
      <c r="H537" s="59"/>
    </row>
    <row r="538" spans="4:8" ht="12.75" customHeight="1" x14ac:dyDescent="0.15">
      <c r="D538" s="59"/>
      <c r="F538" s="59"/>
      <c r="H538" s="59"/>
    </row>
    <row r="539" spans="4:8" ht="12.75" customHeight="1" x14ac:dyDescent="0.15">
      <c r="D539" s="59"/>
      <c r="F539" s="59"/>
      <c r="H539" s="59"/>
    </row>
    <row r="540" spans="4:8" ht="12.75" customHeight="1" x14ac:dyDescent="0.15">
      <c r="D540" s="59"/>
      <c r="F540" s="59"/>
      <c r="H540" s="59"/>
    </row>
    <row r="541" spans="4:8" ht="12.75" customHeight="1" x14ac:dyDescent="0.15">
      <c r="D541" s="59"/>
      <c r="F541" s="59"/>
      <c r="H541" s="59"/>
    </row>
    <row r="542" spans="4:8" ht="12.75" customHeight="1" x14ac:dyDescent="0.15">
      <c r="D542" s="59"/>
      <c r="F542" s="59"/>
      <c r="H542" s="59"/>
    </row>
    <row r="543" spans="4:8" ht="12.75" customHeight="1" x14ac:dyDescent="0.15">
      <c r="D543" s="59"/>
      <c r="F543" s="59"/>
      <c r="H543" s="59"/>
    </row>
    <row r="544" spans="4:8" ht="12.75" customHeight="1" x14ac:dyDescent="0.15">
      <c r="D544" s="59"/>
      <c r="F544" s="59"/>
      <c r="H544" s="59"/>
    </row>
    <row r="545" spans="4:8" ht="12.75" customHeight="1" x14ac:dyDescent="0.15">
      <c r="D545" s="59"/>
      <c r="F545" s="59"/>
      <c r="H545" s="59"/>
    </row>
    <row r="546" spans="4:8" ht="12.75" customHeight="1" x14ac:dyDescent="0.15">
      <c r="D546" s="59"/>
      <c r="F546" s="59"/>
      <c r="H546" s="59"/>
    </row>
    <row r="547" spans="4:8" ht="12.75" customHeight="1" x14ac:dyDescent="0.15">
      <c r="D547" s="59"/>
      <c r="F547" s="59"/>
      <c r="H547" s="59"/>
    </row>
    <row r="548" spans="4:8" ht="12.75" customHeight="1" x14ac:dyDescent="0.15">
      <c r="D548" s="59"/>
      <c r="F548" s="59"/>
      <c r="H548" s="59"/>
    </row>
    <row r="549" spans="4:8" ht="12.75" customHeight="1" x14ac:dyDescent="0.15">
      <c r="D549" s="59"/>
      <c r="F549" s="59"/>
      <c r="H549" s="59"/>
    </row>
    <row r="550" spans="4:8" ht="12.75" customHeight="1" x14ac:dyDescent="0.15">
      <c r="D550" s="59"/>
      <c r="F550" s="59"/>
      <c r="H550" s="59"/>
    </row>
    <row r="551" spans="4:8" ht="12.75" customHeight="1" x14ac:dyDescent="0.15">
      <c r="D551" s="59"/>
      <c r="F551" s="59"/>
      <c r="H551" s="59"/>
    </row>
    <row r="552" spans="4:8" ht="12.75" customHeight="1" x14ac:dyDescent="0.15">
      <c r="D552" s="59"/>
      <c r="F552" s="59"/>
      <c r="H552" s="59"/>
    </row>
    <row r="553" spans="4:8" ht="12.75" customHeight="1" x14ac:dyDescent="0.15">
      <c r="D553" s="59"/>
      <c r="F553" s="59"/>
      <c r="H553" s="59"/>
    </row>
    <row r="554" spans="4:8" ht="12.75" customHeight="1" x14ac:dyDescent="0.15">
      <c r="D554" s="59"/>
      <c r="F554" s="59"/>
      <c r="H554" s="59"/>
    </row>
    <row r="555" spans="4:8" ht="12.75" customHeight="1" x14ac:dyDescent="0.15">
      <c r="D555" s="59"/>
      <c r="F555" s="59"/>
      <c r="H555" s="59"/>
    </row>
    <row r="556" spans="4:8" ht="12.75" customHeight="1" x14ac:dyDescent="0.15">
      <c r="D556" s="59"/>
      <c r="F556" s="59"/>
      <c r="H556" s="59"/>
    </row>
    <row r="557" spans="4:8" ht="12.75" customHeight="1" x14ac:dyDescent="0.15">
      <c r="D557" s="59"/>
      <c r="F557" s="59"/>
      <c r="H557" s="59"/>
    </row>
    <row r="558" spans="4:8" ht="12.75" customHeight="1" x14ac:dyDescent="0.15">
      <c r="D558" s="59"/>
      <c r="F558" s="59"/>
      <c r="H558" s="59"/>
    </row>
    <row r="559" spans="4:8" ht="12.75" customHeight="1" x14ac:dyDescent="0.15">
      <c r="D559" s="59"/>
      <c r="F559" s="59"/>
      <c r="H559" s="59"/>
    </row>
    <row r="560" spans="4:8" ht="12.75" customHeight="1" x14ac:dyDescent="0.15">
      <c r="D560" s="59"/>
      <c r="F560" s="59"/>
      <c r="H560" s="59"/>
    </row>
    <row r="561" spans="4:8" ht="12.75" customHeight="1" x14ac:dyDescent="0.15">
      <c r="D561" s="59"/>
      <c r="F561" s="59"/>
      <c r="H561" s="59"/>
    </row>
    <row r="562" spans="4:8" ht="12.75" customHeight="1" x14ac:dyDescent="0.15">
      <c r="D562" s="59"/>
      <c r="F562" s="59"/>
      <c r="H562" s="59"/>
    </row>
    <row r="563" spans="4:8" ht="12.75" customHeight="1" x14ac:dyDescent="0.15">
      <c r="D563" s="59"/>
      <c r="F563" s="59"/>
      <c r="H563" s="59"/>
    </row>
    <row r="564" spans="4:8" ht="12.75" customHeight="1" x14ac:dyDescent="0.15">
      <c r="D564" s="59"/>
      <c r="F564" s="59"/>
      <c r="H564" s="59"/>
    </row>
    <row r="565" spans="4:8" ht="12.75" customHeight="1" x14ac:dyDescent="0.15">
      <c r="D565" s="59"/>
      <c r="F565" s="59"/>
      <c r="H565" s="59"/>
    </row>
    <row r="566" spans="4:8" ht="12.75" customHeight="1" x14ac:dyDescent="0.15">
      <c r="D566" s="59"/>
      <c r="F566" s="59"/>
      <c r="H566" s="59"/>
    </row>
    <row r="567" spans="4:8" ht="12.75" customHeight="1" x14ac:dyDescent="0.15">
      <c r="D567" s="59"/>
      <c r="F567" s="59"/>
      <c r="H567" s="59"/>
    </row>
    <row r="568" spans="4:8" ht="12.75" customHeight="1" x14ac:dyDescent="0.15">
      <c r="D568" s="59"/>
      <c r="F568" s="59"/>
      <c r="H568" s="59"/>
    </row>
    <row r="569" spans="4:8" ht="12.75" customHeight="1" x14ac:dyDescent="0.15">
      <c r="D569" s="59"/>
      <c r="F569" s="59"/>
      <c r="H569" s="59"/>
    </row>
    <row r="570" spans="4:8" ht="12.75" customHeight="1" x14ac:dyDescent="0.15">
      <c r="D570" s="59"/>
      <c r="F570" s="59"/>
      <c r="H570" s="59"/>
    </row>
    <row r="571" spans="4:8" ht="12.75" customHeight="1" x14ac:dyDescent="0.15">
      <c r="D571" s="59"/>
      <c r="F571" s="59"/>
      <c r="H571" s="59"/>
    </row>
    <row r="572" spans="4:8" ht="12.75" customHeight="1" x14ac:dyDescent="0.15">
      <c r="D572" s="59"/>
      <c r="F572" s="59"/>
      <c r="H572" s="59"/>
    </row>
    <row r="573" spans="4:8" ht="12.75" customHeight="1" x14ac:dyDescent="0.15">
      <c r="D573" s="59"/>
      <c r="F573" s="59"/>
      <c r="H573" s="59"/>
    </row>
    <row r="574" spans="4:8" ht="12.75" customHeight="1" x14ac:dyDescent="0.15">
      <c r="D574" s="59"/>
      <c r="F574" s="59"/>
      <c r="H574" s="59"/>
    </row>
    <row r="575" spans="4:8" ht="12.75" customHeight="1" x14ac:dyDescent="0.15">
      <c r="D575" s="59"/>
      <c r="F575" s="59"/>
      <c r="H575" s="59"/>
    </row>
    <row r="576" spans="4:8" ht="12.75" customHeight="1" x14ac:dyDescent="0.15">
      <c r="D576" s="59"/>
      <c r="F576" s="59"/>
      <c r="H576" s="59"/>
    </row>
    <row r="577" spans="4:8" ht="12.75" customHeight="1" x14ac:dyDescent="0.15">
      <c r="D577" s="59"/>
      <c r="F577" s="59"/>
      <c r="H577" s="59"/>
    </row>
    <row r="578" spans="4:8" ht="12.75" customHeight="1" x14ac:dyDescent="0.15">
      <c r="D578" s="59"/>
      <c r="F578" s="59"/>
      <c r="H578" s="59"/>
    </row>
    <row r="579" spans="4:8" ht="12.75" customHeight="1" x14ac:dyDescent="0.15">
      <c r="D579" s="59"/>
      <c r="F579" s="59"/>
      <c r="H579" s="59"/>
    </row>
    <row r="580" spans="4:8" ht="12.75" customHeight="1" x14ac:dyDescent="0.15">
      <c r="D580" s="59"/>
      <c r="F580" s="59"/>
      <c r="H580" s="59"/>
    </row>
    <row r="581" spans="4:8" ht="12.75" customHeight="1" x14ac:dyDescent="0.15">
      <c r="D581" s="59"/>
      <c r="F581" s="59"/>
      <c r="H581" s="59"/>
    </row>
    <row r="582" spans="4:8" ht="12.75" customHeight="1" x14ac:dyDescent="0.15">
      <c r="D582" s="59"/>
      <c r="F582" s="59"/>
      <c r="H582" s="59"/>
    </row>
    <row r="583" spans="4:8" ht="12.75" customHeight="1" x14ac:dyDescent="0.15">
      <c r="D583" s="59"/>
      <c r="F583" s="59"/>
      <c r="H583" s="59"/>
    </row>
    <row r="584" spans="4:8" ht="12.75" customHeight="1" x14ac:dyDescent="0.15">
      <c r="D584" s="59"/>
      <c r="F584" s="59"/>
      <c r="H584" s="59"/>
    </row>
    <row r="585" spans="4:8" ht="12.75" customHeight="1" x14ac:dyDescent="0.15">
      <c r="D585" s="59"/>
      <c r="F585" s="59"/>
      <c r="H585" s="59"/>
    </row>
    <row r="586" spans="4:8" ht="12.75" customHeight="1" x14ac:dyDescent="0.15">
      <c r="D586" s="59"/>
      <c r="F586" s="59"/>
      <c r="H586" s="59"/>
    </row>
    <row r="587" spans="4:8" ht="12.75" customHeight="1" x14ac:dyDescent="0.15">
      <c r="D587" s="59"/>
      <c r="F587" s="59"/>
      <c r="H587" s="59"/>
    </row>
    <row r="588" spans="4:8" ht="12.75" customHeight="1" x14ac:dyDescent="0.15">
      <c r="D588" s="59"/>
      <c r="F588" s="59"/>
      <c r="H588" s="59"/>
    </row>
    <row r="589" spans="4:8" ht="12.75" customHeight="1" x14ac:dyDescent="0.15">
      <c r="D589" s="59"/>
      <c r="F589" s="59"/>
      <c r="H589" s="59"/>
    </row>
    <row r="590" spans="4:8" ht="12.75" customHeight="1" x14ac:dyDescent="0.15">
      <c r="D590" s="59"/>
      <c r="F590" s="59"/>
      <c r="H590" s="59"/>
    </row>
    <row r="591" spans="4:8" ht="12.75" customHeight="1" x14ac:dyDescent="0.15">
      <c r="D591" s="59"/>
      <c r="F591" s="59"/>
      <c r="H591" s="59"/>
    </row>
    <row r="592" spans="4:8" ht="12.75" customHeight="1" x14ac:dyDescent="0.15">
      <c r="D592" s="59"/>
      <c r="F592" s="59"/>
      <c r="H592" s="59"/>
    </row>
    <row r="593" spans="4:8" ht="12.75" customHeight="1" x14ac:dyDescent="0.15">
      <c r="D593" s="59"/>
      <c r="F593" s="59"/>
      <c r="H593" s="59"/>
    </row>
    <row r="594" spans="4:8" ht="12.75" customHeight="1" x14ac:dyDescent="0.15">
      <c r="D594" s="59"/>
      <c r="F594" s="59"/>
      <c r="H594" s="59"/>
    </row>
    <row r="595" spans="4:8" ht="12.75" customHeight="1" x14ac:dyDescent="0.15">
      <c r="D595" s="59"/>
      <c r="F595" s="59"/>
      <c r="H595" s="59"/>
    </row>
    <row r="596" spans="4:8" ht="12.75" customHeight="1" x14ac:dyDescent="0.15">
      <c r="D596" s="59"/>
      <c r="F596" s="59"/>
      <c r="H596" s="59"/>
    </row>
    <row r="597" spans="4:8" ht="12.75" customHeight="1" x14ac:dyDescent="0.15">
      <c r="D597" s="59"/>
      <c r="F597" s="59"/>
      <c r="H597" s="59"/>
    </row>
    <row r="598" spans="4:8" ht="12.75" customHeight="1" x14ac:dyDescent="0.15">
      <c r="D598" s="59"/>
      <c r="F598" s="59"/>
      <c r="H598" s="59"/>
    </row>
    <row r="599" spans="4:8" ht="12.75" customHeight="1" x14ac:dyDescent="0.15">
      <c r="D599" s="59"/>
      <c r="F599" s="59"/>
      <c r="H599" s="59"/>
    </row>
    <row r="600" spans="4:8" ht="12.75" customHeight="1" x14ac:dyDescent="0.15">
      <c r="D600" s="59"/>
      <c r="F600" s="59"/>
      <c r="H600" s="59"/>
    </row>
    <row r="601" spans="4:8" ht="12.75" customHeight="1" x14ac:dyDescent="0.15">
      <c r="D601" s="59"/>
      <c r="F601" s="59"/>
      <c r="H601" s="59"/>
    </row>
    <row r="602" spans="4:8" ht="12.75" customHeight="1" x14ac:dyDescent="0.15">
      <c r="D602" s="59"/>
      <c r="F602" s="59"/>
      <c r="H602" s="59"/>
    </row>
    <row r="603" spans="4:8" ht="12.75" customHeight="1" x14ac:dyDescent="0.15">
      <c r="D603" s="59"/>
      <c r="F603" s="59"/>
      <c r="H603" s="59"/>
    </row>
    <row r="604" spans="4:8" ht="12.75" customHeight="1" x14ac:dyDescent="0.15">
      <c r="D604" s="59"/>
      <c r="F604" s="59"/>
      <c r="H604" s="59"/>
    </row>
    <row r="605" spans="4:8" ht="12.75" customHeight="1" x14ac:dyDescent="0.15">
      <c r="D605" s="59"/>
      <c r="F605" s="59"/>
      <c r="H605" s="59"/>
    </row>
    <row r="606" spans="4:8" ht="12.75" customHeight="1" x14ac:dyDescent="0.15">
      <c r="D606" s="59"/>
      <c r="F606" s="59"/>
      <c r="H606" s="59"/>
    </row>
    <row r="607" spans="4:8" ht="12.75" customHeight="1" x14ac:dyDescent="0.15">
      <c r="D607" s="59"/>
      <c r="F607" s="59"/>
      <c r="H607" s="59"/>
    </row>
    <row r="608" spans="4:8" ht="12.75" customHeight="1" x14ac:dyDescent="0.15">
      <c r="D608" s="59"/>
      <c r="F608" s="59"/>
      <c r="H608" s="59"/>
    </row>
    <row r="609" spans="4:8" ht="12.75" customHeight="1" x14ac:dyDescent="0.15">
      <c r="D609" s="59"/>
      <c r="F609" s="59"/>
      <c r="H609" s="59"/>
    </row>
    <row r="610" spans="4:8" ht="12.75" customHeight="1" x14ac:dyDescent="0.15">
      <c r="D610" s="59"/>
      <c r="F610" s="59"/>
      <c r="H610" s="59"/>
    </row>
    <row r="611" spans="4:8" ht="12.75" customHeight="1" x14ac:dyDescent="0.15">
      <c r="D611" s="59"/>
      <c r="F611" s="59"/>
      <c r="H611" s="59"/>
    </row>
    <row r="612" spans="4:8" ht="12.75" customHeight="1" x14ac:dyDescent="0.15">
      <c r="D612" s="59"/>
      <c r="F612" s="59"/>
      <c r="H612" s="59"/>
    </row>
    <row r="613" spans="4:8" ht="12.75" customHeight="1" x14ac:dyDescent="0.15">
      <c r="D613" s="59"/>
      <c r="F613" s="59"/>
      <c r="H613" s="59"/>
    </row>
    <row r="614" spans="4:8" ht="12.75" customHeight="1" x14ac:dyDescent="0.15">
      <c r="D614" s="59"/>
      <c r="F614" s="59"/>
      <c r="H614" s="59"/>
    </row>
    <row r="615" spans="4:8" ht="12.75" customHeight="1" x14ac:dyDescent="0.15">
      <c r="D615" s="59"/>
      <c r="F615" s="59"/>
      <c r="H615" s="59"/>
    </row>
    <row r="616" spans="4:8" ht="12.75" customHeight="1" x14ac:dyDescent="0.15">
      <c r="D616" s="59"/>
      <c r="F616" s="59"/>
      <c r="H616" s="59"/>
    </row>
    <row r="617" spans="4:8" ht="12.75" customHeight="1" x14ac:dyDescent="0.15">
      <c r="D617" s="59"/>
      <c r="F617" s="59"/>
      <c r="H617" s="59"/>
    </row>
    <row r="618" spans="4:8" ht="12.75" customHeight="1" x14ac:dyDescent="0.15">
      <c r="D618" s="59"/>
      <c r="F618" s="59"/>
      <c r="H618" s="59"/>
    </row>
    <row r="619" spans="4:8" ht="12.75" customHeight="1" x14ac:dyDescent="0.15">
      <c r="D619" s="59"/>
      <c r="F619" s="59"/>
      <c r="H619" s="59"/>
    </row>
    <row r="620" spans="4:8" ht="12.75" customHeight="1" x14ac:dyDescent="0.15">
      <c r="D620" s="59"/>
      <c r="F620" s="59"/>
      <c r="H620" s="59"/>
    </row>
    <row r="621" spans="4:8" ht="12.75" customHeight="1" x14ac:dyDescent="0.15">
      <c r="D621" s="59"/>
      <c r="F621" s="59"/>
      <c r="H621" s="59"/>
    </row>
    <row r="622" spans="4:8" ht="12.75" customHeight="1" x14ac:dyDescent="0.15">
      <c r="D622" s="59"/>
      <c r="F622" s="59"/>
      <c r="H622" s="59"/>
    </row>
    <row r="623" spans="4:8" ht="12.75" customHeight="1" x14ac:dyDescent="0.15">
      <c r="D623" s="59"/>
      <c r="F623" s="59"/>
      <c r="H623" s="59"/>
    </row>
    <row r="624" spans="4:8" ht="12.75" customHeight="1" x14ac:dyDescent="0.15">
      <c r="D624" s="59"/>
      <c r="F624" s="59"/>
      <c r="H624" s="59"/>
    </row>
    <row r="625" spans="4:8" ht="12.75" customHeight="1" x14ac:dyDescent="0.15">
      <c r="D625" s="59"/>
      <c r="F625" s="59"/>
      <c r="H625" s="59"/>
    </row>
    <row r="626" spans="4:8" ht="12.75" customHeight="1" x14ac:dyDescent="0.15">
      <c r="D626" s="59"/>
      <c r="F626" s="59"/>
      <c r="H626" s="59"/>
    </row>
    <row r="627" spans="4:8" ht="12.75" customHeight="1" x14ac:dyDescent="0.15">
      <c r="D627" s="59"/>
      <c r="F627" s="59"/>
      <c r="H627" s="59"/>
    </row>
    <row r="628" spans="4:8" ht="12.75" customHeight="1" x14ac:dyDescent="0.15">
      <c r="D628" s="59"/>
      <c r="F628" s="59"/>
      <c r="H628" s="59"/>
    </row>
    <row r="629" spans="4:8" ht="12.75" customHeight="1" x14ac:dyDescent="0.15">
      <c r="D629" s="59"/>
      <c r="F629" s="59"/>
      <c r="H629" s="59"/>
    </row>
    <row r="630" spans="4:8" ht="12.75" customHeight="1" x14ac:dyDescent="0.15">
      <c r="D630" s="59"/>
      <c r="F630" s="59"/>
      <c r="H630" s="59"/>
    </row>
    <row r="631" spans="4:8" ht="12.75" customHeight="1" x14ac:dyDescent="0.15">
      <c r="D631" s="59"/>
      <c r="F631" s="59"/>
      <c r="H631" s="59"/>
    </row>
    <row r="632" spans="4:8" ht="12.75" customHeight="1" x14ac:dyDescent="0.15">
      <c r="D632" s="59"/>
      <c r="F632" s="59"/>
      <c r="H632" s="59"/>
    </row>
    <row r="633" spans="4:8" ht="12.75" customHeight="1" x14ac:dyDescent="0.15">
      <c r="D633" s="59"/>
      <c r="F633" s="59"/>
      <c r="H633" s="59"/>
    </row>
    <row r="634" spans="4:8" ht="12.75" customHeight="1" x14ac:dyDescent="0.15">
      <c r="D634" s="59"/>
      <c r="F634" s="59"/>
      <c r="H634" s="59"/>
    </row>
    <row r="635" spans="4:8" ht="12.75" customHeight="1" x14ac:dyDescent="0.15">
      <c r="D635" s="59"/>
      <c r="F635" s="59"/>
      <c r="H635" s="59"/>
    </row>
    <row r="636" spans="4:8" ht="12.75" customHeight="1" x14ac:dyDescent="0.15">
      <c r="D636" s="59"/>
      <c r="F636" s="59"/>
      <c r="H636" s="59"/>
    </row>
    <row r="637" spans="4:8" ht="12.75" customHeight="1" x14ac:dyDescent="0.15">
      <c r="D637" s="59"/>
      <c r="F637" s="59"/>
      <c r="H637" s="59"/>
    </row>
    <row r="638" spans="4:8" ht="12.75" customHeight="1" x14ac:dyDescent="0.15">
      <c r="D638" s="59"/>
      <c r="F638" s="59"/>
      <c r="H638" s="59"/>
    </row>
    <row r="639" spans="4:8" ht="12.75" customHeight="1" x14ac:dyDescent="0.15">
      <c r="D639" s="59"/>
      <c r="F639" s="59"/>
      <c r="H639" s="59"/>
    </row>
    <row r="640" spans="4:8" ht="12.75" customHeight="1" x14ac:dyDescent="0.15">
      <c r="D640" s="59"/>
      <c r="F640" s="59"/>
      <c r="H640" s="59"/>
    </row>
    <row r="641" spans="4:8" ht="12.75" customHeight="1" x14ac:dyDescent="0.15">
      <c r="D641" s="59"/>
      <c r="F641" s="59"/>
      <c r="H641" s="59"/>
    </row>
    <row r="642" spans="4:8" ht="12.75" customHeight="1" x14ac:dyDescent="0.15">
      <c r="D642" s="59"/>
      <c r="F642" s="59"/>
      <c r="H642" s="59"/>
    </row>
    <row r="643" spans="4:8" ht="12.75" customHeight="1" x14ac:dyDescent="0.15">
      <c r="D643" s="59"/>
      <c r="F643" s="59"/>
      <c r="H643" s="59"/>
    </row>
    <row r="644" spans="4:8" ht="12.75" customHeight="1" x14ac:dyDescent="0.15">
      <c r="D644" s="59"/>
      <c r="F644" s="59"/>
      <c r="H644" s="59"/>
    </row>
    <row r="645" spans="4:8" ht="12.75" customHeight="1" x14ac:dyDescent="0.15">
      <c r="D645" s="59"/>
      <c r="F645" s="59"/>
      <c r="H645" s="59"/>
    </row>
    <row r="646" spans="4:8" ht="12.75" customHeight="1" x14ac:dyDescent="0.15">
      <c r="D646" s="59"/>
      <c r="F646" s="59"/>
      <c r="H646" s="59"/>
    </row>
    <row r="647" spans="4:8" ht="12.75" customHeight="1" x14ac:dyDescent="0.15">
      <c r="D647" s="59"/>
      <c r="F647" s="59"/>
      <c r="H647" s="59"/>
    </row>
    <row r="648" spans="4:8" ht="12.75" customHeight="1" x14ac:dyDescent="0.15">
      <c r="D648" s="59"/>
      <c r="F648" s="59"/>
      <c r="H648" s="59"/>
    </row>
    <row r="649" spans="4:8" ht="12.75" customHeight="1" x14ac:dyDescent="0.15">
      <c r="D649" s="59"/>
      <c r="F649" s="59"/>
      <c r="H649" s="59"/>
    </row>
    <row r="650" spans="4:8" ht="12.75" customHeight="1" x14ac:dyDescent="0.15">
      <c r="D650" s="59"/>
      <c r="F650" s="59"/>
      <c r="H650" s="59"/>
    </row>
    <row r="651" spans="4:8" ht="12.75" customHeight="1" x14ac:dyDescent="0.15">
      <c r="D651" s="59"/>
      <c r="F651" s="59"/>
      <c r="H651" s="59"/>
    </row>
    <row r="652" spans="4:8" ht="12.75" customHeight="1" x14ac:dyDescent="0.15">
      <c r="D652" s="59"/>
      <c r="F652" s="59"/>
      <c r="H652" s="59"/>
    </row>
    <row r="653" spans="4:8" ht="12.75" customHeight="1" x14ac:dyDescent="0.15">
      <c r="D653" s="59"/>
      <c r="F653" s="59"/>
      <c r="H653" s="59"/>
    </row>
    <row r="654" spans="4:8" ht="12.75" customHeight="1" x14ac:dyDescent="0.15">
      <c r="D654" s="59"/>
      <c r="F654" s="59"/>
      <c r="H654" s="59"/>
    </row>
    <row r="655" spans="4:8" ht="12.75" customHeight="1" x14ac:dyDescent="0.15">
      <c r="D655" s="59"/>
      <c r="F655" s="59"/>
      <c r="H655" s="59"/>
    </row>
    <row r="656" spans="4:8" ht="12.75" customHeight="1" x14ac:dyDescent="0.15">
      <c r="D656" s="59"/>
      <c r="F656" s="59"/>
      <c r="H656" s="59"/>
    </row>
    <row r="657" spans="4:8" ht="12.75" customHeight="1" x14ac:dyDescent="0.15">
      <c r="D657" s="59"/>
      <c r="F657" s="59"/>
      <c r="H657" s="59"/>
    </row>
    <row r="658" spans="4:8" ht="12.75" customHeight="1" x14ac:dyDescent="0.15">
      <c r="D658" s="59"/>
      <c r="F658" s="59"/>
      <c r="H658" s="59"/>
    </row>
    <row r="659" spans="4:8" ht="12.75" customHeight="1" x14ac:dyDescent="0.15">
      <c r="D659" s="59"/>
      <c r="F659" s="59"/>
      <c r="H659" s="59"/>
    </row>
    <row r="660" spans="4:8" ht="12.75" customHeight="1" x14ac:dyDescent="0.15">
      <c r="D660" s="59"/>
      <c r="F660" s="59"/>
      <c r="H660" s="59"/>
    </row>
    <row r="661" spans="4:8" ht="12.75" customHeight="1" x14ac:dyDescent="0.15">
      <c r="D661" s="59"/>
      <c r="F661" s="59"/>
      <c r="H661" s="59"/>
    </row>
    <row r="662" spans="4:8" ht="12.75" customHeight="1" x14ac:dyDescent="0.15">
      <c r="D662" s="59"/>
      <c r="F662" s="59"/>
      <c r="H662" s="59"/>
    </row>
    <row r="663" spans="4:8" ht="12.75" customHeight="1" x14ac:dyDescent="0.15">
      <c r="D663" s="59"/>
      <c r="F663" s="59"/>
      <c r="H663" s="59"/>
    </row>
    <row r="664" spans="4:8" ht="12.75" customHeight="1" x14ac:dyDescent="0.15">
      <c r="D664" s="59"/>
      <c r="F664" s="59"/>
      <c r="H664" s="59"/>
    </row>
    <row r="665" spans="4:8" ht="12.75" customHeight="1" x14ac:dyDescent="0.15">
      <c r="D665" s="59"/>
      <c r="F665" s="59"/>
      <c r="H665" s="59"/>
    </row>
    <row r="666" spans="4:8" ht="12.75" customHeight="1" x14ac:dyDescent="0.15">
      <c r="D666" s="59"/>
      <c r="F666" s="59"/>
      <c r="H666" s="59"/>
    </row>
    <row r="667" spans="4:8" ht="12.75" customHeight="1" x14ac:dyDescent="0.15">
      <c r="D667" s="59"/>
      <c r="F667" s="59"/>
      <c r="H667" s="59"/>
    </row>
    <row r="668" spans="4:8" ht="12.75" customHeight="1" x14ac:dyDescent="0.15">
      <c r="D668" s="59"/>
      <c r="F668" s="59"/>
      <c r="H668" s="59"/>
    </row>
    <row r="669" spans="4:8" ht="12.75" customHeight="1" x14ac:dyDescent="0.15">
      <c r="D669" s="59"/>
      <c r="F669" s="59"/>
      <c r="H669" s="59"/>
    </row>
    <row r="670" spans="4:8" ht="12.75" customHeight="1" x14ac:dyDescent="0.15">
      <c r="D670" s="59"/>
      <c r="F670" s="59"/>
      <c r="H670" s="59"/>
    </row>
    <row r="671" spans="4:8" ht="12.75" customHeight="1" x14ac:dyDescent="0.15">
      <c r="D671" s="59"/>
      <c r="F671" s="59"/>
      <c r="H671" s="59"/>
    </row>
    <row r="672" spans="4:8" ht="12.75" customHeight="1" x14ac:dyDescent="0.15">
      <c r="D672" s="59"/>
      <c r="F672" s="59"/>
      <c r="H672" s="59"/>
    </row>
    <row r="673" spans="4:8" ht="12.75" customHeight="1" x14ac:dyDescent="0.15">
      <c r="D673" s="59"/>
      <c r="F673" s="59"/>
      <c r="H673" s="59"/>
    </row>
    <row r="674" spans="4:8" ht="12.75" customHeight="1" x14ac:dyDescent="0.15">
      <c r="D674" s="59"/>
      <c r="F674" s="59"/>
      <c r="H674" s="59"/>
    </row>
    <row r="675" spans="4:8" ht="12.75" customHeight="1" x14ac:dyDescent="0.15">
      <c r="D675" s="59"/>
      <c r="F675" s="59"/>
      <c r="H675" s="59"/>
    </row>
    <row r="676" spans="4:8" ht="12.75" customHeight="1" x14ac:dyDescent="0.15">
      <c r="D676" s="59"/>
      <c r="F676" s="59"/>
      <c r="H676" s="59"/>
    </row>
    <row r="677" spans="4:8" ht="12.75" customHeight="1" x14ac:dyDescent="0.15">
      <c r="D677" s="59"/>
      <c r="F677" s="59"/>
      <c r="H677" s="59"/>
    </row>
    <row r="678" spans="4:8" ht="12.75" customHeight="1" x14ac:dyDescent="0.15">
      <c r="D678" s="59"/>
      <c r="F678" s="59"/>
      <c r="H678" s="59"/>
    </row>
    <row r="679" spans="4:8" ht="12.75" customHeight="1" x14ac:dyDescent="0.15">
      <c r="D679" s="59"/>
      <c r="F679" s="59"/>
      <c r="H679" s="59"/>
    </row>
    <row r="680" spans="4:8" ht="12.75" customHeight="1" x14ac:dyDescent="0.15">
      <c r="D680" s="59"/>
      <c r="F680" s="59"/>
      <c r="H680" s="59"/>
    </row>
    <row r="681" spans="4:8" ht="12.75" customHeight="1" x14ac:dyDescent="0.15">
      <c r="D681" s="59"/>
      <c r="F681" s="59"/>
      <c r="H681" s="59"/>
    </row>
    <row r="682" spans="4:8" ht="12.75" customHeight="1" x14ac:dyDescent="0.15">
      <c r="D682" s="59"/>
      <c r="F682" s="59"/>
      <c r="H682" s="59"/>
    </row>
    <row r="683" spans="4:8" ht="12.75" customHeight="1" x14ac:dyDescent="0.15">
      <c r="D683" s="59"/>
      <c r="F683" s="59"/>
      <c r="H683" s="59"/>
    </row>
    <row r="684" spans="4:8" ht="12.75" customHeight="1" x14ac:dyDescent="0.15">
      <c r="D684" s="59"/>
      <c r="F684" s="59"/>
      <c r="H684" s="59"/>
    </row>
    <row r="685" spans="4:8" ht="12.75" customHeight="1" x14ac:dyDescent="0.15">
      <c r="D685" s="59"/>
      <c r="F685" s="59"/>
      <c r="H685" s="59"/>
    </row>
    <row r="686" spans="4:8" ht="12.75" customHeight="1" x14ac:dyDescent="0.15">
      <c r="D686" s="59"/>
      <c r="F686" s="59"/>
      <c r="H686" s="59"/>
    </row>
    <row r="687" spans="4:8" ht="12.75" customHeight="1" x14ac:dyDescent="0.15">
      <c r="D687" s="59"/>
      <c r="F687" s="59"/>
      <c r="H687" s="59"/>
    </row>
    <row r="688" spans="4:8" ht="12.75" customHeight="1" x14ac:dyDescent="0.15">
      <c r="D688" s="59"/>
      <c r="F688" s="59"/>
      <c r="H688" s="59"/>
    </row>
    <row r="689" spans="4:8" ht="12.75" customHeight="1" x14ac:dyDescent="0.15">
      <c r="D689" s="59"/>
      <c r="F689" s="59"/>
      <c r="H689" s="59"/>
    </row>
    <row r="690" spans="4:8" ht="12.75" customHeight="1" x14ac:dyDescent="0.15">
      <c r="D690" s="59"/>
      <c r="F690" s="59"/>
      <c r="H690" s="59"/>
    </row>
    <row r="691" spans="4:8" ht="12.75" customHeight="1" x14ac:dyDescent="0.15">
      <c r="D691" s="59"/>
      <c r="F691" s="59"/>
      <c r="H691" s="59"/>
    </row>
    <row r="692" spans="4:8" ht="12.75" customHeight="1" x14ac:dyDescent="0.15">
      <c r="D692" s="59"/>
      <c r="F692" s="59"/>
      <c r="H692" s="59"/>
    </row>
    <row r="693" spans="4:8" ht="12.75" customHeight="1" x14ac:dyDescent="0.15">
      <c r="D693" s="59"/>
      <c r="F693" s="59"/>
      <c r="H693" s="59"/>
    </row>
    <row r="694" spans="4:8" ht="12.75" customHeight="1" x14ac:dyDescent="0.15">
      <c r="D694" s="59"/>
      <c r="F694" s="59"/>
      <c r="H694" s="59"/>
    </row>
    <row r="695" spans="4:8" ht="12.75" customHeight="1" x14ac:dyDescent="0.15">
      <c r="D695" s="59"/>
      <c r="F695" s="59"/>
      <c r="H695" s="59"/>
    </row>
    <row r="696" spans="4:8" ht="12.75" customHeight="1" x14ac:dyDescent="0.15">
      <c r="D696" s="59"/>
      <c r="F696" s="59"/>
      <c r="H696" s="59"/>
    </row>
    <row r="697" spans="4:8" ht="12.75" customHeight="1" x14ac:dyDescent="0.15">
      <c r="D697" s="59"/>
      <c r="F697" s="59"/>
      <c r="H697" s="59"/>
    </row>
    <row r="698" spans="4:8" ht="12.75" customHeight="1" x14ac:dyDescent="0.15">
      <c r="D698" s="59"/>
      <c r="F698" s="59"/>
      <c r="H698" s="59"/>
    </row>
    <row r="699" spans="4:8" ht="12.75" customHeight="1" x14ac:dyDescent="0.15">
      <c r="D699" s="59"/>
      <c r="F699" s="59"/>
      <c r="H699" s="59"/>
    </row>
    <row r="700" spans="4:8" ht="12.75" customHeight="1" x14ac:dyDescent="0.15">
      <c r="D700" s="59"/>
      <c r="F700" s="59"/>
      <c r="H700" s="59"/>
    </row>
    <row r="701" spans="4:8" ht="12.75" customHeight="1" x14ac:dyDescent="0.15">
      <c r="D701" s="59"/>
      <c r="F701" s="59"/>
      <c r="H701" s="59"/>
    </row>
    <row r="702" spans="4:8" ht="12.75" customHeight="1" x14ac:dyDescent="0.15">
      <c r="D702" s="59"/>
      <c r="F702" s="59"/>
      <c r="H702" s="59"/>
    </row>
    <row r="703" spans="4:8" ht="12.75" customHeight="1" x14ac:dyDescent="0.15">
      <c r="D703" s="59"/>
      <c r="F703" s="59"/>
      <c r="H703" s="59"/>
    </row>
    <row r="704" spans="4:8" ht="12.75" customHeight="1" x14ac:dyDescent="0.15">
      <c r="D704" s="59"/>
      <c r="F704" s="59"/>
      <c r="H704" s="59"/>
    </row>
    <row r="705" spans="4:8" ht="12.75" customHeight="1" x14ac:dyDescent="0.15">
      <c r="D705" s="59"/>
      <c r="F705" s="59"/>
      <c r="H705" s="59"/>
    </row>
    <row r="706" spans="4:8" ht="12.75" customHeight="1" x14ac:dyDescent="0.15">
      <c r="D706" s="59"/>
      <c r="F706" s="59"/>
      <c r="H706" s="59"/>
    </row>
    <row r="707" spans="4:8" ht="12.75" customHeight="1" x14ac:dyDescent="0.15">
      <c r="D707" s="59"/>
      <c r="F707" s="59"/>
      <c r="H707" s="59"/>
    </row>
    <row r="708" spans="4:8" ht="12.75" customHeight="1" x14ac:dyDescent="0.15">
      <c r="D708" s="59"/>
      <c r="F708" s="59"/>
      <c r="H708" s="59"/>
    </row>
    <row r="709" spans="4:8" ht="12.75" customHeight="1" x14ac:dyDescent="0.15">
      <c r="D709" s="59"/>
      <c r="F709" s="59"/>
      <c r="H709" s="59"/>
    </row>
    <row r="710" spans="4:8" ht="12.75" customHeight="1" x14ac:dyDescent="0.15">
      <c r="D710" s="59"/>
      <c r="F710" s="59"/>
      <c r="H710" s="59"/>
    </row>
    <row r="711" spans="4:8" ht="12.75" customHeight="1" x14ac:dyDescent="0.15">
      <c r="D711" s="59"/>
      <c r="F711" s="59"/>
      <c r="H711" s="59"/>
    </row>
    <row r="712" spans="4:8" ht="12.75" customHeight="1" x14ac:dyDescent="0.15">
      <c r="D712" s="59"/>
      <c r="F712" s="59"/>
      <c r="H712" s="59"/>
    </row>
    <row r="713" spans="4:8" ht="12.75" customHeight="1" x14ac:dyDescent="0.15">
      <c r="D713" s="59"/>
      <c r="F713" s="59"/>
      <c r="H713" s="59"/>
    </row>
    <row r="714" spans="4:8" ht="12.75" customHeight="1" x14ac:dyDescent="0.15">
      <c r="D714" s="59"/>
      <c r="F714" s="59"/>
      <c r="H714" s="59"/>
    </row>
    <row r="715" spans="4:8" ht="12.75" customHeight="1" x14ac:dyDescent="0.15">
      <c r="D715" s="59"/>
      <c r="F715" s="59"/>
      <c r="H715" s="59"/>
    </row>
    <row r="716" spans="4:8" ht="12.75" customHeight="1" x14ac:dyDescent="0.15">
      <c r="D716" s="59"/>
      <c r="F716" s="59"/>
      <c r="H716" s="59"/>
    </row>
    <row r="717" spans="4:8" ht="12.75" customHeight="1" x14ac:dyDescent="0.15">
      <c r="D717" s="59"/>
      <c r="F717" s="59"/>
      <c r="H717" s="59"/>
    </row>
    <row r="718" spans="4:8" ht="12.75" customHeight="1" x14ac:dyDescent="0.15">
      <c r="D718" s="59"/>
      <c r="F718" s="59"/>
      <c r="H718" s="59"/>
    </row>
    <row r="719" spans="4:8" ht="12.75" customHeight="1" x14ac:dyDescent="0.15">
      <c r="D719" s="59"/>
      <c r="F719" s="59"/>
      <c r="H719" s="59"/>
    </row>
    <row r="720" spans="4:8" ht="12.75" customHeight="1" x14ac:dyDescent="0.15">
      <c r="D720" s="59"/>
      <c r="F720" s="59"/>
      <c r="H720" s="59"/>
    </row>
    <row r="721" spans="4:8" ht="12.75" customHeight="1" x14ac:dyDescent="0.15">
      <c r="D721" s="59"/>
      <c r="F721" s="59"/>
      <c r="H721" s="59"/>
    </row>
    <row r="722" spans="4:8" ht="12.75" customHeight="1" x14ac:dyDescent="0.15">
      <c r="D722" s="59"/>
      <c r="F722" s="59"/>
      <c r="H722" s="59"/>
    </row>
    <row r="723" spans="4:8" ht="12.75" customHeight="1" x14ac:dyDescent="0.15">
      <c r="D723" s="59"/>
      <c r="F723" s="59"/>
      <c r="H723" s="59"/>
    </row>
    <row r="724" spans="4:8" ht="12.75" customHeight="1" x14ac:dyDescent="0.15">
      <c r="D724" s="59"/>
      <c r="F724" s="59"/>
      <c r="H724" s="59"/>
    </row>
    <row r="725" spans="4:8" ht="12.75" customHeight="1" x14ac:dyDescent="0.15">
      <c r="D725" s="59"/>
      <c r="F725" s="59"/>
      <c r="H725" s="59"/>
    </row>
    <row r="726" spans="4:8" ht="12.75" customHeight="1" x14ac:dyDescent="0.15">
      <c r="D726" s="59"/>
      <c r="F726" s="59"/>
      <c r="H726" s="59"/>
    </row>
    <row r="727" spans="4:8" ht="12.75" customHeight="1" x14ac:dyDescent="0.15">
      <c r="D727" s="59"/>
      <c r="F727" s="59"/>
      <c r="H727" s="59"/>
    </row>
    <row r="728" spans="4:8" ht="12.75" customHeight="1" x14ac:dyDescent="0.15">
      <c r="D728" s="59"/>
      <c r="F728" s="59"/>
      <c r="H728" s="59"/>
    </row>
    <row r="729" spans="4:8" ht="12.75" customHeight="1" x14ac:dyDescent="0.15">
      <c r="D729" s="59"/>
      <c r="F729" s="59"/>
      <c r="H729" s="59"/>
    </row>
    <row r="730" spans="4:8" ht="12.75" customHeight="1" x14ac:dyDescent="0.15">
      <c r="D730" s="59"/>
      <c r="F730" s="59"/>
      <c r="H730" s="59"/>
    </row>
    <row r="731" spans="4:8" ht="12.75" customHeight="1" x14ac:dyDescent="0.15">
      <c r="D731" s="59"/>
      <c r="F731" s="59"/>
      <c r="H731" s="59"/>
    </row>
    <row r="732" spans="4:8" ht="12.75" customHeight="1" x14ac:dyDescent="0.15">
      <c r="D732" s="59"/>
      <c r="F732" s="59"/>
      <c r="H732" s="59"/>
    </row>
    <row r="733" spans="4:8" ht="12.75" customHeight="1" x14ac:dyDescent="0.15">
      <c r="D733" s="59"/>
      <c r="F733" s="59"/>
      <c r="H733" s="59"/>
    </row>
    <row r="734" spans="4:8" ht="12.75" customHeight="1" x14ac:dyDescent="0.15">
      <c r="D734" s="59"/>
      <c r="F734" s="59"/>
      <c r="H734" s="59"/>
    </row>
    <row r="735" spans="4:8" ht="12.75" customHeight="1" x14ac:dyDescent="0.15">
      <c r="D735" s="59"/>
      <c r="F735" s="59"/>
      <c r="H735" s="59"/>
    </row>
    <row r="736" spans="4:8" ht="12.75" customHeight="1" x14ac:dyDescent="0.15">
      <c r="D736" s="59"/>
      <c r="F736" s="59"/>
      <c r="H736" s="59"/>
    </row>
    <row r="737" spans="4:8" ht="12.75" customHeight="1" x14ac:dyDescent="0.15">
      <c r="D737" s="59"/>
      <c r="F737" s="59"/>
      <c r="H737" s="59"/>
    </row>
    <row r="738" spans="4:8" ht="12.75" customHeight="1" x14ac:dyDescent="0.15">
      <c r="D738" s="59"/>
      <c r="F738" s="59"/>
      <c r="H738" s="59"/>
    </row>
    <row r="739" spans="4:8" ht="12.75" customHeight="1" x14ac:dyDescent="0.15">
      <c r="D739" s="59"/>
      <c r="F739" s="59"/>
      <c r="H739" s="59"/>
    </row>
    <row r="740" spans="4:8" ht="12.75" customHeight="1" x14ac:dyDescent="0.15">
      <c r="D740" s="59"/>
      <c r="F740" s="59"/>
      <c r="H740" s="59"/>
    </row>
    <row r="741" spans="4:8" ht="12.75" customHeight="1" x14ac:dyDescent="0.15">
      <c r="D741" s="59"/>
      <c r="F741" s="59"/>
      <c r="H741" s="59"/>
    </row>
    <row r="742" spans="4:8" ht="12.75" customHeight="1" x14ac:dyDescent="0.15">
      <c r="D742" s="59"/>
      <c r="F742" s="59"/>
      <c r="H742" s="59"/>
    </row>
    <row r="743" spans="4:8" ht="12.75" customHeight="1" x14ac:dyDescent="0.15">
      <c r="D743" s="59"/>
      <c r="F743" s="59"/>
      <c r="H743" s="59"/>
    </row>
    <row r="744" spans="4:8" ht="12.75" customHeight="1" x14ac:dyDescent="0.15">
      <c r="D744" s="59"/>
      <c r="F744" s="59"/>
      <c r="H744" s="59"/>
    </row>
    <row r="745" spans="4:8" ht="12.75" customHeight="1" x14ac:dyDescent="0.15">
      <c r="D745" s="59"/>
      <c r="F745" s="59"/>
      <c r="H745" s="59"/>
    </row>
    <row r="746" spans="4:8" ht="12.75" customHeight="1" x14ac:dyDescent="0.15">
      <c r="D746" s="59"/>
      <c r="F746" s="59"/>
      <c r="H746" s="59"/>
    </row>
    <row r="747" spans="4:8" ht="12.75" customHeight="1" x14ac:dyDescent="0.15">
      <c r="D747" s="59"/>
      <c r="F747" s="59"/>
      <c r="H747" s="59"/>
    </row>
    <row r="748" spans="4:8" ht="12.75" customHeight="1" x14ac:dyDescent="0.15">
      <c r="D748" s="59"/>
      <c r="F748" s="59"/>
      <c r="H748" s="59"/>
    </row>
    <row r="749" spans="4:8" ht="12.75" customHeight="1" x14ac:dyDescent="0.15">
      <c r="D749" s="59"/>
      <c r="F749" s="59"/>
      <c r="H749" s="59"/>
    </row>
    <row r="750" spans="4:8" ht="12.75" customHeight="1" x14ac:dyDescent="0.15">
      <c r="D750" s="59"/>
      <c r="F750" s="59"/>
      <c r="H750" s="59"/>
    </row>
    <row r="751" spans="4:8" ht="12.75" customHeight="1" x14ac:dyDescent="0.15">
      <c r="D751" s="59"/>
      <c r="F751" s="59"/>
      <c r="H751" s="59"/>
    </row>
    <row r="752" spans="4:8" ht="12.75" customHeight="1" x14ac:dyDescent="0.15">
      <c r="D752" s="59"/>
      <c r="F752" s="59"/>
      <c r="H752" s="59"/>
    </row>
    <row r="753" spans="4:8" ht="12.75" customHeight="1" x14ac:dyDescent="0.15">
      <c r="D753" s="59"/>
      <c r="F753" s="59"/>
      <c r="H753" s="59"/>
    </row>
    <row r="754" spans="4:8" ht="12.75" customHeight="1" x14ac:dyDescent="0.15">
      <c r="D754" s="59"/>
      <c r="F754" s="59"/>
      <c r="H754" s="59"/>
    </row>
    <row r="755" spans="4:8" ht="12.75" customHeight="1" x14ac:dyDescent="0.15">
      <c r="D755" s="59"/>
      <c r="F755" s="59"/>
      <c r="H755" s="59"/>
    </row>
    <row r="756" spans="4:8" ht="12.75" customHeight="1" x14ac:dyDescent="0.15">
      <c r="D756" s="59"/>
      <c r="F756" s="59"/>
      <c r="H756" s="59"/>
    </row>
    <row r="757" spans="4:8" ht="12.75" customHeight="1" x14ac:dyDescent="0.15">
      <c r="D757" s="59"/>
      <c r="F757" s="59"/>
      <c r="H757" s="59"/>
    </row>
    <row r="758" spans="4:8" ht="12.75" customHeight="1" x14ac:dyDescent="0.15">
      <c r="D758" s="59"/>
      <c r="F758" s="59"/>
      <c r="H758" s="59"/>
    </row>
    <row r="759" spans="4:8" ht="12.75" customHeight="1" x14ac:dyDescent="0.15">
      <c r="D759" s="59"/>
      <c r="F759" s="59"/>
      <c r="H759" s="59"/>
    </row>
    <row r="760" spans="4:8" ht="12.75" customHeight="1" x14ac:dyDescent="0.15">
      <c r="D760" s="59"/>
      <c r="F760" s="59"/>
      <c r="H760" s="59"/>
    </row>
    <row r="761" spans="4:8" ht="12.75" customHeight="1" x14ac:dyDescent="0.15">
      <c r="D761" s="59"/>
      <c r="F761" s="59"/>
      <c r="H761" s="59"/>
    </row>
    <row r="762" spans="4:8" ht="12.75" customHeight="1" x14ac:dyDescent="0.15">
      <c r="D762" s="59"/>
      <c r="F762" s="59"/>
      <c r="H762" s="59"/>
    </row>
    <row r="763" spans="4:8" ht="12.75" customHeight="1" x14ac:dyDescent="0.15">
      <c r="D763" s="59"/>
      <c r="F763" s="59"/>
      <c r="H763" s="59"/>
    </row>
    <row r="764" spans="4:8" ht="12.75" customHeight="1" x14ac:dyDescent="0.15">
      <c r="D764" s="59"/>
      <c r="F764" s="59"/>
      <c r="H764" s="59"/>
    </row>
    <row r="765" spans="4:8" ht="12.75" customHeight="1" x14ac:dyDescent="0.15">
      <c r="D765" s="59"/>
      <c r="F765" s="59"/>
      <c r="H765" s="59"/>
    </row>
    <row r="766" spans="4:8" ht="12.75" customHeight="1" x14ac:dyDescent="0.15">
      <c r="D766" s="59"/>
      <c r="F766" s="59"/>
      <c r="H766" s="59"/>
    </row>
    <row r="767" spans="4:8" ht="12.75" customHeight="1" x14ac:dyDescent="0.15">
      <c r="D767" s="59"/>
      <c r="F767" s="59"/>
      <c r="H767" s="59"/>
    </row>
    <row r="768" spans="4:8" ht="12.75" customHeight="1" x14ac:dyDescent="0.15">
      <c r="D768" s="59"/>
      <c r="F768" s="59"/>
      <c r="H768" s="59"/>
    </row>
    <row r="769" spans="4:8" ht="12.75" customHeight="1" x14ac:dyDescent="0.15">
      <c r="D769" s="59"/>
      <c r="F769" s="59"/>
      <c r="H769" s="59"/>
    </row>
    <row r="770" spans="4:8" ht="12.75" customHeight="1" x14ac:dyDescent="0.15">
      <c r="D770" s="59"/>
      <c r="F770" s="59"/>
      <c r="H770" s="59"/>
    </row>
    <row r="771" spans="4:8" ht="12.75" customHeight="1" x14ac:dyDescent="0.15">
      <c r="D771" s="59"/>
      <c r="F771" s="59"/>
      <c r="H771" s="59"/>
    </row>
    <row r="772" spans="4:8" ht="12.75" customHeight="1" x14ac:dyDescent="0.15">
      <c r="D772" s="59"/>
      <c r="F772" s="59"/>
      <c r="H772" s="59"/>
    </row>
    <row r="773" spans="4:8" ht="12.75" customHeight="1" x14ac:dyDescent="0.15">
      <c r="D773" s="59"/>
      <c r="F773" s="59"/>
      <c r="H773" s="59"/>
    </row>
    <row r="774" spans="4:8" ht="12.75" customHeight="1" x14ac:dyDescent="0.15">
      <c r="D774" s="59"/>
      <c r="F774" s="59"/>
      <c r="H774" s="59"/>
    </row>
    <row r="775" spans="4:8" ht="12.75" customHeight="1" x14ac:dyDescent="0.15">
      <c r="D775" s="59"/>
      <c r="F775" s="59"/>
      <c r="H775" s="59"/>
    </row>
    <row r="776" spans="4:8" ht="12.75" customHeight="1" x14ac:dyDescent="0.15">
      <c r="D776" s="59"/>
      <c r="F776" s="59"/>
      <c r="H776" s="59"/>
    </row>
    <row r="777" spans="4:8" ht="12.75" customHeight="1" x14ac:dyDescent="0.15">
      <c r="D777" s="59"/>
      <c r="F777" s="59"/>
      <c r="H777" s="59"/>
    </row>
    <row r="778" spans="4:8" ht="12.75" customHeight="1" x14ac:dyDescent="0.15">
      <c r="D778" s="59"/>
      <c r="F778" s="59"/>
      <c r="H778" s="59"/>
    </row>
    <row r="779" spans="4:8" ht="12.75" customHeight="1" x14ac:dyDescent="0.15">
      <c r="D779" s="59"/>
      <c r="F779" s="59"/>
      <c r="H779" s="59"/>
    </row>
    <row r="780" spans="4:8" ht="12.75" customHeight="1" x14ac:dyDescent="0.15">
      <c r="D780" s="59"/>
      <c r="F780" s="59"/>
      <c r="H780" s="59"/>
    </row>
    <row r="781" spans="4:8" ht="12.75" customHeight="1" x14ac:dyDescent="0.15">
      <c r="D781" s="59"/>
      <c r="F781" s="59"/>
      <c r="H781" s="59"/>
    </row>
    <row r="782" spans="4:8" ht="12.75" customHeight="1" x14ac:dyDescent="0.15">
      <c r="D782" s="59"/>
      <c r="F782" s="59"/>
      <c r="H782" s="59"/>
    </row>
    <row r="783" spans="4:8" ht="12.75" customHeight="1" x14ac:dyDescent="0.15">
      <c r="D783" s="59"/>
      <c r="F783" s="59"/>
      <c r="H783" s="59"/>
    </row>
    <row r="784" spans="4:8" ht="12.75" customHeight="1" x14ac:dyDescent="0.15">
      <c r="D784" s="59"/>
      <c r="F784" s="59"/>
      <c r="H784" s="59"/>
    </row>
    <row r="785" spans="4:8" ht="12.75" customHeight="1" x14ac:dyDescent="0.15">
      <c r="D785" s="59"/>
      <c r="F785" s="59"/>
      <c r="H785" s="59"/>
    </row>
    <row r="786" spans="4:8" ht="12.75" customHeight="1" x14ac:dyDescent="0.15">
      <c r="D786" s="59"/>
      <c r="F786" s="59"/>
      <c r="H786" s="59"/>
    </row>
    <row r="787" spans="4:8" ht="12.75" customHeight="1" x14ac:dyDescent="0.15">
      <c r="D787" s="59"/>
      <c r="F787" s="59"/>
      <c r="H787" s="59"/>
    </row>
    <row r="788" spans="4:8" ht="12.75" customHeight="1" x14ac:dyDescent="0.15">
      <c r="D788" s="59"/>
      <c r="F788" s="59"/>
      <c r="H788" s="59"/>
    </row>
    <row r="789" spans="4:8" ht="12.75" customHeight="1" x14ac:dyDescent="0.15">
      <c r="D789" s="59"/>
      <c r="F789" s="59"/>
      <c r="H789" s="59"/>
    </row>
    <row r="790" spans="4:8" ht="12.75" customHeight="1" x14ac:dyDescent="0.15">
      <c r="D790" s="59"/>
      <c r="F790" s="59"/>
      <c r="H790" s="59"/>
    </row>
    <row r="791" spans="4:8" ht="12.75" customHeight="1" x14ac:dyDescent="0.15">
      <c r="D791" s="59"/>
      <c r="F791" s="59"/>
      <c r="H791" s="59"/>
    </row>
    <row r="792" spans="4:8" ht="12.75" customHeight="1" x14ac:dyDescent="0.15">
      <c r="D792" s="59"/>
      <c r="F792" s="59"/>
      <c r="H792" s="59"/>
    </row>
    <row r="793" spans="4:8" ht="12.75" customHeight="1" x14ac:dyDescent="0.15">
      <c r="D793" s="59"/>
      <c r="F793" s="59"/>
      <c r="H793" s="59"/>
    </row>
    <row r="794" spans="4:8" ht="12.75" customHeight="1" x14ac:dyDescent="0.15">
      <c r="D794" s="59"/>
      <c r="F794" s="59"/>
      <c r="H794" s="59"/>
    </row>
    <row r="795" spans="4:8" ht="12.75" customHeight="1" x14ac:dyDescent="0.15">
      <c r="D795" s="59"/>
      <c r="F795" s="59"/>
      <c r="H795" s="59"/>
    </row>
    <row r="796" spans="4:8" ht="12.75" customHeight="1" x14ac:dyDescent="0.15">
      <c r="D796" s="59"/>
      <c r="F796" s="59"/>
      <c r="H796" s="59"/>
    </row>
    <row r="797" spans="4:8" ht="12.75" customHeight="1" x14ac:dyDescent="0.15">
      <c r="D797" s="59"/>
      <c r="F797" s="59"/>
      <c r="H797" s="59"/>
    </row>
    <row r="798" spans="4:8" ht="12.75" customHeight="1" x14ac:dyDescent="0.15">
      <c r="D798" s="59"/>
      <c r="F798" s="59"/>
      <c r="H798" s="59"/>
    </row>
    <row r="799" spans="4:8" ht="12.75" customHeight="1" x14ac:dyDescent="0.15">
      <c r="D799" s="59"/>
      <c r="F799" s="59"/>
      <c r="H799" s="59"/>
    </row>
    <row r="800" spans="4:8" ht="12.75" customHeight="1" x14ac:dyDescent="0.15">
      <c r="D800" s="59"/>
      <c r="F800" s="59"/>
      <c r="H800" s="59"/>
    </row>
    <row r="801" spans="4:8" ht="12.75" customHeight="1" x14ac:dyDescent="0.15">
      <c r="D801" s="59"/>
      <c r="F801" s="59"/>
      <c r="H801" s="59"/>
    </row>
    <row r="802" spans="4:8" ht="12.75" customHeight="1" x14ac:dyDescent="0.15">
      <c r="D802" s="59"/>
      <c r="F802" s="59"/>
      <c r="H802" s="59"/>
    </row>
    <row r="803" spans="4:8" ht="12.75" customHeight="1" x14ac:dyDescent="0.15">
      <c r="D803" s="59"/>
      <c r="F803" s="59"/>
      <c r="H803" s="59"/>
    </row>
    <row r="804" spans="4:8" ht="12.75" customHeight="1" x14ac:dyDescent="0.15">
      <c r="D804" s="59"/>
      <c r="F804" s="59"/>
      <c r="H804" s="59"/>
    </row>
    <row r="805" spans="4:8" ht="12.75" customHeight="1" x14ac:dyDescent="0.15">
      <c r="D805" s="59"/>
      <c r="F805" s="59"/>
      <c r="H805" s="59"/>
    </row>
    <row r="806" spans="4:8" ht="12.75" customHeight="1" x14ac:dyDescent="0.15">
      <c r="D806" s="59"/>
      <c r="F806" s="59"/>
      <c r="H806" s="59"/>
    </row>
    <row r="807" spans="4:8" ht="12.75" customHeight="1" x14ac:dyDescent="0.15">
      <c r="D807" s="59"/>
      <c r="F807" s="59"/>
      <c r="H807" s="59"/>
    </row>
    <row r="808" spans="4:8" ht="12.75" customHeight="1" x14ac:dyDescent="0.15">
      <c r="D808" s="59"/>
      <c r="F808" s="59"/>
      <c r="H808" s="59"/>
    </row>
    <row r="809" spans="4:8" ht="12.75" customHeight="1" x14ac:dyDescent="0.15">
      <c r="D809" s="59"/>
      <c r="F809" s="59"/>
      <c r="H809" s="59"/>
    </row>
    <row r="810" spans="4:8" ht="12.75" customHeight="1" x14ac:dyDescent="0.15">
      <c r="D810" s="59"/>
      <c r="F810" s="59"/>
      <c r="H810" s="59"/>
    </row>
    <row r="811" spans="4:8" ht="12.75" customHeight="1" x14ac:dyDescent="0.15">
      <c r="D811" s="59"/>
      <c r="F811" s="59"/>
      <c r="H811" s="59"/>
    </row>
    <row r="812" spans="4:8" ht="12.75" customHeight="1" x14ac:dyDescent="0.15">
      <c r="D812" s="59"/>
      <c r="F812" s="59"/>
      <c r="H812" s="59"/>
    </row>
    <row r="813" spans="4:8" ht="12.75" customHeight="1" x14ac:dyDescent="0.15">
      <c r="D813" s="59"/>
      <c r="F813" s="59"/>
      <c r="H813" s="59"/>
    </row>
    <row r="814" spans="4:8" ht="12.75" customHeight="1" x14ac:dyDescent="0.15">
      <c r="D814" s="59"/>
      <c r="F814" s="59"/>
      <c r="H814" s="59"/>
    </row>
    <row r="815" spans="4:8" ht="12.75" customHeight="1" x14ac:dyDescent="0.15">
      <c r="D815" s="59"/>
      <c r="F815" s="59"/>
      <c r="H815" s="59"/>
    </row>
    <row r="816" spans="4:8" ht="12.75" customHeight="1" x14ac:dyDescent="0.15">
      <c r="D816" s="59"/>
      <c r="F816" s="59"/>
      <c r="H816" s="59"/>
    </row>
    <row r="817" spans="4:8" ht="12.75" customHeight="1" x14ac:dyDescent="0.15">
      <c r="D817" s="59"/>
      <c r="F817" s="59"/>
      <c r="H817" s="59"/>
    </row>
    <row r="818" spans="4:8" ht="12.75" customHeight="1" x14ac:dyDescent="0.15">
      <c r="D818" s="59"/>
      <c r="F818" s="59"/>
      <c r="H818" s="59"/>
    </row>
    <row r="819" spans="4:8" ht="12.75" customHeight="1" x14ac:dyDescent="0.15">
      <c r="D819" s="59"/>
      <c r="F819" s="59"/>
      <c r="H819" s="59"/>
    </row>
    <row r="820" spans="4:8" ht="12.75" customHeight="1" x14ac:dyDescent="0.15">
      <c r="D820" s="59"/>
      <c r="F820" s="59"/>
      <c r="H820" s="59"/>
    </row>
    <row r="821" spans="4:8" ht="12.75" customHeight="1" x14ac:dyDescent="0.15">
      <c r="D821" s="59"/>
      <c r="F821" s="59"/>
      <c r="H821" s="59"/>
    </row>
    <row r="822" spans="4:8" ht="12.75" customHeight="1" x14ac:dyDescent="0.15">
      <c r="D822" s="59"/>
      <c r="F822" s="59"/>
      <c r="H822" s="59"/>
    </row>
    <row r="823" spans="4:8" ht="12.75" customHeight="1" x14ac:dyDescent="0.15">
      <c r="D823" s="59"/>
      <c r="F823" s="59"/>
      <c r="H823" s="59"/>
    </row>
    <row r="824" spans="4:8" ht="12.75" customHeight="1" x14ac:dyDescent="0.15">
      <c r="D824" s="59"/>
      <c r="F824" s="59"/>
      <c r="H824" s="59"/>
    </row>
    <row r="825" spans="4:8" ht="12.75" customHeight="1" x14ac:dyDescent="0.15">
      <c r="D825" s="59"/>
      <c r="F825" s="59"/>
      <c r="H825" s="59"/>
    </row>
    <row r="826" spans="4:8" ht="12.75" customHeight="1" x14ac:dyDescent="0.15">
      <c r="D826" s="59"/>
      <c r="F826" s="59"/>
      <c r="H826" s="59"/>
    </row>
    <row r="827" spans="4:8" ht="12.75" customHeight="1" x14ac:dyDescent="0.15">
      <c r="D827" s="59"/>
      <c r="F827" s="59"/>
      <c r="H827" s="59"/>
    </row>
    <row r="828" spans="4:8" ht="12.75" customHeight="1" x14ac:dyDescent="0.15">
      <c r="D828" s="59"/>
      <c r="F828" s="59"/>
      <c r="H828" s="59"/>
    </row>
    <row r="829" spans="4:8" ht="12.75" customHeight="1" x14ac:dyDescent="0.15">
      <c r="D829" s="59"/>
      <c r="F829" s="59"/>
      <c r="H829" s="59"/>
    </row>
    <row r="830" spans="4:8" ht="12.75" customHeight="1" x14ac:dyDescent="0.15">
      <c r="D830" s="59"/>
      <c r="F830" s="59"/>
      <c r="H830" s="59"/>
    </row>
    <row r="831" spans="4:8" ht="12.75" customHeight="1" x14ac:dyDescent="0.15">
      <c r="D831" s="59"/>
      <c r="F831" s="59"/>
      <c r="H831" s="59"/>
    </row>
    <row r="832" spans="4:8" ht="12.75" customHeight="1" x14ac:dyDescent="0.15">
      <c r="D832" s="59"/>
      <c r="F832" s="59"/>
      <c r="H832" s="59"/>
    </row>
    <row r="833" spans="4:8" ht="12.75" customHeight="1" x14ac:dyDescent="0.15">
      <c r="D833" s="59"/>
      <c r="F833" s="59"/>
      <c r="H833" s="59"/>
    </row>
    <row r="834" spans="4:8" ht="12.75" customHeight="1" x14ac:dyDescent="0.15">
      <c r="D834" s="59"/>
      <c r="F834" s="59"/>
      <c r="H834" s="59"/>
    </row>
    <row r="835" spans="4:8" ht="12.75" customHeight="1" x14ac:dyDescent="0.15">
      <c r="D835" s="59"/>
      <c r="F835" s="59"/>
      <c r="H835" s="59"/>
    </row>
    <row r="836" spans="4:8" ht="12.75" customHeight="1" x14ac:dyDescent="0.15">
      <c r="D836" s="59"/>
      <c r="F836" s="59"/>
      <c r="H836" s="59"/>
    </row>
    <row r="837" spans="4:8" ht="12.75" customHeight="1" x14ac:dyDescent="0.15">
      <c r="D837" s="59"/>
      <c r="F837" s="59"/>
      <c r="H837" s="59"/>
    </row>
    <row r="838" spans="4:8" ht="12.75" customHeight="1" x14ac:dyDescent="0.15">
      <c r="D838" s="59"/>
      <c r="F838" s="59"/>
      <c r="H838" s="59"/>
    </row>
    <row r="839" spans="4:8" ht="12.75" customHeight="1" x14ac:dyDescent="0.15">
      <c r="D839" s="59"/>
      <c r="F839" s="59"/>
      <c r="H839" s="59"/>
    </row>
    <row r="840" spans="4:8" ht="12.75" customHeight="1" x14ac:dyDescent="0.15">
      <c r="D840" s="59"/>
      <c r="F840" s="59"/>
      <c r="H840" s="59"/>
    </row>
    <row r="841" spans="4:8" ht="12.75" customHeight="1" x14ac:dyDescent="0.15">
      <c r="D841" s="59"/>
      <c r="F841" s="59"/>
      <c r="H841" s="59"/>
    </row>
    <row r="842" spans="4:8" ht="12.75" customHeight="1" x14ac:dyDescent="0.15">
      <c r="D842" s="59"/>
      <c r="F842" s="59"/>
      <c r="H842" s="59"/>
    </row>
    <row r="843" spans="4:8" ht="12.75" customHeight="1" x14ac:dyDescent="0.15">
      <c r="D843" s="59"/>
      <c r="F843" s="59"/>
      <c r="H843" s="59"/>
    </row>
    <row r="844" spans="4:8" ht="12.75" customHeight="1" x14ac:dyDescent="0.15">
      <c r="D844" s="59"/>
      <c r="F844" s="59"/>
      <c r="H844" s="59"/>
    </row>
    <row r="845" spans="4:8" ht="12.75" customHeight="1" x14ac:dyDescent="0.15">
      <c r="D845" s="59"/>
      <c r="F845" s="59"/>
      <c r="H845" s="59"/>
    </row>
    <row r="846" spans="4:8" ht="12.75" customHeight="1" x14ac:dyDescent="0.15">
      <c r="D846" s="59"/>
      <c r="F846" s="59"/>
      <c r="H846" s="59"/>
    </row>
    <row r="847" spans="4:8" ht="12.75" customHeight="1" x14ac:dyDescent="0.15">
      <c r="D847" s="59"/>
      <c r="F847" s="59"/>
      <c r="H847" s="59"/>
    </row>
    <row r="848" spans="4:8" ht="12.75" customHeight="1" x14ac:dyDescent="0.15">
      <c r="D848" s="59"/>
      <c r="F848" s="59"/>
      <c r="H848" s="59"/>
    </row>
    <row r="849" spans="4:8" ht="12.75" customHeight="1" x14ac:dyDescent="0.15">
      <c r="D849" s="59"/>
      <c r="F849" s="59"/>
      <c r="H849" s="59"/>
    </row>
    <row r="850" spans="4:8" ht="12.75" customHeight="1" x14ac:dyDescent="0.15">
      <c r="D850" s="59"/>
      <c r="F850" s="59"/>
      <c r="H850" s="59"/>
    </row>
    <row r="851" spans="4:8" ht="12.75" customHeight="1" x14ac:dyDescent="0.15">
      <c r="D851" s="59"/>
      <c r="F851" s="59"/>
      <c r="H851" s="59"/>
    </row>
    <row r="852" spans="4:8" ht="12.75" customHeight="1" x14ac:dyDescent="0.15">
      <c r="D852" s="59"/>
      <c r="F852" s="59"/>
      <c r="H852" s="59"/>
    </row>
    <row r="853" spans="4:8" ht="12.75" customHeight="1" x14ac:dyDescent="0.15">
      <c r="D853" s="59"/>
      <c r="F853" s="59"/>
      <c r="H853" s="59"/>
    </row>
    <row r="854" spans="4:8" ht="12.75" customHeight="1" x14ac:dyDescent="0.15">
      <c r="D854" s="59"/>
      <c r="F854" s="59"/>
      <c r="H854" s="59"/>
    </row>
    <row r="855" spans="4:8" ht="12.75" customHeight="1" x14ac:dyDescent="0.15">
      <c r="D855" s="59"/>
      <c r="F855" s="59"/>
      <c r="H855" s="59"/>
    </row>
    <row r="856" spans="4:8" ht="12.75" customHeight="1" x14ac:dyDescent="0.15">
      <c r="D856" s="59"/>
      <c r="F856" s="59"/>
      <c r="H856" s="59"/>
    </row>
    <row r="857" spans="4:8" ht="12.75" customHeight="1" x14ac:dyDescent="0.15">
      <c r="D857" s="59"/>
      <c r="F857" s="59"/>
      <c r="H857" s="59"/>
    </row>
    <row r="858" spans="4:8" ht="12.75" customHeight="1" x14ac:dyDescent="0.15">
      <c r="D858" s="59"/>
      <c r="F858" s="59"/>
      <c r="H858" s="59"/>
    </row>
    <row r="859" spans="4:8" ht="12.75" customHeight="1" x14ac:dyDescent="0.15">
      <c r="D859" s="59"/>
      <c r="F859" s="59"/>
      <c r="H859" s="59"/>
    </row>
    <row r="860" spans="4:8" ht="12.75" customHeight="1" x14ac:dyDescent="0.15">
      <c r="D860" s="59"/>
      <c r="F860" s="59"/>
      <c r="H860" s="59"/>
    </row>
    <row r="861" spans="4:8" ht="12.75" customHeight="1" x14ac:dyDescent="0.15">
      <c r="D861" s="59"/>
      <c r="F861" s="59"/>
      <c r="H861" s="59"/>
    </row>
    <row r="862" spans="4:8" ht="12.75" customHeight="1" x14ac:dyDescent="0.15">
      <c r="D862" s="59"/>
      <c r="F862" s="59"/>
      <c r="H862" s="59"/>
    </row>
    <row r="863" spans="4:8" ht="12.75" customHeight="1" x14ac:dyDescent="0.15">
      <c r="D863" s="59"/>
      <c r="F863" s="59"/>
      <c r="H863" s="59"/>
    </row>
    <row r="864" spans="4:8" ht="12.75" customHeight="1" x14ac:dyDescent="0.15">
      <c r="D864" s="59"/>
      <c r="F864" s="59"/>
      <c r="H864" s="59"/>
    </row>
    <row r="865" spans="4:8" ht="12.75" customHeight="1" x14ac:dyDescent="0.15">
      <c r="D865" s="59"/>
      <c r="F865" s="59"/>
      <c r="H865" s="59"/>
    </row>
    <row r="866" spans="4:8" ht="12.75" customHeight="1" x14ac:dyDescent="0.15">
      <c r="D866" s="59"/>
      <c r="F866" s="59"/>
      <c r="H866" s="59"/>
    </row>
    <row r="867" spans="4:8" ht="12.75" customHeight="1" x14ac:dyDescent="0.15">
      <c r="D867" s="59"/>
      <c r="F867" s="59"/>
      <c r="H867" s="59"/>
    </row>
    <row r="868" spans="4:8" ht="12.75" customHeight="1" x14ac:dyDescent="0.15">
      <c r="D868" s="59"/>
      <c r="F868" s="59"/>
      <c r="H868" s="59"/>
    </row>
    <row r="869" spans="4:8" ht="12.75" customHeight="1" x14ac:dyDescent="0.15">
      <c r="D869" s="59"/>
      <c r="F869" s="59"/>
      <c r="H869" s="59"/>
    </row>
    <row r="870" spans="4:8" ht="12.75" customHeight="1" x14ac:dyDescent="0.15">
      <c r="D870" s="59"/>
      <c r="F870" s="59"/>
      <c r="H870" s="59"/>
    </row>
    <row r="871" spans="4:8" ht="12.75" customHeight="1" x14ac:dyDescent="0.15">
      <c r="D871" s="59"/>
      <c r="F871" s="59"/>
      <c r="H871" s="59"/>
    </row>
    <row r="872" spans="4:8" ht="12.75" customHeight="1" x14ac:dyDescent="0.15">
      <c r="D872" s="59"/>
      <c r="F872" s="59"/>
      <c r="H872" s="59"/>
    </row>
    <row r="873" spans="4:8" ht="12.75" customHeight="1" x14ac:dyDescent="0.15">
      <c r="D873" s="59"/>
      <c r="F873" s="59"/>
      <c r="H873" s="59"/>
    </row>
    <row r="874" spans="4:8" ht="12.75" customHeight="1" x14ac:dyDescent="0.15">
      <c r="D874" s="59"/>
      <c r="F874" s="59"/>
      <c r="H874" s="59"/>
    </row>
    <row r="875" spans="4:8" ht="12.75" customHeight="1" x14ac:dyDescent="0.15">
      <c r="D875" s="59"/>
      <c r="F875" s="59"/>
      <c r="H875" s="59"/>
    </row>
    <row r="876" spans="4:8" ht="12.75" customHeight="1" x14ac:dyDescent="0.15">
      <c r="D876" s="59"/>
      <c r="F876" s="59"/>
      <c r="H876" s="59"/>
    </row>
    <row r="877" spans="4:8" ht="12.75" customHeight="1" x14ac:dyDescent="0.15">
      <c r="D877" s="59"/>
      <c r="F877" s="59"/>
      <c r="H877" s="59"/>
    </row>
    <row r="878" spans="4:8" ht="12.75" customHeight="1" x14ac:dyDescent="0.15">
      <c r="D878" s="59"/>
      <c r="F878" s="59"/>
      <c r="H878" s="59"/>
    </row>
    <row r="879" spans="4:8" ht="12.75" customHeight="1" x14ac:dyDescent="0.15">
      <c r="D879" s="59"/>
      <c r="F879" s="59"/>
      <c r="H879" s="59"/>
    </row>
    <row r="880" spans="4:8" ht="12.75" customHeight="1" x14ac:dyDescent="0.15">
      <c r="D880" s="59"/>
      <c r="F880" s="59"/>
      <c r="H880" s="59"/>
    </row>
    <row r="881" spans="4:8" ht="12.75" customHeight="1" x14ac:dyDescent="0.15">
      <c r="D881" s="59"/>
      <c r="F881" s="59"/>
      <c r="H881" s="59"/>
    </row>
    <row r="882" spans="4:8" ht="12.75" customHeight="1" x14ac:dyDescent="0.15">
      <c r="D882" s="59"/>
      <c r="F882" s="59"/>
      <c r="H882" s="59"/>
    </row>
    <row r="883" spans="4:8" ht="12.75" customHeight="1" x14ac:dyDescent="0.15">
      <c r="D883" s="59"/>
      <c r="F883" s="59"/>
      <c r="H883" s="59"/>
    </row>
    <row r="884" spans="4:8" ht="12.75" customHeight="1" x14ac:dyDescent="0.15">
      <c r="D884" s="59"/>
      <c r="F884" s="59"/>
      <c r="H884" s="59"/>
    </row>
    <row r="885" spans="4:8" ht="12.75" customHeight="1" x14ac:dyDescent="0.15">
      <c r="D885" s="59"/>
      <c r="F885" s="59"/>
      <c r="H885" s="59"/>
    </row>
    <row r="886" spans="4:8" ht="12.75" customHeight="1" x14ac:dyDescent="0.15">
      <c r="D886" s="59"/>
      <c r="F886" s="59"/>
      <c r="H886" s="59"/>
    </row>
    <row r="887" spans="4:8" ht="12.75" customHeight="1" x14ac:dyDescent="0.15">
      <c r="D887" s="59"/>
      <c r="F887" s="59"/>
      <c r="H887" s="59"/>
    </row>
    <row r="888" spans="4:8" ht="12.75" customHeight="1" x14ac:dyDescent="0.15">
      <c r="D888" s="59"/>
      <c r="F888" s="59"/>
      <c r="H888" s="59"/>
    </row>
    <row r="889" spans="4:8" ht="12.75" customHeight="1" x14ac:dyDescent="0.15">
      <c r="D889" s="59"/>
      <c r="F889" s="59"/>
      <c r="H889" s="59"/>
    </row>
    <row r="890" spans="4:8" ht="12.75" customHeight="1" x14ac:dyDescent="0.15">
      <c r="D890" s="59"/>
      <c r="F890" s="59"/>
      <c r="H890" s="59"/>
    </row>
    <row r="891" spans="4:8" ht="12.75" customHeight="1" x14ac:dyDescent="0.15">
      <c r="D891" s="59"/>
      <c r="F891" s="59"/>
      <c r="H891" s="59"/>
    </row>
    <row r="892" spans="4:8" ht="12.75" customHeight="1" x14ac:dyDescent="0.15">
      <c r="D892" s="59"/>
      <c r="F892" s="59"/>
      <c r="H892" s="59"/>
    </row>
    <row r="893" spans="4:8" ht="12.75" customHeight="1" x14ac:dyDescent="0.15">
      <c r="D893" s="59"/>
      <c r="F893" s="59"/>
      <c r="H893" s="59"/>
    </row>
    <row r="894" spans="4:8" ht="12.75" customHeight="1" x14ac:dyDescent="0.15">
      <c r="D894" s="59"/>
      <c r="F894" s="59"/>
      <c r="H894" s="59"/>
    </row>
    <row r="895" spans="4:8" ht="12.75" customHeight="1" x14ac:dyDescent="0.15">
      <c r="D895" s="59"/>
      <c r="F895" s="59"/>
      <c r="H895" s="59"/>
    </row>
    <row r="896" spans="4:8" ht="12.75" customHeight="1" x14ac:dyDescent="0.15">
      <c r="D896" s="59"/>
      <c r="F896" s="59"/>
      <c r="H896" s="59"/>
    </row>
    <row r="897" spans="4:8" ht="12.75" customHeight="1" x14ac:dyDescent="0.15">
      <c r="D897" s="59"/>
      <c r="F897" s="59"/>
      <c r="H897" s="59"/>
    </row>
    <row r="898" spans="4:8" ht="12.75" customHeight="1" x14ac:dyDescent="0.15">
      <c r="D898" s="59"/>
      <c r="F898" s="59"/>
      <c r="H898" s="59"/>
    </row>
    <row r="899" spans="4:8" ht="12.75" customHeight="1" x14ac:dyDescent="0.15">
      <c r="D899" s="59"/>
      <c r="F899" s="59"/>
      <c r="H899" s="59"/>
    </row>
    <row r="900" spans="4:8" ht="12.75" customHeight="1" x14ac:dyDescent="0.15">
      <c r="D900" s="59"/>
      <c r="F900" s="59"/>
      <c r="H900" s="59"/>
    </row>
    <row r="901" spans="4:8" ht="12.75" customHeight="1" x14ac:dyDescent="0.15">
      <c r="D901" s="59"/>
      <c r="F901" s="59"/>
      <c r="H901" s="59"/>
    </row>
    <row r="902" spans="4:8" ht="12.75" customHeight="1" x14ac:dyDescent="0.15">
      <c r="D902" s="59"/>
      <c r="F902" s="59"/>
      <c r="H902" s="59"/>
    </row>
    <row r="903" spans="4:8" ht="12.75" customHeight="1" x14ac:dyDescent="0.15">
      <c r="D903" s="59"/>
      <c r="F903" s="59"/>
      <c r="H903" s="59"/>
    </row>
    <row r="904" spans="4:8" ht="12.75" customHeight="1" x14ac:dyDescent="0.15">
      <c r="D904" s="59"/>
      <c r="F904" s="59"/>
      <c r="H904" s="59"/>
    </row>
    <row r="905" spans="4:8" ht="12.75" customHeight="1" x14ac:dyDescent="0.15">
      <c r="D905" s="59"/>
      <c r="F905" s="59"/>
      <c r="H905" s="59"/>
    </row>
    <row r="906" spans="4:8" ht="12.75" customHeight="1" x14ac:dyDescent="0.15">
      <c r="D906" s="59"/>
      <c r="F906" s="59"/>
      <c r="H906" s="59"/>
    </row>
    <row r="907" spans="4:8" ht="12.75" customHeight="1" x14ac:dyDescent="0.15">
      <c r="D907" s="59"/>
      <c r="F907" s="59"/>
      <c r="H907" s="59"/>
    </row>
    <row r="908" spans="4:8" ht="12.75" customHeight="1" x14ac:dyDescent="0.15">
      <c r="D908" s="59"/>
      <c r="F908" s="59"/>
      <c r="H908" s="59"/>
    </row>
    <row r="909" spans="4:8" ht="12.75" customHeight="1" x14ac:dyDescent="0.15">
      <c r="D909" s="59"/>
      <c r="F909" s="59"/>
      <c r="H909" s="59"/>
    </row>
    <row r="910" spans="4:8" ht="12.75" customHeight="1" x14ac:dyDescent="0.15">
      <c r="D910" s="59"/>
      <c r="F910" s="59"/>
      <c r="H910" s="59"/>
    </row>
    <row r="911" spans="4:8" ht="12.75" customHeight="1" x14ac:dyDescent="0.15">
      <c r="D911" s="59"/>
      <c r="F911" s="59"/>
      <c r="H911" s="59"/>
    </row>
    <row r="912" spans="4:8" ht="12.75" customHeight="1" x14ac:dyDescent="0.15">
      <c r="D912" s="59"/>
      <c r="F912" s="59"/>
      <c r="H912" s="59"/>
    </row>
    <row r="913" spans="4:8" ht="12.75" customHeight="1" x14ac:dyDescent="0.15">
      <c r="D913" s="59"/>
      <c r="F913" s="59"/>
      <c r="H913" s="59"/>
    </row>
    <row r="914" spans="4:8" ht="12.75" customHeight="1" x14ac:dyDescent="0.15">
      <c r="D914" s="59"/>
      <c r="F914" s="59"/>
      <c r="H914" s="59"/>
    </row>
    <row r="915" spans="4:8" ht="12.75" customHeight="1" x14ac:dyDescent="0.15">
      <c r="D915" s="59"/>
      <c r="F915" s="59"/>
      <c r="H915" s="59"/>
    </row>
    <row r="916" spans="4:8" ht="12.75" customHeight="1" x14ac:dyDescent="0.15">
      <c r="D916" s="59"/>
      <c r="F916" s="59"/>
      <c r="H916" s="59"/>
    </row>
    <row r="917" spans="4:8" ht="12.75" customHeight="1" x14ac:dyDescent="0.15">
      <c r="D917" s="59"/>
      <c r="F917" s="59"/>
      <c r="H917" s="59"/>
    </row>
    <row r="918" spans="4:8" ht="12.75" customHeight="1" x14ac:dyDescent="0.15">
      <c r="D918" s="59"/>
      <c r="F918" s="59"/>
      <c r="H918" s="59"/>
    </row>
    <row r="919" spans="4:8" ht="12.75" customHeight="1" x14ac:dyDescent="0.15">
      <c r="D919" s="59"/>
      <c r="F919" s="59"/>
      <c r="H919" s="59"/>
    </row>
    <row r="920" spans="4:8" ht="12.75" customHeight="1" x14ac:dyDescent="0.15">
      <c r="D920" s="59"/>
      <c r="F920" s="59"/>
      <c r="H920" s="59"/>
    </row>
    <row r="921" spans="4:8" ht="12.75" customHeight="1" x14ac:dyDescent="0.15">
      <c r="D921" s="59"/>
      <c r="F921" s="59"/>
      <c r="H921" s="59"/>
    </row>
    <row r="922" spans="4:8" ht="12.75" customHeight="1" x14ac:dyDescent="0.15">
      <c r="D922" s="59"/>
      <c r="F922" s="59"/>
      <c r="H922" s="59"/>
    </row>
    <row r="923" spans="4:8" ht="12.75" customHeight="1" x14ac:dyDescent="0.15">
      <c r="D923" s="59"/>
      <c r="F923" s="59"/>
      <c r="H923" s="59"/>
    </row>
    <row r="924" spans="4:8" ht="12.75" customHeight="1" x14ac:dyDescent="0.15">
      <c r="D924" s="59"/>
      <c r="F924" s="59"/>
      <c r="H924" s="59"/>
    </row>
    <row r="925" spans="4:8" ht="12.75" customHeight="1" x14ac:dyDescent="0.15">
      <c r="D925" s="59"/>
      <c r="F925" s="59"/>
      <c r="H925" s="59"/>
    </row>
    <row r="926" spans="4:8" ht="12.75" customHeight="1" x14ac:dyDescent="0.15">
      <c r="D926" s="59"/>
      <c r="F926" s="59"/>
      <c r="H926" s="59"/>
    </row>
    <row r="927" spans="4:8" ht="12.75" customHeight="1" x14ac:dyDescent="0.15">
      <c r="D927" s="59"/>
      <c r="F927" s="59"/>
      <c r="H927" s="59"/>
    </row>
    <row r="928" spans="4:8" ht="12.75" customHeight="1" x14ac:dyDescent="0.15">
      <c r="D928" s="59"/>
      <c r="F928" s="59"/>
      <c r="H928" s="59"/>
    </row>
    <row r="929" spans="4:8" ht="12.75" customHeight="1" x14ac:dyDescent="0.15">
      <c r="D929" s="59"/>
      <c r="F929" s="59"/>
      <c r="H929" s="59"/>
    </row>
    <row r="930" spans="4:8" ht="12.75" customHeight="1" x14ac:dyDescent="0.15">
      <c r="D930" s="59"/>
      <c r="F930" s="59"/>
      <c r="H930" s="59"/>
    </row>
    <row r="931" spans="4:8" ht="12.75" customHeight="1" x14ac:dyDescent="0.15">
      <c r="D931" s="59"/>
      <c r="F931" s="59"/>
      <c r="H931" s="59"/>
    </row>
    <row r="932" spans="4:8" ht="12.75" customHeight="1" x14ac:dyDescent="0.15">
      <c r="D932" s="59"/>
      <c r="F932" s="59"/>
      <c r="H932" s="59"/>
    </row>
    <row r="933" spans="4:8" ht="12.75" customHeight="1" x14ac:dyDescent="0.15">
      <c r="D933" s="59"/>
      <c r="F933" s="59"/>
      <c r="H933" s="59"/>
    </row>
    <row r="934" spans="4:8" ht="12.75" customHeight="1" x14ac:dyDescent="0.15">
      <c r="D934" s="59"/>
      <c r="F934" s="59"/>
      <c r="H934" s="59"/>
    </row>
    <row r="935" spans="4:8" ht="12.75" customHeight="1" x14ac:dyDescent="0.15">
      <c r="D935" s="59"/>
      <c r="F935" s="59"/>
      <c r="H935" s="59"/>
    </row>
    <row r="936" spans="4:8" ht="12.75" customHeight="1" x14ac:dyDescent="0.15">
      <c r="D936" s="59"/>
      <c r="F936" s="59"/>
      <c r="H936" s="59"/>
    </row>
    <row r="937" spans="4:8" ht="12.75" customHeight="1" x14ac:dyDescent="0.15">
      <c r="D937" s="59"/>
      <c r="F937" s="59"/>
      <c r="H937" s="59"/>
    </row>
    <row r="938" spans="4:8" ht="12.75" customHeight="1" x14ac:dyDescent="0.15">
      <c r="D938" s="59"/>
      <c r="F938" s="59"/>
      <c r="H938" s="59"/>
    </row>
    <row r="939" spans="4:8" ht="12.75" customHeight="1" x14ac:dyDescent="0.15">
      <c r="D939" s="59"/>
      <c r="F939" s="59"/>
      <c r="H939" s="59"/>
    </row>
    <row r="940" spans="4:8" ht="12.75" customHeight="1" x14ac:dyDescent="0.15">
      <c r="D940" s="59"/>
      <c r="F940" s="59"/>
      <c r="H940" s="59"/>
    </row>
    <row r="941" spans="4:8" ht="12.75" customHeight="1" x14ac:dyDescent="0.15">
      <c r="D941" s="59"/>
      <c r="F941" s="59"/>
      <c r="H941" s="59"/>
    </row>
    <row r="942" spans="4:8" ht="12.75" customHeight="1" x14ac:dyDescent="0.15">
      <c r="D942" s="59"/>
      <c r="F942" s="59"/>
      <c r="H942" s="59"/>
    </row>
    <row r="943" spans="4:8" ht="12.75" customHeight="1" x14ac:dyDescent="0.15">
      <c r="D943" s="59"/>
      <c r="F943" s="59"/>
      <c r="H943" s="59"/>
    </row>
    <row r="944" spans="4:8" ht="12.75" customHeight="1" x14ac:dyDescent="0.15">
      <c r="D944" s="59"/>
      <c r="F944" s="59"/>
      <c r="H944" s="59"/>
    </row>
    <row r="945" spans="4:8" ht="12.75" customHeight="1" x14ac:dyDescent="0.15">
      <c r="D945" s="59"/>
      <c r="F945" s="59"/>
      <c r="H945" s="59"/>
    </row>
    <row r="946" spans="4:8" ht="12.75" customHeight="1" x14ac:dyDescent="0.15">
      <c r="D946" s="59"/>
      <c r="F946" s="59"/>
      <c r="H946" s="59"/>
    </row>
    <row r="947" spans="4:8" ht="12.75" customHeight="1" x14ac:dyDescent="0.15">
      <c r="D947" s="59"/>
      <c r="F947" s="59"/>
      <c r="H947" s="59"/>
    </row>
    <row r="948" spans="4:8" ht="12.75" customHeight="1" x14ac:dyDescent="0.15">
      <c r="D948" s="59"/>
      <c r="F948" s="59"/>
      <c r="H948" s="59"/>
    </row>
    <row r="949" spans="4:8" ht="12.75" customHeight="1" x14ac:dyDescent="0.15">
      <c r="D949" s="59"/>
      <c r="F949" s="59"/>
      <c r="H949" s="59"/>
    </row>
    <row r="950" spans="4:8" ht="12.75" customHeight="1" x14ac:dyDescent="0.15">
      <c r="D950" s="59"/>
      <c r="F950" s="59"/>
      <c r="H950" s="59"/>
    </row>
    <row r="951" spans="4:8" ht="12.75" customHeight="1" x14ac:dyDescent="0.15">
      <c r="D951" s="59"/>
      <c r="F951" s="59"/>
      <c r="H951" s="59"/>
    </row>
    <row r="952" spans="4:8" ht="12.75" customHeight="1" x14ac:dyDescent="0.15">
      <c r="D952" s="59"/>
      <c r="F952" s="59"/>
      <c r="H952" s="59"/>
    </row>
    <row r="953" spans="4:8" ht="12.75" customHeight="1" x14ac:dyDescent="0.15">
      <c r="D953" s="59"/>
      <c r="F953" s="59"/>
      <c r="H953" s="59"/>
    </row>
    <row r="954" spans="4:8" ht="12.75" customHeight="1" x14ac:dyDescent="0.15">
      <c r="D954" s="59"/>
      <c r="F954" s="59"/>
      <c r="H954" s="59"/>
    </row>
    <row r="955" spans="4:8" ht="12.75" customHeight="1" x14ac:dyDescent="0.15">
      <c r="D955" s="59"/>
      <c r="F955" s="59"/>
      <c r="H955" s="59"/>
    </row>
    <row r="956" spans="4:8" ht="12.75" customHeight="1" x14ac:dyDescent="0.15">
      <c r="D956" s="59"/>
      <c r="F956" s="59"/>
      <c r="H956" s="59"/>
    </row>
    <row r="957" spans="4:8" ht="12.75" customHeight="1" x14ac:dyDescent="0.15">
      <c r="D957" s="59"/>
      <c r="F957" s="59"/>
      <c r="H957" s="59"/>
    </row>
    <row r="958" spans="4:8" ht="12.75" customHeight="1" x14ac:dyDescent="0.15">
      <c r="D958" s="59"/>
      <c r="F958" s="59"/>
      <c r="H958" s="59"/>
    </row>
    <row r="959" spans="4:8" ht="12.75" customHeight="1" x14ac:dyDescent="0.15">
      <c r="D959" s="59"/>
      <c r="F959" s="59"/>
      <c r="H959" s="59"/>
    </row>
    <row r="960" spans="4:8" ht="12.75" customHeight="1" x14ac:dyDescent="0.15">
      <c r="D960" s="59"/>
      <c r="F960" s="59"/>
      <c r="H960" s="59"/>
    </row>
    <row r="961" spans="4:8" ht="12.75" customHeight="1" x14ac:dyDescent="0.15">
      <c r="D961" s="59"/>
      <c r="F961" s="59"/>
      <c r="H961" s="59"/>
    </row>
    <row r="962" spans="4:8" ht="12.75" customHeight="1" x14ac:dyDescent="0.15">
      <c r="D962" s="59"/>
      <c r="F962" s="59"/>
      <c r="H962" s="59"/>
    </row>
    <row r="963" spans="4:8" ht="12.75" customHeight="1" x14ac:dyDescent="0.15">
      <c r="D963" s="59"/>
      <c r="F963" s="59"/>
      <c r="H963" s="59"/>
    </row>
    <row r="964" spans="4:8" ht="12.75" customHeight="1" x14ac:dyDescent="0.15">
      <c r="D964" s="59"/>
      <c r="F964" s="59"/>
      <c r="H964" s="59"/>
    </row>
    <row r="965" spans="4:8" ht="12.75" customHeight="1" x14ac:dyDescent="0.15">
      <c r="D965" s="59"/>
      <c r="F965" s="59"/>
      <c r="H965" s="59"/>
    </row>
    <row r="966" spans="4:8" ht="12.75" customHeight="1" x14ac:dyDescent="0.15">
      <c r="D966" s="59"/>
      <c r="F966" s="59"/>
      <c r="H966" s="59"/>
    </row>
    <row r="967" spans="4:8" ht="12.75" customHeight="1" x14ac:dyDescent="0.15">
      <c r="D967" s="59"/>
      <c r="F967" s="59"/>
      <c r="H967" s="59"/>
    </row>
    <row r="968" spans="4:8" ht="12.75" customHeight="1" x14ac:dyDescent="0.15">
      <c r="D968" s="59"/>
      <c r="F968" s="59"/>
      <c r="H968" s="59"/>
    </row>
    <row r="969" spans="4:8" ht="12.75" customHeight="1" x14ac:dyDescent="0.15">
      <c r="D969" s="59"/>
      <c r="F969" s="59"/>
      <c r="H969" s="59"/>
    </row>
    <row r="970" spans="4:8" ht="12.75" customHeight="1" x14ac:dyDescent="0.15">
      <c r="D970" s="59"/>
      <c r="F970" s="59"/>
      <c r="H970" s="59"/>
    </row>
    <row r="971" spans="4:8" ht="12.75" customHeight="1" x14ac:dyDescent="0.15">
      <c r="D971" s="59"/>
      <c r="F971" s="59"/>
      <c r="H971" s="59"/>
    </row>
    <row r="972" spans="4:8" ht="12.75" customHeight="1" x14ac:dyDescent="0.15">
      <c r="D972" s="59"/>
      <c r="F972" s="59"/>
      <c r="H972" s="59"/>
    </row>
    <row r="973" spans="4:8" ht="12.75" customHeight="1" x14ac:dyDescent="0.15">
      <c r="D973" s="59"/>
      <c r="F973" s="59"/>
      <c r="H973" s="59"/>
    </row>
    <row r="974" spans="4:8" ht="12.75" customHeight="1" x14ac:dyDescent="0.15">
      <c r="D974" s="59"/>
      <c r="F974" s="59"/>
      <c r="H974" s="59"/>
    </row>
    <row r="975" spans="4:8" ht="12.75" customHeight="1" x14ac:dyDescent="0.15">
      <c r="D975" s="59"/>
      <c r="F975" s="59"/>
      <c r="H975" s="59"/>
    </row>
    <row r="976" spans="4:8" ht="12.75" customHeight="1" x14ac:dyDescent="0.15">
      <c r="D976" s="59"/>
      <c r="F976" s="59"/>
      <c r="H976" s="59"/>
    </row>
    <row r="977" spans="4:8" ht="12.75" customHeight="1" x14ac:dyDescent="0.15">
      <c r="D977" s="59"/>
      <c r="F977" s="59"/>
      <c r="H977" s="59"/>
    </row>
    <row r="978" spans="4:8" ht="12.75" customHeight="1" x14ac:dyDescent="0.15">
      <c r="D978" s="59"/>
      <c r="F978" s="59"/>
      <c r="H978" s="59"/>
    </row>
    <row r="979" spans="4:8" ht="12.75" customHeight="1" x14ac:dyDescent="0.15">
      <c r="D979" s="59"/>
      <c r="F979" s="59"/>
      <c r="H979" s="59"/>
    </row>
    <row r="980" spans="4:8" ht="12.75" customHeight="1" x14ac:dyDescent="0.15">
      <c r="D980" s="59"/>
      <c r="F980" s="59"/>
      <c r="H980" s="59"/>
    </row>
    <row r="981" spans="4:8" ht="12.75" customHeight="1" x14ac:dyDescent="0.15">
      <c r="D981" s="59"/>
      <c r="F981" s="59"/>
      <c r="H981" s="59"/>
    </row>
    <row r="982" spans="4:8" ht="12.75" customHeight="1" x14ac:dyDescent="0.15">
      <c r="D982" s="59"/>
      <c r="F982" s="59"/>
      <c r="H982" s="59"/>
    </row>
    <row r="983" spans="4:8" ht="12.75" customHeight="1" x14ac:dyDescent="0.15">
      <c r="D983" s="59"/>
      <c r="F983" s="59"/>
      <c r="H983" s="59"/>
    </row>
    <row r="984" spans="4:8" ht="12.75" customHeight="1" x14ac:dyDescent="0.15">
      <c r="D984" s="59"/>
      <c r="F984" s="59"/>
      <c r="H984" s="59"/>
    </row>
    <row r="985" spans="4:8" ht="12.75" customHeight="1" x14ac:dyDescent="0.15">
      <c r="D985" s="59"/>
      <c r="F985" s="59"/>
      <c r="H985" s="59"/>
    </row>
    <row r="986" spans="4:8" ht="12.75" customHeight="1" x14ac:dyDescent="0.15">
      <c r="D986" s="59"/>
      <c r="F986" s="59"/>
      <c r="H986" s="59"/>
    </row>
    <row r="987" spans="4:8" ht="12.75" customHeight="1" x14ac:dyDescent="0.15">
      <c r="D987" s="59"/>
      <c r="F987" s="59"/>
      <c r="H987" s="59"/>
    </row>
    <row r="988" spans="4:8" ht="12.75" customHeight="1" x14ac:dyDescent="0.15">
      <c r="D988" s="59"/>
      <c r="F988" s="59"/>
      <c r="H988" s="59"/>
    </row>
    <row r="989" spans="4:8" ht="12.75" customHeight="1" x14ac:dyDescent="0.15">
      <c r="D989" s="59"/>
      <c r="F989" s="59"/>
      <c r="H989" s="59"/>
    </row>
    <row r="990" spans="4:8" ht="12.75" customHeight="1" x14ac:dyDescent="0.15">
      <c r="D990" s="59"/>
      <c r="F990" s="59"/>
      <c r="H990" s="59"/>
    </row>
    <row r="991" spans="4:8" ht="12.75" customHeight="1" x14ac:dyDescent="0.15">
      <c r="D991" s="59"/>
      <c r="F991" s="59"/>
      <c r="H991" s="59"/>
    </row>
    <row r="992" spans="4:8" ht="12.75" customHeight="1" x14ac:dyDescent="0.15">
      <c r="D992" s="59"/>
      <c r="F992" s="59"/>
      <c r="H992" s="59"/>
    </row>
    <row r="993" spans="4:8" ht="12.75" customHeight="1" x14ac:dyDescent="0.15">
      <c r="D993" s="59"/>
      <c r="F993" s="59"/>
      <c r="H993" s="59"/>
    </row>
    <row r="994" spans="4:8" ht="12.75" customHeight="1" x14ac:dyDescent="0.15">
      <c r="D994" s="59"/>
      <c r="F994" s="59"/>
      <c r="H994" s="59"/>
    </row>
    <row r="995" spans="4:8" ht="12.75" customHeight="1" x14ac:dyDescent="0.15">
      <c r="D995" s="59"/>
      <c r="F995" s="59"/>
      <c r="H995" s="59"/>
    </row>
    <row r="996" spans="4:8" ht="12.75" customHeight="1" x14ac:dyDescent="0.15">
      <c r="D996" s="59"/>
      <c r="F996" s="59"/>
      <c r="H996" s="59"/>
    </row>
    <row r="997" spans="4:8" ht="12.75" customHeight="1" x14ac:dyDescent="0.15">
      <c r="D997" s="59"/>
      <c r="F997" s="59"/>
      <c r="H997" s="59"/>
    </row>
    <row r="998" spans="4:8" ht="12.75" customHeight="1" x14ac:dyDescent="0.15">
      <c r="D998" s="59"/>
      <c r="F998" s="59"/>
      <c r="H998" s="59"/>
    </row>
    <row r="999" spans="4:8" ht="12.75" customHeight="1" x14ac:dyDescent="0.15">
      <c r="D999" s="59"/>
      <c r="F999" s="59"/>
      <c r="H999" s="59"/>
    </row>
    <row r="1000" spans="4:8" ht="12.75" customHeight="1" x14ac:dyDescent="0.15">
      <c r="D1000" s="59"/>
      <c r="F1000" s="59"/>
      <c r="H1000" s="59"/>
    </row>
  </sheetData>
  <mergeCells count="1">
    <mergeCell ref="A1:E1"/>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000"/>
  <sheetViews>
    <sheetView workbookViewId="0"/>
  </sheetViews>
  <sheetFormatPr baseColWidth="10" defaultColWidth="12.6640625" defaultRowHeight="15" customHeight="1" x14ac:dyDescent="0.15"/>
  <cols>
    <col min="1" max="1" width="5" customWidth="1"/>
    <col min="2" max="3" width="11.5" customWidth="1"/>
    <col min="4" max="4" width="10.83203125" customWidth="1"/>
    <col min="5" max="6" width="11.5" customWidth="1"/>
    <col min="7" max="26" width="10" customWidth="1"/>
  </cols>
  <sheetData>
    <row r="1" spans="1:4" ht="12.75" customHeight="1" x14ac:dyDescent="0.15">
      <c r="D1" s="59"/>
    </row>
    <row r="2" spans="1:4" ht="12.75" customHeight="1" x14ac:dyDescent="0.15">
      <c r="A2" s="653"/>
      <c r="B2" s="645" t="s">
        <v>109</v>
      </c>
      <c r="C2" s="645" t="s">
        <v>162</v>
      </c>
      <c r="D2" s="646"/>
    </row>
    <row r="3" spans="1:4" ht="12.75" customHeight="1" x14ac:dyDescent="0.15">
      <c r="A3" s="653" t="s">
        <v>88</v>
      </c>
      <c r="B3" s="654">
        <v>1427559</v>
      </c>
      <c r="C3" s="646">
        <v>610688</v>
      </c>
      <c r="D3" s="655">
        <f t="shared" ref="D3:D9" si="0">(C3/B3)</f>
        <v>0.42778477106725538</v>
      </c>
    </row>
    <row r="4" spans="1:4" ht="12.75" customHeight="1" x14ac:dyDescent="0.15">
      <c r="A4" s="653" t="s">
        <v>89</v>
      </c>
      <c r="B4" s="654">
        <v>1480487</v>
      </c>
      <c r="C4" s="646">
        <v>694688</v>
      </c>
      <c r="D4" s="655">
        <f t="shared" si="0"/>
        <v>0.46922938195337077</v>
      </c>
    </row>
    <row r="5" spans="1:4" ht="12.75" customHeight="1" x14ac:dyDescent="0.15">
      <c r="A5" s="653" t="s">
        <v>90</v>
      </c>
      <c r="B5" s="654">
        <v>1086477</v>
      </c>
      <c r="C5" s="646">
        <v>665623</v>
      </c>
      <c r="D5" s="655">
        <f t="shared" si="0"/>
        <v>0.61264343377724517</v>
      </c>
    </row>
    <row r="6" spans="1:4" ht="12.75" customHeight="1" x14ac:dyDescent="0.15">
      <c r="A6" s="653" t="s">
        <v>123</v>
      </c>
      <c r="B6" s="654">
        <v>668608</v>
      </c>
      <c r="C6" s="646">
        <v>393062</v>
      </c>
      <c r="D6" s="655">
        <f t="shared" si="0"/>
        <v>0.5878810902651479</v>
      </c>
    </row>
    <row r="7" spans="1:4" ht="12.75" customHeight="1" x14ac:dyDescent="0.15">
      <c r="A7" s="653" t="s">
        <v>124</v>
      </c>
      <c r="B7" s="654">
        <v>377714</v>
      </c>
      <c r="C7" s="646">
        <v>156669</v>
      </c>
      <c r="D7" s="655">
        <f t="shared" si="0"/>
        <v>0.41478208379885312</v>
      </c>
    </row>
    <row r="8" spans="1:4" ht="12.75" customHeight="1" x14ac:dyDescent="0.15">
      <c r="A8" s="653" t="s">
        <v>125</v>
      </c>
      <c r="B8" s="654">
        <v>428767</v>
      </c>
      <c r="C8" s="646">
        <v>62068</v>
      </c>
      <c r="D8" s="655">
        <f t="shared" si="0"/>
        <v>0.1447592748509097</v>
      </c>
    </row>
    <row r="9" spans="1:4" ht="12.75" customHeight="1" x14ac:dyDescent="0.15">
      <c r="A9" s="653" t="s">
        <v>160</v>
      </c>
      <c r="B9" s="654">
        <v>412177</v>
      </c>
      <c r="C9" s="646">
        <v>150538</v>
      </c>
      <c r="D9" s="655">
        <f t="shared" si="0"/>
        <v>0.36522658954769432</v>
      </c>
    </row>
    <row r="10" spans="1:4" ht="12.75" customHeight="1" x14ac:dyDescent="0.15">
      <c r="D10" s="59"/>
    </row>
    <row r="11" spans="1:4" ht="12.75" customHeight="1" x14ac:dyDescent="0.15">
      <c r="D11" s="59"/>
    </row>
    <row r="12" spans="1:4" ht="12.75" customHeight="1" x14ac:dyDescent="0.15">
      <c r="D12" s="59"/>
    </row>
    <row r="13" spans="1:4" ht="12.75" customHeight="1" x14ac:dyDescent="0.15">
      <c r="D13" s="59"/>
    </row>
    <row r="14" spans="1:4" ht="12.75" customHeight="1" x14ac:dyDescent="0.15">
      <c r="D14" s="59"/>
    </row>
    <row r="15" spans="1:4" ht="12.75" customHeight="1" x14ac:dyDescent="0.15">
      <c r="D15" s="59"/>
    </row>
    <row r="16" spans="1:4" ht="12.75" customHeight="1" x14ac:dyDescent="0.15">
      <c r="D16" s="59"/>
    </row>
    <row r="17" spans="4:4" ht="12.75" customHeight="1" x14ac:dyDescent="0.15">
      <c r="D17" s="59"/>
    </row>
    <row r="18" spans="4:4" ht="12.75" customHeight="1" x14ac:dyDescent="0.15">
      <c r="D18" s="59"/>
    </row>
    <row r="19" spans="4:4" ht="12.75" customHeight="1" x14ac:dyDescent="0.15">
      <c r="D19" s="59"/>
    </row>
    <row r="20" spans="4:4" ht="12.75" customHeight="1" x14ac:dyDescent="0.15">
      <c r="D20" s="59"/>
    </row>
    <row r="21" spans="4:4" ht="12.75" customHeight="1" x14ac:dyDescent="0.15">
      <c r="D21" s="59"/>
    </row>
    <row r="22" spans="4:4" ht="12.75" customHeight="1" x14ac:dyDescent="0.15">
      <c r="D22" s="59"/>
    </row>
    <row r="23" spans="4:4" ht="12.75" customHeight="1" x14ac:dyDescent="0.15">
      <c r="D23" s="59"/>
    </row>
    <row r="24" spans="4:4" ht="12.75" customHeight="1" x14ac:dyDescent="0.15">
      <c r="D24" s="59"/>
    </row>
    <row r="25" spans="4:4" ht="12.75" customHeight="1" x14ac:dyDescent="0.15">
      <c r="D25" s="59"/>
    </row>
    <row r="26" spans="4:4" ht="12.75" customHeight="1" x14ac:dyDescent="0.15">
      <c r="D26" s="59"/>
    </row>
    <row r="27" spans="4:4" ht="12.75" customHeight="1" x14ac:dyDescent="0.15">
      <c r="D27" s="59"/>
    </row>
    <row r="28" spans="4:4" ht="12.75" customHeight="1" x14ac:dyDescent="0.15">
      <c r="D28" s="59"/>
    </row>
    <row r="29" spans="4:4" ht="12.75" customHeight="1" x14ac:dyDescent="0.15">
      <c r="D29" s="59"/>
    </row>
    <row r="30" spans="4:4" ht="12.75" customHeight="1" x14ac:dyDescent="0.15">
      <c r="D30" s="59"/>
    </row>
    <row r="31" spans="4:4" ht="12.75" customHeight="1" x14ac:dyDescent="0.15">
      <c r="D31" s="59"/>
    </row>
    <row r="32" spans="4:4" ht="12.75" customHeight="1" x14ac:dyDescent="0.15">
      <c r="D32" s="59"/>
    </row>
    <row r="33" spans="4:4" ht="12.75" customHeight="1" x14ac:dyDescent="0.15">
      <c r="D33" s="59"/>
    </row>
    <row r="34" spans="4:4" ht="12.75" customHeight="1" x14ac:dyDescent="0.15">
      <c r="D34" s="59"/>
    </row>
    <row r="35" spans="4:4" ht="12.75" customHeight="1" x14ac:dyDescent="0.15">
      <c r="D35" s="59"/>
    </row>
    <row r="36" spans="4:4" ht="12.75" customHeight="1" x14ac:dyDescent="0.15">
      <c r="D36" s="59"/>
    </row>
    <row r="37" spans="4:4" ht="12.75" customHeight="1" x14ac:dyDescent="0.15">
      <c r="D37" s="59"/>
    </row>
    <row r="38" spans="4:4" ht="12.75" customHeight="1" x14ac:dyDescent="0.15">
      <c r="D38" s="59"/>
    </row>
    <row r="39" spans="4:4" ht="12.75" customHeight="1" x14ac:dyDescent="0.15">
      <c r="D39" s="59"/>
    </row>
    <row r="40" spans="4:4" ht="12.75" customHeight="1" x14ac:dyDescent="0.15">
      <c r="D40" s="59"/>
    </row>
    <row r="41" spans="4:4" ht="12.75" customHeight="1" x14ac:dyDescent="0.15">
      <c r="D41" s="59"/>
    </row>
    <row r="42" spans="4:4" ht="12.75" customHeight="1" x14ac:dyDescent="0.15">
      <c r="D42" s="59"/>
    </row>
    <row r="43" spans="4:4" ht="12.75" customHeight="1" x14ac:dyDescent="0.15">
      <c r="D43" s="59"/>
    </row>
    <row r="44" spans="4:4" ht="12.75" customHeight="1" x14ac:dyDescent="0.15">
      <c r="D44" s="59"/>
    </row>
    <row r="45" spans="4:4" ht="12.75" customHeight="1" x14ac:dyDescent="0.15">
      <c r="D45" s="59"/>
    </row>
    <row r="46" spans="4:4" ht="12.75" customHeight="1" x14ac:dyDescent="0.15">
      <c r="D46" s="59"/>
    </row>
    <row r="47" spans="4:4" ht="12.75" customHeight="1" x14ac:dyDescent="0.15">
      <c r="D47" s="59"/>
    </row>
    <row r="48" spans="4:4" ht="12.75" customHeight="1" x14ac:dyDescent="0.15">
      <c r="D48" s="59"/>
    </row>
    <row r="49" spans="4:4" ht="12.75" customHeight="1" x14ac:dyDescent="0.15">
      <c r="D49" s="59"/>
    </row>
    <row r="50" spans="4:4" ht="12.75" customHeight="1" x14ac:dyDescent="0.15">
      <c r="D50" s="59"/>
    </row>
    <row r="51" spans="4:4" ht="12.75" customHeight="1" x14ac:dyDescent="0.15">
      <c r="D51" s="59"/>
    </row>
    <row r="52" spans="4:4" ht="12.75" customHeight="1" x14ac:dyDescent="0.15">
      <c r="D52" s="59"/>
    </row>
    <row r="53" spans="4:4" ht="12.75" customHeight="1" x14ac:dyDescent="0.15">
      <c r="D53" s="59"/>
    </row>
    <row r="54" spans="4:4" ht="12.75" customHeight="1" x14ac:dyDescent="0.15">
      <c r="D54" s="59"/>
    </row>
    <row r="55" spans="4:4" ht="12.75" customHeight="1" x14ac:dyDescent="0.15">
      <c r="D55" s="59"/>
    </row>
    <row r="56" spans="4:4" ht="12.75" customHeight="1" x14ac:dyDescent="0.15">
      <c r="D56" s="59"/>
    </row>
    <row r="57" spans="4:4" ht="12.75" customHeight="1" x14ac:dyDescent="0.15">
      <c r="D57" s="59"/>
    </row>
    <row r="58" spans="4:4" ht="12.75" customHeight="1" x14ac:dyDescent="0.15">
      <c r="D58" s="59"/>
    </row>
    <row r="59" spans="4:4" ht="12.75" customHeight="1" x14ac:dyDescent="0.15">
      <c r="D59" s="59"/>
    </row>
    <row r="60" spans="4:4" ht="12.75" customHeight="1" x14ac:dyDescent="0.15">
      <c r="D60" s="59"/>
    </row>
    <row r="61" spans="4:4" ht="12.75" customHeight="1" x14ac:dyDescent="0.15">
      <c r="D61" s="59"/>
    </row>
    <row r="62" spans="4:4" ht="12.75" customHeight="1" x14ac:dyDescent="0.15">
      <c r="D62" s="59"/>
    </row>
    <row r="63" spans="4:4" ht="12.75" customHeight="1" x14ac:dyDescent="0.15">
      <c r="D63" s="59"/>
    </row>
    <row r="64" spans="4:4" ht="12.75" customHeight="1" x14ac:dyDescent="0.15">
      <c r="D64" s="59"/>
    </row>
    <row r="65" spans="4:4" ht="12.75" customHeight="1" x14ac:dyDescent="0.15">
      <c r="D65" s="59"/>
    </row>
    <row r="66" spans="4:4" ht="12.75" customHeight="1" x14ac:dyDescent="0.15">
      <c r="D66" s="59"/>
    </row>
    <row r="67" spans="4:4" ht="12.75" customHeight="1" x14ac:dyDescent="0.15">
      <c r="D67" s="59"/>
    </row>
    <row r="68" spans="4:4" ht="12.75" customHeight="1" x14ac:dyDescent="0.15">
      <c r="D68" s="59"/>
    </row>
    <row r="69" spans="4:4" ht="12.75" customHeight="1" x14ac:dyDescent="0.15">
      <c r="D69" s="59"/>
    </row>
    <row r="70" spans="4:4" ht="12.75" customHeight="1" x14ac:dyDescent="0.15">
      <c r="D70" s="59"/>
    </row>
    <row r="71" spans="4:4" ht="12.75" customHeight="1" x14ac:dyDescent="0.15">
      <c r="D71" s="59"/>
    </row>
    <row r="72" spans="4:4" ht="12.75" customHeight="1" x14ac:dyDescent="0.15">
      <c r="D72" s="59"/>
    </row>
    <row r="73" spans="4:4" ht="12.75" customHeight="1" x14ac:dyDescent="0.15">
      <c r="D73" s="59"/>
    </row>
    <row r="74" spans="4:4" ht="12.75" customHeight="1" x14ac:dyDescent="0.15">
      <c r="D74" s="59"/>
    </row>
    <row r="75" spans="4:4" ht="12.75" customHeight="1" x14ac:dyDescent="0.15">
      <c r="D75" s="59"/>
    </row>
    <row r="76" spans="4:4" ht="12.75" customHeight="1" x14ac:dyDescent="0.15">
      <c r="D76" s="59"/>
    </row>
    <row r="77" spans="4:4" ht="12.75" customHeight="1" x14ac:dyDescent="0.15">
      <c r="D77" s="59"/>
    </row>
    <row r="78" spans="4:4" ht="12.75" customHeight="1" x14ac:dyDescent="0.15">
      <c r="D78" s="59"/>
    </row>
    <row r="79" spans="4:4" ht="12.75" customHeight="1" x14ac:dyDescent="0.15">
      <c r="D79" s="59"/>
    </row>
    <row r="80" spans="4:4" ht="12.75" customHeight="1" x14ac:dyDescent="0.15">
      <c r="D80" s="59"/>
    </row>
    <row r="81" spans="4:4" ht="12.75" customHeight="1" x14ac:dyDescent="0.15">
      <c r="D81" s="59"/>
    </row>
    <row r="82" spans="4:4" ht="12.75" customHeight="1" x14ac:dyDescent="0.15">
      <c r="D82" s="59"/>
    </row>
    <row r="83" spans="4:4" ht="12.75" customHeight="1" x14ac:dyDescent="0.15">
      <c r="D83" s="59"/>
    </row>
    <row r="84" spans="4:4" ht="12.75" customHeight="1" x14ac:dyDescent="0.15">
      <c r="D84" s="59"/>
    </row>
    <row r="85" spans="4:4" ht="12.75" customHeight="1" x14ac:dyDescent="0.15">
      <c r="D85" s="59"/>
    </row>
    <row r="86" spans="4:4" ht="12.75" customHeight="1" x14ac:dyDescent="0.15">
      <c r="D86" s="59"/>
    </row>
    <row r="87" spans="4:4" ht="12.75" customHeight="1" x14ac:dyDescent="0.15">
      <c r="D87" s="59"/>
    </row>
    <row r="88" spans="4:4" ht="12.75" customHeight="1" x14ac:dyDescent="0.15">
      <c r="D88" s="59"/>
    </row>
    <row r="89" spans="4:4" ht="12.75" customHeight="1" x14ac:dyDescent="0.15">
      <c r="D89" s="59"/>
    </row>
    <row r="90" spans="4:4" ht="12.75" customHeight="1" x14ac:dyDescent="0.15">
      <c r="D90" s="59"/>
    </row>
    <row r="91" spans="4:4" ht="12.75" customHeight="1" x14ac:dyDescent="0.15">
      <c r="D91" s="59"/>
    </row>
    <row r="92" spans="4:4" ht="12.75" customHeight="1" x14ac:dyDescent="0.15">
      <c r="D92" s="59"/>
    </row>
    <row r="93" spans="4:4" ht="12.75" customHeight="1" x14ac:dyDescent="0.15">
      <c r="D93" s="59"/>
    </row>
    <row r="94" spans="4:4" ht="12.75" customHeight="1" x14ac:dyDescent="0.15">
      <c r="D94" s="59"/>
    </row>
    <row r="95" spans="4:4" ht="12.75" customHeight="1" x14ac:dyDescent="0.15">
      <c r="D95" s="59"/>
    </row>
    <row r="96" spans="4:4" ht="12.75" customHeight="1" x14ac:dyDescent="0.15">
      <c r="D96" s="59"/>
    </row>
    <row r="97" spans="4:4" ht="12.75" customHeight="1" x14ac:dyDescent="0.15">
      <c r="D97" s="59"/>
    </row>
    <row r="98" spans="4:4" ht="12.75" customHeight="1" x14ac:dyDescent="0.15">
      <c r="D98" s="59"/>
    </row>
    <row r="99" spans="4:4" ht="12.75" customHeight="1" x14ac:dyDescent="0.15">
      <c r="D99" s="59"/>
    </row>
    <row r="100" spans="4:4" ht="12.75" customHeight="1" x14ac:dyDescent="0.15">
      <c r="D100" s="59"/>
    </row>
    <row r="101" spans="4:4" ht="12.75" customHeight="1" x14ac:dyDescent="0.15">
      <c r="D101" s="59"/>
    </row>
    <row r="102" spans="4:4" ht="12.75" customHeight="1" x14ac:dyDescent="0.15">
      <c r="D102" s="59"/>
    </row>
    <row r="103" spans="4:4" ht="12.75" customHeight="1" x14ac:dyDescent="0.15">
      <c r="D103" s="59"/>
    </row>
    <row r="104" spans="4:4" ht="12.75" customHeight="1" x14ac:dyDescent="0.15">
      <c r="D104" s="59"/>
    </row>
    <row r="105" spans="4:4" ht="12.75" customHeight="1" x14ac:dyDescent="0.15">
      <c r="D105" s="59"/>
    </row>
    <row r="106" spans="4:4" ht="12.75" customHeight="1" x14ac:dyDescent="0.15">
      <c r="D106" s="59"/>
    </row>
    <row r="107" spans="4:4" ht="12.75" customHeight="1" x14ac:dyDescent="0.15">
      <c r="D107" s="59"/>
    </row>
    <row r="108" spans="4:4" ht="12.75" customHeight="1" x14ac:dyDescent="0.15">
      <c r="D108" s="59"/>
    </row>
    <row r="109" spans="4:4" ht="12.75" customHeight="1" x14ac:dyDescent="0.15">
      <c r="D109" s="59"/>
    </row>
    <row r="110" spans="4:4" ht="12.75" customHeight="1" x14ac:dyDescent="0.15">
      <c r="D110" s="59"/>
    </row>
    <row r="111" spans="4:4" ht="12.75" customHeight="1" x14ac:dyDescent="0.15">
      <c r="D111" s="59"/>
    </row>
    <row r="112" spans="4:4" ht="12.75" customHeight="1" x14ac:dyDescent="0.15">
      <c r="D112" s="59"/>
    </row>
    <row r="113" spans="4:4" ht="12.75" customHeight="1" x14ac:dyDescent="0.15">
      <c r="D113" s="59"/>
    </row>
    <row r="114" spans="4:4" ht="12.75" customHeight="1" x14ac:dyDescent="0.15">
      <c r="D114" s="59"/>
    </row>
    <row r="115" spans="4:4" ht="12.75" customHeight="1" x14ac:dyDescent="0.15">
      <c r="D115" s="59"/>
    </row>
    <row r="116" spans="4:4" ht="12.75" customHeight="1" x14ac:dyDescent="0.15">
      <c r="D116" s="59"/>
    </row>
    <row r="117" spans="4:4" ht="12.75" customHeight="1" x14ac:dyDescent="0.15">
      <c r="D117" s="59"/>
    </row>
    <row r="118" spans="4:4" ht="12.75" customHeight="1" x14ac:dyDescent="0.15">
      <c r="D118" s="59"/>
    </row>
    <row r="119" spans="4:4" ht="12.75" customHeight="1" x14ac:dyDescent="0.15">
      <c r="D119" s="59"/>
    </row>
    <row r="120" spans="4:4" ht="12.75" customHeight="1" x14ac:dyDescent="0.15">
      <c r="D120" s="59"/>
    </row>
    <row r="121" spans="4:4" ht="12.75" customHeight="1" x14ac:dyDescent="0.15">
      <c r="D121" s="59"/>
    </row>
    <row r="122" spans="4:4" ht="12.75" customHeight="1" x14ac:dyDescent="0.15">
      <c r="D122" s="59"/>
    </row>
    <row r="123" spans="4:4" ht="12.75" customHeight="1" x14ac:dyDescent="0.15">
      <c r="D123" s="59"/>
    </row>
    <row r="124" spans="4:4" ht="12.75" customHeight="1" x14ac:dyDescent="0.15">
      <c r="D124" s="59"/>
    </row>
    <row r="125" spans="4:4" ht="12.75" customHeight="1" x14ac:dyDescent="0.15">
      <c r="D125" s="59"/>
    </row>
    <row r="126" spans="4:4" ht="12.75" customHeight="1" x14ac:dyDescent="0.15">
      <c r="D126" s="59"/>
    </row>
    <row r="127" spans="4:4" ht="12.75" customHeight="1" x14ac:dyDescent="0.15">
      <c r="D127" s="59"/>
    </row>
    <row r="128" spans="4:4" ht="12.75" customHeight="1" x14ac:dyDescent="0.15">
      <c r="D128" s="59"/>
    </row>
    <row r="129" spans="4:4" ht="12.75" customHeight="1" x14ac:dyDescent="0.15">
      <c r="D129" s="59"/>
    </row>
    <row r="130" spans="4:4" ht="12.75" customHeight="1" x14ac:dyDescent="0.15">
      <c r="D130" s="59"/>
    </row>
    <row r="131" spans="4:4" ht="12.75" customHeight="1" x14ac:dyDescent="0.15">
      <c r="D131" s="59"/>
    </row>
    <row r="132" spans="4:4" ht="12.75" customHeight="1" x14ac:dyDescent="0.15">
      <c r="D132" s="59"/>
    </row>
    <row r="133" spans="4:4" ht="12.75" customHeight="1" x14ac:dyDescent="0.15">
      <c r="D133" s="59"/>
    </row>
    <row r="134" spans="4:4" ht="12.75" customHeight="1" x14ac:dyDescent="0.15">
      <c r="D134" s="59"/>
    </row>
    <row r="135" spans="4:4" ht="12.75" customHeight="1" x14ac:dyDescent="0.15">
      <c r="D135" s="59"/>
    </row>
    <row r="136" spans="4:4" ht="12.75" customHeight="1" x14ac:dyDescent="0.15">
      <c r="D136" s="59"/>
    </row>
    <row r="137" spans="4:4" ht="12.75" customHeight="1" x14ac:dyDescent="0.15">
      <c r="D137" s="59"/>
    </row>
    <row r="138" spans="4:4" ht="12.75" customHeight="1" x14ac:dyDescent="0.15">
      <c r="D138" s="59"/>
    </row>
    <row r="139" spans="4:4" ht="12.75" customHeight="1" x14ac:dyDescent="0.15">
      <c r="D139" s="59"/>
    </row>
    <row r="140" spans="4:4" ht="12.75" customHeight="1" x14ac:dyDescent="0.15">
      <c r="D140" s="59"/>
    </row>
    <row r="141" spans="4:4" ht="12.75" customHeight="1" x14ac:dyDescent="0.15">
      <c r="D141" s="59"/>
    </row>
    <row r="142" spans="4:4" ht="12.75" customHeight="1" x14ac:dyDescent="0.15">
      <c r="D142" s="59"/>
    </row>
    <row r="143" spans="4:4" ht="12.75" customHeight="1" x14ac:dyDescent="0.15">
      <c r="D143" s="59"/>
    </row>
    <row r="144" spans="4:4" ht="12.75" customHeight="1" x14ac:dyDescent="0.15">
      <c r="D144" s="59"/>
    </row>
    <row r="145" spans="4:4" ht="12.75" customHeight="1" x14ac:dyDescent="0.15">
      <c r="D145" s="59"/>
    </row>
    <row r="146" spans="4:4" ht="12.75" customHeight="1" x14ac:dyDescent="0.15">
      <c r="D146" s="59"/>
    </row>
    <row r="147" spans="4:4" ht="12.75" customHeight="1" x14ac:dyDescent="0.15">
      <c r="D147" s="59"/>
    </row>
    <row r="148" spans="4:4" ht="12.75" customHeight="1" x14ac:dyDescent="0.15">
      <c r="D148" s="59"/>
    </row>
    <row r="149" spans="4:4" ht="12.75" customHeight="1" x14ac:dyDescent="0.15">
      <c r="D149" s="59"/>
    </row>
    <row r="150" spans="4:4" ht="12.75" customHeight="1" x14ac:dyDescent="0.15">
      <c r="D150" s="59"/>
    </row>
    <row r="151" spans="4:4" ht="12.75" customHeight="1" x14ac:dyDescent="0.15">
      <c r="D151" s="59"/>
    </row>
    <row r="152" spans="4:4" ht="12.75" customHeight="1" x14ac:dyDescent="0.15">
      <c r="D152" s="59"/>
    </row>
    <row r="153" spans="4:4" ht="12.75" customHeight="1" x14ac:dyDescent="0.15">
      <c r="D153" s="59"/>
    </row>
    <row r="154" spans="4:4" ht="12.75" customHeight="1" x14ac:dyDescent="0.15">
      <c r="D154" s="59"/>
    </row>
    <row r="155" spans="4:4" ht="12.75" customHeight="1" x14ac:dyDescent="0.15">
      <c r="D155" s="59"/>
    </row>
    <row r="156" spans="4:4" ht="12.75" customHeight="1" x14ac:dyDescent="0.15">
      <c r="D156" s="59"/>
    </row>
    <row r="157" spans="4:4" ht="12.75" customHeight="1" x14ac:dyDescent="0.15">
      <c r="D157" s="59"/>
    </row>
    <row r="158" spans="4:4" ht="12.75" customHeight="1" x14ac:dyDescent="0.15">
      <c r="D158" s="59"/>
    </row>
    <row r="159" spans="4:4" ht="12.75" customHeight="1" x14ac:dyDescent="0.15">
      <c r="D159" s="59"/>
    </row>
    <row r="160" spans="4:4" ht="12.75" customHeight="1" x14ac:dyDescent="0.15">
      <c r="D160" s="59"/>
    </row>
    <row r="161" spans="4:4" ht="12.75" customHeight="1" x14ac:dyDescent="0.15">
      <c r="D161" s="59"/>
    </row>
    <row r="162" spans="4:4" ht="12.75" customHeight="1" x14ac:dyDescent="0.15">
      <c r="D162" s="59"/>
    </row>
    <row r="163" spans="4:4" ht="12.75" customHeight="1" x14ac:dyDescent="0.15">
      <c r="D163" s="59"/>
    </row>
    <row r="164" spans="4:4" ht="12.75" customHeight="1" x14ac:dyDescent="0.15">
      <c r="D164" s="59"/>
    </row>
    <row r="165" spans="4:4" ht="12.75" customHeight="1" x14ac:dyDescent="0.15">
      <c r="D165" s="59"/>
    </row>
    <row r="166" spans="4:4" ht="12.75" customHeight="1" x14ac:dyDescent="0.15">
      <c r="D166" s="59"/>
    </row>
    <row r="167" spans="4:4" ht="12.75" customHeight="1" x14ac:dyDescent="0.15">
      <c r="D167" s="59"/>
    </row>
    <row r="168" spans="4:4" ht="12.75" customHeight="1" x14ac:dyDescent="0.15">
      <c r="D168" s="59"/>
    </row>
    <row r="169" spans="4:4" ht="12.75" customHeight="1" x14ac:dyDescent="0.15">
      <c r="D169" s="59"/>
    </row>
    <row r="170" spans="4:4" ht="12.75" customHeight="1" x14ac:dyDescent="0.15">
      <c r="D170" s="59"/>
    </row>
    <row r="171" spans="4:4" ht="12.75" customHeight="1" x14ac:dyDescent="0.15">
      <c r="D171" s="59"/>
    </row>
    <row r="172" spans="4:4" ht="12.75" customHeight="1" x14ac:dyDescent="0.15">
      <c r="D172" s="59"/>
    </row>
    <row r="173" spans="4:4" ht="12.75" customHeight="1" x14ac:dyDescent="0.15">
      <c r="D173" s="59"/>
    </row>
    <row r="174" spans="4:4" ht="12.75" customHeight="1" x14ac:dyDescent="0.15">
      <c r="D174" s="59"/>
    </row>
    <row r="175" spans="4:4" ht="12.75" customHeight="1" x14ac:dyDescent="0.15">
      <c r="D175" s="59"/>
    </row>
    <row r="176" spans="4:4" ht="12.75" customHeight="1" x14ac:dyDescent="0.15">
      <c r="D176" s="59"/>
    </row>
    <row r="177" spans="4:4" ht="12.75" customHeight="1" x14ac:dyDescent="0.15">
      <c r="D177" s="59"/>
    </row>
    <row r="178" spans="4:4" ht="12.75" customHeight="1" x14ac:dyDescent="0.15">
      <c r="D178" s="59"/>
    </row>
    <row r="179" spans="4:4" ht="12.75" customHeight="1" x14ac:dyDescent="0.15">
      <c r="D179" s="59"/>
    </row>
    <row r="180" spans="4:4" ht="12.75" customHeight="1" x14ac:dyDescent="0.15">
      <c r="D180" s="59"/>
    </row>
    <row r="181" spans="4:4" ht="12.75" customHeight="1" x14ac:dyDescent="0.15">
      <c r="D181" s="59"/>
    </row>
    <row r="182" spans="4:4" ht="12.75" customHeight="1" x14ac:dyDescent="0.15">
      <c r="D182" s="59"/>
    </row>
    <row r="183" spans="4:4" ht="12.75" customHeight="1" x14ac:dyDescent="0.15">
      <c r="D183" s="59"/>
    </row>
    <row r="184" spans="4:4" ht="12.75" customHeight="1" x14ac:dyDescent="0.15">
      <c r="D184" s="59"/>
    </row>
    <row r="185" spans="4:4" ht="12.75" customHeight="1" x14ac:dyDescent="0.15">
      <c r="D185" s="59"/>
    </row>
    <row r="186" spans="4:4" ht="12.75" customHeight="1" x14ac:dyDescent="0.15">
      <c r="D186" s="59"/>
    </row>
    <row r="187" spans="4:4" ht="12.75" customHeight="1" x14ac:dyDescent="0.15">
      <c r="D187" s="59"/>
    </row>
    <row r="188" spans="4:4" ht="12.75" customHeight="1" x14ac:dyDescent="0.15">
      <c r="D188" s="59"/>
    </row>
    <row r="189" spans="4:4" ht="12.75" customHeight="1" x14ac:dyDescent="0.15">
      <c r="D189" s="59"/>
    </row>
    <row r="190" spans="4:4" ht="12.75" customHeight="1" x14ac:dyDescent="0.15">
      <c r="D190" s="59"/>
    </row>
    <row r="191" spans="4:4" ht="12.75" customHeight="1" x14ac:dyDescent="0.15">
      <c r="D191" s="59"/>
    </row>
    <row r="192" spans="4:4" ht="12.75" customHeight="1" x14ac:dyDescent="0.15">
      <c r="D192" s="59"/>
    </row>
    <row r="193" spans="4:4" ht="12.75" customHeight="1" x14ac:dyDescent="0.15">
      <c r="D193" s="59"/>
    </row>
    <row r="194" spans="4:4" ht="12.75" customHeight="1" x14ac:dyDescent="0.15">
      <c r="D194" s="59"/>
    </row>
    <row r="195" spans="4:4" ht="12.75" customHeight="1" x14ac:dyDescent="0.15">
      <c r="D195" s="59"/>
    </row>
    <row r="196" spans="4:4" ht="12.75" customHeight="1" x14ac:dyDescent="0.15">
      <c r="D196" s="59"/>
    </row>
    <row r="197" spans="4:4" ht="12.75" customHeight="1" x14ac:dyDescent="0.15">
      <c r="D197" s="59"/>
    </row>
    <row r="198" spans="4:4" ht="12.75" customHeight="1" x14ac:dyDescent="0.15">
      <c r="D198" s="59"/>
    </row>
    <row r="199" spans="4:4" ht="12.75" customHeight="1" x14ac:dyDescent="0.15">
      <c r="D199" s="59"/>
    </row>
    <row r="200" spans="4:4" ht="12.75" customHeight="1" x14ac:dyDescent="0.15">
      <c r="D200" s="59"/>
    </row>
    <row r="201" spans="4:4" ht="12.75" customHeight="1" x14ac:dyDescent="0.15">
      <c r="D201" s="59"/>
    </row>
    <row r="202" spans="4:4" ht="12.75" customHeight="1" x14ac:dyDescent="0.15">
      <c r="D202" s="59"/>
    </row>
    <row r="203" spans="4:4" ht="12.75" customHeight="1" x14ac:dyDescent="0.15">
      <c r="D203" s="59"/>
    </row>
    <row r="204" spans="4:4" ht="12.75" customHeight="1" x14ac:dyDescent="0.15">
      <c r="D204" s="59"/>
    </row>
    <row r="205" spans="4:4" ht="12.75" customHeight="1" x14ac:dyDescent="0.15">
      <c r="D205" s="59"/>
    </row>
    <row r="206" spans="4:4" ht="12.75" customHeight="1" x14ac:dyDescent="0.15">
      <c r="D206" s="59"/>
    </row>
    <row r="207" spans="4:4" ht="12.75" customHeight="1" x14ac:dyDescent="0.15">
      <c r="D207" s="59"/>
    </row>
    <row r="208" spans="4:4" ht="12.75" customHeight="1" x14ac:dyDescent="0.15">
      <c r="D208" s="59"/>
    </row>
    <row r="209" spans="4:4" ht="12.75" customHeight="1" x14ac:dyDescent="0.15">
      <c r="D209" s="59"/>
    </row>
    <row r="210" spans="4:4" ht="12.75" customHeight="1" x14ac:dyDescent="0.15">
      <c r="D210" s="59"/>
    </row>
    <row r="211" spans="4:4" ht="12.75" customHeight="1" x14ac:dyDescent="0.15">
      <c r="D211" s="59"/>
    </row>
    <row r="212" spans="4:4" ht="12.75" customHeight="1" x14ac:dyDescent="0.15">
      <c r="D212" s="59"/>
    </row>
    <row r="213" spans="4:4" ht="12.75" customHeight="1" x14ac:dyDescent="0.15">
      <c r="D213" s="59"/>
    </row>
    <row r="214" spans="4:4" ht="12.75" customHeight="1" x14ac:dyDescent="0.15">
      <c r="D214" s="59"/>
    </row>
    <row r="215" spans="4:4" ht="12.75" customHeight="1" x14ac:dyDescent="0.15">
      <c r="D215" s="59"/>
    </row>
    <row r="216" spans="4:4" ht="12.75" customHeight="1" x14ac:dyDescent="0.15">
      <c r="D216" s="59"/>
    </row>
    <row r="217" spans="4:4" ht="12.75" customHeight="1" x14ac:dyDescent="0.15">
      <c r="D217" s="59"/>
    </row>
    <row r="218" spans="4:4" ht="12.75" customHeight="1" x14ac:dyDescent="0.15">
      <c r="D218" s="59"/>
    </row>
    <row r="219" spans="4:4" ht="12.75" customHeight="1" x14ac:dyDescent="0.15">
      <c r="D219" s="59"/>
    </row>
    <row r="220" spans="4:4" ht="12.75" customHeight="1" x14ac:dyDescent="0.15">
      <c r="D220" s="59"/>
    </row>
    <row r="221" spans="4:4" ht="12.75" customHeight="1" x14ac:dyDescent="0.15">
      <c r="D221" s="59"/>
    </row>
    <row r="222" spans="4:4" ht="12.75" customHeight="1" x14ac:dyDescent="0.15">
      <c r="D222" s="59"/>
    </row>
    <row r="223" spans="4:4" ht="12.75" customHeight="1" x14ac:dyDescent="0.15">
      <c r="D223" s="59"/>
    </row>
    <row r="224" spans="4:4" ht="12.75" customHeight="1" x14ac:dyDescent="0.15">
      <c r="D224" s="59"/>
    </row>
    <row r="225" spans="4:4" ht="12.75" customHeight="1" x14ac:dyDescent="0.15">
      <c r="D225" s="59"/>
    </row>
    <row r="226" spans="4:4" ht="12.75" customHeight="1" x14ac:dyDescent="0.15">
      <c r="D226" s="59"/>
    </row>
    <row r="227" spans="4:4" ht="12.75" customHeight="1" x14ac:dyDescent="0.15">
      <c r="D227" s="59"/>
    </row>
    <row r="228" spans="4:4" ht="12.75" customHeight="1" x14ac:dyDescent="0.15">
      <c r="D228" s="59"/>
    </row>
    <row r="229" spans="4:4" ht="12.75" customHeight="1" x14ac:dyDescent="0.15">
      <c r="D229" s="59"/>
    </row>
    <row r="230" spans="4:4" ht="12.75" customHeight="1" x14ac:dyDescent="0.15">
      <c r="D230" s="59"/>
    </row>
    <row r="231" spans="4:4" ht="12.75" customHeight="1" x14ac:dyDescent="0.15">
      <c r="D231" s="59"/>
    </row>
    <row r="232" spans="4:4" ht="12.75" customHeight="1" x14ac:dyDescent="0.15">
      <c r="D232" s="59"/>
    </row>
    <row r="233" spans="4:4" ht="12.75" customHeight="1" x14ac:dyDescent="0.15">
      <c r="D233" s="59"/>
    </row>
    <row r="234" spans="4:4" ht="12.75" customHeight="1" x14ac:dyDescent="0.15">
      <c r="D234" s="59"/>
    </row>
    <row r="235" spans="4:4" ht="12.75" customHeight="1" x14ac:dyDescent="0.15">
      <c r="D235" s="59"/>
    </row>
    <row r="236" spans="4:4" ht="12.75" customHeight="1" x14ac:dyDescent="0.15">
      <c r="D236" s="59"/>
    </row>
    <row r="237" spans="4:4" ht="12.75" customHeight="1" x14ac:dyDescent="0.15">
      <c r="D237" s="59"/>
    </row>
    <row r="238" spans="4:4" ht="12.75" customHeight="1" x14ac:dyDescent="0.15">
      <c r="D238" s="59"/>
    </row>
    <row r="239" spans="4:4" ht="12.75" customHeight="1" x14ac:dyDescent="0.15">
      <c r="D239" s="59"/>
    </row>
    <row r="240" spans="4:4" ht="12.75" customHeight="1" x14ac:dyDescent="0.15">
      <c r="D240" s="59"/>
    </row>
    <row r="241" spans="4:4" ht="12.75" customHeight="1" x14ac:dyDescent="0.15">
      <c r="D241" s="59"/>
    </row>
    <row r="242" spans="4:4" ht="12.75" customHeight="1" x14ac:dyDescent="0.15">
      <c r="D242" s="59"/>
    </row>
    <row r="243" spans="4:4" ht="12.75" customHeight="1" x14ac:dyDescent="0.15">
      <c r="D243" s="59"/>
    </row>
    <row r="244" spans="4:4" ht="12.75" customHeight="1" x14ac:dyDescent="0.15">
      <c r="D244" s="59"/>
    </row>
    <row r="245" spans="4:4" ht="12.75" customHeight="1" x14ac:dyDescent="0.15">
      <c r="D245" s="59"/>
    </row>
    <row r="246" spans="4:4" ht="12.75" customHeight="1" x14ac:dyDescent="0.15">
      <c r="D246" s="59"/>
    </row>
    <row r="247" spans="4:4" ht="12.75" customHeight="1" x14ac:dyDescent="0.15">
      <c r="D247" s="59"/>
    </row>
    <row r="248" spans="4:4" ht="12.75" customHeight="1" x14ac:dyDescent="0.15">
      <c r="D248" s="59"/>
    </row>
    <row r="249" spans="4:4" ht="12.75" customHeight="1" x14ac:dyDescent="0.15">
      <c r="D249" s="59"/>
    </row>
    <row r="250" spans="4:4" ht="12.75" customHeight="1" x14ac:dyDescent="0.15">
      <c r="D250" s="59"/>
    </row>
    <row r="251" spans="4:4" ht="12.75" customHeight="1" x14ac:dyDescent="0.15">
      <c r="D251" s="59"/>
    </row>
    <row r="252" spans="4:4" ht="12.75" customHeight="1" x14ac:dyDescent="0.15">
      <c r="D252" s="59"/>
    </row>
    <row r="253" spans="4:4" ht="12.75" customHeight="1" x14ac:dyDescent="0.15">
      <c r="D253" s="59"/>
    </row>
    <row r="254" spans="4:4" ht="12.75" customHeight="1" x14ac:dyDescent="0.15">
      <c r="D254" s="59"/>
    </row>
    <row r="255" spans="4:4" ht="12.75" customHeight="1" x14ac:dyDescent="0.15">
      <c r="D255" s="59"/>
    </row>
    <row r="256" spans="4:4" ht="12.75" customHeight="1" x14ac:dyDescent="0.15">
      <c r="D256" s="59"/>
    </row>
    <row r="257" spans="4:4" ht="12.75" customHeight="1" x14ac:dyDescent="0.15">
      <c r="D257" s="59"/>
    </row>
    <row r="258" spans="4:4" ht="12.75" customHeight="1" x14ac:dyDescent="0.15">
      <c r="D258" s="59"/>
    </row>
    <row r="259" spans="4:4" ht="12.75" customHeight="1" x14ac:dyDescent="0.15">
      <c r="D259" s="59"/>
    </row>
    <row r="260" spans="4:4" ht="12.75" customHeight="1" x14ac:dyDescent="0.15">
      <c r="D260" s="59"/>
    </row>
    <row r="261" spans="4:4" ht="12.75" customHeight="1" x14ac:dyDescent="0.15">
      <c r="D261" s="59"/>
    </row>
    <row r="262" spans="4:4" ht="12.75" customHeight="1" x14ac:dyDescent="0.15">
      <c r="D262" s="59"/>
    </row>
    <row r="263" spans="4:4" ht="12.75" customHeight="1" x14ac:dyDescent="0.15">
      <c r="D263" s="59"/>
    </row>
    <row r="264" spans="4:4" ht="12.75" customHeight="1" x14ac:dyDescent="0.15">
      <c r="D264" s="59"/>
    </row>
    <row r="265" spans="4:4" ht="12.75" customHeight="1" x14ac:dyDescent="0.15">
      <c r="D265" s="59"/>
    </row>
    <row r="266" spans="4:4" ht="12.75" customHeight="1" x14ac:dyDescent="0.15">
      <c r="D266" s="59"/>
    </row>
    <row r="267" spans="4:4" ht="12.75" customHeight="1" x14ac:dyDescent="0.15">
      <c r="D267" s="59"/>
    </row>
    <row r="268" spans="4:4" ht="12.75" customHeight="1" x14ac:dyDescent="0.15">
      <c r="D268" s="59"/>
    </row>
    <row r="269" spans="4:4" ht="12.75" customHeight="1" x14ac:dyDescent="0.15">
      <c r="D269" s="59"/>
    </row>
    <row r="270" spans="4:4" ht="12.75" customHeight="1" x14ac:dyDescent="0.15">
      <c r="D270" s="59"/>
    </row>
    <row r="271" spans="4:4" ht="12.75" customHeight="1" x14ac:dyDescent="0.15">
      <c r="D271" s="59"/>
    </row>
    <row r="272" spans="4:4" ht="12.75" customHeight="1" x14ac:dyDescent="0.15">
      <c r="D272" s="59"/>
    </row>
    <row r="273" spans="4:4" ht="12.75" customHeight="1" x14ac:dyDescent="0.15">
      <c r="D273" s="59"/>
    </row>
    <row r="274" spans="4:4" ht="12.75" customHeight="1" x14ac:dyDescent="0.15">
      <c r="D274" s="59"/>
    </row>
    <row r="275" spans="4:4" ht="12.75" customHeight="1" x14ac:dyDescent="0.15">
      <c r="D275" s="59"/>
    </row>
    <row r="276" spans="4:4" ht="12.75" customHeight="1" x14ac:dyDescent="0.15">
      <c r="D276" s="59"/>
    </row>
    <row r="277" spans="4:4" ht="12.75" customHeight="1" x14ac:dyDescent="0.15">
      <c r="D277" s="59"/>
    </row>
    <row r="278" spans="4:4" ht="12.75" customHeight="1" x14ac:dyDescent="0.15">
      <c r="D278" s="59"/>
    </row>
    <row r="279" spans="4:4" ht="12.75" customHeight="1" x14ac:dyDescent="0.15">
      <c r="D279" s="59"/>
    </row>
    <row r="280" spans="4:4" ht="12.75" customHeight="1" x14ac:dyDescent="0.15">
      <c r="D280" s="59"/>
    </row>
    <row r="281" spans="4:4" ht="12.75" customHeight="1" x14ac:dyDescent="0.15">
      <c r="D281" s="59"/>
    </row>
    <row r="282" spans="4:4" ht="12.75" customHeight="1" x14ac:dyDescent="0.15">
      <c r="D282" s="59"/>
    </row>
    <row r="283" spans="4:4" ht="12.75" customHeight="1" x14ac:dyDescent="0.15">
      <c r="D283" s="59"/>
    </row>
    <row r="284" spans="4:4" ht="12.75" customHeight="1" x14ac:dyDescent="0.15">
      <c r="D284" s="59"/>
    </row>
    <row r="285" spans="4:4" ht="12.75" customHeight="1" x14ac:dyDescent="0.15">
      <c r="D285" s="59"/>
    </row>
    <row r="286" spans="4:4" ht="12.75" customHeight="1" x14ac:dyDescent="0.15">
      <c r="D286" s="59"/>
    </row>
    <row r="287" spans="4:4" ht="12.75" customHeight="1" x14ac:dyDescent="0.15">
      <c r="D287" s="59"/>
    </row>
    <row r="288" spans="4:4" ht="12.75" customHeight="1" x14ac:dyDescent="0.15">
      <c r="D288" s="59"/>
    </row>
    <row r="289" spans="4:4" ht="12.75" customHeight="1" x14ac:dyDescent="0.15">
      <c r="D289" s="59"/>
    </row>
    <row r="290" spans="4:4" ht="12.75" customHeight="1" x14ac:dyDescent="0.15">
      <c r="D290" s="59"/>
    </row>
    <row r="291" spans="4:4" ht="12.75" customHeight="1" x14ac:dyDescent="0.15">
      <c r="D291" s="59"/>
    </row>
    <row r="292" spans="4:4" ht="12.75" customHeight="1" x14ac:dyDescent="0.15">
      <c r="D292" s="59"/>
    </row>
    <row r="293" spans="4:4" ht="12.75" customHeight="1" x14ac:dyDescent="0.15">
      <c r="D293" s="59"/>
    </row>
    <row r="294" spans="4:4" ht="12.75" customHeight="1" x14ac:dyDescent="0.15">
      <c r="D294" s="59"/>
    </row>
    <row r="295" spans="4:4" ht="12.75" customHeight="1" x14ac:dyDescent="0.15">
      <c r="D295" s="59"/>
    </row>
    <row r="296" spans="4:4" ht="12.75" customHeight="1" x14ac:dyDescent="0.15">
      <c r="D296" s="59"/>
    </row>
    <row r="297" spans="4:4" ht="12.75" customHeight="1" x14ac:dyDescent="0.15">
      <c r="D297" s="59"/>
    </row>
    <row r="298" spans="4:4" ht="12.75" customHeight="1" x14ac:dyDescent="0.15">
      <c r="D298" s="59"/>
    </row>
    <row r="299" spans="4:4" ht="12.75" customHeight="1" x14ac:dyDescent="0.15">
      <c r="D299" s="59"/>
    </row>
    <row r="300" spans="4:4" ht="12.75" customHeight="1" x14ac:dyDescent="0.15">
      <c r="D300" s="59"/>
    </row>
    <row r="301" spans="4:4" ht="12.75" customHeight="1" x14ac:dyDescent="0.15">
      <c r="D301" s="59"/>
    </row>
    <row r="302" spans="4:4" ht="12.75" customHeight="1" x14ac:dyDescent="0.15">
      <c r="D302" s="59"/>
    </row>
    <row r="303" spans="4:4" ht="12.75" customHeight="1" x14ac:dyDescent="0.15">
      <c r="D303" s="59"/>
    </row>
    <row r="304" spans="4:4" ht="12.75" customHeight="1" x14ac:dyDescent="0.15">
      <c r="D304" s="59"/>
    </row>
    <row r="305" spans="4:4" ht="12.75" customHeight="1" x14ac:dyDescent="0.15">
      <c r="D305" s="59"/>
    </row>
    <row r="306" spans="4:4" ht="12.75" customHeight="1" x14ac:dyDescent="0.15">
      <c r="D306" s="59"/>
    </row>
    <row r="307" spans="4:4" ht="12.75" customHeight="1" x14ac:dyDescent="0.15">
      <c r="D307" s="59"/>
    </row>
    <row r="308" spans="4:4" ht="12.75" customHeight="1" x14ac:dyDescent="0.15">
      <c r="D308" s="59"/>
    </row>
    <row r="309" spans="4:4" ht="12.75" customHeight="1" x14ac:dyDescent="0.15">
      <c r="D309" s="59"/>
    </row>
    <row r="310" spans="4:4" ht="12.75" customHeight="1" x14ac:dyDescent="0.15">
      <c r="D310" s="59"/>
    </row>
    <row r="311" spans="4:4" ht="12.75" customHeight="1" x14ac:dyDescent="0.15">
      <c r="D311" s="59"/>
    </row>
    <row r="312" spans="4:4" ht="12.75" customHeight="1" x14ac:dyDescent="0.15">
      <c r="D312" s="59"/>
    </row>
    <row r="313" spans="4:4" ht="12.75" customHeight="1" x14ac:dyDescent="0.15">
      <c r="D313" s="59"/>
    </row>
    <row r="314" spans="4:4" ht="12.75" customHeight="1" x14ac:dyDescent="0.15">
      <c r="D314" s="59"/>
    </row>
    <row r="315" spans="4:4" ht="12.75" customHeight="1" x14ac:dyDescent="0.15">
      <c r="D315" s="59"/>
    </row>
    <row r="316" spans="4:4" ht="12.75" customHeight="1" x14ac:dyDescent="0.15">
      <c r="D316" s="59"/>
    </row>
    <row r="317" spans="4:4" ht="12.75" customHeight="1" x14ac:dyDescent="0.15">
      <c r="D317" s="59"/>
    </row>
    <row r="318" spans="4:4" ht="12.75" customHeight="1" x14ac:dyDescent="0.15">
      <c r="D318" s="59"/>
    </row>
    <row r="319" spans="4:4" ht="12.75" customHeight="1" x14ac:dyDescent="0.15">
      <c r="D319" s="59"/>
    </row>
    <row r="320" spans="4:4" ht="12.75" customHeight="1" x14ac:dyDescent="0.15">
      <c r="D320" s="59"/>
    </row>
    <row r="321" spans="4:4" ht="12.75" customHeight="1" x14ac:dyDescent="0.15">
      <c r="D321" s="59"/>
    </row>
    <row r="322" spans="4:4" ht="12.75" customHeight="1" x14ac:dyDescent="0.15">
      <c r="D322" s="59"/>
    </row>
    <row r="323" spans="4:4" ht="12.75" customHeight="1" x14ac:dyDescent="0.15">
      <c r="D323" s="59"/>
    </row>
    <row r="324" spans="4:4" ht="12.75" customHeight="1" x14ac:dyDescent="0.15">
      <c r="D324" s="59"/>
    </row>
    <row r="325" spans="4:4" ht="12.75" customHeight="1" x14ac:dyDescent="0.15">
      <c r="D325" s="59"/>
    </row>
    <row r="326" spans="4:4" ht="12.75" customHeight="1" x14ac:dyDescent="0.15">
      <c r="D326" s="59"/>
    </row>
    <row r="327" spans="4:4" ht="12.75" customHeight="1" x14ac:dyDescent="0.15">
      <c r="D327" s="59"/>
    </row>
    <row r="328" spans="4:4" ht="12.75" customHeight="1" x14ac:dyDescent="0.15">
      <c r="D328" s="59"/>
    </row>
    <row r="329" spans="4:4" ht="12.75" customHeight="1" x14ac:dyDescent="0.15">
      <c r="D329" s="59"/>
    </row>
    <row r="330" spans="4:4" ht="12.75" customHeight="1" x14ac:dyDescent="0.15">
      <c r="D330" s="59"/>
    </row>
    <row r="331" spans="4:4" ht="12.75" customHeight="1" x14ac:dyDescent="0.15">
      <c r="D331" s="59"/>
    </row>
    <row r="332" spans="4:4" ht="12.75" customHeight="1" x14ac:dyDescent="0.15">
      <c r="D332" s="59"/>
    </row>
    <row r="333" spans="4:4" ht="12.75" customHeight="1" x14ac:dyDescent="0.15">
      <c r="D333" s="59"/>
    </row>
    <row r="334" spans="4:4" ht="12.75" customHeight="1" x14ac:dyDescent="0.15">
      <c r="D334" s="59"/>
    </row>
    <row r="335" spans="4:4" ht="12.75" customHeight="1" x14ac:dyDescent="0.15">
      <c r="D335" s="59"/>
    </row>
    <row r="336" spans="4:4" ht="12.75" customHeight="1" x14ac:dyDescent="0.15">
      <c r="D336" s="59"/>
    </row>
    <row r="337" spans="4:4" ht="12.75" customHeight="1" x14ac:dyDescent="0.15">
      <c r="D337" s="59"/>
    </row>
    <row r="338" spans="4:4" ht="12.75" customHeight="1" x14ac:dyDescent="0.15">
      <c r="D338" s="59"/>
    </row>
    <row r="339" spans="4:4" ht="12.75" customHeight="1" x14ac:dyDescent="0.15">
      <c r="D339" s="59"/>
    </row>
    <row r="340" spans="4:4" ht="12.75" customHeight="1" x14ac:dyDescent="0.15">
      <c r="D340" s="59"/>
    </row>
    <row r="341" spans="4:4" ht="12.75" customHeight="1" x14ac:dyDescent="0.15">
      <c r="D341" s="59"/>
    </row>
    <row r="342" spans="4:4" ht="12.75" customHeight="1" x14ac:dyDescent="0.15">
      <c r="D342" s="59"/>
    </row>
    <row r="343" spans="4:4" ht="12.75" customHeight="1" x14ac:dyDescent="0.15">
      <c r="D343" s="59"/>
    </row>
    <row r="344" spans="4:4" ht="12.75" customHeight="1" x14ac:dyDescent="0.15">
      <c r="D344" s="59"/>
    </row>
    <row r="345" spans="4:4" ht="12.75" customHeight="1" x14ac:dyDescent="0.15">
      <c r="D345" s="59"/>
    </row>
    <row r="346" spans="4:4" ht="12.75" customHeight="1" x14ac:dyDescent="0.15">
      <c r="D346" s="59"/>
    </row>
    <row r="347" spans="4:4" ht="12.75" customHeight="1" x14ac:dyDescent="0.15">
      <c r="D347" s="59"/>
    </row>
    <row r="348" spans="4:4" ht="12.75" customHeight="1" x14ac:dyDescent="0.15">
      <c r="D348" s="59"/>
    </row>
    <row r="349" spans="4:4" ht="12.75" customHeight="1" x14ac:dyDescent="0.15">
      <c r="D349" s="59"/>
    </row>
    <row r="350" spans="4:4" ht="12.75" customHeight="1" x14ac:dyDescent="0.15">
      <c r="D350" s="59"/>
    </row>
    <row r="351" spans="4:4" ht="12.75" customHeight="1" x14ac:dyDescent="0.15">
      <c r="D351" s="59"/>
    </row>
    <row r="352" spans="4:4" ht="12.75" customHeight="1" x14ac:dyDescent="0.15">
      <c r="D352" s="59"/>
    </row>
    <row r="353" spans="4:4" ht="12.75" customHeight="1" x14ac:dyDescent="0.15">
      <c r="D353" s="59"/>
    </row>
    <row r="354" spans="4:4" ht="12.75" customHeight="1" x14ac:dyDescent="0.15">
      <c r="D354" s="59"/>
    </row>
    <row r="355" spans="4:4" ht="12.75" customHeight="1" x14ac:dyDescent="0.15">
      <c r="D355" s="59"/>
    </row>
    <row r="356" spans="4:4" ht="12.75" customHeight="1" x14ac:dyDescent="0.15">
      <c r="D356" s="59"/>
    </row>
    <row r="357" spans="4:4" ht="12.75" customHeight="1" x14ac:dyDescent="0.15">
      <c r="D357" s="59"/>
    </row>
    <row r="358" spans="4:4" ht="12.75" customHeight="1" x14ac:dyDescent="0.15">
      <c r="D358" s="59"/>
    </row>
    <row r="359" spans="4:4" ht="12.75" customHeight="1" x14ac:dyDescent="0.15">
      <c r="D359" s="59"/>
    </row>
    <row r="360" spans="4:4" ht="12.75" customHeight="1" x14ac:dyDescent="0.15">
      <c r="D360" s="59"/>
    </row>
    <row r="361" spans="4:4" ht="12.75" customHeight="1" x14ac:dyDescent="0.15">
      <c r="D361" s="59"/>
    </row>
    <row r="362" spans="4:4" ht="12.75" customHeight="1" x14ac:dyDescent="0.15">
      <c r="D362" s="59"/>
    </row>
    <row r="363" spans="4:4" ht="12.75" customHeight="1" x14ac:dyDescent="0.15">
      <c r="D363" s="59"/>
    </row>
    <row r="364" spans="4:4" ht="12.75" customHeight="1" x14ac:dyDescent="0.15">
      <c r="D364" s="59"/>
    </row>
    <row r="365" spans="4:4" ht="12.75" customHeight="1" x14ac:dyDescent="0.15">
      <c r="D365" s="59"/>
    </row>
    <row r="366" spans="4:4" ht="12.75" customHeight="1" x14ac:dyDescent="0.15">
      <c r="D366" s="59"/>
    </row>
    <row r="367" spans="4:4" ht="12.75" customHeight="1" x14ac:dyDescent="0.15">
      <c r="D367" s="59"/>
    </row>
    <row r="368" spans="4:4" ht="12.75" customHeight="1" x14ac:dyDescent="0.15">
      <c r="D368" s="59"/>
    </row>
    <row r="369" spans="4:4" ht="12.75" customHeight="1" x14ac:dyDescent="0.15">
      <c r="D369" s="59"/>
    </row>
    <row r="370" spans="4:4" ht="12.75" customHeight="1" x14ac:dyDescent="0.15">
      <c r="D370" s="59"/>
    </row>
    <row r="371" spans="4:4" ht="12.75" customHeight="1" x14ac:dyDescent="0.15">
      <c r="D371" s="59"/>
    </row>
    <row r="372" spans="4:4" ht="12.75" customHeight="1" x14ac:dyDescent="0.15">
      <c r="D372" s="59"/>
    </row>
    <row r="373" spans="4:4" ht="12.75" customHeight="1" x14ac:dyDescent="0.15">
      <c r="D373" s="59"/>
    </row>
    <row r="374" spans="4:4" ht="12.75" customHeight="1" x14ac:dyDescent="0.15">
      <c r="D374" s="59"/>
    </row>
    <row r="375" spans="4:4" ht="12.75" customHeight="1" x14ac:dyDescent="0.15">
      <c r="D375" s="59"/>
    </row>
    <row r="376" spans="4:4" ht="12.75" customHeight="1" x14ac:dyDescent="0.15">
      <c r="D376" s="59"/>
    </row>
    <row r="377" spans="4:4" ht="12.75" customHeight="1" x14ac:dyDescent="0.15">
      <c r="D377" s="59"/>
    </row>
    <row r="378" spans="4:4" ht="12.75" customHeight="1" x14ac:dyDescent="0.15">
      <c r="D378" s="59"/>
    </row>
    <row r="379" spans="4:4" ht="12.75" customHeight="1" x14ac:dyDescent="0.15">
      <c r="D379" s="59"/>
    </row>
    <row r="380" spans="4:4" ht="12.75" customHeight="1" x14ac:dyDescent="0.15">
      <c r="D380" s="59"/>
    </row>
    <row r="381" spans="4:4" ht="12.75" customHeight="1" x14ac:dyDescent="0.15">
      <c r="D381" s="59"/>
    </row>
    <row r="382" spans="4:4" ht="12.75" customHeight="1" x14ac:dyDescent="0.15">
      <c r="D382" s="59"/>
    </row>
    <row r="383" spans="4:4" ht="12.75" customHeight="1" x14ac:dyDescent="0.15">
      <c r="D383" s="59"/>
    </row>
    <row r="384" spans="4:4" ht="12.75" customHeight="1" x14ac:dyDescent="0.15">
      <c r="D384" s="59"/>
    </row>
    <row r="385" spans="4:4" ht="12.75" customHeight="1" x14ac:dyDescent="0.15">
      <c r="D385" s="59"/>
    </row>
    <row r="386" spans="4:4" ht="12.75" customHeight="1" x14ac:dyDescent="0.15">
      <c r="D386" s="59"/>
    </row>
    <row r="387" spans="4:4" ht="12.75" customHeight="1" x14ac:dyDescent="0.15">
      <c r="D387" s="59"/>
    </row>
    <row r="388" spans="4:4" ht="12.75" customHeight="1" x14ac:dyDescent="0.15">
      <c r="D388" s="59"/>
    </row>
    <row r="389" spans="4:4" ht="12.75" customHeight="1" x14ac:dyDescent="0.15">
      <c r="D389" s="59"/>
    </row>
    <row r="390" spans="4:4" ht="12.75" customHeight="1" x14ac:dyDescent="0.15">
      <c r="D390" s="59"/>
    </row>
    <row r="391" spans="4:4" ht="12.75" customHeight="1" x14ac:dyDescent="0.15">
      <c r="D391" s="59"/>
    </row>
    <row r="392" spans="4:4" ht="12.75" customHeight="1" x14ac:dyDescent="0.15">
      <c r="D392" s="59"/>
    </row>
    <row r="393" spans="4:4" ht="12.75" customHeight="1" x14ac:dyDescent="0.15">
      <c r="D393" s="59"/>
    </row>
    <row r="394" spans="4:4" ht="12.75" customHeight="1" x14ac:dyDescent="0.15">
      <c r="D394" s="59"/>
    </row>
    <row r="395" spans="4:4" ht="12.75" customHeight="1" x14ac:dyDescent="0.15">
      <c r="D395" s="59"/>
    </row>
    <row r="396" spans="4:4" ht="12.75" customHeight="1" x14ac:dyDescent="0.15">
      <c r="D396" s="59"/>
    </row>
    <row r="397" spans="4:4" ht="12.75" customHeight="1" x14ac:dyDescent="0.15">
      <c r="D397" s="59"/>
    </row>
    <row r="398" spans="4:4" ht="12.75" customHeight="1" x14ac:dyDescent="0.15">
      <c r="D398" s="59"/>
    </row>
    <row r="399" spans="4:4" ht="12.75" customHeight="1" x14ac:dyDescent="0.15">
      <c r="D399" s="59"/>
    </row>
    <row r="400" spans="4:4" ht="12.75" customHeight="1" x14ac:dyDescent="0.15">
      <c r="D400" s="59"/>
    </row>
    <row r="401" spans="4:4" ht="12.75" customHeight="1" x14ac:dyDescent="0.15">
      <c r="D401" s="59"/>
    </row>
    <row r="402" spans="4:4" ht="12.75" customHeight="1" x14ac:dyDescent="0.15">
      <c r="D402" s="59"/>
    </row>
    <row r="403" spans="4:4" ht="12.75" customHeight="1" x14ac:dyDescent="0.15">
      <c r="D403" s="59"/>
    </row>
    <row r="404" spans="4:4" ht="12.75" customHeight="1" x14ac:dyDescent="0.15">
      <c r="D404" s="59"/>
    </row>
    <row r="405" spans="4:4" ht="12.75" customHeight="1" x14ac:dyDescent="0.15">
      <c r="D405" s="59"/>
    </row>
    <row r="406" spans="4:4" ht="12.75" customHeight="1" x14ac:dyDescent="0.15">
      <c r="D406" s="59"/>
    </row>
    <row r="407" spans="4:4" ht="12.75" customHeight="1" x14ac:dyDescent="0.15">
      <c r="D407" s="59"/>
    </row>
    <row r="408" spans="4:4" ht="12.75" customHeight="1" x14ac:dyDescent="0.15">
      <c r="D408" s="59"/>
    </row>
    <row r="409" spans="4:4" ht="12.75" customHeight="1" x14ac:dyDescent="0.15">
      <c r="D409" s="59"/>
    </row>
    <row r="410" spans="4:4" ht="12.75" customHeight="1" x14ac:dyDescent="0.15">
      <c r="D410" s="59"/>
    </row>
    <row r="411" spans="4:4" ht="12.75" customHeight="1" x14ac:dyDescent="0.15">
      <c r="D411" s="59"/>
    </row>
    <row r="412" spans="4:4" ht="12.75" customHeight="1" x14ac:dyDescent="0.15">
      <c r="D412" s="59"/>
    </row>
    <row r="413" spans="4:4" ht="12.75" customHeight="1" x14ac:dyDescent="0.15">
      <c r="D413" s="59"/>
    </row>
    <row r="414" spans="4:4" ht="12.75" customHeight="1" x14ac:dyDescent="0.15">
      <c r="D414" s="59"/>
    </row>
    <row r="415" spans="4:4" ht="12.75" customHeight="1" x14ac:dyDescent="0.15">
      <c r="D415" s="59"/>
    </row>
    <row r="416" spans="4:4" ht="12.75" customHeight="1" x14ac:dyDescent="0.15">
      <c r="D416" s="59"/>
    </row>
    <row r="417" spans="4:4" ht="12.75" customHeight="1" x14ac:dyDescent="0.15">
      <c r="D417" s="59"/>
    </row>
    <row r="418" spans="4:4" ht="12.75" customHeight="1" x14ac:dyDescent="0.15">
      <c r="D418" s="59"/>
    </row>
    <row r="419" spans="4:4" ht="12.75" customHeight="1" x14ac:dyDescent="0.15">
      <c r="D419" s="59"/>
    </row>
    <row r="420" spans="4:4" ht="12.75" customHeight="1" x14ac:dyDescent="0.15">
      <c r="D420" s="59"/>
    </row>
    <row r="421" spans="4:4" ht="12.75" customHeight="1" x14ac:dyDescent="0.15">
      <c r="D421" s="59"/>
    </row>
    <row r="422" spans="4:4" ht="12.75" customHeight="1" x14ac:dyDescent="0.15">
      <c r="D422" s="59"/>
    </row>
    <row r="423" spans="4:4" ht="12.75" customHeight="1" x14ac:dyDescent="0.15">
      <c r="D423" s="59"/>
    </row>
    <row r="424" spans="4:4" ht="12.75" customHeight="1" x14ac:dyDescent="0.15">
      <c r="D424" s="59"/>
    </row>
    <row r="425" spans="4:4" ht="12.75" customHeight="1" x14ac:dyDescent="0.15">
      <c r="D425" s="59"/>
    </row>
    <row r="426" spans="4:4" ht="12.75" customHeight="1" x14ac:dyDescent="0.15">
      <c r="D426" s="59"/>
    </row>
    <row r="427" spans="4:4" ht="12.75" customHeight="1" x14ac:dyDescent="0.15">
      <c r="D427" s="59"/>
    </row>
    <row r="428" spans="4:4" ht="12.75" customHeight="1" x14ac:dyDescent="0.15">
      <c r="D428" s="59"/>
    </row>
    <row r="429" spans="4:4" ht="12.75" customHeight="1" x14ac:dyDescent="0.15">
      <c r="D429" s="59"/>
    </row>
    <row r="430" spans="4:4" ht="12.75" customHeight="1" x14ac:dyDescent="0.15">
      <c r="D430" s="59"/>
    </row>
    <row r="431" spans="4:4" ht="12.75" customHeight="1" x14ac:dyDescent="0.15">
      <c r="D431" s="59"/>
    </row>
    <row r="432" spans="4:4" ht="12.75" customHeight="1" x14ac:dyDescent="0.15">
      <c r="D432" s="59"/>
    </row>
    <row r="433" spans="4:4" ht="12.75" customHeight="1" x14ac:dyDescent="0.15">
      <c r="D433" s="59"/>
    </row>
    <row r="434" spans="4:4" ht="12.75" customHeight="1" x14ac:dyDescent="0.15">
      <c r="D434" s="59"/>
    </row>
    <row r="435" spans="4:4" ht="12.75" customHeight="1" x14ac:dyDescent="0.15">
      <c r="D435" s="59"/>
    </row>
    <row r="436" spans="4:4" ht="12.75" customHeight="1" x14ac:dyDescent="0.15">
      <c r="D436" s="59"/>
    </row>
    <row r="437" spans="4:4" ht="12.75" customHeight="1" x14ac:dyDescent="0.15">
      <c r="D437" s="59"/>
    </row>
    <row r="438" spans="4:4" ht="12.75" customHeight="1" x14ac:dyDescent="0.15">
      <c r="D438" s="59"/>
    </row>
    <row r="439" spans="4:4" ht="12.75" customHeight="1" x14ac:dyDescent="0.15">
      <c r="D439" s="59"/>
    </row>
    <row r="440" spans="4:4" ht="12.75" customHeight="1" x14ac:dyDescent="0.15">
      <c r="D440" s="59"/>
    </row>
    <row r="441" spans="4:4" ht="12.75" customHeight="1" x14ac:dyDescent="0.15">
      <c r="D441" s="59"/>
    </row>
    <row r="442" spans="4:4" ht="12.75" customHeight="1" x14ac:dyDescent="0.15">
      <c r="D442" s="59"/>
    </row>
    <row r="443" spans="4:4" ht="12.75" customHeight="1" x14ac:dyDescent="0.15">
      <c r="D443" s="59"/>
    </row>
    <row r="444" spans="4:4" ht="12.75" customHeight="1" x14ac:dyDescent="0.15">
      <c r="D444" s="59"/>
    </row>
    <row r="445" spans="4:4" ht="12.75" customHeight="1" x14ac:dyDescent="0.15">
      <c r="D445" s="59"/>
    </row>
    <row r="446" spans="4:4" ht="12.75" customHeight="1" x14ac:dyDescent="0.15">
      <c r="D446" s="59"/>
    </row>
    <row r="447" spans="4:4" ht="12.75" customHeight="1" x14ac:dyDescent="0.15">
      <c r="D447" s="59"/>
    </row>
    <row r="448" spans="4:4" ht="12.75" customHeight="1" x14ac:dyDescent="0.15">
      <c r="D448" s="59"/>
    </row>
    <row r="449" spans="4:4" ht="12.75" customHeight="1" x14ac:dyDescent="0.15">
      <c r="D449" s="59"/>
    </row>
    <row r="450" spans="4:4" ht="12.75" customHeight="1" x14ac:dyDescent="0.15">
      <c r="D450" s="59"/>
    </row>
    <row r="451" spans="4:4" ht="12.75" customHeight="1" x14ac:dyDescent="0.15">
      <c r="D451" s="59"/>
    </row>
    <row r="452" spans="4:4" ht="12.75" customHeight="1" x14ac:dyDescent="0.15">
      <c r="D452" s="59"/>
    </row>
    <row r="453" spans="4:4" ht="12.75" customHeight="1" x14ac:dyDescent="0.15">
      <c r="D453" s="59"/>
    </row>
    <row r="454" spans="4:4" ht="12.75" customHeight="1" x14ac:dyDescent="0.15">
      <c r="D454" s="59"/>
    </row>
    <row r="455" spans="4:4" ht="12.75" customHeight="1" x14ac:dyDescent="0.15">
      <c r="D455" s="59"/>
    </row>
    <row r="456" spans="4:4" ht="12.75" customHeight="1" x14ac:dyDescent="0.15">
      <c r="D456" s="59"/>
    </row>
    <row r="457" spans="4:4" ht="12.75" customHeight="1" x14ac:dyDescent="0.15">
      <c r="D457" s="59"/>
    </row>
    <row r="458" spans="4:4" ht="12.75" customHeight="1" x14ac:dyDescent="0.15">
      <c r="D458" s="59"/>
    </row>
    <row r="459" spans="4:4" ht="12.75" customHeight="1" x14ac:dyDescent="0.15">
      <c r="D459" s="59"/>
    </row>
    <row r="460" spans="4:4" ht="12.75" customHeight="1" x14ac:dyDescent="0.15">
      <c r="D460" s="59"/>
    </row>
    <row r="461" spans="4:4" ht="12.75" customHeight="1" x14ac:dyDescent="0.15">
      <c r="D461" s="59"/>
    </row>
    <row r="462" spans="4:4" ht="12.75" customHeight="1" x14ac:dyDescent="0.15">
      <c r="D462" s="59"/>
    </row>
    <row r="463" spans="4:4" ht="12.75" customHeight="1" x14ac:dyDescent="0.15">
      <c r="D463" s="59"/>
    </row>
    <row r="464" spans="4:4" ht="12.75" customHeight="1" x14ac:dyDescent="0.15">
      <c r="D464" s="59"/>
    </row>
    <row r="465" spans="4:4" ht="12.75" customHeight="1" x14ac:dyDescent="0.15">
      <c r="D465" s="59"/>
    </row>
    <row r="466" spans="4:4" ht="12.75" customHeight="1" x14ac:dyDescent="0.15">
      <c r="D466" s="59"/>
    </row>
    <row r="467" spans="4:4" ht="12.75" customHeight="1" x14ac:dyDescent="0.15">
      <c r="D467" s="59"/>
    </row>
    <row r="468" spans="4:4" ht="12.75" customHeight="1" x14ac:dyDescent="0.15">
      <c r="D468" s="59"/>
    </row>
    <row r="469" spans="4:4" ht="12.75" customHeight="1" x14ac:dyDescent="0.15">
      <c r="D469" s="59"/>
    </row>
    <row r="470" spans="4:4" ht="12.75" customHeight="1" x14ac:dyDescent="0.15">
      <c r="D470" s="59"/>
    </row>
    <row r="471" spans="4:4" ht="12.75" customHeight="1" x14ac:dyDescent="0.15">
      <c r="D471" s="59"/>
    </row>
    <row r="472" spans="4:4" ht="12.75" customHeight="1" x14ac:dyDescent="0.15">
      <c r="D472" s="59"/>
    </row>
    <row r="473" spans="4:4" ht="12.75" customHeight="1" x14ac:dyDescent="0.15">
      <c r="D473" s="59"/>
    </row>
    <row r="474" spans="4:4" ht="12.75" customHeight="1" x14ac:dyDescent="0.15">
      <c r="D474" s="59"/>
    </row>
    <row r="475" spans="4:4" ht="12.75" customHeight="1" x14ac:dyDescent="0.15">
      <c r="D475" s="59"/>
    </row>
    <row r="476" spans="4:4" ht="12.75" customHeight="1" x14ac:dyDescent="0.15">
      <c r="D476" s="59"/>
    </row>
    <row r="477" spans="4:4" ht="12.75" customHeight="1" x14ac:dyDescent="0.15">
      <c r="D477" s="59"/>
    </row>
    <row r="478" spans="4:4" ht="12.75" customHeight="1" x14ac:dyDescent="0.15">
      <c r="D478" s="59"/>
    </row>
    <row r="479" spans="4:4" ht="12.75" customHeight="1" x14ac:dyDescent="0.15">
      <c r="D479" s="59"/>
    </row>
    <row r="480" spans="4:4" ht="12.75" customHeight="1" x14ac:dyDescent="0.15">
      <c r="D480" s="59"/>
    </row>
    <row r="481" spans="4:4" ht="12.75" customHeight="1" x14ac:dyDescent="0.15">
      <c r="D481" s="59"/>
    </row>
    <row r="482" spans="4:4" ht="12.75" customHeight="1" x14ac:dyDescent="0.15">
      <c r="D482" s="59"/>
    </row>
    <row r="483" spans="4:4" ht="12.75" customHeight="1" x14ac:dyDescent="0.15">
      <c r="D483" s="59"/>
    </row>
    <row r="484" spans="4:4" ht="12.75" customHeight="1" x14ac:dyDescent="0.15">
      <c r="D484" s="59"/>
    </row>
    <row r="485" spans="4:4" ht="12.75" customHeight="1" x14ac:dyDescent="0.15">
      <c r="D485" s="59"/>
    </row>
    <row r="486" spans="4:4" ht="12.75" customHeight="1" x14ac:dyDescent="0.15">
      <c r="D486" s="59"/>
    </row>
    <row r="487" spans="4:4" ht="12.75" customHeight="1" x14ac:dyDescent="0.15">
      <c r="D487" s="59"/>
    </row>
    <row r="488" spans="4:4" ht="12.75" customHeight="1" x14ac:dyDescent="0.15">
      <c r="D488" s="59"/>
    </row>
    <row r="489" spans="4:4" ht="12.75" customHeight="1" x14ac:dyDescent="0.15">
      <c r="D489" s="59"/>
    </row>
    <row r="490" spans="4:4" ht="12.75" customHeight="1" x14ac:dyDescent="0.15">
      <c r="D490" s="59"/>
    </row>
    <row r="491" spans="4:4" ht="12.75" customHeight="1" x14ac:dyDescent="0.15">
      <c r="D491" s="59"/>
    </row>
    <row r="492" spans="4:4" ht="12.75" customHeight="1" x14ac:dyDescent="0.15">
      <c r="D492" s="59"/>
    </row>
    <row r="493" spans="4:4" ht="12.75" customHeight="1" x14ac:dyDescent="0.15">
      <c r="D493" s="59"/>
    </row>
    <row r="494" spans="4:4" ht="12.75" customHeight="1" x14ac:dyDescent="0.15">
      <c r="D494" s="59"/>
    </row>
    <row r="495" spans="4:4" ht="12.75" customHeight="1" x14ac:dyDescent="0.15">
      <c r="D495" s="59"/>
    </row>
    <row r="496" spans="4:4" ht="12.75" customHeight="1" x14ac:dyDescent="0.15">
      <c r="D496" s="59"/>
    </row>
    <row r="497" spans="4:4" ht="12.75" customHeight="1" x14ac:dyDescent="0.15">
      <c r="D497" s="59"/>
    </row>
    <row r="498" spans="4:4" ht="12.75" customHeight="1" x14ac:dyDescent="0.15">
      <c r="D498" s="59"/>
    </row>
    <row r="499" spans="4:4" ht="12.75" customHeight="1" x14ac:dyDescent="0.15">
      <c r="D499" s="59"/>
    </row>
    <row r="500" spans="4:4" ht="12.75" customHeight="1" x14ac:dyDescent="0.15">
      <c r="D500" s="59"/>
    </row>
    <row r="501" spans="4:4" ht="12.75" customHeight="1" x14ac:dyDescent="0.15">
      <c r="D501" s="59"/>
    </row>
    <row r="502" spans="4:4" ht="12.75" customHeight="1" x14ac:dyDescent="0.15">
      <c r="D502" s="59"/>
    </row>
    <row r="503" spans="4:4" ht="12.75" customHeight="1" x14ac:dyDescent="0.15">
      <c r="D503" s="59"/>
    </row>
    <row r="504" spans="4:4" ht="12.75" customHeight="1" x14ac:dyDescent="0.15">
      <c r="D504" s="59"/>
    </row>
    <row r="505" spans="4:4" ht="12.75" customHeight="1" x14ac:dyDescent="0.15">
      <c r="D505" s="59"/>
    </row>
    <row r="506" spans="4:4" ht="12.75" customHeight="1" x14ac:dyDescent="0.15">
      <c r="D506" s="59"/>
    </row>
    <row r="507" spans="4:4" ht="12.75" customHeight="1" x14ac:dyDescent="0.15">
      <c r="D507" s="59"/>
    </row>
    <row r="508" spans="4:4" ht="12.75" customHeight="1" x14ac:dyDescent="0.15">
      <c r="D508" s="59"/>
    </row>
    <row r="509" spans="4:4" ht="12.75" customHeight="1" x14ac:dyDescent="0.15">
      <c r="D509" s="59"/>
    </row>
    <row r="510" spans="4:4" ht="12.75" customHeight="1" x14ac:dyDescent="0.15">
      <c r="D510" s="59"/>
    </row>
    <row r="511" spans="4:4" ht="12.75" customHeight="1" x14ac:dyDescent="0.15">
      <c r="D511" s="59"/>
    </row>
    <row r="512" spans="4:4" ht="12.75" customHeight="1" x14ac:dyDescent="0.15">
      <c r="D512" s="59"/>
    </row>
    <row r="513" spans="4:4" ht="12.75" customHeight="1" x14ac:dyDescent="0.15">
      <c r="D513" s="59"/>
    </row>
    <row r="514" spans="4:4" ht="12.75" customHeight="1" x14ac:dyDescent="0.15">
      <c r="D514" s="59"/>
    </row>
    <row r="515" spans="4:4" ht="12.75" customHeight="1" x14ac:dyDescent="0.15">
      <c r="D515" s="59"/>
    </row>
    <row r="516" spans="4:4" ht="12.75" customHeight="1" x14ac:dyDescent="0.15">
      <c r="D516" s="59"/>
    </row>
    <row r="517" spans="4:4" ht="12.75" customHeight="1" x14ac:dyDescent="0.15">
      <c r="D517" s="59"/>
    </row>
    <row r="518" spans="4:4" ht="12.75" customHeight="1" x14ac:dyDescent="0.15">
      <c r="D518" s="59"/>
    </row>
    <row r="519" spans="4:4" ht="12.75" customHeight="1" x14ac:dyDescent="0.15">
      <c r="D519" s="59"/>
    </row>
    <row r="520" spans="4:4" ht="12.75" customHeight="1" x14ac:dyDescent="0.15">
      <c r="D520" s="59"/>
    </row>
    <row r="521" spans="4:4" ht="12.75" customHeight="1" x14ac:dyDescent="0.15">
      <c r="D521" s="59"/>
    </row>
    <row r="522" spans="4:4" ht="12.75" customHeight="1" x14ac:dyDescent="0.15">
      <c r="D522" s="59"/>
    </row>
    <row r="523" spans="4:4" ht="12.75" customHeight="1" x14ac:dyDescent="0.15">
      <c r="D523" s="59"/>
    </row>
    <row r="524" spans="4:4" ht="12.75" customHeight="1" x14ac:dyDescent="0.15">
      <c r="D524" s="59"/>
    </row>
    <row r="525" spans="4:4" ht="12.75" customHeight="1" x14ac:dyDescent="0.15">
      <c r="D525" s="59"/>
    </row>
    <row r="526" spans="4:4" ht="12.75" customHeight="1" x14ac:dyDescent="0.15">
      <c r="D526" s="59"/>
    </row>
    <row r="527" spans="4:4" ht="12.75" customHeight="1" x14ac:dyDescent="0.15">
      <c r="D527" s="59"/>
    </row>
    <row r="528" spans="4:4" ht="12.75" customHeight="1" x14ac:dyDescent="0.15">
      <c r="D528" s="59"/>
    </row>
    <row r="529" spans="4:4" ht="12.75" customHeight="1" x14ac:dyDescent="0.15">
      <c r="D529" s="59"/>
    </row>
    <row r="530" spans="4:4" ht="12.75" customHeight="1" x14ac:dyDescent="0.15">
      <c r="D530" s="59"/>
    </row>
    <row r="531" spans="4:4" ht="12.75" customHeight="1" x14ac:dyDescent="0.15">
      <c r="D531" s="59"/>
    </row>
    <row r="532" spans="4:4" ht="12.75" customHeight="1" x14ac:dyDescent="0.15">
      <c r="D532" s="59"/>
    </row>
    <row r="533" spans="4:4" ht="12.75" customHeight="1" x14ac:dyDescent="0.15">
      <c r="D533" s="59"/>
    </row>
    <row r="534" spans="4:4" ht="12.75" customHeight="1" x14ac:dyDescent="0.15">
      <c r="D534" s="59"/>
    </row>
    <row r="535" spans="4:4" ht="12.75" customHeight="1" x14ac:dyDescent="0.15">
      <c r="D535" s="59"/>
    </row>
    <row r="536" spans="4:4" ht="12.75" customHeight="1" x14ac:dyDescent="0.15">
      <c r="D536" s="59"/>
    </row>
    <row r="537" spans="4:4" ht="12.75" customHeight="1" x14ac:dyDescent="0.15">
      <c r="D537" s="59"/>
    </row>
    <row r="538" spans="4:4" ht="12.75" customHeight="1" x14ac:dyDescent="0.15">
      <c r="D538" s="59"/>
    </row>
    <row r="539" spans="4:4" ht="12.75" customHeight="1" x14ac:dyDescent="0.15">
      <c r="D539" s="59"/>
    </row>
    <row r="540" spans="4:4" ht="12.75" customHeight="1" x14ac:dyDescent="0.15">
      <c r="D540" s="59"/>
    </row>
    <row r="541" spans="4:4" ht="12.75" customHeight="1" x14ac:dyDescent="0.15">
      <c r="D541" s="59"/>
    </row>
    <row r="542" spans="4:4" ht="12.75" customHeight="1" x14ac:dyDescent="0.15">
      <c r="D542" s="59"/>
    </row>
    <row r="543" spans="4:4" ht="12.75" customHeight="1" x14ac:dyDescent="0.15">
      <c r="D543" s="59"/>
    </row>
    <row r="544" spans="4:4" ht="12.75" customHeight="1" x14ac:dyDescent="0.15">
      <c r="D544" s="59"/>
    </row>
    <row r="545" spans="4:4" ht="12.75" customHeight="1" x14ac:dyDescent="0.15">
      <c r="D545" s="59"/>
    </row>
    <row r="546" spans="4:4" ht="12.75" customHeight="1" x14ac:dyDescent="0.15">
      <c r="D546" s="59"/>
    </row>
    <row r="547" spans="4:4" ht="12.75" customHeight="1" x14ac:dyDescent="0.15">
      <c r="D547" s="59"/>
    </row>
    <row r="548" spans="4:4" ht="12.75" customHeight="1" x14ac:dyDescent="0.15">
      <c r="D548" s="59"/>
    </row>
    <row r="549" spans="4:4" ht="12.75" customHeight="1" x14ac:dyDescent="0.15">
      <c r="D549" s="59"/>
    </row>
    <row r="550" spans="4:4" ht="12.75" customHeight="1" x14ac:dyDescent="0.15">
      <c r="D550" s="59"/>
    </row>
    <row r="551" spans="4:4" ht="12.75" customHeight="1" x14ac:dyDescent="0.15">
      <c r="D551" s="59"/>
    </row>
    <row r="552" spans="4:4" ht="12.75" customHeight="1" x14ac:dyDescent="0.15">
      <c r="D552" s="59"/>
    </row>
    <row r="553" spans="4:4" ht="12.75" customHeight="1" x14ac:dyDescent="0.15">
      <c r="D553" s="59"/>
    </row>
    <row r="554" spans="4:4" ht="12.75" customHeight="1" x14ac:dyDescent="0.15">
      <c r="D554" s="59"/>
    </row>
    <row r="555" spans="4:4" ht="12.75" customHeight="1" x14ac:dyDescent="0.15">
      <c r="D555" s="59"/>
    </row>
    <row r="556" spans="4:4" ht="12.75" customHeight="1" x14ac:dyDescent="0.15">
      <c r="D556" s="59"/>
    </row>
    <row r="557" spans="4:4" ht="12.75" customHeight="1" x14ac:dyDescent="0.15">
      <c r="D557" s="59"/>
    </row>
    <row r="558" spans="4:4" ht="12.75" customHeight="1" x14ac:dyDescent="0.15">
      <c r="D558" s="59"/>
    </row>
    <row r="559" spans="4:4" ht="12.75" customHeight="1" x14ac:dyDescent="0.15">
      <c r="D559" s="59"/>
    </row>
    <row r="560" spans="4:4" ht="12.75" customHeight="1" x14ac:dyDescent="0.15">
      <c r="D560" s="59"/>
    </row>
    <row r="561" spans="4:4" ht="12.75" customHeight="1" x14ac:dyDescent="0.15">
      <c r="D561" s="59"/>
    </row>
    <row r="562" spans="4:4" ht="12.75" customHeight="1" x14ac:dyDescent="0.15">
      <c r="D562" s="59"/>
    </row>
    <row r="563" spans="4:4" ht="12.75" customHeight="1" x14ac:dyDescent="0.15">
      <c r="D563" s="59"/>
    </row>
    <row r="564" spans="4:4" ht="12.75" customHeight="1" x14ac:dyDescent="0.15">
      <c r="D564" s="59"/>
    </row>
    <row r="565" spans="4:4" ht="12.75" customHeight="1" x14ac:dyDescent="0.15">
      <c r="D565" s="59"/>
    </row>
    <row r="566" spans="4:4" ht="12.75" customHeight="1" x14ac:dyDescent="0.15">
      <c r="D566" s="59"/>
    </row>
    <row r="567" spans="4:4" ht="12.75" customHeight="1" x14ac:dyDescent="0.15">
      <c r="D567" s="59"/>
    </row>
    <row r="568" spans="4:4" ht="12.75" customHeight="1" x14ac:dyDescent="0.15">
      <c r="D568" s="59"/>
    </row>
    <row r="569" spans="4:4" ht="12.75" customHeight="1" x14ac:dyDescent="0.15">
      <c r="D569" s="59"/>
    </row>
    <row r="570" spans="4:4" ht="12.75" customHeight="1" x14ac:dyDescent="0.15">
      <c r="D570" s="59"/>
    </row>
    <row r="571" spans="4:4" ht="12.75" customHeight="1" x14ac:dyDescent="0.15">
      <c r="D571" s="59"/>
    </row>
    <row r="572" spans="4:4" ht="12.75" customHeight="1" x14ac:dyDescent="0.15">
      <c r="D572" s="59"/>
    </row>
    <row r="573" spans="4:4" ht="12.75" customHeight="1" x14ac:dyDescent="0.15">
      <c r="D573" s="59"/>
    </row>
    <row r="574" spans="4:4" ht="12.75" customHeight="1" x14ac:dyDescent="0.15">
      <c r="D574" s="59"/>
    </row>
    <row r="575" spans="4:4" ht="12.75" customHeight="1" x14ac:dyDescent="0.15">
      <c r="D575" s="59"/>
    </row>
    <row r="576" spans="4:4" ht="12.75" customHeight="1" x14ac:dyDescent="0.15">
      <c r="D576" s="59"/>
    </row>
    <row r="577" spans="4:4" ht="12.75" customHeight="1" x14ac:dyDescent="0.15">
      <c r="D577" s="59"/>
    </row>
    <row r="578" spans="4:4" ht="12.75" customHeight="1" x14ac:dyDescent="0.15">
      <c r="D578" s="59"/>
    </row>
    <row r="579" spans="4:4" ht="12.75" customHeight="1" x14ac:dyDescent="0.15">
      <c r="D579" s="59"/>
    </row>
    <row r="580" spans="4:4" ht="12.75" customHeight="1" x14ac:dyDescent="0.15">
      <c r="D580" s="59"/>
    </row>
    <row r="581" spans="4:4" ht="12.75" customHeight="1" x14ac:dyDescent="0.15">
      <c r="D581" s="59"/>
    </row>
    <row r="582" spans="4:4" ht="12.75" customHeight="1" x14ac:dyDescent="0.15">
      <c r="D582" s="59"/>
    </row>
    <row r="583" spans="4:4" ht="12.75" customHeight="1" x14ac:dyDescent="0.15">
      <c r="D583" s="59"/>
    </row>
    <row r="584" spans="4:4" ht="12.75" customHeight="1" x14ac:dyDescent="0.15">
      <c r="D584" s="59"/>
    </row>
    <row r="585" spans="4:4" ht="12.75" customHeight="1" x14ac:dyDescent="0.15">
      <c r="D585" s="59"/>
    </row>
    <row r="586" spans="4:4" ht="12.75" customHeight="1" x14ac:dyDescent="0.15">
      <c r="D586" s="59"/>
    </row>
    <row r="587" spans="4:4" ht="12.75" customHeight="1" x14ac:dyDescent="0.15">
      <c r="D587" s="59"/>
    </row>
    <row r="588" spans="4:4" ht="12.75" customHeight="1" x14ac:dyDescent="0.15">
      <c r="D588" s="59"/>
    </row>
    <row r="589" spans="4:4" ht="12.75" customHeight="1" x14ac:dyDescent="0.15">
      <c r="D589" s="59"/>
    </row>
    <row r="590" spans="4:4" ht="12.75" customHeight="1" x14ac:dyDescent="0.15">
      <c r="D590" s="59"/>
    </row>
    <row r="591" spans="4:4" ht="12.75" customHeight="1" x14ac:dyDescent="0.15">
      <c r="D591" s="59"/>
    </row>
    <row r="592" spans="4:4" ht="12.75" customHeight="1" x14ac:dyDescent="0.15">
      <c r="D592" s="59"/>
    </row>
    <row r="593" spans="4:4" ht="12.75" customHeight="1" x14ac:dyDescent="0.15">
      <c r="D593" s="59"/>
    </row>
    <row r="594" spans="4:4" ht="12.75" customHeight="1" x14ac:dyDescent="0.15">
      <c r="D594" s="59"/>
    </row>
    <row r="595" spans="4:4" ht="12.75" customHeight="1" x14ac:dyDescent="0.15">
      <c r="D595" s="59"/>
    </row>
    <row r="596" spans="4:4" ht="12.75" customHeight="1" x14ac:dyDescent="0.15">
      <c r="D596" s="59"/>
    </row>
    <row r="597" spans="4:4" ht="12.75" customHeight="1" x14ac:dyDescent="0.15">
      <c r="D597" s="59"/>
    </row>
    <row r="598" spans="4:4" ht="12.75" customHeight="1" x14ac:dyDescent="0.15">
      <c r="D598" s="59"/>
    </row>
    <row r="599" spans="4:4" ht="12.75" customHeight="1" x14ac:dyDescent="0.15">
      <c r="D599" s="59"/>
    </row>
    <row r="600" spans="4:4" ht="12.75" customHeight="1" x14ac:dyDescent="0.15">
      <c r="D600" s="59"/>
    </row>
    <row r="601" spans="4:4" ht="12.75" customHeight="1" x14ac:dyDescent="0.15">
      <c r="D601" s="59"/>
    </row>
    <row r="602" spans="4:4" ht="12.75" customHeight="1" x14ac:dyDescent="0.15">
      <c r="D602" s="59"/>
    </row>
    <row r="603" spans="4:4" ht="12.75" customHeight="1" x14ac:dyDescent="0.15">
      <c r="D603" s="59"/>
    </row>
    <row r="604" spans="4:4" ht="12.75" customHeight="1" x14ac:dyDescent="0.15">
      <c r="D604" s="59"/>
    </row>
    <row r="605" spans="4:4" ht="12.75" customHeight="1" x14ac:dyDescent="0.15">
      <c r="D605" s="59"/>
    </row>
    <row r="606" spans="4:4" ht="12.75" customHeight="1" x14ac:dyDescent="0.15">
      <c r="D606" s="59"/>
    </row>
    <row r="607" spans="4:4" ht="12.75" customHeight="1" x14ac:dyDescent="0.15">
      <c r="D607" s="59"/>
    </row>
    <row r="608" spans="4:4" ht="12.75" customHeight="1" x14ac:dyDescent="0.15">
      <c r="D608" s="59"/>
    </row>
    <row r="609" spans="4:4" ht="12.75" customHeight="1" x14ac:dyDescent="0.15">
      <c r="D609" s="59"/>
    </row>
    <row r="610" spans="4:4" ht="12.75" customHeight="1" x14ac:dyDescent="0.15">
      <c r="D610" s="59"/>
    </row>
    <row r="611" spans="4:4" ht="12.75" customHeight="1" x14ac:dyDescent="0.15">
      <c r="D611" s="59"/>
    </row>
    <row r="612" spans="4:4" ht="12.75" customHeight="1" x14ac:dyDescent="0.15">
      <c r="D612" s="59"/>
    </row>
    <row r="613" spans="4:4" ht="12.75" customHeight="1" x14ac:dyDescent="0.15">
      <c r="D613" s="59"/>
    </row>
    <row r="614" spans="4:4" ht="12.75" customHeight="1" x14ac:dyDescent="0.15">
      <c r="D614" s="59"/>
    </row>
    <row r="615" spans="4:4" ht="12.75" customHeight="1" x14ac:dyDescent="0.15">
      <c r="D615" s="59"/>
    </row>
    <row r="616" spans="4:4" ht="12.75" customHeight="1" x14ac:dyDescent="0.15">
      <c r="D616" s="59"/>
    </row>
    <row r="617" spans="4:4" ht="12.75" customHeight="1" x14ac:dyDescent="0.15">
      <c r="D617" s="59"/>
    </row>
    <row r="618" spans="4:4" ht="12.75" customHeight="1" x14ac:dyDescent="0.15">
      <c r="D618" s="59"/>
    </row>
    <row r="619" spans="4:4" ht="12.75" customHeight="1" x14ac:dyDescent="0.15">
      <c r="D619" s="59"/>
    </row>
    <row r="620" spans="4:4" ht="12.75" customHeight="1" x14ac:dyDescent="0.15">
      <c r="D620" s="59"/>
    </row>
    <row r="621" spans="4:4" ht="12.75" customHeight="1" x14ac:dyDescent="0.15">
      <c r="D621" s="59"/>
    </row>
    <row r="622" spans="4:4" ht="12.75" customHeight="1" x14ac:dyDescent="0.15">
      <c r="D622" s="59"/>
    </row>
    <row r="623" spans="4:4" ht="12.75" customHeight="1" x14ac:dyDescent="0.15">
      <c r="D623" s="59"/>
    </row>
    <row r="624" spans="4:4" ht="12.75" customHeight="1" x14ac:dyDescent="0.15">
      <c r="D624" s="59"/>
    </row>
    <row r="625" spans="4:4" ht="12.75" customHeight="1" x14ac:dyDescent="0.15">
      <c r="D625" s="59"/>
    </row>
    <row r="626" spans="4:4" ht="12.75" customHeight="1" x14ac:dyDescent="0.15">
      <c r="D626" s="59"/>
    </row>
    <row r="627" spans="4:4" ht="12.75" customHeight="1" x14ac:dyDescent="0.15">
      <c r="D627" s="59"/>
    </row>
    <row r="628" spans="4:4" ht="12.75" customHeight="1" x14ac:dyDescent="0.15">
      <c r="D628" s="59"/>
    </row>
    <row r="629" spans="4:4" ht="12.75" customHeight="1" x14ac:dyDescent="0.15">
      <c r="D629" s="59"/>
    </row>
    <row r="630" spans="4:4" ht="12.75" customHeight="1" x14ac:dyDescent="0.15">
      <c r="D630" s="59"/>
    </row>
    <row r="631" spans="4:4" ht="12.75" customHeight="1" x14ac:dyDescent="0.15">
      <c r="D631" s="59"/>
    </row>
    <row r="632" spans="4:4" ht="12.75" customHeight="1" x14ac:dyDescent="0.15">
      <c r="D632" s="59"/>
    </row>
    <row r="633" spans="4:4" ht="12.75" customHeight="1" x14ac:dyDescent="0.15">
      <c r="D633" s="59"/>
    </row>
    <row r="634" spans="4:4" ht="12.75" customHeight="1" x14ac:dyDescent="0.15">
      <c r="D634" s="59"/>
    </row>
    <row r="635" spans="4:4" ht="12.75" customHeight="1" x14ac:dyDescent="0.15">
      <c r="D635" s="59"/>
    </row>
    <row r="636" spans="4:4" ht="12.75" customHeight="1" x14ac:dyDescent="0.15">
      <c r="D636" s="59"/>
    </row>
    <row r="637" spans="4:4" ht="12.75" customHeight="1" x14ac:dyDescent="0.15">
      <c r="D637" s="59"/>
    </row>
    <row r="638" spans="4:4" ht="12.75" customHeight="1" x14ac:dyDescent="0.15">
      <c r="D638" s="59"/>
    </row>
    <row r="639" spans="4:4" ht="12.75" customHeight="1" x14ac:dyDescent="0.15">
      <c r="D639" s="59"/>
    </row>
    <row r="640" spans="4:4" ht="12.75" customHeight="1" x14ac:dyDescent="0.15">
      <c r="D640" s="59"/>
    </row>
    <row r="641" spans="4:4" ht="12.75" customHeight="1" x14ac:dyDescent="0.15">
      <c r="D641" s="59"/>
    </row>
    <row r="642" spans="4:4" ht="12.75" customHeight="1" x14ac:dyDescent="0.15">
      <c r="D642" s="59"/>
    </row>
    <row r="643" spans="4:4" ht="12.75" customHeight="1" x14ac:dyDescent="0.15">
      <c r="D643" s="59"/>
    </row>
    <row r="644" spans="4:4" ht="12.75" customHeight="1" x14ac:dyDescent="0.15">
      <c r="D644" s="59"/>
    </row>
    <row r="645" spans="4:4" ht="12.75" customHeight="1" x14ac:dyDescent="0.15">
      <c r="D645" s="59"/>
    </row>
    <row r="646" spans="4:4" ht="12.75" customHeight="1" x14ac:dyDescent="0.15">
      <c r="D646" s="59"/>
    </row>
    <row r="647" spans="4:4" ht="12.75" customHeight="1" x14ac:dyDescent="0.15">
      <c r="D647" s="59"/>
    </row>
    <row r="648" spans="4:4" ht="12.75" customHeight="1" x14ac:dyDescent="0.15">
      <c r="D648" s="59"/>
    </row>
    <row r="649" spans="4:4" ht="12.75" customHeight="1" x14ac:dyDescent="0.15">
      <c r="D649" s="59"/>
    </row>
    <row r="650" spans="4:4" ht="12.75" customHeight="1" x14ac:dyDescent="0.15">
      <c r="D650" s="59"/>
    </row>
    <row r="651" spans="4:4" ht="12.75" customHeight="1" x14ac:dyDescent="0.15">
      <c r="D651" s="59"/>
    </row>
    <row r="652" spans="4:4" ht="12.75" customHeight="1" x14ac:dyDescent="0.15">
      <c r="D652" s="59"/>
    </row>
    <row r="653" spans="4:4" ht="12.75" customHeight="1" x14ac:dyDescent="0.15">
      <c r="D653" s="59"/>
    </row>
    <row r="654" spans="4:4" ht="12.75" customHeight="1" x14ac:dyDescent="0.15">
      <c r="D654" s="59"/>
    </row>
    <row r="655" spans="4:4" ht="12.75" customHeight="1" x14ac:dyDescent="0.15">
      <c r="D655" s="59"/>
    </row>
    <row r="656" spans="4:4" ht="12.75" customHeight="1" x14ac:dyDescent="0.15">
      <c r="D656" s="59"/>
    </row>
    <row r="657" spans="4:4" ht="12.75" customHeight="1" x14ac:dyDescent="0.15">
      <c r="D657" s="59"/>
    </row>
    <row r="658" spans="4:4" ht="12.75" customHeight="1" x14ac:dyDescent="0.15">
      <c r="D658" s="59"/>
    </row>
    <row r="659" spans="4:4" ht="12.75" customHeight="1" x14ac:dyDescent="0.15">
      <c r="D659" s="59"/>
    </row>
    <row r="660" spans="4:4" ht="12.75" customHeight="1" x14ac:dyDescent="0.15">
      <c r="D660" s="59"/>
    </row>
    <row r="661" spans="4:4" ht="12.75" customHeight="1" x14ac:dyDescent="0.15">
      <c r="D661" s="59"/>
    </row>
    <row r="662" spans="4:4" ht="12.75" customHeight="1" x14ac:dyDescent="0.15">
      <c r="D662" s="59"/>
    </row>
    <row r="663" spans="4:4" ht="12.75" customHeight="1" x14ac:dyDescent="0.15">
      <c r="D663" s="59"/>
    </row>
    <row r="664" spans="4:4" ht="12.75" customHeight="1" x14ac:dyDescent="0.15">
      <c r="D664" s="59"/>
    </row>
    <row r="665" spans="4:4" ht="12.75" customHeight="1" x14ac:dyDescent="0.15">
      <c r="D665" s="59"/>
    </row>
    <row r="666" spans="4:4" ht="12.75" customHeight="1" x14ac:dyDescent="0.15">
      <c r="D666" s="59"/>
    </row>
    <row r="667" spans="4:4" ht="12.75" customHeight="1" x14ac:dyDescent="0.15">
      <c r="D667" s="59"/>
    </row>
    <row r="668" spans="4:4" ht="12.75" customHeight="1" x14ac:dyDescent="0.15">
      <c r="D668" s="59"/>
    </row>
    <row r="669" spans="4:4" ht="12.75" customHeight="1" x14ac:dyDescent="0.15">
      <c r="D669" s="59"/>
    </row>
    <row r="670" spans="4:4" ht="12.75" customHeight="1" x14ac:dyDescent="0.15">
      <c r="D670" s="59"/>
    </row>
    <row r="671" spans="4:4" ht="12.75" customHeight="1" x14ac:dyDescent="0.15">
      <c r="D671" s="59"/>
    </row>
    <row r="672" spans="4:4" ht="12.75" customHeight="1" x14ac:dyDescent="0.15">
      <c r="D672" s="59"/>
    </row>
    <row r="673" spans="4:4" ht="12.75" customHeight="1" x14ac:dyDescent="0.15">
      <c r="D673" s="59"/>
    </row>
    <row r="674" spans="4:4" ht="12.75" customHeight="1" x14ac:dyDescent="0.15">
      <c r="D674" s="59"/>
    </row>
    <row r="675" spans="4:4" ht="12.75" customHeight="1" x14ac:dyDescent="0.15">
      <c r="D675" s="59"/>
    </row>
    <row r="676" spans="4:4" ht="12.75" customHeight="1" x14ac:dyDescent="0.15">
      <c r="D676" s="59"/>
    </row>
    <row r="677" spans="4:4" ht="12.75" customHeight="1" x14ac:dyDescent="0.15">
      <c r="D677" s="59"/>
    </row>
    <row r="678" spans="4:4" ht="12.75" customHeight="1" x14ac:dyDescent="0.15">
      <c r="D678" s="59"/>
    </row>
    <row r="679" spans="4:4" ht="12.75" customHeight="1" x14ac:dyDescent="0.15">
      <c r="D679" s="59"/>
    </row>
    <row r="680" spans="4:4" ht="12.75" customHeight="1" x14ac:dyDescent="0.15">
      <c r="D680" s="59"/>
    </row>
    <row r="681" spans="4:4" ht="12.75" customHeight="1" x14ac:dyDescent="0.15">
      <c r="D681" s="59"/>
    </row>
    <row r="682" spans="4:4" ht="12.75" customHeight="1" x14ac:dyDescent="0.15">
      <c r="D682" s="59"/>
    </row>
    <row r="683" spans="4:4" ht="12.75" customHeight="1" x14ac:dyDescent="0.15">
      <c r="D683" s="59"/>
    </row>
    <row r="684" spans="4:4" ht="12.75" customHeight="1" x14ac:dyDescent="0.15">
      <c r="D684" s="59"/>
    </row>
    <row r="685" spans="4:4" ht="12.75" customHeight="1" x14ac:dyDescent="0.15">
      <c r="D685" s="59"/>
    </row>
    <row r="686" spans="4:4" ht="12.75" customHeight="1" x14ac:dyDescent="0.15">
      <c r="D686" s="59"/>
    </row>
    <row r="687" spans="4:4" ht="12.75" customHeight="1" x14ac:dyDescent="0.15">
      <c r="D687" s="59"/>
    </row>
    <row r="688" spans="4:4" ht="12.75" customHeight="1" x14ac:dyDescent="0.15">
      <c r="D688" s="59"/>
    </row>
    <row r="689" spans="4:4" ht="12.75" customHeight="1" x14ac:dyDescent="0.15">
      <c r="D689" s="59"/>
    </row>
    <row r="690" spans="4:4" ht="12.75" customHeight="1" x14ac:dyDescent="0.15">
      <c r="D690" s="59"/>
    </row>
    <row r="691" spans="4:4" ht="12.75" customHeight="1" x14ac:dyDescent="0.15">
      <c r="D691" s="59"/>
    </row>
    <row r="692" spans="4:4" ht="12.75" customHeight="1" x14ac:dyDescent="0.15">
      <c r="D692" s="59"/>
    </row>
    <row r="693" spans="4:4" ht="12.75" customHeight="1" x14ac:dyDescent="0.15">
      <c r="D693" s="59"/>
    </row>
    <row r="694" spans="4:4" ht="12.75" customHeight="1" x14ac:dyDescent="0.15">
      <c r="D694" s="59"/>
    </row>
    <row r="695" spans="4:4" ht="12.75" customHeight="1" x14ac:dyDescent="0.15">
      <c r="D695" s="59"/>
    </row>
    <row r="696" spans="4:4" ht="12.75" customHeight="1" x14ac:dyDescent="0.15">
      <c r="D696" s="59"/>
    </row>
    <row r="697" spans="4:4" ht="12.75" customHeight="1" x14ac:dyDescent="0.15">
      <c r="D697" s="59"/>
    </row>
    <row r="698" spans="4:4" ht="12.75" customHeight="1" x14ac:dyDescent="0.15">
      <c r="D698" s="59"/>
    </row>
    <row r="699" spans="4:4" ht="12.75" customHeight="1" x14ac:dyDescent="0.15">
      <c r="D699" s="59"/>
    </row>
    <row r="700" spans="4:4" ht="12.75" customHeight="1" x14ac:dyDescent="0.15">
      <c r="D700" s="59"/>
    </row>
    <row r="701" spans="4:4" ht="12.75" customHeight="1" x14ac:dyDescent="0.15">
      <c r="D701" s="59"/>
    </row>
    <row r="702" spans="4:4" ht="12.75" customHeight="1" x14ac:dyDescent="0.15">
      <c r="D702" s="59"/>
    </row>
    <row r="703" spans="4:4" ht="12.75" customHeight="1" x14ac:dyDescent="0.15">
      <c r="D703" s="59"/>
    </row>
    <row r="704" spans="4:4" ht="12.75" customHeight="1" x14ac:dyDescent="0.15">
      <c r="D704" s="59"/>
    </row>
    <row r="705" spans="4:4" ht="12.75" customHeight="1" x14ac:dyDescent="0.15">
      <c r="D705" s="59"/>
    </row>
    <row r="706" spans="4:4" ht="12.75" customHeight="1" x14ac:dyDescent="0.15">
      <c r="D706" s="59"/>
    </row>
    <row r="707" spans="4:4" ht="12.75" customHeight="1" x14ac:dyDescent="0.15">
      <c r="D707" s="59"/>
    </row>
    <row r="708" spans="4:4" ht="12.75" customHeight="1" x14ac:dyDescent="0.15">
      <c r="D708" s="59"/>
    </row>
    <row r="709" spans="4:4" ht="12.75" customHeight="1" x14ac:dyDescent="0.15">
      <c r="D709" s="59"/>
    </row>
    <row r="710" spans="4:4" ht="12.75" customHeight="1" x14ac:dyDescent="0.15">
      <c r="D710" s="59"/>
    </row>
    <row r="711" spans="4:4" ht="12.75" customHeight="1" x14ac:dyDescent="0.15">
      <c r="D711" s="59"/>
    </row>
    <row r="712" spans="4:4" ht="12.75" customHeight="1" x14ac:dyDescent="0.15">
      <c r="D712" s="59"/>
    </row>
    <row r="713" spans="4:4" ht="12.75" customHeight="1" x14ac:dyDescent="0.15">
      <c r="D713" s="59"/>
    </row>
    <row r="714" spans="4:4" ht="12.75" customHeight="1" x14ac:dyDescent="0.15">
      <c r="D714" s="59"/>
    </row>
    <row r="715" spans="4:4" ht="12.75" customHeight="1" x14ac:dyDescent="0.15">
      <c r="D715" s="59"/>
    </row>
    <row r="716" spans="4:4" ht="12.75" customHeight="1" x14ac:dyDescent="0.15">
      <c r="D716" s="59"/>
    </row>
    <row r="717" spans="4:4" ht="12.75" customHeight="1" x14ac:dyDescent="0.15">
      <c r="D717" s="59"/>
    </row>
    <row r="718" spans="4:4" ht="12.75" customHeight="1" x14ac:dyDescent="0.15">
      <c r="D718" s="59"/>
    </row>
    <row r="719" spans="4:4" ht="12.75" customHeight="1" x14ac:dyDescent="0.15">
      <c r="D719" s="59"/>
    </row>
    <row r="720" spans="4:4" ht="12.75" customHeight="1" x14ac:dyDescent="0.15">
      <c r="D720" s="59"/>
    </row>
    <row r="721" spans="4:4" ht="12.75" customHeight="1" x14ac:dyDescent="0.15">
      <c r="D721" s="59"/>
    </row>
    <row r="722" spans="4:4" ht="12.75" customHeight="1" x14ac:dyDescent="0.15">
      <c r="D722" s="59"/>
    </row>
    <row r="723" spans="4:4" ht="12.75" customHeight="1" x14ac:dyDescent="0.15">
      <c r="D723" s="59"/>
    </row>
    <row r="724" spans="4:4" ht="12.75" customHeight="1" x14ac:dyDescent="0.15">
      <c r="D724" s="59"/>
    </row>
    <row r="725" spans="4:4" ht="12.75" customHeight="1" x14ac:dyDescent="0.15">
      <c r="D725" s="59"/>
    </row>
    <row r="726" spans="4:4" ht="12.75" customHeight="1" x14ac:dyDescent="0.15">
      <c r="D726" s="59"/>
    </row>
    <row r="727" spans="4:4" ht="12.75" customHeight="1" x14ac:dyDescent="0.15">
      <c r="D727" s="59"/>
    </row>
    <row r="728" spans="4:4" ht="12.75" customHeight="1" x14ac:dyDescent="0.15">
      <c r="D728" s="59"/>
    </row>
    <row r="729" spans="4:4" ht="12.75" customHeight="1" x14ac:dyDescent="0.15">
      <c r="D729" s="59"/>
    </row>
    <row r="730" spans="4:4" ht="12.75" customHeight="1" x14ac:dyDescent="0.15">
      <c r="D730" s="59"/>
    </row>
    <row r="731" spans="4:4" ht="12.75" customHeight="1" x14ac:dyDescent="0.15">
      <c r="D731" s="59"/>
    </row>
    <row r="732" spans="4:4" ht="12.75" customHeight="1" x14ac:dyDescent="0.15">
      <c r="D732" s="59"/>
    </row>
    <row r="733" spans="4:4" ht="12.75" customHeight="1" x14ac:dyDescent="0.15">
      <c r="D733" s="59"/>
    </row>
    <row r="734" spans="4:4" ht="12.75" customHeight="1" x14ac:dyDescent="0.15">
      <c r="D734" s="59"/>
    </row>
    <row r="735" spans="4:4" ht="12.75" customHeight="1" x14ac:dyDescent="0.15">
      <c r="D735" s="59"/>
    </row>
    <row r="736" spans="4:4" ht="12.75" customHeight="1" x14ac:dyDescent="0.15">
      <c r="D736" s="59"/>
    </row>
    <row r="737" spans="4:4" ht="12.75" customHeight="1" x14ac:dyDescent="0.15">
      <c r="D737" s="59"/>
    </row>
    <row r="738" spans="4:4" ht="12.75" customHeight="1" x14ac:dyDescent="0.15">
      <c r="D738" s="59"/>
    </row>
    <row r="739" spans="4:4" ht="12.75" customHeight="1" x14ac:dyDescent="0.15">
      <c r="D739" s="59"/>
    </row>
    <row r="740" spans="4:4" ht="12.75" customHeight="1" x14ac:dyDescent="0.15">
      <c r="D740" s="59"/>
    </row>
    <row r="741" spans="4:4" ht="12.75" customHeight="1" x14ac:dyDescent="0.15">
      <c r="D741" s="59"/>
    </row>
    <row r="742" spans="4:4" ht="12.75" customHeight="1" x14ac:dyDescent="0.15">
      <c r="D742" s="59"/>
    </row>
    <row r="743" spans="4:4" ht="12.75" customHeight="1" x14ac:dyDescent="0.15">
      <c r="D743" s="59"/>
    </row>
    <row r="744" spans="4:4" ht="12.75" customHeight="1" x14ac:dyDescent="0.15">
      <c r="D744" s="59"/>
    </row>
    <row r="745" spans="4:4" ht="12.75" customHeight="1" x14ac:dyDescent="0.15">
      <c r="D745" s="59"/>
    </row>
    <row r="746" spans="4:4" ht="12.75" customHeight="1" x14ac:dyDescent="0.15">
      <c r="D746" s="59"/>
    </row>
    <row r="747" spans="4:4" ht="12.75" customHeight="1" x14ac:dyDescent="0.15">
      <c r="D747" s="59"/>
    </row>
    <row r="748" spans="4:4" ht="12.75" customHeight="1" x14ac:dyDescent="0.15">
      <c r="D748" s="59"/>
    </row>
    <row r="749" spans="4:4" ht="12.75" customHeight="1" x14ac:dyDescent="0.15">
      <c r="D749" s="59"/>
    </row>
    <row r="750" spans="4:4" ht="12.75" customHeight="1" x14ac:dyDescent="0.15">
      <c r="D750" s="59"/>
    </row>
    <row r="751" spans="4:4" ht="12.75" customHeight="1" x14ac:dyDescent="0.15">
      <c r="D751" s="59"/>
    </row>
    <row r="752" spans="4:4" ht="12.75" customHeight="1" x14ac:dyDescent="0.15">
      <c r="D752" s="59"/>
    </row>
    <row r="753" spans="4:4" ht="12.75" customHeight="1" x14ac:dyDescent="0.15">
      <c r="D753" s="59"/>
    </row>
    <row r="754" spans="4:4" ht="12.75" customHeight="1" x14ac:dyDescent="0.15">
      <c r="D754" s="59"/>
    </row>
    <row r="755" spans="4:4" ht="12.75" customHeight="1" x14ac:dyDescent="0.15">
      <c r="D755" s="59"/>
    </row>
    <row r="756" spans="4:4" ht="12.75" customHeight="1" x14ac:dyDescent="0.15">
      <c r="D756" s="59"/>
    </row>
    <row r="757" spans="4:4" ht="12.75" customHeight="1" x14ac:dyDescent="0.15">
      <c r="D757" s="59"/>
    </row>
    <row r="758" spans="4:4" ht="12.75" customHeight="1" x14ac:dyDescent="0.15">
      <c r="D758" s="59"/>
    </row>
    <row r="759" spans="4:4" ht="12.75" customHeight="1" x14ac:dyDescent="0.15">
      <c r="D759" s="59"/>
    </row>
    <row r="760" spans="4:4" ht="12.75" customHeight="1" x14ac:dyDescent="0.15">
      <c r="D760" s="59"/>
    </row>
    <row r="761" spans="4:4" ht="12.75" customHeight="1" x14ac:dyDescent="0.15">
      <c r="D761" s="59"/>
    </row>
    <row r="762" spans="4:4" ht="12.75" customHeight="1" x14ac:dyDescent="0.15">
      <c r="D762" s="59"/>
    </row>
    <row r="763" spans="4:4" ht="12.75" customHeight="1" x14ac:dyDescent="0.15">
      <c r="D763" s="59"/>
    </row>
    <row r="764" spans="4:4" ht="12.75" customHeight="1" x14ac:dyDescent="0.15">
      <c r="D764" s="59"/>
    </row>
    <row r="765" spans="4:4" ht="12.75" customHeight="1" x14ac:dyDescent="0.15">
      <c r="D765" s="59"/>
    </row>
    <row r="766" spans="4:4" ht="12.75" customHeight="1" x14ac:dyDescent="0.15">
      <c r="D766" s="59"/>
    </row>
    <row r="767" spans="4:4" ht="12.75" customHeight="1" x14ac:dyDescent="0.15">
      <c r="D767" s="59"/>
    </row>
    <row r="768" spans="4:4" ht="12.75" customHeight="1" x14ac:dyDescent="0.15">
      <c r="D768" s="59"/>
    </row>
    <row r="769" spans="4:4" ht="12.75" customHeight="1" x14ac:dyDescent="0.15">
      <c r="D769" s="59"/>
    </row>
    <row r="770" spans="4:4" ht="12.75" customHeight="1" x14ac:dyDescent="0.15">
      <c r="D770" s="59"/>
    </row>
    <row r="771" spans="4:4" ht="12.75" customHeight="1" x14ac:dyDescent="0.15">
      <c r="D771" s="59"/>
    </row>
    <row r="772" spans="4:4" ht="12.75" customHeight="1" x14ac:dyDescent="0.15">
      <c r="D772" s="59"/>
    </row>
    <row r="773" spans="4:4" ht="12.75" customHeight="1" x14ac:dyDescent="0.15">
      <c r="D773" s="59"/>
    </row>
    <row r="774" spans="4:4" ht="12.75" customHeight="1" x14ac:dyDescent="0.15">
      <c r="D774" s="59"/>
    </row>
    <row r="775" spans="4:4" ht="12.75" customHeight="1" x14ac:dyDescent="0.15">
      <c r="D775" s="59"/>
    </row>
    <row r="776" spans="4:4" ht="12.75" customHeight="1" x14ac:dyDescent="0.15">
      <c r="D776" s="59"/>
    </row>
    <row r="777" spans="4:4" ht="12.75" customHeight="1" x14ac:dyDescent="0.15">
      <c r="D777" s="59"/>
    </row>
    <row r="778" spans="4:4" ht="12.75" customHeight="1" x14ac:dyDescent="0.15">
      <c r="D778" s="59"/>
    </row>
    <row r="779" spans="4:4" ht="12.75" customHeight="1" x14ac:dyDescent="0.15">
      <c r="D779" s="59"/>
    </row>
    <row r="780" spans="4:4" ht="12.75" customHeight="1" x14ac:dyDescent="0.15">
      <c r="D780" s="59"/>
    </row>
    <row r="781" spans="4:4" ht="12.75" customHeight="1" x14ac:dyDescent="0.15">
      <c r="D781" s="59"/>
    </row>
    <row r="782" spans="4:4" ht="12.75" customHeight="1" x14ac:dyDescent="0.15">
      <c r="D782" s="59"/>
    </row>
    <row r="783" spans="4:4" ht="12.75" customHeight="1" x14ac:dyDescent="0.15">
      <c r="D783" s="59"/>
    </row>
    <row r="784" spans="4:4" ht="12.75" customHeight="1" x14ac:dyDescent="0.15">
      <c r="D784" s="59"/>
    </row>
    <row r="785" spans="4:4" ht="12.75" customHeight="1" x14ac:dyDescent="0.15">
      <c r="D785" s="59"/>
    </row>
    <row r="786" spans="4:4" ht="12.75" customHeight="1" x14ac:dyDescent="0.15">
      <c r="D786" s="59"/>
    </row>
    <row r="787" spans="4:4" ht="12.75" customHeight="1" x14ac:dyDescent="0.15">
      <c r="D787" s="59"/>
    </row>
    <row r="788" spans="4:4" ht="12.75" customHeight="1" x14ac:dyDescent="0.15">
      <c r="D788" s="59"/>
    </row>
    <row r="789" spans="4:4" ht="12.75" customHeight="1" x14ac:dyDescent="0.15">
      <c r="D789" s="59"/>
    </row>
    <row r="790" spans="4:4" ht="12.75" customHeight="1" x14ac:dyDescent="0.15">
      <c r="D790" s="59"/>
    </row>
    <row r="791" spans="4:4" ht="12.75" customHeight="1" x14ac:dyDescent="0.15">
      <c r="D791" s="59"/>
    </row>
    <row r="792" spans="4:4" ht="12.75" customHeight="1" x14ac:dyDescent="0.15">
      <c r="D792" s="59"/>
    </row>
    <row r="793" spans="4:4" ht="12.75" customHeight="1" x14ac:dyDescent="0.15">
      <c r="D793" s="59"/>
    </row>
    <row r="794" spans="4:4" ht="12.75" customHeight="1" x14ac:dyDescent="0.15">
      <c r="D794" s="59"/>
    </row>
    <row r="795" spans="4:4" ht="12.75" customHeight="1" x14ac:dyDescent="0.15">
      <c r="D795" s="59"/>
    </row>
    <row r="796" spans="4:4" ht="12.75" customHeight="1" x14ac:dyDescent="0.15">
      <c r="D796" s="59"/>
    </row>
    <row r="797" spans="4:4" ht="12.75" customHeight="1" x14ac:dyDescent="0.15">
      <c r="D797" s="59"/>
    </row>
    <row r="798" spans="4:4" ht="12.75" customHeight="1" x14ac:dyDescent="0.15">
      <c r="D798" s="59"/>
    </row>
    <row r="799" spans="4:4" ht="12.75" customHeight="1" x14ac:dyDescent="0.15">
      <c r="D799" s="59"/>
    </row>
    <row r="800" spans="4:4" ht="12.75" customHeight="1" x14ac:dyDescent="0.15">
      <c r="D800" s="59"/>
    </row>
    <row r="801" spans="4:4" ht="12.75" customHeight="1" x14ac:dyDescent="0.15">
      <c r="D801" s="59"/>
    </row>
    <row r="802" spans="4:4" ht="12.75" customHeight="1" x14ac:dyDescent="0.15">
      <c r="D802" s="59"/>
    </row>
    <row r="803" spans="4:4" ht="12.75" customHeight="1" x14ac:dyDescent="0.15">
      <c r="D803" s="59"/>
    </row>
    <row r="804" spans="4:4" ht="12.75" customHeight="1" x14ac:dyDescent="0.15">
      <c r="D804" s="59"/>
    </row>
    <row r="805" spans="4:4" ht="12.75" customHeight="1" x14ac:dyDescent="0.15">
      <c r="D805" s="59"/>
    </row>
    <row r="806" spans="4:4" ht="12.75" customHeight="1" x14ac:dyDescent="0.15">
      <c r="D806" s="59"/>
    </row>
    <row r="807" spans="4:4" ht="12.75" customHeight="1" x14ac:dyDescent="0.15">
      <c r="D807" s="59"/>
    </row>
    <row r="808" spans="4:4" ht="12.75" customHeight="1" x14ac:dyDescent="0.15">
      <c r="D808" s="59"/>
    </row>
    <row r="809" spans="4:4" ht="12.75" customHeight="1" x14ac:dyDescent="0.15">
      <c r="D809" s="59"/>
    </row>
    <row r="810" spans="4:4" ht="12.75" customHeight="1" x14ac:dyDescent="0.15">
      <c r="D810" s="59"/>
    </row>
    <row r="811" spans="4:4" ht="12.75" customHeight="1" x14ac:dyDescent="0.15">
      <c r="D811" s="59"/>
    </row>
    <row r="812" spans="4:4" ht="12.75" customHeight="1" x14ac:dyDescent="0.15">
      <c r="D812" s="59"/>
    </row>
    <row r="813" spans="4:4" ht="12.75" customHeight="1" x14ac:dyDescent="0.15">
      <c r="D813" s="59"/>
    </row>
    <row r="814" spans="4:4" ht="12.75" customHeight="1" x14ac:dyDescent="0.15">
      <c r="D814" s="59"/>
    </row>
    <row r="815" spans="4:4" ht="12.75" customHeight="1" x14ac:dyDescent="0.15">
      <c r="D815" s="59"/>
    </row>
    <row r="816" spans="4:4" ht="12.75" customHeight="1" x14ac:dyDescent="0.15">
      <c r="D816" s="59"/>
    </row>
    <row r="817" spans="4:4" ht="12.75" customHeight="1" x14ac:dyDescent="0.15">
      <c r="D817" s="59"/>
    </row>
    <row r="818" spans="4:4" ht="12.75" customHeight="1" x14ac:dyDescent="0.15">
      <c r="D818" s="59"/>
    </row>
    <row r="819" spans="4:4" ht="12.75" customHeight="1" x14ac:dyDescent="0.15">
      <c r="D819" s="59"/>
    </row>
    <row r="820" spans="4:4" ht="12.75" customHeight="1" x14ac:dyDescent="0.15">
      <c r="D820" s="59"/>
    </row>
    <row r="821" spans="4:4" ht="12.75" customHeight="1" x14ac:dyDescent="0.15">
      <c r="D821" s="59"/>
    </row>
    <row r="822" spans="4:4" ht="12.75" customHeight="1" x14ac:dyDescent="0.15">
      <c r="D822" s="59"/>
    </row>
    <row r="823" spans="4:4" ht="12.75" customHeight="1" x14ac:dyDescent="0.15">
      <c r="D823" s="59"/>
    </row>
    <row r="824" spans="4:4" ht="12.75" customHeight="1" x14ac:dyDescent="0.15">
      <c r="D824" s="59"/>
    </row>
    <row r="825" spans="4:4" ht="12.75" customHeight="1" x14ac:dyDescent="0.15">
      <c r="D825" s="59"/>
    </row>
    <row r="826" spans="4:4" ht="12.75" customHeight="1" x14ac:dyDescent="0.15">
      <c r="D826" s="59"/>
    </row>
    <row r="827" spans="4:4" ht="12.75" customHeight="1" x14ac:dyDescent="0.15">
      <c r="D827" s="59"/>
    </row>
    <row r="828" spans="4:4" ht="12.75" customHeight="1" x14ac:dyDescent="0.15">
      <c r="D828" s="59"/>
    </row>
    <row r="829" spans="4:4" ht="12.75" customHeight="1" x14ac:dyDescent="0.15">
      <c r="D829" s="59"/>
    </row>
    <row r="830" spans="4:4" ht="12.75" customHeight="1" x14ac:dyDescent="0.15">
      <c r="D830" s="59"/>
    </row>
    <row r="831" spans="4:4" ht="12.75" customHeight="1" x14ac:dyDescent="0.15">
      <c r="D831" s="59"/>
    </row>
    <row r="832" spans="4:4" ht="12.75" customHeight="1" x14ac:dyDescent="0.15">
      <c r="D832" s="59"/>
    </row>
    <row r="833" spans="4:4" ht="12.75" customHeight="1" x14ac:dyDescent="0.15">
      <c r="D833" s="59"/>
    </row>
    <row r="834" spans="4:4" ht="12.75" customHeight="1" x14ac:dyDescent="0.15">
      <c r="D834" s="59"/>
    </row>
    <row r="835" spans="4:4" ht="12.75" customHeight="1" x14ac:dyDescent="0.15">
      <c r="D835" s="59"/>
    </row>
    <row r="836" spans="4:4" ht="12.75" customHeight="1" x14ac:dyDescent="0.15">
      <c r="D836" s="59"/>
    </row>
    <row r="837" spans="4:4" ht="12.75" customHeight="1" x14ac:dyDescent="0.15">
      <c r="D837" s="59"/>
    </row>
    <row r="838" spans="4:4" ht="12.75" customHeight="1" x14ac:dyDescent="0.15">
      <c r="D838" s="59"/>
    </row>
    <row r="839" spans="4:4" ht="12.75" customHeight="1" x14ac:dyDescent="0.15">
      <c r="D839" s="59"/>
    </row>
    <row r="840" spans="4:4" ht="12.75" customHeight="1" x14ac:dyDescent="0.15">
      <c r="D840" s="59"/>
    </row>
    <row r="841" spans="4:4" ht="12.75" customHeight="1" x14ac:dyDescent="0.15">
      <c r="D841" s="59"/>
    </row>
    <row r="842" spans="4:4" ht="12.75" customHeight="1" x14ac:dyDescent="0.15">
      <c r="D842" s="59"/>
    </row>
    <row r="843" spans="4:4" ht="12.75" customHeight="1" x14ac:dyDescent="0.15">
      <c r="D843" s="59"/>
    </row>
    <row r="844" spans="4:4" ht="12.75" customHeight="1" x14ac:dyDescent="0.15">
      <c r="D844" s="59"/>
    </row>
    <row r="845" spans="4:4" ht="12.75" customHeight="1" x14ac:dyDescent="0.15">
      <c r="D845" s="59"/>
    </row>
    <row r="846" spans="4:4" ht="12.75" customHeight="1" x14ac:dyDescent="0.15">
      <c r="D846" s="59"/>
    </row>
    <row r="847" spans="4:4" ht="12.75" customHeight="1" x14ac:dyDescent="0.15">
      <c r="D847" s="59"/>
    </row>
    <row r="848" spans="4:4" ht="12.75" customHeight="1" x14ac:dyDescent="0.15">
      <c r="D848" s="59"/>
    </row>
    <row r="849" spans="4:4" ht="12.75" customHeight="1" x14ac:dyDescent="0.15">
      <c r="D849" s="59"/>
    </row>
    <row r="850" spans="4:4" ht="12.75" customHeight="1" x14ac:dyDescent="0.15">
      <c r="D850" s="59"/>
    </row>
    <row r="851" spans="4:4" ht="12.75" customHeight="1" x14ac:dyDescent="0.15">
      <c r="D851" s="59"/>
    </row>
    <row r="852" spans="4:4" ht="12.75" customHeight="1" x14ac:dyDescent="0.15">
      <c r="D852" s="59"/>
    </row>
    <row r="853" spans="4:4" ht="12.75" customHeight="1" x14ac:dyDescent="0.15">
      <c r="D853" s="59"/>
    </row>
    <row r="854" spans="4:4" ht="12.75" customHeight="1" x14ac:dyDescent="0.15">
      <c r="D854" s="59"/>
    </row>
    <row r="855" spans="4:4" ht="12.75" customHeight="1" x14ac:dyDescent="0.15">
      <c r="D855" s="59"/>
    </row>
    <row r="856" spans="4:4" ht="12.75" customHeight="1" x14ac:dyDescent="0.15">
      <c r="D856" s="59"/>
    </row>
    <row r="857" spans="4:4" ht="12.75" customHeight="1" x14ac:dyDescent="0.15">
      <c r="D857" s="59"/>
    </row>
    <row r="858" spans="4:4" ht="12.75" customHeight="1" x14ac:dyDescent="0.15">
      <c r="D858" s="59"/>
    </row>
    <row r="859" spans="4:4" ht="12.75" customHeight="1" x14ac:dyDescent="0.15">
      <c r="D859" s="59"/>
    </row>
    <row r="860" spans="4:4" ht="12.75" customHeight="1" x14ac:dyDescent="0.15">
      <c r="D860" s="59"/>
    </row>
    <row r="861" spans="4:4" ht="12.75" customHeight="1" x14ac:dyDescent="0.15">
      <c r="D861" s="59"/>
    </row>
    <row r="862" spans="4:4" ht="12.75" customHeight="1" x14ac:dyDescent="0.15">
      <c r="D862" s="59"/>
    </row>
    <row r="863" spans="4:4" ht="12.75" customHeight="1" x14ac:dyDescent="0.15">
      <c r="D863" s="59"/>
    </row>
    <row r="864" spans="4:4" ht="12.75" customHeight="1" x14ac:dyDescent="0.15">
      <c r="D864" s="59"/>
    </row>
    <row r="865" spans="4:4" ht="12.75" customHeight="1" x14ac:dyDescent="0.15">
      <c r="D865" s="59"/>
    </row>
    <row r="866" spans="4:4" ht="12.75" customHeight="1" x14ac:dyDescent="0.15">
      <c r="D866" s="59"/>
    </row>
    <row r="867" spans="4:4" ht="12.75" customHeight="1" x14ac:dyDescent="0.15">
      <c r="D867" s="59"/>
    </row>
    <row r="868" spans="4:4" ht="12.75" customHeight="1" x14ac:dyDescent="0.15">
      <c r="D868" s="59"/>
    </row>
    <row r="869" spans="4:4" ht="12.75" customHeight="1" x14ac:dyDescent="0.15">
      <c r="D869" s="59"/>
    </row>
    <row r="870" spans="4:4" ht="12.75" customHeight="1" x14ac:dyDescent="0.15">
      <c r="D870" s="59"/>
    </row>
    <row r="871" spans="4:4" ht="12.75" customHeight="1" x14ac:dyDescent="0.15">
      <c r="D871" s="59"/>
    </row>
    <row r="872" spans="4:4" ht="12.75" customHeight="1" x14ac:dyDescent="0.15">
      <c r="D872" s="59"/>
    </row>
    <row r="873" spans="4:4" ht="12.75" customHeight="1" x14ac:dyDescent="0.15">
      <c r="D873" s="59"/>
    </row>
    <row r="874" spans="4:4" ht="12.75" customHeight="1" x14ac:dyDescent="0.15">
      <c r="D874" s="59"/>
    </row>
    <row r="875" spans="4:4" ht="12.75" customHeight="1" x14ac:dyDescent="0.15">
      <c r="D875" s="59"/>
    </row>
    <row r="876" spans="4:4" ht="12.75" customHeight="1" x14ac:dyDescent="0.15">
      <c r="D876" s="59"/>
    </row>
    <row r="877" spans="4:4" ht="12.75" customHeight="1" x14ac:dyDescent="0.15">
      <c r="D877" s="59"/>
    </row>
    <row r="878" spans="4:4" ht="12.75" customHeight="1" x14ac:dyDescent="0.15">
      <c r="D878" s="59"/>
    </row>
    <row r="879" spans="4:4" ht="12.75" customHeight="1" x14ac:dyDescent="0.15">
      <c r="D879" s="59"/>
    </row>
    <row r="880" spans="4:4" ht="12.75" customHeight="1" x14ac:dyDescent="0.15">
      <c r="D880" s="59"/>
    </row>
    <row r="881" spans="4:4" ht="12.75" customHeight="1" x14ac:dyDescent="0.15">
      <c r="D881" s="59"/>
    </row>
    <row r="882" spans="4:4" ht="12.75" customHeight="1" x14ac:dyDescent="0.15">
      <c r="D882" s="59"/>
    </row>
    <row r="883" spans="4:4" ht="12.75" customHeight="1" x14ac:dyDescent="0.15">
      <c r="D883" s="59"/>
    </row>
    <row r="884" spans="4:4" ht="12.75" customHeight="1" x14ac:dyDescent="0.15">
      <c r="D884" s="59"/>
    </row>
    <row r="885" spans="4:4" ht="12.75" customHeight="1" x14ac:dyDescent="0.15">
      <c r="D885" s="59"/>
    </row>
    <row r="886" spans="4:4" ht="12.75" customHeight="1" x14ac:dyDescent="0.15">
      <c r="D886" s="59"/>
    </row>
    <row r="887" spans="4:4" ht="12.75" customHeight="1" x14ac:dyDescent="0.15">
      <c r="D887" s="59"/>
    </row>
    <row r="888" spans="4:4" ht="12.75" customHeight="1" x14ac:dyDescent="0.15">
      <c r="D888" s="59"/>
    </row>
    <row r="889" spans="4:4" ht="12.75" customHeight="1" x14ac:dyDescent="0.15">
      <c r="D889" s="59"/>
    </row>
    <row r="890" spans="4:4" ht="12.75" customHeight="1" x14ac:dyDescent="0.15">
      <c r="D890" s="59"/>
    </row>
    <row r="891" spans="4:4" ht="12.75" customHeight="1" x14ac:dyDescent="0.15">
      <c r="D891" s="59"/>
    </row>
    <row r="892" spans="4:4" ht="12.75" customHeight="1" x14ac:dyDescent="0.15">
      <c r="D892" s="59"/>
    </row>
    <row r="893" spans="4:4" ht="12.75" customHeight="1" x14ac:dyDescent="0.15">
      <c r="D893" s="59"/>
    </row>
    <row r="894" spans="4:4" ht="12.75" customHeight="1" x14ac:dyDescent="0.15">
      <c r="D894" s="59"/>
    </row>
    <row r="895" spans="4:4" ht="12.75" customHeight="1" x14ac:dyDescent="0.15">
      <c r="D895" s="59"/>
    </row>
    <row r="896" spans="4:4" ht="12.75" customHeight="1" x14ac:dyDescent="0.15">
      <c r="D896" s="59"/>
    </row>
    <row r="897" spans="4:4" ht="12.75" customHeight="1" x14ac:dyDescent="0.15">
      <c r="D897" s="59"/>
    </row>
    <row r="898" spans="4:4" ht="12.75" customHeight="1" x14ac:dyDescent="0.15">
      <c r="D898" s="59"/>
    </row>
    <row r="899" spans="4:4" ht="12.75" customHeight="1" x14ac:dyDescent="0.15">
      <c r="D899" s="59"/>
    </row>
    <row r="900" spans="4:4" ht="12.75" customHeight="1" x14ac:dyDescent="0.15">
      <c r="D900" s="59"/>
    </row>
    <row r="901" spans="4:4" ht="12.75" customHeight="1" x14ac:dyDescent="0.15">
      <c r="D901" s="59"/>
    </row>
    <row r="902" spans="4:4" ht="12.75" customHeight="1" x14ac:dyDescent="0.15">
      <c r="D902" s="59"/>
    </row>
    <row r="903" spans="4:4" ht="12.75" customHeight="1" x14ac:dyDescent="0.15">
      <c r="D903" s="59"/>
    </row>
    <row r="904" spans="4:4" ht="12.75" customHeight="1" x14ac:dyDescent="0.15">
      <c r="D904" s="59"/>
    </row>
    <row r="905" spans="4:4" ht="12.75" customHeight="1" x14ac:dyDescent="0.15">
      <c r="D905" s="59"/>
    </row>
    <row r="906" spans="4:4" ht="12.75" customHeight="1" x14ac:dyDescent="0.15">
      <c r="D906" s="59"/>
    </row>
    <row r="907" spans="4:4" ht="12.75" customHeight="1" x14ac:dyDescent="0.15">
      <c r="D907" s="59"/>
    </row>
    <row r="908" spans="4:4" ht="12.75" customHeight="1" x14ac:dyDescent="0.15">
      <c r="D908" s="59"/>
    </row>
    <row r="909" spans="4:4" ht="12.75" customHeight="1" x14ac:dyDescent="0.15">
      <c r="D909" s="59"/>
    </row>
    <row r="910" spans="4:4" ht="12.75" customHeight="1" x14ac:dyDescent="0.15">
      <c r="D910" s="59"/>
    </row>
    <row r="911" spans="4:4" ht="12.75" customHeight="1" x14ac:dyDescent="0.15">
      <c r="D911" s="59"/>
    </row>
    <row r="912" spans="4:4" ht="12.75" customHeight="1" x14ac:dyDescent="0.15">
      <c r="D912" s="59"/>
    </row>
    <row r="913" spans="4:4" ht="12.75" customHeight="1" x14ac:dyDescent="0.15">
      <c r="D913" s="59"/>
    </row>
    <row r="914" spans="4:4" ht="12.75" customHeight="1" x14ac:dyDescent="0.15">
      <c r="D914" s="59"/>
    </row>
    <row r="915" spans="4:4" ht="12.75" customHeight="1" x14ac:dyDescent="0.15">
      <c r="D915" s="59"/>
    </row>
    <row r="916" spans="4:4" ht="12.75" customHeight="1" x14ac:dyDescent="0.15">
      <c r="D916" s="59"/>
    </row>
    <row r="917" spans="4:4" ht="12.75" customHeight="1" x14ac:dyDescent="0.15">
      <c r="D917" s="59"/>
    </row>
    <row r="918" spans="4:4" ht="12.75" customHeight="1" x14ac:dyDescent="0.15">
      <c r="D918" s="59"/>
    </row>
    <row r="919" spans="4:4" ht="12.75" customHeight="1" x14ac:dyDescent="0.15">
      <c r="D919" s="59"/>
    </row>
    <row r="920" spans="4:4" ht="12.75" customHeight="1" x14ac:dyDescent="0.15">
      <c r="D920" s="59"/>
    </row>
    <row r="921" spans="4:4" ht="12.75" customHeight="1" x14ac:dyDescent="0.15">
      <c r="D921" s="59"/>
    </row>
    <row r="922" spans="4:4" ht="12.75" customHeight="1" x14ac:dyDescent="0.15">
      <c r="D922" s="59"/>
    </row>
    <row r="923" spans="4:4" ht="12.75" customHeight="1" x14ac:dyDescent="0.15">
      <c r="D923" s="59"/>
    </row>
    <row r="924" spans="4:4" ht="12.75" customHeight="1" x14ac:dyDescent="0.15">
      <c r="D924" s="59"/>
    </row>
    <row r="925" spans="4:4" ht="12.75" customHeight="1" x14ac:dyDescent="0.15">
      <c r="D925" s="59"/>
    </row>
    <row r="926" spans="4:4" ht="12.75" customHeight="1" x14ac:dyDescent="0.15">
      <c r="D926" s="59"/>
    </row>
    <row r="927" spans="4:4" ht="12.75" customHeight="1" x14ac:dyDescent="0.15">
      <c r="D927" s="59"/>
    </row>
    <row r="928" spans="4:4" ht="12.75" customHeight="1" x14ac:dyDescent="0.15">
      <c r="D928" s="59"/>
    </row>
    <row r="929" spans="4:4" ht="12.75" customHeight="1" x14ac:dyDescent="0.15">
      <c r="D929" s="59"/>
    </row>
    <row r="930" spans="4:4" ht="12.75" customHeight="1" x14ac:dyDescent="0.15">
      <c r="D930" s="59"/>
    </row>
    <row r="931" spans="4:4" ht="12.75" customHeight="1" x14ac:dyDescent="0.15">
      <c r="D931" s="59"/>
    </row>
    <row r="932" spans="4:4" ht="12.75" customHeight="1" x14ac:dyDescent="0.15">
      <c r="D932" s="59"/>
    </row>
    <row r="933" spans="4:4" ht="12.75" customHeight="1" x14ac:dyDescent="0.15">
      <c r="D933" s="59"/>
    </row>
    <row r="934" spans="4:4" ht="12.75" customHeight="1" x14ac:dyDescent="0.15">
      <c r="D934" s="59"/>
    </row>
    <row r="935" spans="4:4" ht="12.75" customHeight="1" x14ac:dyDescent="0.15">
      <c r="D935" s="59"/>
    </row>
    <row r="936" spans="4:4" ht="12.75" customHeight="1" x14ac:dyDescent="0.15">
      <c r="D936" s="59"/>
    </row>
    <row r="937" spans="4:4" ht="12.75" customHeight="1" x14ac:dyDescent="0.15">
      <c r="D937" s="59"/>
    </row>
    <row r="938" spans="4:4" ht="12.75" customHeight="1" x14ac:dyDescent="0.15">
      <c r="D938" s="59"/>
    </row>
    <row r="939" spans="4:4" ht="12.75" customHeight="1" x14ac:dyDescent="0.15">
      <c r="D939" s="59"/>
    </row>
    <row r="940" spans="4:4" ht="12.75" customHeight="1" x14ac:dyDescent="0.15">
      <c r="D940" s="59"/>
    </row>
    <row r="941" spans="4:4" ht="12.75" customHeight="1" x14ac:dyDescent="0.15">
      <c r="D941" s="59"/>
    </row>
    <row r="942" spans="4:4" ht="12.75" customHeight="1" x14ac:dyDescent="0.15">
      <c r="D942" s="59"/>
    </row>
    <row r="943" spans="4:4" ht="12.75" customHeight="1" x14ac:dyDescent="0.15">
      <c r="D943" s="59"/>
    </row>
    <row r="944" spans="4:4" ht="12.75" customHeight="1" x14ac:dyDescent="0.15">
      <c r="D944" s="59"/>
    </row>
    <row r="945" spans="4:4" ht="12.75" customHeight="1" x14ac:dyDescent="0.15">
      <c r="D945" s="59"/>
    </row>
    <row r="946" spans="4:4" ht="12.75" customHeight="1" x14ac:dyDescent="0.15">
      <c r="D946" s="59"/>
    </row>
    <row r="947" spans="4:4" ht="12.75" customHeight="1" x14ac:dyDescent="0.15">
      <c r="D947" s="59"/>
    </row>
    <row r="948" spans="4:4" ht="12.75" customHeight="1" x14ac:dyDescent="0.15">
      <c r="D948" s="59"/>
    </row>
    <row r="949" spans="4:4" ht="12.75" customHeight="1" x14ac:dyDescent="0.15">
      <c r="D949" s="59"/>
    </row>
    <row r="950" spans="4:4" ht="12.75" customHeight="1" x14ac:dyDescent="0.15">
      <c r="D950" s="59"/>
    </row>
    <row r="951" spans="4:4" ht="12.75" customHeight="1" x14ac:dyDescent="0.15">
      <c r="D951" s="59"/>
    </row>
    <row r="952" spans="4:4" ht="12.75" customHeight="1" x14ac:dyDescent="0.15">
      <c r="D952" s="59"/>
    </row>
    <row r="953" spans="4:4" ht="12.75" customHeight="1" x14ac:dyDescent="0.15">
      <c r="D953" s="59"/>
    </row>
    <row r="954" spans="4:4" ht="12.75" customHeight="1" x14ac:dyDescent="0.15">
      <c r="D954" s="59"/>
    </row>
    <row r="955" spans="4:4" ht="12.75" customHeight="1" x14ac:dyDescent="0.15">
      <c r="D955" s="59"/>
    </row>
    <row r="956" spans="4:4" ht="12.75" customHeight="1" x14ac:dyDescent="0.15">
      <c r="D956" s="59"/>
    </row>
    <row r="957" spans="4:4" ht="12.75" customHeight="1" x14ac:dyDescent="0.15">
      <c r="D957" s="59"/>
    </row>
    <row r="958" spans="4:4" ht="12.75" customHeight="1" x14ac:dyDescent="0.15">
      <c r="D958" s="59"/>
    </row>
    <row r="959" spans="4:4" ht="12.75" customHeight="1" x14ac:dyDescent="0.15">
      <c r="D959" s="59"/>
    </row>
    <row r="960" spans="4:4" ht="12.75" customHeight="1" x14ac:dyDescent="0.15">
      <c r="D960" s="59"/>
    </row>
    <row r="961" spans="4:4" ht="12.75" customHeight="1" x14ac:dyDescent="0.15">
      <c r="D961" s="59"/>
    </row>
    <row r="962" spans="4:4" ht="12.75" customHeight="1" x14ac:dyDescent="0.15">
      <c r="D962" s="59"/>
    </row>
    <row r="963" spans="4:4" ht="12.75" customHeight="1" x14ac:dyDescent="0.15">
      <c r="D963" s="59"/>
    </row>
    <row r="964" spans="4:4" ht="12.75" customHeight="1" x14ac:dyDescent="0.15">
      <c r="D964" s="59"/>
    </row>
    <row r="965" spans="4:4" ht="12.75" customHeight="1" x14ac:dyDescent="0.15">
      <c r="D965" s="59"/>
    </row>
    <row r="966" spans="4:4" ht="12.75" customHeight="1" x14ac:dyDescent="0.15">
      <c r="D966" s="59"/>
    </row>
    <row r="967" spans="4:4" ht="12.75" customHeight="1" x14ac:dyDescent="0.15">
      <c r="D967" s="59"/>
    </row>
    <row r="968" spans="4:4" ht="12.75" customHeight="1" x14ac:dyDescent="0.15">
      <c r="D968" s="59"/>
    </row>
    <row r="969" spans="4:4" ht="12.75" customHeight="1" x14ac:dyDescent="0.15">
      <c r="D969" s="59"/>
    </row>
    <row r="970" spans="4:4" ht="12.75" customHeight="1" x14ac:dyDescent="0.15">
      <c r="D970" s="59"/>
    </row>
    <row r="971" spans="4:4" ht="12.75" customHeight="1" x14ac:dyDescent="0.15">
      <c r="D971" s="59"/>
    </row>
    <row r="972" spans="4:4" ht="12.75" customHeight="1" x14ac:dyDescent="0.15">
      <c r="D972" s="59"/>
    </row>
    <row r="973" spans="4:4" ht="12.75" customHeight="1" x14ac:dyDescent="0.15">
      <c r="D973" s="59"/>
    </row>
    <row r="974" spans="4:4" ht="12.75" customHeight="1" x14ac:dyDescent="0.15">
      <c r="D974" s="59"/>
    </row>
    <row r="975" spans="4:4" ht="12.75" customHeight="1" x14ac:dyDescent="0.15">
      <c r="D975" s="59"/>
    </row>
    <row r="976" spans="4:4" ht="12.75" customHeight="1" x14ac:dyDescent="0.15">
      <c r="D976" s="59"/>
    </row>
    <row r="977" spans="4:4" ht="12.75" customHeight="1" x14ac:dyDescent="0.15">
      <c r="D977" s="59"/>
    </row>
    <row r="978" spans="4:4" ht="12.75" customHeight="1" x14ac:dyDescent="0.15">
      <c r="D978" s="59"/>
    </row>
    <row r="979" spans="4:4" ht="12.75" customHeight="1" x14ac:dyDescent="0.15">
      <c r="D979" s="59"/>
    </row>
    <row r="980" spans="4:4" ht="12.75" customHeight="1" x14ac:dyDescent="0.15">
      <c r="D980" s="59"/>
    </row>
    <row r="981" spans="4:4" ht="12.75" customHeight="1" x14ac:dyDescent="0.15">
      <c r="D981" s="59"/>
    </row>
    <row r="982" spans="4:4" ht="12.75" customHeight="1" x14ac:dyDescent="0.15">
      <c r="D982" s="59"/>
    </row>
    <row r="983" spans="4:4" ht="12.75" customHeight="1" x14ac:dyDescent="0.15">
      <c r="D983" s="59"/>
    </row>
    <row r="984" spans="4:4" ht="12.75" customHeight="1" x14ac:dyDescent="0.15">
      <c r="D984" s="59"/>
    </row>
    <row r="985" spans="4:4" ht="12.75" customHeight="1" x14ac:dyDescent="0.15">
      <c r="D985" s="59"/>
    </row>
    <row r="986" spans="4:4" ht="12.75" customHeight="1" x14ac:dyDescent="0.15">
      <c r="D986" s="59"/>
    </row>
    <row r="987" spans="4:4" ht="12.75" customHeight="1" x14ac:dyDescent="0.15">
      <c r="D987" s="59"/>
    </row>
    <row r="988" spans="4:4" ht="12.75" customHeight="1" x14ac:dyDescent="0.15">
      <c r="D988" s="59"/>
    </row>
    <row r="989" spans="4:4" ht="12.75" customHeight="1" x14ac:dyDescent="0.15">
      <c r="D989" s="59"/>
    </row>
    <row r="990" spans="4:4" ht="12.75" customHeight="1" x14ac:dyDescent="0.15">
      <c r="D990" s="59"/>
    </row>
    <row r="991" spans="4:4" ht="12.75" customHeight="1" x14ac:dyDescent="0.15">
      <c r="D991" s="59"/>
    </row>
    <row r="992" spans="4:4" ht="12.75" customHeight="1" x14ac:dyDescent="0.15">
      <c r="D992" s="59"/>
    </row>
    <row r="993" spans="4:4" ht="12.75" customHeight="1" x14ac:dyDescent="0.15">
      <c r="D993" s="59"/>
    </row>
    <row r="994" spans="4:4" ht="12.75" customHeight="1" x14ac:dyDescent="0.15">
      <c r="D994" s="59"/>
    </row>
    <row r="995" spans="4:4" ht="12.75" customHeight="1" x14ac:dyDescent="0.15">
      <c r="D995" s="59"/>
    </row>
    <row r="996" spans="4:4" ht="12.75" customHeight="1" x14ac:dyDescent="0.15">
      <c r="D996" s="59"/>
    </row>
    <row r="997" spans="4:4" ht="12.75" customHeight="1" x14ac:dyDescent="0.15">
      <c r="D997" s="59"/>
    </row>
    <row r="998" spans="4:4" ht="12.75" customHeight="1" x14ac:dyDescent="0.15">
      <c r="D998" s="59"/>
    </row>
    <row r="999" spans="4:4" ht="12.75" customHeight="1" x14ac:dyDescent="0.15">
      <c r="D999" s="59"/>
    </row>
    <row r="1000" spans="4:4" ht="12.75" customHeight="1" x14ac:dyDescent="0.15">
      <c r="D1000" s="59"/>
    </row>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workbookViewId="0"/>
  </sheetViews>
  <sheetFormatPr baseColWidth="10" defaultColWidth="12.6640625" defaultRowHeight="15" customHeight="1" x14ac:dyDescent="0.15"/>
  <cols>
    <col min="1" max="1" width="13.6640625" customWidth="1"/>
    <col min="2" max="3" width="7.83203125" customWidth="1"/>
    <col min="4" max="4" width="9.83203125" customWidth="1"/>
    <col min="5" max="6" width="7.83203125" customWidth="1"/>
    <col min="7" max="14" width="9.83203125" customWidth="1"/>
    <col min="15" max="26" width="10" customWidth="1"/>
  </cols>
  <sheetData>
    <row r="1" spans="1:26" ht="36.75" customHeight="1" x14ac:dyDescent="0.15">
      <c r="A1" s="656" t="s">
        <v>163</v>
      </c>
      <c r="B1" s="955" t="s">
        <v>164</v>
      </c>
      <c r="C1" s="920"/>
      <c r="D1" s="657" t="s">
        <v>165</v>
      </c>
      <c r="E1" s="955" t="s">
        <v>13</v>
      </c>
      <c r="F1" s="920"/>
      <c r="G1" s="657" t="s">
        <v>165</v>
      </c>
      <c r="H1" s="955" t="s">
        <v>166</v>
      </c>
      <c r="I1" s="920"/>
      <c r="J1" s="955" t="s">
        <v>167</v>
      </c>
      <c r="K1" s="920"/>
      <c r="L1" s="955" t="s">
        <v>12</v>
      </c>
      <c r="M1" s="920"/>
      <c r="N1" s="657" t="s">
        <v>165</v>
      </c>
      <c r="O1" s="658"/>
      <c r="P1" s="658"/>
      <c r="Q1" s="658"/>
      <c r="R1" s="658"/>
      <c r="S1" s="658"/>
      <c r="T1" s="658"/>
      <c r="U1" s="658"/>
      <c r="V1" s="658"/>
      <c r="W1" s="658"/>
      <c r="X1" s="658"/>
      <c r="Y1" s="658"/>
      <c r="Z1" s="658"/>
    </row>
    <row r="2" spans="1:26" ht="12.75" customHeight="1" x14ac:dyDescent="0.15">
      <c r="A2" s="659"/>
      <c r="B2" s="48">
        <v>2019</v>
      </c>
      <c r="C2" s="660">
        <v>2018</v>
      </c>
      <c r="D2" s="48"/>
      <c r="E2" s="48">
        <v>2019</v>
      </c>
      <c r="F2" s="660">
        <v>2018</v>
      </c>
      <c r="G2" s="48"/>
      <c r="H2" s="48">
        <v>2019</v>
      </c>
      <c r="I2" s="660">
        <v>2018</v>
      </c>
      <c r="J2" s="48">
        <v>2019</v>
      </c>
      <c r="K2" s="660">
        <v>2018</v>
      </c>
      <c r="L2" s="48">
        <v>2019</v>
      </c>
      <c r="M2" s="660">
        <v>2018</v>
      </c>
      <c r="N2" s="48"/>
      <c r="O2" s="1"/>
      <c r="P2" s="1"/>
      <c r="Q2" s="1"/>
      <c r="R2" s="1"/>
      <c r="S2" s="1"/>
      <c r="T2" s="1"/>
      <c r="U2" s="1"/>
      <c r="V2" s="1"/>
      <c r="W2" s="1"/>
      <c r="X2" s="1"/>
      <c r="Y2" s="1"/>
      <c r="Z2" s="1"/>
    </row>
    <row r="3" spans="1:26" ht="12.75" customHeight="1" x14ac:dyDescent="0.15">
      <c r="A3" s="653" t="s">
        <v>168</v>
      </c>
      <c r="B3" s="645">
        <v>1</v>
      </c>
      <c r="C3" s="661">
        <v>8</v>
      </c>
      <c r="D3" s="662">
        <f t="shared" ref="D3:D10" si="0">B3-C3</f>
        <v>-7</v>
      </c>
      <c r="E3" s="645">
        <v>3</v>
      </c>
      <c r="F3" s="661">
        <v>14</v>
      </c>
      <c r="G3" s="662">
        <f t="shared" ref="G3:G10" si="1">E3-F3</f>
        <v>-11</v>
      </c>
      <c r="H3" s="645" t="s">
        <v>169</v>
      </c>
      <c r="I3" s="661">
        <v>39.25</v>
      </c>
      <c r="J3" s="645" t="s">
        <v>170</v>
      </c>
      <c r="K3" s="661">
        <v>1.75</v>
      </c>
      <c r="L3" s="663">
        <v>2862.78</v>
      </c>
      <c r="M3" s="664">
        <v>21273.119999999999</v>
      </c>
      <c r="N3" s="665">
        <f t="shared" ref="N3:N10" si="2">L3-M3</f>
        <v>-18410.34</v>
      </c>
    </row>
    <row r="4" spans="1:26" ht="12.75" customHeight="1" x14ac:dyDescent="0.15">
      <c r="A4" s="653" t="s">
        <v>171</v>
      </c>
      <c r="B4" s="645">
        <v>20</v>
      </c>
      <c r="C4" s="661">
        <v>61</v>
      </c>
      <c r="D4" s="662">
        <f t="shared" si="0"/>
        <v>-41</v>
      </c>
      <c r="E4" s="645">
        <v>59</v>
      </c>
      <c r="F4" s="661">
        <v>128</v>
      </c>
      <c r="G4" s="662">
        <f t="shared" si="1"/>
        <v>-69</v>
      </c>
      <c r="H4" s="645" t="s">
        <v>172</v>
      </c>
      <c r="I4" s="661">
        <v>22.7</v>
      </c>
      <c r="J4" s="645" t="s">
        <v>173</v>
      </c>
      <c r="K4" s="661">
        <v>2.1</v>
      </c>
      <c r="L4" s="663">
        <v>153471.91</v>
      </c>
      <c r="M4" s="664">
        <v>251193.60000000001</v>
      </c>
      <c r="N4" s="665">
        <f t="shared" si="2"/>
        <v>-97721.69</v>
      </c>
    </row>
    <row r="5" spans="1:26" ht="12.75" customHeight="1" x14ac:dyDescent="0.15">
      <c r="A5" s="653" t="s">
        <v>174</v>
      </c>
      <c r="B5" s="645"/>
      <c r="C5" s="661">
        <v>6</v>
      </c>
      <c r="D5" s="662">
        <f t="shared" si="0"/>
        <v>-6</v>
      </c>
      <c r="E5" s="645"/>
      <c r="F5" s="661">
        <v>13</v>
      </c>
      <c r="G5" s="662">
        <f t="shared" si="1"/>
        <v>-13</v>
      </c>
      <c r="H5" s="645"/>
      <c r="I5" s="661">
        <v>12.67</v>
      </c>
      <c r="J5" s="645"/>
      <c r="K5" s="661">
        <v>2.17</v>
      </c>
      <c r="L5" s="663"/>
      <c r="M5" s="664">
        <v>48812.800000000003</v>
      </c>
      <c r="N5" s="665">
        <f t="shared" si="2"/>
        <v>-48812.800000000003</v>
      </c>
    </row>
    <row r="6" spans="1:26" ht="12.75" customHeight="1" x14ac:dyDescent="0.15">
      <c r="A6" s="653" t="s">
        <v>175</v>
      </c>
      <c r="B6" s="645">
        <v>1</v>
      </c>
      <c r="C6" s="661">
        <v>37</v>
      </c>
      <c r="D6" s="662">
        <f t="shared" si="0"/>
        <v>-36</v>
      </c>
      <c r="E6" s="645">
        <v>2</v>
      </c>
      <c r="F6" s="661">
        <v>91</v>
      </c>
      <c r="G6" s="662">
        <f t="shared" si="1"/>
        <v>-89</v>
      </c>
      <c r="H6" s="645" t="s">
        <v>176</v>
      </c>
      <c r="I6" s="661">
        <v>40.86</v>
      </c>
      <c r="J6" s="645" t="s">
        <v>177</v>
      </c>
      <c r="K6" s="661">
        <v>2.46</v>
      </c>
      <c r="L6" s="663">
        <v>7740.14</v>
      </c>
      <c r="M6" s="664">
        <v>123731.83</v>
      </c>
      <c r="N6" s="665">
        <f t="shared" si="2"/>
        <v>-115991.69</v>
      </c>
    </row>
    <row r="7" spans="1:26" ht="12.75" customHeight="1" x14ac:dyDescent="0.15">
      <c r="A7" s="653" t="s">
        <v>178</v>
      </c>
      <c r="B7" s="645">
        <v>15</v>
      </c>
      <c r="C7" s="661">
        <v>6</v>
      </c>
      <c r="D7" s="645">
        <f t="shared" si="0"/>
        <v>9</v>
      </c>
      <c r="E7" s="645">
        <v>24</v>
      </c>
      <c r="F7" s="661">
        <v>15</v>
      </c>
      <c r="G7" s="645">
        <f t="shared" si="1"/>
        <v>9</v>
      </c>
      <c r="H7" s="645" t="s">
        <v>179</v>
      </c>
      <c r="I7" s="661">
        <v>62.33</v>
      </c>
      <c r="J7" s="645" t="s">
        <v>180</v>
      </c>
      <c r="K7" s="661">
        <v>2.5</v>
      </c>
      <c r="L7" s="663">
        <v>33934.199999999997</v>
      </c>
      <c r="M7" s="664">
        <v>28539</v>
      </c>
      <c r="N7" s="663">
        <f t="shared" si="2"/>
        <v>5395.1999999999971</v>
      </c>
    </row>
    <row r="8" spans="1:26" ht="12.75" customHeight="1" x14ac:dyDescent="0.15">
      <c r="A8" s="653" t="s">
        <v>181</v>
      </c>
      <c r="B8" s="645"/>
      <c r="C8" s="661">
        <v>1</v>
      </c>
      <c r="D8" s="662">
        <f t="shared" si="0"/>
        <v>-1</v>
      </c>
      <c r="E8" s="645"/>
      <c r="F8" s="661">
        <v>1</v>
      </c>
      <c r="G8" s="662">
        <f t="shared" si="1"/>
        <v>-1</v>
      </c>
      <c r="H8" s="645"/>
      <c r="I8" s="661">
        <v>11</v>
      </c>
      <c r="J8" s="645"/>
      <c r="K8" s="661">
        <v>1</v>
      </c>
      <c r="L8" s="663"/>
      <c r="M8" s="664">
        <v>1292</v>
      </c>
      <c r="N8" s="665">
        <f t="shared" si="2"/>
        <v>-1292</v>
      </c>
    </row>
    <row r="9" spans="1:26" ht="12.75" customHeight="1" x14ac:dyDescent="0.15">
      <c r="A9" s="653" t="s">
        <v>182</v>
      </c>
      <c r="B9" s="645">
        <v>17</v>
      </c>
      <c r="C9" s="661"/>
      <c r="D9" s="645">
        <f t="shared" si="0"/>
        <v>17</v>
      </c>
      <c r="E9" s="645">
        <v>32</v>
      </c>
      <c r="F9" s="661"/>
      <c r="G9" s="645">
        <f t="shared" si="1"/>
        <v>32</v>
      </c>
      <c r="H9" s="645" t="s">
        <v>183</v>
      </c>
      <c r="I9" s="661"/>
      <c r="J9" s="645" t="s">
        <v>184</v>
      </c>
      <c r="K9" s="661"/>
      <c r="L9" s="663">
        <v>63481.55</v>
      </c>
      <c r="M9" s="664"/>
      <c r="N9" s="663">
        <f t="shared" si="2"/>
        <v>63481.55</v>
      </c>
    </row>
    <row r="10" spans="1:26" ht="12.75" customHeight="1" x14ac:dyDescent="0.15">
      <c r="A10" s="659" t="s">
        <v>161</v>
      </c>
      <c r="B10" s="48">
        <f t="shared" ref="B10:C10" si="3">SUM(B3:B9)</f>
        <v>54</v>
      </c>
      <c r="C10" s="660">
        <f t="shared" si="3"/>
        <v>119</v>
      </c>
      <c r="D10" s="666">
        <f t="shared" si="0"/>
        <v>-65</v>
      </c>
      <c r="E10" s="48">
        <f t="shared" ref="E10:F10" si="4">SUM(E3:E9)</f>
        <v>120</v>
      </c>
      <c r="F10" s="660">
        <f t="shared" si="4"/>
        <v>262</v>
      </c>
      <c r="G10" s="662">
        <f t="shared" si="1"/>
        <v>-142</v>
      </c>
      <c r="H10" s="48"/>
      <c r="I10" s="660"/>
      <c r="J10" s="48"/>
      <c r="K10" s="660"/>
      <c r="L10" s="667">
        <f t="shared" ref="L10:M10" si="5">SUM(L3:L9)</f>
        <v>261490.58000000002</v>
      </c>
      <c r="M10" s="668">
        <f t="shared" si="5"/>
        <v>474842.35000000003</v>
      </c>
      <c r="N10" s="665">
        <f t="shared" si="2"/>
        <v>-213351.77000000002</v>
      </c>
      <c r="O10" s="1"/>
      <c r="P10" s="1"/>
      <c r="Q10" s="1"/>
      <c r="R10" s="1"/>
      <c r="S10" s="1"/>
      <c r="T10" s="1"/>
      <c r="U10" s="1"/>
      <c r="V10" s="1"/>
      <c r="W10" s="1"/>
      <c r="X10" s="1"/>
      <c r="Y10" s="1"/>
      <c r="Z10" s="1"/>
    </row>
    <row r="11" spans="1:26" ht="12.75" customHeight="1" x14ac:dyDescent="0.15">
      <c r="B11" s="51"/>
      <c r="C11" s="51"/>
      <c r="D11" s="51"/>
      <c r="E11" s="51"/>
      <c r="F11" s="51"/>
      <c r="G11" s="51"/>
      <c r="H11" s="51"/>
      <c r="I11" s="51"/>
      <c r="J11" s="51"/>
      <c r="K11" s="51"/>
      <c r="L11" s="51"/>
      <c r="M11" s="51"/>
      <c r="N11" s="51"/>
    </row>
    <row r="12" spans="1:26" ht="12.75" customHeight="1" x14ac:dyDescent="0.15">
      <c r="B12" s="51"/>
      <c r="C12" s="51"/>
      <c r="D12" s="51"/>
      <c r="E12" s="51"/>
      <c r="F12" s="51"/>
      <c r="G12" s="51"/>
      <c r="H12" s="51"/>
      <c r="I12" s="51"/>
      <c r="J12" s="51"/>
      <c r="K12" s="51"/>
      <c r="L12" s="51"/>
      <c r="M12" s="51"/>
      <c r="N12" s="51"/>
    </row>
    <row r="13" spans="1:26" ht="12.75" customHeight="1" x14ac:dyDescent="0.15">
      <c r="B13" s="51"/>
      <c r="C13" s="51"/>
      <c r="D13" s="51"/>
      <c r="E13" s="51"/>
      <c r="F13" s="51"/>
      <c r="G13" s="51"/>
      <c r="H13" s="51"/>
      <c r="I13" s="51"/>
      <c r="J13" s="51"/>
      <c r="K13" s="51"/>
      <c r="L13" s="51"/>
      <c r="M13" s="51"/>
      <c r="N13" s="51"/>
    </row>
    <row r="14" spans="1:26" ht="12.75" customHeight="1" x14ac:dyDescent="0.15">
      <c r="B14" s="51"/>
      <c r="C14" s="51"/>
      <c r="D14" s="51"/>
      <c r="E14" s="51"/>
      <c r="F14" s="51"/>
      <c r="G14" s="51"/>
      <c r="H14" s="51"/>
      <c r="I14" s="51"/>
      <c r="J14" s="51"/>
      <c r="K14" s="51"/>
      <c r="L14" s="51"/>
      <c r="M14" s="51"/>
      <c r="N14" s="51"/>
    </row>
    <row r="15" spans="1:26" ht="12.75" customHeight="1" x14ac:dyDescent="0.15">
      <c r="B15" s="51"/>
      <c r="C15" s="51"/>
      <c r="D15" s="51"/>
      <c r="E15" s="51"/>
      <c r="F15" s="51"/>
      <c r="G15" s="51"/>
      <c r="H15" s="51"/>
      <c r="I15" s="51"/>
      <c r="J15" s="51"/>
      <c r="K15" s="51"/>
      <c r="L15" s="51"/>
      <c r="M15" s="51"/>
      <c r="N15" s="51"/>
    </row>
    <row r="16" spans="1:26" ht="12.75" customHeight="1" x14ac:dyDescent="0.15">
      <c r="B16" s="51"/>
      <c r="C16" s="51"/>
      <c r="D16" s="51"/>
      <c r="E16" s="51"/>
      <c r="F16" s="51"/>
      <c r="G16" s="51"/>
      <c r="H16" s="51"/>
      <c r="I16" s="51"/>
      <c r="J16" s="51"/>
      <c r="K16" s="51"/>
      <c r="L16" s="51"/>
      <c r="M16" s="51"/>
      <c r="N16" s="51"/>
    </row>
    <row r="17" spans="2:14" ht="12.75" customHeight="1" x14ac:dyDescent="0.15">
      <c r="B17" s="51"/>
      <c r="C17" s="51"/>
      <c r="D17" s="51"/>
      <c r="E17" s="51"/>
      <c r="F17" s="51"/>
      <c r="G17" s="51"/>
      <c r="H17" s="51"/>
      <c r="I17" s="51"/>
      <c r="J17" s="51"/>
      <c r="K17" s="51"/>
      <c r="L17" s="51"/>
      <c r="M17" s="51"/>
      <c r="N17" s="51"/>
    </row>
    <row r="18" spans="2:14" ht="12.75" customHeight="1" x14ac:dyDescent="0.15">
      <c r="B18" s="51"/>
      <c r="C18" s="51"/>
      <c r="D18" s="51"/>
      <c r="E18" s="51"/>
      <c r="F18" s="51"/>
      <c r="G18" s="51"/>
      <c r="H18" s="51"/>
      <c r="I18" s="51"/>
      <c r="J18" s="51"/>
      <c r="K18" s="51"/>
      <c r="L18" s="51"/>
      <c r="M18" s="51"/>
      <c r="N18" s="51"/>
    </row>
    <row r="19" spans="2:14" ht="12.75" customHeight="1" x14ac:dyDescent="0.15">
      <c r="B19" s="51"/>
      <c r="C19" s="51"/>
      <c r="D19" s="51"/>
      <c r="E19" s="51"/>
      <c r="F19" s="51"/>
      <c r="G19" s="51"/>
      <c r="H19" s="51"/>
      <c r="I19" s="51"/>
      <c r="J19" s="51"/>
      <c r="K19" s="51"/>
      <c r="L19" s="51"/>
      <c r="M19" s="51"/>
      <c r="N19" s="51"/>
    </row>
    <row r="20" spans="2:14" ht="12.75" customHeight="1" x14ac:dyDescent="0.15">
      <c r="B20" s="51"/>
      <c r="C20" s="51"/>
      <c r="D20" s="51"/>
      <c r="E20" s="51"/>
      <c r="F20" s="51"/>
      <c r="G20" s="51"/>
      <c r="H20" s="51"/>
      <c r="I20" s="51"/>
      <c r="J20" s="51"/>
      <c r="K20" s="51"/>
      <c r="L20" s="51"/>
      <c r="M20" s="51"/>
      <c r="N20" s="51"/>
    </row>
    <row r="21" spans="2:14" ht="12.75" customHeight="1" x14ac:dyDescent="0.15">
      <c r="B21" s="51"/>
      <c r="C21" s="51"/>
      <c r="D21" s="51"/>
      <c r="E21" s="51"/>
      <c r="F21" s="51"/>
      <c r="G21" s="51"/>
      <c r="H21" s="51"/>
      <c r="I21" s="51"/>
      <c r="J21" s="51"/>
      <c r="K21" s="51"/>
      <c r="L21" s="51"/>
      <c r="M21" s="51"/>
      <c r="N21" s="51"/>
    </row>
    <row r="22" spans="2:14" ht="12.75" customHeight="1" x14ac:dyDescent="0.15">
      <c r="B22" s="51"/>
      <c r="C22" s="51"/>
      <c r="D22" s="51"/>
      <c r="E22" s="51"/>
      <c r="F22" s="51"/>
      <c r="G22" s="51"/>
      <c r="H22" s="51"/>
      <c r="I22" s="51"/>
      <c r="J22" s="51"/>
      <c r="K22" s="51"/>
      <c r="L22" s="51"/>
      <c r="M22" s="51"/>
      <c r="N22" s="51"/>
    </row>
    <row r="23" spans="2:14" ht="12.75" customHeight="1" x14ac:dyDescent="0.15">
      <c r="B23" s="51"/>
      <c r="C23" s="51"/>
      <c r="D23" s="51"/>
      <c r="E23" s="51"/>
      <c r="F23" s="51"/>
      <c r="G23" s="51"/>
      <c r="H23" s="51"/>
      <c r="I23" s="51"/>
      <c r="J23" s="51"/>
      <c r="K23" s="51"/>
      <c r="L23" s="51"/>
      <c r="M23" s="51"/>
      <c r="N23" s="51"/>
    </row>
    <row r="24" spans="2:14" ht="12.75" customHeight="1" x14ac:dyDescent="0.15">
      <c r="B24" s="51"/>
      <c r="C24" s="51"/>
      <c r="D24" s="51"/>
      <c r="E24" s="51"/>
      <c r="F24" s="51"/>
      <c r="G24" s="51"/>
      <c r="H24" s="51"/>
      <c r="I24" s="51"/>
      <c r="J24" s="51"/>
      <c r="K24" s="51"/>
      <c r="L24" s="51"/>
      <c r="M24" s="51"/>
      <c r="N24" s="51"/>
    </row>
    <row r="25" spans="2:14" ht="12.75" customHeight="1" x14ac:dyDescent="0.15">
      <c r="B25" s="51"/>
      <c r="C25" s="51"/>
      <c r="D25" s="51"/>
      <c r="E25" s="51"/>
      <c r="F25" s="51"/>
      <c r="G25" s="51"/>
      <c r="H25" s="51"/>
      <c r="I25" s="51"/>
      <c r="J25" s="51"/>
      <c r="K25" s="51"/>
      <c r="L25" s="51"/>
      <c r="M25" s="51"/>
      <c r="N25" s="51"/>
    </row>
    <row r="26" spans="2:14" ht="12.75" customHeight="1" x14ac:dyDescent="0.15">
      <c r="B26" s="51"/>
      <c r="C26" s="51"/>
      <c r="D26" s="51"/>
      <c r="E26" s="51"/>
      <c r="F26" s="51"/>
      <c r="G26" s="51"/>
      <c r="H26" s="51"/>
      <c r="I26" s="51"/>
      <c r="J26" s="51"/>
      <c r="K26" s="51"/>
      <c r="L26" s="51"/>
      <c r="M26" s="51"/>
      <c r="N26" s="51"/>
    </row>
    <row r="27" spans="2:14" ht="12.75" customHeight="1" x14ac:dyDescent="0.15">
      <c r="B27" s="51"/>
      <c r="C27" s="51"/>
      <c r="D27" s="51"/>
      <c r="E27" s="51"/>
      <c r="F27" s="51"/>
      <c r="G27" s="51"/>
      <c r="H27" s="51"/>
      <c r="I27" s="51"/>
      <c r="J27" s="51"/>
      <c r="K27" s="51"/>
      <c r="L27" s="51"/>
      <c r="M27" s="51"/>
      <c r="N27" s="51"/>
    </row>
    <row r="28" spans="2:14" ht="12.75" customHeight="1" x14ac:dyDescent="0.15">
      <c r="B28" s="51"/>
      <c r="C28" s="51"/>
      <c r="D28" s="51"/>
      <c r="E28" s="51"/>
      <c r="F28" s="51"/>
      <c r="G28" s="51"/>
      <c r="H28" s="51"/>
      <c r="I28" s="51"/>
      <c r="J28" s="51"/>
      <c r="K28" s="51"/>
      <c r="L28" s="51"/>
      <c r="M28" s="51"/>
      <c r="N28" s="51"/>
    </row>
    <row r="29" spans="2:14" ht="12.75" customHeight="1" x14ac:dyDescent="0.15">
      <c r="B29" s="51"/>
      <c r="C29" s="51"/>
      <c r="D29" s="51"/>
      <c r="E29" s="51"/>
      <c r="F29" s="51"/>
      <c r="G29" s="51"/>
      <c r="H29" s="51"/>
      <c r="I29" s="51"/>
      <c r="J29" s="51"/>
      <c r="K29" s="51"/>
      <c r="L29" s="51"/>
      <c r="M29" s="51"/>
      <c r="N29" s="51"/>
    </row>
    <row r="30" spans="2:14" ht="12.75" customHeight="1" x14ac:dyDescent="0.15">
      <c r="B30" s="51"/>
      <c r="C30" s="51"/>
      <c r="D30" s="51"/>
      <c r="E30" s="51"/>
      <c r="F30" s="51"/>
      <c r="G30" s="51"/>
      <c r="H30" s="51"/>
      <c r="I30" s="51"/>
      <c r="J30" s="51"/>
      <c r="K30" s="51"/>
      <c r="L30" s="51"/>
      <c r="M30" s="51"/>
      <c r="N30" s="51"/>
    </row>
    <row r="31" spans="2:14" ht="12.75" customHeight="1" x14ac:dyDescent="0.15">
      <c r="B31" s="51"/>
      <c r="C31" s="51"/>
      <c r="D31" s="51"/>
      <c r="E31" s="51"/>
      <c r="F31" s="51"/>
      <c r="G31" s="51"/>
      <c r="H31" s="51"/>
      <c r="I31" s="51"/>
      <c r="J31" s="51"/>
      <c r="K31" s="51"/>
      <c r="L31" s="51"/>
      <c r="M31" s="51"/>
      <c r="N31" s="51"/>
    </row>
    <row r="32" spans="2:14" ht="12.75" customHeight="1" x14ac:dyDescent="0.15">
      <c r="B32" s="51"/>
      <c r="C32" s="51"/>
      <c r="D32" s="51"/>
      <c r="E32" s="51"/>
      <c r="F32" s="51"/>
      <c r="G32" s="51"/>
      <c r="H32" s="51"/>
      <c r="I32" s="51"/>
      <c r="J32" s="51"/>
      <c r="K32" s="51"/>
      <c r="L32" s="51"/>
      <c r="M32" s="51"/>
      <c r="N32" s="51"/>
    </row>
    <row r="33" spans="2:14" ht="12.75" customHeight="1" x14ac:dyDescent="0.15">
      <c r="B33" s="51"/>
      <c r="C33" s="51"/>
      <c r="D33" s="51"/>
      <c r="E33" s="51"/>
      <c r="F33" s="51"/>
      <c r="G33" s="51"/>
      <c r="H33" s="51"/>
      <c r="I33" s="51"/>
      <c r="J33" s="51"/>
      <c r="K33" s="51"/>
      <c r="L33" s="51"/>
      <c r="M33" s="51"/>
      <c r="N33" s="51"/>
    </row>
    <row r="34" spans="2:14" ht="12.75" customHeight="1" x14ac:dyDescent="0.15">
      <c r="B34" s="51"/>
      <c r="C34" s="51"/>
      <c r="D34" s="51"/>
      <c r="E34" s="51"/>
      <c r="F34" s="51"/>
      <c r="G34" s="51"/>
      <c r="H34" s="51"/>
      <c r="I34" s="51"/>
      <c r="J34" s="51"/>
      <c r="K34" s="51"/>
      <c r="L34" s="51"/>
      <c r="M34" s="51"/>
      <c r="N34" s="51"/>
    </row>
    <row r="35" spans="2:14" ht="12.75" customHeight="1" x14ac:dyDescent="0.15">
      <c r="B35" s="51"/>
      <c r="C35" s="51"/>
      <c r="D35" s="51"/>
      <c r="E35" s="51"/>
      <c r="F35" s="51"/>
      <c r="G35" s="51"/>
      <c r="H35" s="51"/>
      <c r="I35" s="51"/>
      <c r="J35" s="51"/>
      <c r="K35" s="51"/>
      <c r="L35" s="51"/>
      <c r="M35" s="51"/>
      <c r="N35" s="51"/>
    </row>
    <row r="36" spans="2:14" ht="12.75" customHeight="1" x14ac:dyDescent="0.15">
      <c r="B36" s="51"/>
      <c r="C36" s="51"/>
      <c r="D36" s="51"/>
      <c r="E36" s="51"/>
      <c r="F36" s="51"/>
      <c r="G36" s="51"/>
      <c r="H36" s="51"/>
      <c r="I36" s="51"/>
      <c r="J36" s="51"/>
      <c r="K36" s="51"/>
      <c r="L36" s="51"/>
      <c r="M36" s="51"/>
      <c r="N36" s="51"/>
    </row>
    <row r="37" spans="2:14" ht="12.75" customHeight="1" x14ac:dyDescent="0.15">
      <c r="B37" s="51"/>
      <c r="C37" s="51"/>
      <c r="D37" s="51"/>
      <c r="E37" s="51"/>
      <c r="F37" s="51"/>
      <c r="G37" s="51"/>
      <c r="H37" s="51"/>
      <c r="I37" s="51"/>
      <c r="J37" s="51"/>
      <c r="K37" s="51"/>
      <c r="L37" s="51"/>
      <c r="M37" s="51"/>
      <c r="N37" s="51"/>
    </row>
    <row r="38" spans="2:14" ht="12.75" customHeight="1" x14ac:dyDescent="0.15">
      <c r="B38" s="51"/>
      <c r="C38" s="51"/>
      <c r="D38" s="51"/>
      <c r="E38" s="51"/>
      <c r="F38" s="51"/>
      <c r="G38" s="51"/>
      <c r="H38" s="51"/>
      <c r="I38" s="51"/>
      <c r="J38" s="51"/>
      <c r="K38" s="51"/>
      <c r="L38" s="51"/>
      <c r="M38" s="51"/>
      <c r="N38" s="51"/>
    </row>
    <row r="39" spans="2:14" ht="12.75" customHeight="1" x14ac:dyDescent="0.15">
      <c r="B39" s="51"/>
      <c r="C39" s="51"/>
      <c r="D39" s="51"/>
      <c r="E39" s="51"/>
      <c r="F39" s="51"/>
      <c r="G39" s="51"/>
      <c r="H39" s="51"/>
      <c r="I39" s="51"/>
      <c r="J39" s="51"/>
      <c r="K39" s="51"/>
      <c r="L39" s="51"/>
      <c r="M39" s="51"/>
      <c r="N39" s="51"/>
    </row>
    <row r="40" spans="2:14" ht="12.75" customHeight="1" x14ac:dyDescent="0.15">
      <c r="B40" s="51"/>
      <c r="C40" s="51"/>
      <c r="D40" s="51"/>
      <c r="E40" s="51"/>
      <c r="F40" s="51"/>
      <c r="G40" s="51"/>
      <c r="H40" s="51"/>
      <c r="I40" s="51"/>
      <c r="J40" s="51"/>
      <c r="K40" s="51"/>
      <c r="L40" s="51"/>
      <c r="M40" s="51"/>
      <c r="N40" s="51"/>
    </row>
    <row r="41" spans="2:14" ht="12.75" customHeight="1" x14ac:dyDescent="0.15">
      <c r="B41" s="51"/>
      <c r="C41" s="51"/>
      <c r="D41" s="51"/>
      <c r="E41" s="51"/>
      <c r="F41" s="51"/>
      <c r="G41" s="51"/>
      <c r="H41" s="51"/>
      <c r="I41" s="51"/>
      <c r="J41" s="51"/>
      <c r="K41" s="51"/>
      <c r="L41" s="51"/>
      <c r="M41" s="51"/>
      <c r="N41" s="51"/>
    </row>
    <row r="42" spans="2:14" ht="12.75" customHeight="1" x14ac:dyDescent="0.15">
      <c r="B42" s="51"/>
      <c r="C42" s="51"/>
      <c r="D42" s="51"/>
      <c r="E42" s="51"/>
      <c r="F42" s="51"/>
      <c r="G42" s="51"/>
      <c r="H42" s="51"/>
      <c r="I42" s="51"/>
      <c r="J42" s="51"/>
      <c r="K42" s="51"/>
      <c r="L42" s="51"/>
      <c r="M42" s="51"/>
      <c r="N42" s="51"/>
    </row>
    <row r="43" spans="2:14" ht="12.75" customHeight="1" x14ac:dyDescent="0.15">
      <c r="B43" s="51"/>
      <c r="C43" s="51"/>
      <c r="D43" s="51"/>
      <c r="E43" s="51"/>
      <c r="F43" s="51"/>
      <c r="G43" s="51"/>
      <c r="H43" s="51"/>
      <c r="I43" s="51"/>
      <c r="J43" s="51"/>
      <c r="K43" s="51"/>
      <c r="L43" s="51"/>
      <c r="M43" s="51"/>
      <c r="N43" s="51"/>
    </row>
    <row r="44" spans="2:14" ht="12.75" customHeight="1" x14ac:dyDescent="0.15">
      <c r="B44" s="51"/>
      <c r="C44" s="51"/>
      <c r="D44" s="51"/>
      <c r="E44" s="51"/>
      <c r="F44" s="51"/>
      <c r="G44" s="51"/>
      <c r="H44" s="51"/>
      <c r="I44" s="51"/>
      <c r="J44" s="51"/>
      <c r="K44" s="51"/>
      <c r="L44" s="51"/>
      <c r="M44" s="51"/>
      <c r="N44" s="51"/>
    </row>
    <row r="45" spans="2:14" ht="12.75" customHeight="1" x14ac:dyDescent="0.15">
      <c r="B45" s="51"/>
      <c r="C45" s="51"/>
      <c r="D45" s="51"/>
      <c r="E45" s="51"/>
      <c r="F45" s="51"/>
      <c r="G45" s="51"/>
      <c r="H45" s="51"/>
      <c r="I45" s="51"/>
      <c r="J45" s="51"/>
      <c r="K45" s="51"/>
      <c r="L45" s="51"/>
      <c r="M45" s="51"/>
      <c r="N45" s="51"/>
    </row>
    <row r="46" spans="2:14" ht="12.75" customHeight="1" x14ac:dyDescent="0.15">
      <c r="B46" s="51"/>
      <c r="C46" s="51"/>
      <c r="D46" s="51"/>
      <c r="E46" s="51"/>
      <c r="F46" s="51"/>
      <c r="G46" s="51"/>
      <c r="H46" s="51"/>
      <c r="I46" s="51"/>
      <c r="J46" s="51"/>
      <c r="K46" s="51"/>
      <c r="L46" s="51"/>
      <c r="M46" s="51"/>
      <c r="N46" s="51"/>
    </row>
    <row r="47" spans="2:14" ht="12.75" customHeight="1" x14ac:dyDescent="0.15">
      <c r="B47" s="51"/>
      <c r="C47" s="51"/>
      <c r="D47" s="51"/>
      <c r="E47" s="51"/>
      <c r="F47" s="51"/>
      <c r="G47" s="51"/>
      <c r="H47" s="51"/>
      <c r="I47" s="51"/>
      <c r="J47" s="51"/>
      <c r="K47" s="51"/>
      <c r="L47" s="51"/>
      <c r="M47" s="51"/>
      <c r="N47" s="51"/>
    </row>
    <row r="48" spans="2:14" ht="12.75" customHeight="1" x14ac:dyDescent="0.15">
      <c r="B48" s="51"/>
      <c r="C48" s="51"/>
      <c r="D48" s="51"/>
      <c r="E48" s="51"/>
      <c r="F48" s="51"/>
      <c r="G48" s="51"/>
      <c r="H48" s="51"/>
      <c r="I48" s="51"/>
      <c r="J48" s="51"/>
      <c r="K48" s="51"/>
      <c r="L48" s="51"/>
      <c r="M48" s="51"/>
      <c r="N48" s="51"/>
    </row>
    <row r="49" spans="2:14" ht="12.75" customHeight="1" x14ac:dyDescent="0.15">
      <c r="B49" s="51"/>
      <c r="C49" s="51"/>
      <c r="D49" s="51"/>
      <c r="E49" s="51"/>
      <c r="F49" s="51"/>
      <c r="G49" s="51"/>
      <c r="H49" s="51"/>
      <c r="I49" s="51"/>
      <c r="J49" s="51"/>
      <c r="K49" s="51"/>
      <c r="L49" s="51"/>
      <c r="M49" s="51"/>
      <c r="N49" s="51"/>
    </row>
    <row r="50" spans="2:14" ht="12.75" customHeight="1" x14ac:dyDescent="0.15">
      <c r="B50" s="51"/>
      <c r="C50" s="51"/>
      <c r="D50" s="51"/>
      <c r="E50" s="51"/>
      <c r="F50" s="51"/>
      <c r="G50" s="51"/>
      <c r="H50" s="51"/>
      <c r="I50" s="51"/>
      <c r="J50" s="51"/>
      <c r="K50" s="51"/>
      <c r="L50" s="51"/>
      <c r="M50" s="51"/>
      <c r="N50" s="51"/>
    </row>
    <row r="51" spans="2:14" ht="12.75" customHeight="1" x14ac:dyDescent="0.15">
      <c r="B51" s="51"/>
      <c r="C51" s="51"/>
      <c r="D51" s="51"/>
      <c r="E51" s="51"/>
      <c r="F51" s="51"/>
      <c r="G51" s="51"/>
      <c r="H51" s="51"/>
      <c r="I51" s="51"/>
      <c r="J51" s="51"/>
      <c r="K51" s="51"/>
      <c r="L51" s="51"/>
      <c r="M51" s="51"/>
      <c r="N51" s="51"/>
    </row>
    <row r="52" spans="2:14" ht="12.75" customHeight="1" x14ac:dyDescent="0.15">
      <c r="B52" s="51"/>
      <c r="C52" s="51"/>
      <c r="D52" s="51"/>
      <c r="E52" s="51"/>
      <c r="F52" s="51"/>
      <c r="G52" s="51"/>
      <c r="H52" s="51"/>
      <c r="I52" s="51"/>
      <c r="J52" s="51"/>
      <c r="K52" s="51"/>
      <c r="L52" s="51"/>
      <c r="M52" s="51"/>
      <c r="N52" s="51"/>
    </row>
    <row r="53" spans="2:14" ht="12.75" customHeight="1" x14ac:dyDescent="0.15">
      <c r="B53" s="51"/>
      <c r="C53" s="51"/>
      <c r="D53" s="51"/>
      <c r="E53" s="51"/>
      <c r="F53" s="51"/>
      <c r="G53" s="51"/>
      <c r="H53" s="51"/>
      <c r="I53" s="51"/>
      <c r="J53" s="51"/>
      <c r="K53" s="51"/>
      <c r="L53" s="51"/>
      <c r="M53" s="51"/>
      <c r="N53" s="51"/>
    </row>
    <row r="54" spans="2:14" ht="12.75" customHeight="1" x14ac:dyDescent="0.15">
      <c r="B54" s="51"/>
      <c r="C54" s="51"/>
      <c r="D54" s="51"/>
      <c r="E54" s="51"/>
      <c r="F54" s="51"/>
      <c r="G54" s="51"/>
      <c r="H54" s="51"/>
      <c r="I54" s="51"/>
      <c r="J54" s="51"/>
      <c r="K54" s="51"/>
      <c r="L54" s="51"/>
      <c r="M54" s="51"/>
      <c r="N54" s="51"/>
    </row>
    <row r="55" spans="2:14" ht="12.75" customHeight="1" x14ac:dyDescent="0.15">
      <c r="B55" s="51"/>
      <c r="C55" s="51"/>
      <c r="D55" s="51"/>
      <c r="E55" s="51"/>
      <c r="F55" s="51"/>
      <c r="G55" s="51"/>
      <c r="H55" s="51"/>
      <c r="I55" s="51"/>
      <c r="J55" s="51"/>
      <c r="K55" s="51"/>
      <c r="L55" s="51"/>
      <c r="M55" s="51"/>
      <c r="N55" s="51"/>
    </row>
    <row r="56" spans="2:14" ht="12.75" customHeight="1" x14ac:dyDescent="0.15">
      <c r="B56" s="51"/>
      <c r="C56" s="51"/>
      <c r="D56" s="51"/>
      <c r="E56" s="51"/>
      <c r="F56" s="51"/>
      <c r="G56" s="51"/>
      <c r="H56" s="51"/>
      <c r="I56" s="51"/>
      <c r="J56" s="51"/>
      <c r="K56" s="51"/>
      <c r="L56" s="51"/>
      <c r="M56" s="51"/>
      <c r="N56" s="51"/>
    </row>
    <row r="57" spans="2:14" ht="12.75" customHeight="1" x14ac:dyDescent="0.15">
      <c r="B57" s="51"/>
      <c r="C57" s="51"/>
      <c r="D57" s="51"/>
      <c r="E57" s="51"/>
      <c r="F57" s="51"/>
      <c r="G57" s="51"/>
      <c r="H57" s="51"/>
      <c r="I57" s="51"/>
      <c r="J57" s="51"/>
      <c r="K57" s="51"/>
      <c r="L57" s="51"/>
      <c r="M57" s="51"/>
      <c r="N57" s="51"/>
    </row>
    <row r="58" spans="2:14" ht="12.75" customHeight="1" x14ac:dyDescent="0.15">
      <c r="B58" s="51"/>
      <c r="C58" s="51"/>
      <c r="D58" s="51"/>
      <c r="E58" s="51"/>
      <c r="F58" s="51"/>
      <c r="G58" s="51"/>
      <c r="H58" s="51"/>
      <c r="I58" s="51"/>
      <c r="J58" s="51"/>
      <c r="K58" s="51"/>
      <c r="L58" s="51"/>
      <c r="M58" s="51"/>
      <c r="N58" s="51"/>
    </row>
    <row r="59" spans="2:14" ht="12.75" customHeight="1" x14ac:dyDescent="0.15">
      <c r="B59" s="51"/>
      <c r="C59" s="51"/>
      <c r="D59" s="51"/>
      <c r="E59" s="51"/>
      <c r="F59" s="51"/>
      <c r="G59" s="51"/>
      <c r="H59" s="51"/>
      <c r="I59" s="51"/>
      <c r="J59" s="51"/>
      <c r="K59" s="51"/>
      <c r="L59" s="51"/>
      <c r="M59" s="51"/>
      <c r="N59" s="51"/>
    </row>
    <row r="60" spans="2:14" ht="12.75" customHeight="1" x14ac:dyDescent="0.15">
      <c r="B60" s="51"/>
      <c r="C60" s="51"/>
      <c r="D60" s="51"/>
      <c r="E60" s="51"/>
      <c r="F60" s="51"/>
      <c r="G60" s="51"/>
      <c r="H60" s="51"/>
      <c r="I60" s="51"/>
      <c r="J60" s="51"/>
      <c r="K60" s="51"/>
      <c r="L60" s="51"/>
      <c r="M60" s="51"/>
      <c r="N60" s="51"/>
    </row>
    <row r="61" spans="2:14" ht="12.75" customHeight="1" x14ac:dyDescent="0.15">
      <c r="B61" s="51"/>
      <c r="C61" s="51"/>
      <c r="D61" s="51"/>
      <c r="E61" s="51"/>
      <c r="F61" s="51"/>
      <c r="G61" s="51"/>
      <c r="H61" s="51"/>
      <c r="I61" s="51"/>
      <c r="J61" s="51"/>
      <c r="K61" s="51"/>
      <c r="L61" s="51"/>
      <c r="M61" s="51"/>
      <c r="N61" s="51"/>
    </row>
    <row r="62" spans="2:14" ht="12.75" customHeight="1" x14ac:dyDescent="0.15">
      <c r="B62" s="51"/>
      <c r="C62" s="51"/>
      <c r="D62" s="51"/>
      <c r="E62" s="51"/>
      <c r="F62" s="51"/>
      <c r="G62" s="51"/>
      <c r="H62" s="51"/>
      <c r="I62" s="51"/>
      <c r="J62" s="51"/>
      <c r="K62" s="51"/>
      <c r="L62" s="51"/>
      <c r="M62" s="51"/>
      <c r="N62" s="51"/>
    </row>
    <row r="63" spans="2:14" ht="12.75" customHeight="1" x14ac:dyDescent="0.15">
      <c r="B63" s="51"/>
      <c r="C63" s="51"/>
      <c r="D63" s="51"/>
      <c r="E63" s="51"/>
      <c r="F63" s="51"/>
      <c r="G63" s="51"/>
      <c r="H63" s="51"/>
      <c r="I63" s="51"/>
      <c r="J63" s="51"/>
      <c r="K63" s="51"/>
      <c r="L63" s="51"/>
      <c r="M63" s="51"/>
      <c r="N63" s="51"/>
    </row>
    <row r="64" spans="2:14" ht="12.75" customHeight="1" x14ac:dyDescent="0.15">
      <c r="B64" s="51"/>
      <c r="C64" s="51"/>
      <c r="D64" s="51"/>
      <c r="E64" s="51"/>
      <c r="F64" s="51"/>
      <c r="G64" s="51"/>
      <c r="H64" s="51"/>
      <c r="I64" s="51"/>
      <c r="J64" s="51"/>
      <c r="K64" s="51"/>
      <c r="L64" s="51"/>
      <c r="M64" s="51"/>
      <c r="N64" s="51"/>
    </row>
    <row r="65" spans="2:14" ht="12.75" customHeight="1" x14ac:dyDescent="0.15">
      <c r="B65" s="51"/>
      <c r="C65" s="51"/>
      <c r="D65" s="51"/>
      <c r="E65" s="51"/>
      <c r="F65" s="51"/>
      <c r="G65" s="51"/>
      <c r="H65" s="51"/>
      <c r="I65" s="51"/>
      <c r="J65" s="51"/>
      <c r="K65" s="51"/>
      <c r="L65" s="51"/>
      <c r="M65" s="51"/>
      <c r="N65" s="51"/>
    </row>
    <row r="66" spans="2:14" ht="12.75" customHeight="1" x14ac:dyDescent="0.15">
      <c r="B66" s="51"/>
      <c r="C66" s="51"/>
      <c r="D66" s="51"/>
      <c r="E66" s="51"/>
      <c r="F66" s="51"/>
      <c r="G66" s="51"/>
      <c r="H66" s="51"/>
      <c r="I66" s="51"/>
      <c r="J66" s="51"/>
      <c r="K66" s="51"/>
      <c r="L66" s="51"/>
      <c r="M66" s="51"/>
      <c r="N66" s="51"/>
    </row>
    <row r="67" spans="2:14" ht="12.75" customHeight="1" x14ac:dyDescent="0.15">
      <c r="B67" s="51"/>
      <c r="C67" s="51"/>
      <c r="D67" s="51"/>
      <c r="E67" s="51"/>
      <c r="F67" s="51"/>
      <c r="G67" s="51"/>
      <c r="H67" s="51"/>
      <c r="I67" s="51"/>
      <c r="J67" s="51"/>
      <c r="K67" s="51"/>
      <c r="L67" s="51"/>
      <c r="M67" s="51"/>
      <c r="N67" s="51"/>
    </row>
    <row r="68" spans="2:14" ht="12.75" customHeight="1" x14ac:dyDescent="0.15">
      <c r="B68" s="51"/>
      <c r="C68" s="51"/>
      <c r="D68" s="51"/>
      <c r="E68" s="51"/>
      <c r="F68" s="51"/>
      <c r="G68" s="51"/>
      <c r="H68" s="51"/>
      <c r="I68" s="51"/>
      <c r="J68" s="51"/>
      <c r="K68" s="51"/>
      <c r="L68" s="51"/>
      <c r="M68" s="51"/>
      <c r="N68" s="51"/>
    </row>
    <row r="69" spans="2:14" ht="12.75" customHeight="1" x14ac:dyDescent="0.15">
      <c r="B69" s="51"/>
      <c r="C69" s="51"/>
      <c r="D69" s="51"/>
      <c r="E69" s="51"/>
      <c r="F69" s="51"/>
      <c r="G69" s="51"/>
      <c r="H69" s="51"/>
      <c r="I69" s="51"/>
      <c r="J69" s="51"/>
      <c r="K69" s="51"/>
      <c r="L69" s="51"/>
      <c r="M69" s="51"/>
      <c r="N69" s="51"/>
    </row>
    <row r="70" spans="2:14" ht="12.75" customHeight="1" x14ac:dyDescent="0.15">
      <c r="B70" s="51"/>
      <c r="C70" s="51"/>
      <c r="D70" s="51"/>
      <c r="E70" s="51"/>
      <c r="F70" s="51"/>
      <c r="G70" s="51"/>
      <c r="H70" s="51"/>
      <c r="I70" s="51"/>
      <c r="J70" s="51"/>
      <c r="K70" s="51"/>
      <c r="L70" s="51"/>
      <c r="M70" s="51"/>
      <c r="N70" s="51"/>
    </row>
    <row r="71" spans="2:14" ht="12.75" customHeight="1" x14ac:dyDescent="0.15">
      <c r="B71" s="51"/>
      <c r="C71" s="51"/>
      <c r="D71" s="51"/>
      <c r="E71" s="51"/>
      <c r="F71" s="51"/>
      <c r="G71" s="51"/>
      <c r="H71" s="51"/>
      <c r="I71" s="51"/>
      <c r="J71" s="51"/>
      <c r="K71" s="51"/>
      <c r="L71" s="51"/>
      <c r="M71" s="51"/>
      <c r="N71" s="51"/>
    </row>
    <row r="72" spans="2:14" ht="12.75" customHeight="1" x14ac:dyDescent="0.15">
      <c r="B72" s="51"/>
      <c r="C72" s="51"/>
      <c r="D72" s="51"/>
      <c r="E72" s="51"/>
      <c r="F72" s="51"/>
      <c r="G72" s="51"/>
      <c r="H72" s="51"/>
      <c r="I72" s="51"/>
      <c r="J72" s="51"/>
      <c r="K72" s="51"/>
      <c r="L72" s="51"/>
      <c r="M72" s="51"/>
      <c r="N72" s="51"/>
    </row>
    <row r="73" spans="2:14" ht="12.75" customHeight="1" x14ac:dyDescent="0.15">
      <c r="B73" s="51"/>
      <c r="C73" s="51"/>
      <c r="D73" s="51"/>
      <c r="E73" s="51"/>
      <c r="F73" s="51"/>
      <c r="G73" s="51"/>
      <c r="H73" s="51"/>
      <c r="I73" s="51"/>
      <c r="J73" s="51"/>
      <c r="K73" s="51"/>
      <c r="L73" s="51"/>
      <c r="M73" s="51"/>
      <c r="N73" s="51"/>
    </row>
    <row r="74" spans="2:14" ht="12.75" customHeight="1" x14ac:dyDescent="0.15">
      <c r="B74" s="51"/>
      <c r="C74" s="51"/>
      <c r="D74" s="51"/>
      <c r="E74" s="51"/>
      <c r="F74" s="51"/>
      <c r="G74" s="51"/>
      <c r="H74" s="51"/>
      <c r="I74" s="51"/>
      <c r="J74" s="51"/>
      <c r="K74" s="51"/>
      <c r="L74" s="51"/>
      <c r="M74" s="51"/>
      <c r="N74" s="51"/>
    </row>
    <row r="75" spans="2:14" ht="12.75" customHeight="1" x14ac:dyDescent="0.15">
      <c r="B75" s="51"/>
      <c r="C75" s="51"/>
      <c r="D75" s="51"/>
      <c r="E75" s="51"/>
      <c r="F75" s="51"/>
      <c r="G75" s="51"/>
      <c r="H75" s="51"/>
      <c r="I75" s="51"/>
      <c r="J75" s="51"/>
      <c r="K75" s="51"/>
      <c r="L75" s="51"/>
      <c r="M75" s="51"/>
      <c r="N75" s="51"/>
    </row>
    <row r="76" spans="2:14" ht="12.75" customHeight="1" x14ac:dyDescent="0.15">
      <c r="B76" s="51"/>
      <c r="C76" s="51"/>
      <c r="D76" s="51"/>
      <c r="E76" s="51"/>
      <c r="F76" s="51"/>
      <c r="G76" s="51"/>
      <c r="H76" s="51"/>
      <c r="I76" s="51"/>
      <c r="J76" s="51"/>
      <c r="K76" s="51"/>
      <c r="L76" s="51"/>
      <c r="M76" s="51"/>
      <c r="N76" s="51"/>
    </row>
    <row r="77" spans="2:14" ht="12.75" customHeight="1" x14ac:dyDescent="0.15">
      <c r="B77" s="51"/>
      <c r="C77" s="51"/>
      <c r="D77" s="51"/>
      <c r="E77" s="51"/>
      <c r="F77" s="51"/>
      <c r="G77" s="51"/>
      <c r="H77" s="51"/>
      <c r="I77" s="51"/>
      <c r="J77" s="51"/>
      <c r="K77" s="51"/>
      <c r="L77" s="51"/>
      <c r="M77" s="51"/>
      <c r="N77" s="51"/>
    </row>
    <row r="78" spans="2:14" ht="12.75" customHeight="1" x14ac:dyDescent="0.15">
      <c r="B78" s="51"/>
      <c r="C78" s="51"/>
      <c r="D78" s="51"/>
      <c r="E78" s="51"/>
      <c r="F78" s="51"/>
      <c r="G78" s="51"/>
      <c r="H78" s="51"/>
      <c r="I78" s="51"/>
      <c r="J78" s="51"/>
      <c r="K78" s="51"/>
      <c r="L78" s="51"/>
      <c r="M78" s="51"/>
      <c r="N78" s="51"/>
    </row>
    <row r="79" spans="2:14" ht="12.75" customHeight="1" x14ac:dyDescent="0.15">
      <c r="B79" s="51"/>
      <c r="C79" s="51"/>
      <c r="D79" s="51"/>
      <c r="E79" s="51"/>
      <c r="F79" s="51"/>
      <c r="G79" s="51"/>
      <c r="H79" s="51"/>
      <c r="I79" s="51"/>
      <c r="J79" s="51"/>
      <c r="K79" s="51"/>
      <c r="L79" s="51"/>
      <c r="M79" s="51"/>
      <c r="N79" s="51"/>
    </row>
    <row r="80" spans="2:14" ht="12.75" customHeight="1" x14ac:dyDescent="0.15">
      <c r="B80" s="51"/>
      <c r="C80" s="51"/>
      <c r="D80" s="51"/>
      <c r="E80" s="51"/>
      <c r="F80" s="51"/>
      <c r="G80" s="51"/>
      <c r="H80" s="51"/>
      <c r="I80" s="51"/>
      <c r="J80" s="51"/>
      <c r="K80" s="51"/>
      <c r="L80" s="51"/>
      <c r="M80" s="51"/>
      <c r="N80" s="51"/>
    </row>
    <row r="81" spans="2:14" ht="12.75" customHeight="1" x14ac:dyDescent="0.15">
      <c r="B81" s="51"/>
      <c r="C81" s="51"/>
      <c r="D81" s="51"/>
      <c r="E81" s="51"/>
      <c r="F81" s="51"/>
      <c r="G81" s="51"/>
      <c r="H81" s="51"/>
      <c r="I81" s="51"/>
      <c r="J81" s="51"/>
      <c r="K81" s="51"/>
      <c r="L81" s="51"/>
      <c r="M81" s="51"/>
      <c r="N81" s="51"/>
    </row>
    <row r="82" spans="2:14" ht="12.75" customHeight="1" x14ac:dyDescent="0.15">
      <c r="B82" s="51"/>
      <c r="C82" s="51"/>
      <c r="D82" s="51"/>
      <c r="E82" s="51"/>
      <c r="F82" s="51"/>
      <c r="G82" s="51"/>
      <c r="H82" s="51"/>
      <c r="I82" s="51"/>
      <c r="J82" s="51"/>
      <c r="K82" s="51"/>
      <c r="L82" s="51"/>
      <c r="M82" s="51"/>
      <c r="N82" s="51"/>
    </row>
    <row r="83" spans="2:14" ht="12.75" customHeight="1" x14ac:dyDescent="0.15">
      <c r="B83" s="51"/>
      <c r="C83" s="51"/>
      <c r="D83" s="51"/>
      <c r="E83" s="51"/>
      <c r="F83" s="51"/>
      <c r="G83" s="51"/>
      <c r="H83" s="51"/>
      <c r="I83" s="51"/>
      <c r="J83" s="51"/>
      <c r="K83" s="51"/>
      <c r="L83" s="51"/>
      <c r="M83" s="51"/>
      <c r="N83" s="51"/>
    </row>
    <row r="84" spans="2:14" ht="12.75" customHeight="1" x14ac:dyDescent="0.15">
      <c r="B84" s="51"/>
      <c r="C84" s="51"/>
      <c r="D84" s="51"/>
      <c r="E84" s="51"/>
      <c r="F84" s="51"/>
      <c r="G84" s="51"/>
      <c r="H84" s="51"/>
      <c r="I84" s="51"/>
      <c r="J84" s="51"/>
      <c r="K84" s="51"/>
      <c r="L84" s="51"/>
      <c r="M84" s="51"/>
      <c r="N84" s="51"/>
    </row>
    <row r="85" spans="2:14" ht="12.75" customHeight="1" x14ac:dyDescent="0.15">
      <c r="B85" s="51"/>
      <c r="C85" s="51"/>
      <c r="D85" s="51"/>
      <c r="E85" s="51"/>
      <c r="F85" s="51"/>
      <c r="G85" s="51"/>
      <c r="H85" s="51"/>
      <c r="I85" s="51"/>
      <c r="J85" s="51"/>
      <c r="K85" s="51"/>
      <c r="L85" s="51"/>
      <c r="M85" s="51"/>
      <c r="N85" s="51"/>
    </row>
    <row r="86" spans="2:14" ht="12.75" customHeight="1" x14ac:dyDescent="0.15">
      <c r="B86" s="51"/>
      <c r="C86" s="51"/>
      <c r="D86" s="51"/>
      <c r="E86" s="51"/>
      <c r="F86" s="51"/>
      <c r="G86" s="51"/>
      <c r="H86" s="51"/>
      <c r="I86" s="51"/>
      <c r="J86" s="51"/>
      <c r="K86" s="51"/>
      <c r="L86" s="51"/>
      <c r="M86" s="51"/>
      <c r="N86" s="51"/>
    </row>
    <row r="87" spans="2:14" ht="12.75" customHeight="1" x14ac:dyDescent="0.15">
      <c r="B87" s="51"/>
      <c r="C87" s="51"/>
      <c r="D87" s="51"/>
      <c r="E87" s="51"/>
      <c r="F87" s="51"/>
      <c r="G87" s="51"/>
      <c r="H87" s="51"/>
      <c r="I87" s="51"/>
      <c r="J87" s="51"/>
      <c r="K87" s="51"/>
      <c r="L87" s="51"/>
      <c r="M87" s="51"/>
      <c r="N87" s="51"/>
    </row>
    <row r="88" spans="2:14" ht="12.75" customHeight="1" x14ac:dyDescent="0.15">
      <c r="B88" s="51"/>
      <c r="C88" s="51"/>
      <c r="D88" s="51"/>
      <c r="E88" s="51"/>
      <c r="F88" s="51"/>
      <c r="G88" s="51"/>
      <c r="H88" s="51"/>
      <c r="I88" s="51"/>
      <c r="J88" s="51"/>
      <c r="K88" s="51"/>
      <c r="L88" s="51"/>
      <c r="M88" s="51"/>
      <c r="N88" s="51"/>
    </row>
    <row r="89" spans="2:14" ht="12.75" customHeight="1" x14ac:dyDescent="0.15">
      <c r="B89" s="51"/>
      <c r="C89" s="51"/>
      <c r="D89" s="51"/>
      <c r="E89" s="51"/>
      <c r="F89" s="51"/>
      <c r="G89" s="51"/>
      <c r="H89" s="51"/>
      <c r="I89" s="51"/>
      <c r="J89" s="51"/>
      <c r="K89" s="51"/>
      <c r="L89" s="51"/>
      <c r="M89" s="51"/>
      <c r="N89" s="51"/>
    </row>
    <row r="90" spans="2:14" ht="12.75" customHeight="1" x14ac:dyDescent="0.15">
      <c r="B90" s="51"/>
      <c r="C90" s="51"/>
      <c r="D90" s="51"/>
      <c r="E90" s="51"/>
      <c r="F90" s="51"/>
      <c r="G90" s="51"/>
      <c r="H90" s="51"/>
      <c r="I90" s="51"/>
      <c r="J90" s="51"/>
      <c r="K90" s="51"/>
      <c r="L90" s="51"/>
      <c r="M90" s="51"/>
      <c r="N90" s="51"/>
    </row>
    <row r="91" spans="2:14" ht="12.75" customHeight="1" x14ac:dyDescent="0.15">
      <c r="B91" s="51"/>
      <c r="C91" s="51"/>
      <c r="D91" s="51"/>
      <c r="E91" s="51"/>
      <c r="F91" s="51"/>
      <c r="G91" s="51"/>
      <c r="H91" s="51"/>
      <c r="I91" s="51"/>
      <c r="J91" s="51"/>
      <c r="K91" s="51"/>
      <c r="L91" s="51"/>
      <c r="M91" s="51"/>
      <c r="N91" s="51"/>
    </row>
    <row r="92" spans="2:14" ht="12.75" customHeight="1" x14ac:dyDescent="0.15">
      <c r="B92" s="51"/>
      <c r="C92" s="51"/>
      <c r="D92" s="51"/>
      <c r="E92" s="51"/>
      <c r="F92" s="51"/>
      <c r="G92" s="51"/>
      <c r="H92" s="51"/>
      <c r="I92" s="51"/>
      <c r="J92" s="51"/>
      <c r="K92" s="51"/>
      <c r="L92" s="51"/>
      <c r="M92" s="51"/>
      <c r="N92" s="51"/>
    </row>
    <row r="93" spans="2:14" ht="12.75" customHeight="1" x14ac:dyDescent="0.15">
      <c r="B93" s="51"/>
      <c r="C93" s="51"/>
      <c r="D93" s="51"/>
      <c r="E93" s="51"/>
      <c r="F93" s="51"/>
      <c r="G93" s="51"/>
      <c r="H93" s="51"/>
      <c r="I93" s="51"/>
      <c r="J93" s="51"/>
      <c r="K93" s="51"/>
      <c r="L93" s="51"/>
      <c r="M93" s="51"/>
      <c r="N93" s="51"/>
    </row>
    <row r="94" spans="2:14" ht="12.75" customHeight="1" x14ac:dyDescent="0.15">
      <c r="B94" s="51"/>
      <c r="C94" s="51"/>
      <c r="D94" s="51"/>
      <c r="E94" s="51"/>
      <c r="F94" s="51"/>
      <c r="G94" s="51"/>
      <c r="H94" s="51"/>
      <c r="I94" s="51"/>
      <c r="J94" s="51"/>
      <c r="K94" s="51"/>
      <c r="L94" s="51"/>
      <c r="M94" s="51"/>
      <c r="N94" s="51"/>
    </row>
    <row r="95" spans="2:14" ht="12.75" customHeight="1" x14ac:dyDescent="0.15">
      <c r="B95" s="51"/>
      <c r="C95" s="51"/>
      <c r="D95" s="51"/>
      <c r="E95" s="51"/>
      <c r="F95" s="51"/>
      <c r="G95" s="51"/>
      <c r="H95" s="51"/>
      <c r="I95" s="51"/>
      <c r="J95" s="51"/>
      <c r="K95" s="51"/>
      <c r="L95" s="51"/>
      <c r="M95" s="51"/>
      <c r="N95" s="51"/>
    </row>
    <row r="96" spans="2:14" ht="12.75" customHeight="1" x14ac:dyDescent="0.15">
      <c r="B96" s="51"/>
      <c r="C96" s="51"/>
      <c r="D96" s="51"/>
      <c r="E96" s="51"/>
      <c r="F96" s="51"/>
      <c r="G96" s="51"/>
      <c r="H96" s="51"/>
      <c r="I96" s="51"/>
      <c r="J96" s="51"/>
      <c r="K96" s="51"/>
      <c r="L96" s="51"/>
      <c r="M96" s="51"/>
      <c r="N96" s="51"/>
    </row>
    <row r="97" spans="2:14" ht="12.75" customHeight="1" x14ac:dyDescent="0.15">
      <c r="B97" s="51"/>
      <c r="C97" s="51"/>
      <c r="D97" s="51"/>
      <c r="E97" s="51"/>
      <c r="F97" s="51"/>
      <c r="G97" s="51"/>
      <c r="H97" s="51"/>
      <c r="I97" s="51"/>
      <c r="J97" s="51"/>
      <c r="K97" s="51"/>
      <c r="L97" s="51"/>
      <c r="M97" s="51"/>
      <c r="N97" s="51"/>
    </row>
    <row r="98" spans="2:14" ht="12.75" customHeight="1" x14ac:dyDescent="0.15">
      <c r="B98" s="51"/>
      <c r="C98" s="51"/>
      <c r="D98" s="51"/>
      <c r="E98" s="51"/>
      <c r="F98" s="51"/>
      <c r="G98" s="51"/>
      <c r="H98" s="51"/>
      <c r="I98" s="51"/>
      <c r="J98" s="51"/>
      <c r="K98" s="51"/>
      <c r="L98" s="51"/>
      <c r="M98" s="51"/>
      <c r="N98" s="51"/>
    </row>
    <row r="99" spans="2:14" ht="12.75" customHeight="1" x14ac:dyDescent="0.15">
      <c r="B99" s="51"/>
      <c r="C99" s="51"/>
      <c r="D99" s="51"/>
      <c r="E99" s="51"/>
      <c r="F99" s="51"/>
      <c r="G99" s="51"/>
      <c r="H99" s="51"/>
      <c r="I99" s="51"/>
      <c r="J99" s="51"/>
      <c r="K99" s="51"/>
      <c r="L99" s="51"/>
      <c r="M99" s="51"/>
      <c r="N99" s="51"/>
    </row>
    <row r="100" spans="2:14" ht="12.75" customHeight="1" x14ac:dyDescent="0.15">
      <c r="B100" s="51"/>
      <c r="C100" s="51"/>
      <c r="D100" s="51"/>
      <c r="E100" s="51"/>
      <c r="F100" s="51"/>
      <c r="G100" s="51"/>
      <c r="H100" s="51"/>
      <c r="I100" s="51"/>
      <c r="J100" s="51"/>
      <c r="K100" s="51"/>
      <c r="L100" s="51"/>
      <c r="M100" s="51"/>
      <c r="N100" s="51"/>
    </row>
    <row r="101" spans="2:14" ht="12.75" customHeight="1" x14ac:dyDescent="0.15">
      <c r="B101" s="51"/>
      <c r="C101" s="51"/>
      <c r="D101" s="51"/>
      <c r="E101" s="51"/>
      <c r="F101" s="51"/>
      <c r="G101" s="51"/>
      <c r="H101" s="51"/>
      <c r="I101" s="51"/>
      <c r="J101" s="51"/>
      <c r="K101" s="51"/>
      <c r="L101" s="51"/>
      <c r="M101" s="51"/>
      <c r="N101" s="51"/>
    </row>
    <row r="102" spans="2:14" ht="12.75" customHeight="1" x14ac:dyDescent="0.15">
      <c r="B102" s="51"/>
      <c r="C102" s="51"/>
      <c r="D102" s="51"/>
      <c r="E102" s="51"/>
      <c r="F102" s="51"/>
      <c r="G102" s="51"/>
      <c r="H102" s="51"/>
      <c r="I102" s="51"/>
      <c r="J102" s="51"/>
      <c r="K102" s="51"/>
      <c r="L102" s="51"/>
      <c r="M102" s="51"/>
      <c r="N102" s="51"/>
    </row>
    <row r="103" spans="2:14" ht="12.75" customHeight="1" x14ac:dyDescent="0.15">
      <c r="B103" s="51"/>
      <c r="C103" s="51"/>
      <c r="D103" s="51"/>
      <c r="E103" s="51"/>
      <c r="F103" s="51"/>
      <c r="G103" s="51"/>
      <c r="H103" s="51"/>
      <c r="I103" s="51"/>
      <c r="J103" s="51"/>
      <c r="K103" s="51"/>
      <c r="L103" s="51"/>
      <c r="M103" s="51"/>
      <c r="N103" s="51"/>
    </row>
    <row r="104" spans="2:14" ht="12.75" customHeight="1" x14ac:dyDescent="0.15">
      <c r="B104" s="51"/>
      <c r="C104" s="51"/>
      <c r="D104" s="51"/>
      <c r="E104" s="51"/>
      <c r="F104" s="51"/>
      <c r="G104" s="51"/>
      <c r="H104" s="51"/>
      <c r="I104" s="51"/>
      <c r="J104" s="51"/>
      <c r="K104" s="51"/>
      <c r="L104" s="51"/>
      <c r="M104" s="51"/>
      <c r="N104" s="51"/>
    </row>
    <row r="105" spans="2:14" ht="12.75" customHeight="1" x14ac:dyDescent="0.15">
      <c r="B105" s="51"/>
      <c r="C105" s="51"/>
      <c r="D105" s="51"/>
      <c r="E105" s="51"/>
      <c r="F105" s="51"/>
      <c r="G105" s="51"/>
      <c r="H105" s="51"/>
      <c r="I105" s="51"/>
      <c r="J105" s="51"/>
      <c r="K105" s="51"/>
      <c r="L105" s="51"/>
      <c r="M105" s="51"/>
      <c r="N105" s="51"/>
    </row>
    <row r="106" spans="2:14" ht="12.75" customHeight="1" x14ac:dyDescent="0.15">
      <c r="B106" s="51"/>
      <c r="C106" s="51"/>
      <c r="D106" s="51"/>
      <c r="E106" s="51"/>
      <c r="F106" s="51"/>
      <c r="G106" s="51"/>
      <c r="H106" s="51"/>
      <c r="I106" s="51"/>
      <c r="J106" s="51"/>
      <c r="K106" s="51"/>
      <c r="L106" s="51"/>
      <c r="M106" s="51"/>
      <c r="N106" s="51"/>
    </row>
    <row r="107" spans="2:14" ht="12.75" customHeight="1" x14ac:dyDescent="0.15">
      <c r="B107" s="51"/>
      <c r="C107" s="51"/>
      <c r="D107" s="51"/>
      <c r="E107" s="51"/>
      <c r="F107" s="51"/>
      <c r="G107" s="51"/>
      <c r="H107" s="51"/>
      <c r="I107" s="51"/>
      <c r="J107" s="51"/>
      <c r="K107" s="51"/>
      <c r="L107" s="51"/>
      <c r="M107" s="51"/>
      <c r="N107" s="51"/>
    </row>
    <row r="108" spans="2:14" ht="12.75" customHeight="1" x14ac:dyDescent="0.15">
      <c r="B108" s="51"/>
      <c r="C108" s="51"/>
      <c r="D108" s="51"/>
      <c r="E108" s="51"/>
      <c r="F108" s="51"/>
      <c r="G108" s="51"/>
      <c r="H108" s="51"/>
      <c r="I108" s="51"/>
      <c r="J108" s="51"/>
      <c r="K108" s="51"/>
      <c r="L108" s="51"/>
      <c r="M108" s="51"/>
      <c r="N108" s="51"/>
    </row>
    <row r="109" spans="2:14" ht="12.75" customHeight="1" x14ac:dyDescent="0.15">
      <c r="B109" s="51"/>
      <c r="C109" s="51"/>
      <c r="D109" s="51"/>
      <c r="E109" s="51"/>
      <c r="F109" s="51"/>
      <c r="G109" s="51"/>
      <c r="H109" s="51"/>
      <c r="I109" s="51"/>
      <c r="J109" s="51"/>
      <c r="K109" s="51"/>
      <c r="L109" s="51"/>
      <c r="M109" s="51"/>
      <c r="N109" s="51"/>
    </row>
    <row r="110" spans="2:14" ht="12.75" customHeight="1" x14ac:dyDescent="0.15">
      <c r="B110" s="51"/>
      <c r="C110" s="51"/>
      <c r="D110" s="51"/>
      <c r="E110" s="51"/>
      <c r="F110" s="51"/>
      <c r="G110" s="51"/>
      <c r="H110" s="51"/>
      <c r="I110" s="51"/>
      <c r="J110" s="51"/>
      <c r="K110" s="51"/>
      <c r="L110" s="51"/>
      <c r="M110" s="51"/>
      <c r="N110" s="51"/>
    </row>
    <row r="111" spans="2:14" ht="12.75" customHeight="1" x14ac:dyDescent="0.15">
      <c r="B111" s="51"/>
      <c r="C111" s="51"/>
      <c r="D111" s="51"/>
      <c r="E111" s="51"/>
      <c r="F111" s="51"/>
      <c r="G111" s="51"/>
      <c r="H111" s="51"/>
      <c r="I111" s="51"/>
      <c r="J111" s="51"/>
      <c r="K111" s="51"/>
      <c r="L111" s="51"/>
      <c r="M111" s="51"/>
      <c r="N111" s="51"/>
    </row>
    <row r="112" spans="2:14" ht="12.75" customHeight="1" x14ac:dyDescent="0.15">
      <c r="B112" s="51"/>
      <c r="C112" s="51"/>
      <c r="D112" s="51"/>
      <c r="E112" s="51"/>
      <c r="F112" s="51"/>
      <c r="G112" s="51"/>
      <c r="H112" s="51"/>
      <c r="I112" s="51"/>
      <c r="J112" s="51"/>
      <c r="K112" s="51"/>
      <c r="L112" s="51"/>
      <c r="M112" s="51"/>
      <c r="N112" s="51"/>
    </row>
    <row r="113" spans="2:14" ht="12.75" customHeight="1" x14ac:dyDescent="0.15">
      <c r="B113" s="51"/>
      <c r="C113" s="51"/>
      <c r="D113" s="51"/>
      <c r="E113" s="51"/>
      <c r="F113" s="51"/>
      <c r="G113" s="51"/>
      <c r="H113" s="51"/>
      <c r="I113" s="51"/>
      <c r="J113" s="51"/>
      <c r="K113" s="51"/>
      <c r="L113" s="51"/>
      <c r="M113" s="51"/>
      <c r="N113" s="51"/>
    </row>
    <row r="114" spans="2:14" ht="12.75" customHeight="1" x14ac:dyDescent="0.15">
      <c r="B114" s="51"/>
      <c r="C114" s="51"/>
      <c r="D114" s="51"/>
      <c r="E114" s="51"/>
      <c r="F114" s="51"/>
      <c r="G114" s="51"/>
      <c r="H114" s="51"/>
      <c r="I114" s="51"/>
      <c r="J114" s="51"/>
      <c r="K114" s="51"/>
      <c r="L114" s="51"/>
      <c r="M114" s="51"/>
      <c r="N114" s="51"/>
    </row>
    <row r="115" spans="2:14" ht="12.75" customHeight="1" x14ac:dyDescent="0.15">
      <c r="B115" s="51"/>
      <c r="C115" s="51"/>
      <c r="D115" s="51"/>
      <c r="E115" s="51"/>
      <c r="F115" s="51"/>
      <c r="G115" s="51"/>
      <c r="H115" s="51"/>
      <c r="I115" s="51"/>
      <c r="J115" s="51"/>
      <c r="K115" s="51"/>
      <c r="L115" s="51"/>
      <c r="M115" s="51"/>
      <c r="N115" s="51"/>
    </row>
    <row r="116" spans="2:14" ht="12.75" customHeight="1" x14ac:dyDescent="0.15">
      <c r="B116" s="51"/>
      <c r="C116" s="51"/>
      <c r="D116" s="51"/>
      <c r="E116" s="51"/>
      <c r="F116" s="51"/>
      <c r="G116" s="51"/>
      <c r="H116" s="51"/>
      <c r="I116" s="51"/>
      <c r="J116" s="51"/>
      <c r="K116" s="51"/>
      <c r="L116" s="51"/>
      <c r="M116" s="51"/>
      <c r="N116" s="51"/>
    </row>
    <row r="117" spans="2:14" ht="12.75" customHeight="1" x14ac:dyDescent="0.15">
      <c r="B117" s="51"/>
      <c r="C117" s="51"/>
      <c r="D117" s="51"/>
      <c r="E117" s="51"/>
      <c r="F117" s="51"/>
      <c r="G117" s="51"/>
      <c r="H117" s="51"/>
      <c r="I117" s="51"/>
      <c r="J117" s="51"/>
      <c r="K117" s="51"/>
      <c r="L117" s="51"/>
      <c r="M117" s="51"/>
      <c r="N117" s="51"/>
    </row>
    <row r="118" spans="2:14" ht="12.75" customHeight="1" x14ac:dyDescent="0.15">
      <c r="B118" s="51"/>
      <c r="C118" s="51"/>
      <c r="D118" s="51"/>
      <c r="E118" s="51"/>
      <c r="F118" s="51"/>
      <c r="G118" s="51"/>
      <c r="H118" s="51"/>
      <c r="I118" s="51"/>
      <c r="J118" s="51"/>
      <c r="K118" s="51"/>
      <c r="L118" s="51"/>
      <c r="M118" s="51"/>
      <c r="N118" s="51"/>
    </row>
    <row r="119" spans="2:14" ht="12.75" customHeight="1" x14ac:dyDescent="0.15">
      <c r="B119" s="51"/>
      <c r="C119" s="51"/>
      <c r="D119" s="51"/>
      <c r="E119" s="51"/>
      <c r="F119" s="51"/>
      <c r="G119" s="51"/>
      <c r="H119" s="51"/>
      <c r="I119" s="51"/>
      <c r="J119" s="51"/>
      <c r="K119" s="51"/>
      <c r="L119" s="51"/>
      <c r="M119" s="51"/>
      <c r="N119" s="51"/>
    </row>
    <row r="120" spans="2:14" ht="12.75" customHeight="1" x14ac:dyDescent="0.15">
      <c r="B120" s="51"/>
      <c r="C120" s="51"/>
      <c r="D120" s="51"/>
      <c r="E120" s="51"/>
      <c r="F120" s="51"/>
      <c r="G120" s="51"/>
      <c r="H120" s="51"/>
      <c r="I120" s="51"/>
      <c r="J120" s="51"/>
      <c r="K120" s="51"/>
      <c r="L120" s="51"/>
      <c r="M120" s="51"/>
      <c r="N120" s="51"/>
    </row>
    <row r="121" spans="2:14" ht="12.75" customHeight="1" x14ac:dyDescent="0.15">
      <c r="B121" s="51"/>
      <c r="C121" s="51"/>
      <c r="D121" s="51"/>
      <c r="E121" s="51"/>
      <c r="F121" s="51"/>
      <c r="G121" s="51"/>
      <c r="H121" s="51"/>
      <c r="I121" s="51"/>
      <c r="J121" s="51"/>
      <c r="K121" s="51"/>
      <c r="L121" s="51"/>
      <c r="M121" s="51"/>
      <c r="N121" s="51"/>
    </row>
    <row r="122" spans="2:14" ht="12.75" customHeight="1" x14ac:dyDescent="0.15">
      <c r="B122" s="51"/>
      <c r="C122" s="51"/>
      <c r="D122" s="51"/>
      <c r="E122" s="51"/>
      <c r="F122" s="51"/>
      <c r="G122" s="51"/>
      <c r="H122" s="51"/>
      <c r="I122" s="51"/>
      <c r="J122" s="51"/>
      <c r="K122" s="51"/>
      <c r="L122" s="51"/>
      <c r="M122" s="51"/>
      <c r="N122" s="51"/>
    </row>
    <row r="123" spans="2:14" ht="12.75" customHeight="1" x14ac:dyDescent="0.15">
      <c r="B123" s="51"/>
      <c r="C123" s="51"/>
      <c r="D123" s="51"/>
      <c r="E123" s="51"/>
      <c r="F123" s="51"/>
      <c r="G123" s="51"/>
      <c r="H123" s="51"/>
      <c r="I123" s="51"/>
      <c r="J123" s="51"/>
      <c r="K123" s="51"/>
      <c r="L123" s="51"/>
      <c r="M123" s="51"/>
      <c r="N123" s="51"/>
    </row>
    <row r="124" spans="2:14" ht="12.75" customHeight="1" x14ac:dyDescent="0.15">
      <c r="B124" s="51"/>
      <c r="C124" s="51"/>
      <c r="D124" s="51"/>
      <c r="E124" s="51"/>
      <c r="F124" s="51"/>
      <c r="G124" s="51"/>
      <c r="H124" s="51"/>
      <c r="I124" s="51"/>
      <c r="J124" s="51"/>
      <c r="K124" s="51"/>
      <c r="L124" s="51"/>
      <c r="M124" s="51"/>
      <c r="N124" s="51"/>
    </row>
    <row r="125" spans="2:14" ht="12.75" customHeight="1" x14ac:dyDescent="0.15">
      <c r="B125" s="51"/>
      <c r="C125" s="51"/>
      <c r="D125" s="51"/>
      <c r="E125" s="51"/>
      <c r="F125" s="51"/>
      <c r="G125" s="51"/>
      <c r="H125" s="51"/>
      <c r="I125" s="51"/>
      <c r="J125" s="51"/>
      <c r="K125" s="51"/>
      <c r="L125" s="51"/>
      <c r="M125" s="51"/>
      <c r="N125" s="51"/>
    </row>
    <row r="126" spans="2:14" ht="12.75" customHeight="1" x14ac:dyDescent="0.15">
      <c r="B126" s="51"/>
      <c r="C126" s="51"/>
      <c r="D126" s="51"/>
      <c r="E126" s="51"/>
      <c r="F126" s="51"/>
      <c r="G126" s="51"/>
      <c r="H126" s="51"/>
      <c r="I126" s="51"/>
      <c r="J126" s="51"/>
      <c r="K126" s="51"/>
      <c r="L126" s="51"/>
      <c r="M126" s="51"/>
      <c r="N126" s="51"/>
    </row>
    <row r="127" spans="2:14" ht="12.75" customHeight="1" x14ac:dyDescent="0.15">
      <c r="B127" s="51"/>
      <c r="C127" s="51"/>
      <c r="D127" s="51"/>
      <c r="E127" s="51"/>
      <c r="F127" s="51"/>
      <c r="G127" s="51"/>
      <c r="H127" s="51"/>
      <c r="I127" s="51"/>
      <c r="J127" s="51"/>
      <c r="K127" s="51"/>
      <c r="L127" s="51"/>
      <c r="M127" s="51"/>
      <c r="N127" s="51"/>
    </row>
    <row r="128" spans="2:14" ht="12.75" customHeight="1" x14ac:dyDescent="0.15">
      <c r="B128" s="51"/>
      <c r="C128" s="51"/>
      <c r="D128" s="51"/>
      <c r="E128" s="51"/>
      <c r="F128" s="51"/>
      <c r="G128" s="51"/>
      <c r="H128" s="51"/>
      <c r="I128" s="51"/>
      <c r="J128" s="51"/>
      <c r="K128" s="51"/>
      <c r="L128" s="51"/>
      <c r="M128" s="51"/>
      <c r="N128" s="51"/>
    </row>
    <row r="129" spans="2:14" ht="12.75" customHeight="1" x14ac:dyDescent="0.15">
      <c r="B129" s="51"/>
      <c r="C129" s="51"/>
      <c r="D129" s="51"/>
      <c r="E129" s="51"/>
      <c r="F129" s="51"/>
      <c r="G129" s="51"/>
      <c r="H129" s="51"/>
      <c r="I129" s="51"/>
      <c r="J129" s="51"/>
      <c r="K129" s="51"/>
      <c r="L129" s="51"/>
      <c r="M129" s="51"/>
      <c r="N129" s="51"/>
    </row>
    <row r="130" spans="2:14" ht="12.75" customHeight="1" x14ac:dyDescent="0.15">
      <c r="B130" s="51"/>
      <c r="C130" s="51"/>
      <c r="D130" s="51"/>
      <c r="E130" s="51"/>
      <c r="F130" s="51"/>
      <c r="G130" s="51"/>
      <c r="H130" s="51"/>
      <c r="I130" s="51"/>
      <c r="J130" s="51"/>
      <c r="K130" s="51"/>
      <c r="L130" s="51"/>
      <c r="M130" s="51"/>
      <c r="N130" s="51"/>
    </row>
    <row r="131" spans="2:14" ht="12.75" customHeight="1" x14ac:dyDescent="0.15">
      <c r="B131" s="51"/>
      <c r="C131" s="51"/>
      <c r="D131" s="51"/>
      <c r="E131" s="51"/>
      <c r="F131" s="51"/>
      <c r="G131" s="51"/>
      <c r="H131" s="51"/>
      <c r="I131" s="51"/>
      <c r="J131" s="51"/>
      <c r="K131" s="51"/>
      <c r="L131" s="51"/>
      <c r="M131" s="51"/>
      <c r="N131" s="51"/>
    </row>
    <row r="132" spans="2:14" ht="12.75" customHeight="1" x14ac:dyDescent="0.15">
      <c r="B132" s="51"/>
      <c r="C132" s="51"/>
      <c r="D132" s="51"/>
      <c r="E132" s="51"/>
      <c r="F132" s="51"/>
      <c r="G132" s="51"/>
      <c r="H132" s="51"/>
      <c r="I132" s="51"/>
      <c r="J132" s="51"/>
      <c r="K132" s="51"/>
      <c r="L132" s="51"/>
      <c r="M132" s="51"/>
      <c r="N132" s="51"/>
    </row>
    <row r="133" spans="2:14" ht="12.75" customHeight="1" x14ac:dyDescent="0.15">
      <c r="B133" s="51"/>
      <c r="C133" s="51"/>
      <c r="D133" s="51"/>
      <c r="E133" s="51"/>
      <c r="F133" s="51"/>
      <c r="G133" s="51"/>
      <c r="H133" s="51"/>
      <c r="I133" s="51"/>
      <c r="J133" s="51"/>
      <c r="K133" s="51"/>
      <c r="L133" s="51"/>
      <c r="M133" s="51"/>
      <c r="N133" s="51"/>
    </row>
    <row r="134" spans="2:14" ht="12.75" customHeight="1" x14ac:dyDescent="0.15">
      <c r="B134" s="51"/>
      <c r="C134" s="51"/>
      <c r="D134" s="51"/>
      <c r="E134" s="51"/>
      <c r="F134" s="51"/>
      <c r="G134" s="51"/>
      <c r="H134" s="51"/>
      <c r="I134" s="51"/>
      <c r="J134" s="51"/>
      <c r="K134" s="51"/>
      <c r="L134" s="51"/>
      <c r="M134" s="51"/>
      <c r="N134" s="51"/>
    </row>
    <row r="135" spans="2:14" ht="12.75" customHeight="1" x14ac:dyDescent="0.15">
      <c r="B135" s="51"/>
      <c r="C135" s="51"/>
      <c r="D135" s="51"/>
      <c r="E135" s="51"/>
      <c r="F135" s="51"/>
      <c r="G135" s="51"/>
      <c r="H135" s="51"/>
      <c r="I135" s="51"/>
      <c r="J135" s="51"/>
      <c r="K135" s="51"/>
      <c r="L135" s="51"/>
      <c r="M135" s="51"/>
      <c r="N135" s="51"/>
    </row>
    <row r="136" spans="2:14" ht="12.75" customHeight="1" x14ac:dyDescent="0.15">
      <c r="B136" s="51"/>
      <c r="C136" s="51"/>
      <c r="D136" s="51"/>
      <c r="E136" s="51"/>
      <c r="F136" s="51"/>
      <c r="G136" s="51"/>
      <c r="H136" s="51"/>
      <c r="I136" s="51"/>
      <c r="J136" s="51"/>
      <c r="K136" s="51"/>
      <c r="L136" s="51"/>
      <c r="M136" s="51"/>
      <c r="N136" s="51"/>
    </row>
    <row r="137" spans="2:14" ht="12.75" customHeight="1" x14ac:dyDescent="0.15">
      <c r="B137" s="51"/>
      <c r="C137" s="51"/>
      <c r="D137" s="51"/>
      <c r="E137" s="51"/>
      <c r="F137" s="51"/>
      <c r="G137" s="51"/>
      <c r="H137" s="51"/>
      <c r="I137" s="51"/>
      <c r="J137" s="51"/>
      <c r="K137" s="51"/>
      <c r="L137" s="51"/>
      <c r="M137" s="51"/>
      <c r="N137" s="51"/>
    </row>
    <row r="138" spans="2:14" ht="12.75" customHeight="1" x14ac:dyDescent="0.15">
      <c r="B138" s="51"/>
      <c r="C138" s="51"/>
      <c r="D138" s="51"/>
      <c r="E138" s="51"/>
      <c r="F138" s="51"/>
      <c r="G138" s="51"/>
      <c r="H138" s="51"/>
      <c r="I138" s="51"/>
      <c r="J138" s="51"/>
      <c r="K138" s="51"/>
      <c r="L138" s="51"/>
      <c r="M138" s="51"/>
      <c r="N138" s="51"/>
    </row>
    <row r="139" spans="2:14" ht="12.75" customHeight="1" x14ac:dyDescent="0.15">
      <c r="B139" s="51"/>
      <c r="C139" s="51"/>
      <c r="D139" s="51"/>
      <c r="E139" s="51"/>
      <c r="F139" s="51"/>
      <c r="G139" s="51"/>
      <c r="H139" s="51"/>
      <c r="I139" s="51"/>
      <c r="J139" s="51"/>
      <c r="K139" s="51"/>
      <c r="L139" s="51"/>
      <c r="M139" s="51"/>
      <c r="N139" s="51"/>
    </row>
    <row r="140" spans="2:14" ht="12.75" customHeight="1" x14ac:dyDescent="0.15">
      <c r="B140" s="51"/>
      <c r="C140" s="51"/>
      <c r="D140" s="51"/>
      <c r="E140" s="51"/>
      <c r="F140" s="51"/>
      <c r="G140" s="51"/>
      <c r="H140" s="51"/>
      <c r="I140" s="51"/>
      <c r="J140" s="51"/>
      <c r="K140" s="51"/>
      <c r="L140" s="51"/>
      <c r="M140" s="51"/>
      <c r="N140" s="51"/>
    </row>
    <row r="141" spans="2:14" ht="12.75" customHeight="1" x14ac:dyDescent="0.15">
      <c r="B141" s="51"/>
      <c r="C141" s="51"/>
      <c r="D141" s="51"/>
      <c r="E141" s="51"/>
      <c r="F141" s="51"/>
      <c r="G141" s="51"/>
      <c r="H141" s="51"/>
      <c r="I141" s="51"/>
      <c r="J141" s="51"/>
      <c r="K141" s="51"/>
      <c r="L141" s="51"/>
      <c r="M141" s="51"/>
      <c r="N141" s="51"/>
    </row>
    <row r="142" spans="2:14" ht="12.75" customHeight="1" x14ac:dyDescent="0.15">
      <c r="B142" s="51"/>
      <c r="C142" s="51"/>
      <c r="D142" s="51"/>
      <c r="E142" s="51"/>
      <c r="F142" s="51"/>
      <c r="G142" s="51"/>
      <c r="H142" s="51"/>
      <c r="I142" s="51"/>
      <c r="J142" s="51"/>
      <c r="K142" s="51"/>
      <c r="L142" s="51"/>
      <c r="M142" s="51"/>
      <c r="N142" s="51"/>
    </row>
    <row r="143" spans="2:14" ht="12.75" customHeight="1" x14ac:dyDescent="0.15">
      <c r="B143" s="51"/>
      <c r="C143" s="51"/>
      <c r="D143" s="51"/>
      <c r="E143" s="51"/>
      <c r="F143" s="51"/>
      <c r="G143" s="51"/>
      <c r="H143" s="51"/>
      <c r="I143" s="51"/>
      <c r="J143" s="51"/>
      <c r="K143" s="51"/>
      <c r="L143" s="51"/>
      <c r="M143" s="51"/>
      <c r="N143" s="51"/>
    </row>
    <row r="144" spans="2:14" ht="12.75" customHeight="1" x14ac:dyDescent="0.15">
      <c r="B144" s="51"/>
      <c r="C144" s="51"/>
      <c r="D144" s="51"/>
      <c r="E144" s="51"/>
      <c r="F144" s="51"/>
      <c r="G144" s="51"/>
      <c r="H144" s="51"/>
      <c r="I144" s="51"/>
      <c r="J144" s="51"/>
      <c r="K144" s="51"/>
      <c r="L144" s="51"/>
      <c r="M144" s="51"/>
      <c r="N144" s="51"/>
    </row>
    <row r="145" spans="2:14" ht="12.75" customHeight="1" x14ac:dyDescent="0.15">
      <c r="B145" s="51"/>
      <c r="C145" s="51"/>
      <c r="D145" s="51"/>
      <c r="E145" s="51"/>
      <c r="F145" s="51"/>
      <c r="G145" s="51"/>
      <c r="H145" s="51"/>
      <c r="I145" s="51"/>
      <c r="J145" s="51"/>
      <c r="K145" s="51"/>
      <c r="L145" s="51"/>
      <c r="M145" s="51"/>
      <c r="N145" s="51"/>
    </row>
    <row r="146" spans="2:14" ht="12.75" customHeight="1" x14ac:dyDescent="0.15">
      <c r="B146" s="51"/>
      <c r="C146" s="51"/>
      <c r="D146" s="51"/>
      <c r="E146" s="51"/>
      <c r="F146" s="51"/>
      <c r="G146" s="51"/>
      <c r="H146" s="51"/>
      <c r="I146" s="51"/>
      <c r="J146" s="51"/>
      <c r="K146" s="51"/>
      <c r="L146" s="51"/>
      <c r="M146" s="51"/>
      <c r="N146" s="51"/>
    </row>
    <row r="147" spans="2:14" ht="12.75" customHeight="1" x14ac:dyDescent="0.15">
      <c r="B147" s="51"/>
      <c r="C147" s="51"/>
      <c r="D147" s="51"/>
      <c r="E147" s="51"/>
      <c r="F147" s="51"/>
      <c r="G147" s="51"/>
      <c r="H147" s="51"/>
      <c r="I147" s="51"/>
      <c r="J147" s="51"/>
      <c r="K147" s="51"/>
      <c r="L147" s="51"/>
      <c r="M147" s="51"/>
      <c r="N147" s="51"/>
    </row>
    <row r="148" spans="2:14" ht="12.75" customHeight="1" x14ac:dyDescent="0.15">
      <c r="B148" s="51"/>
      <c r="C148" s="51"/>
      <c r="D148" s="51"/>
      <c r="E148" s="51"/>
      <c r="F148" s="51"/>
      <c r="G148" s="51"/>
      <c r="H148" s="51"/>
      <c r="I148" s="51"/>
      <c r="J148" s="51"/>
      <c r="K148" s="51"/>
      <c r="L148" s="51"/>
      <c r="M148" s="51"/>
      <c r="N148" s="51"/>
    </row>
    <row r="149" spans="2:14" ht="12.75" customHeight="1" x14ac:dyDescent="0.15">
      <c r="B149" s="51"/>
      <c r="C149" s="51"/>
      <c r="D149" s="51"/>
      <c r="E149" s="51"/>
      <c r="F149" s="51"/>
      <c r="G149" s="51"/>
      <c r="H149" s="51"/>
      <c r="I149" s="51"/>
      <c r="J149" s="51"/>
      <c r="K149" s="51"/>
      <c r="L149" s="51"/>
      <c r="M149" s="51"/>
      <c r="N149" s="51"/>
    </row>
    <row r="150" spans="2:14" ht="12.75" customHeight="1" x14ac:dyDescent="0.15">
      <c r="B150" s="51"/>
      <c r="C150" s="51"/>
      <c r="D150" s="51"/>
      <c r="E150" s="51"/>
      <c r="F150" s="51"/>
      <c r="G150" s="51"/>
      <c r="H150" s="51"/>
      <c r="I150" s="51"/>
      <c r="J150" s="51"/>
      <c r="K150" s="51"/>
      <c r="L150" s="51"/>
      <c r="M150" s="51"/>
      <c r="N150" s="51"/>
    </row>
    <row r="151" spans="2:14" ht="12.75" customHeight="1" x14ac:dyDescent="0.15">
      <c r="B151" s="51"/>
      <c r="C151" s="51"/>
      <c r="D151" s="51"/>
      <c r="E151" s="51"/>
      <c r="F151" s="51"/>
      <c r="G151" s="51"/>
      <c r="H151" s="51"/>
      <c r="I151" s="51"/>
      <c r="J151" s="51"/>
      <c r="K151" s="51"/>
      <c r="L151" s="51"/>
      <c r="M151" s="51"/>
      <c r="N151" s="51"/>
    </row>
    <row r="152" spans="2:14" ht="12.75" customHeight="1" x14ac:dyDescent="0.15">
      <c r="B152" s="51"/>
      <c r="C152" s="51"/>
      <c r="D152" s="51"/>
      <c r="E152" s="51"/>
      <c r="F152" s="51"/>
      <c r="G152" s="51"/>
      <c r="H152" s="51"/>
      <c r="I152" s="51"/>
      <c r="J152" s="51"/>
      <c r="K152" s="51"/>
      <c r="L152" s="51"/>
      <c r="M152" s="51"/>
      <c r="N152" s="51"/>
    </row>
    <row r="153" spans="2:14" ht="12.75" customHeight="1" x14ac:dyDescent="0.15">
      <c r="B153" s="51"/>
      <c r="C153" s="51"/>
      <c r="D153" s="51"/>
      <c r="E153" s="51"/>
      <c r="F153" s="51"/>
      <c r="G153" s="51"/>
      <c r="H153" s="51"/>
      <c r="I153" s="51"/>
      <c r="J153" s="51"/>
      <c r="K153" s="51"/>
      <c r="L153" s="51"/>
      <c r="M153" s="51"/>
      <c r="N153" s="51"/>
    </row>
    <row r="154" spans="2:14" ht="12.75" customHeight="1" x14ac:dyDescent="0.15">
      <c r="B154" s="51"/>
      <c r="C154" s="51"/>
      <c r="D154" s="51"/>
      <c r="E154" s="51"/>
      <c r="F154" s="51"/>
      <c r="G154" s="51"/>
      <c r="H154" s="51"/>
      <c r="I154" s="51"/>
      <c r="J154" s="51"/>
      <c r="K154" s="51"/>
      <c r="L154" s="51"/>
      <c r="M154" s="51"/>
      <c r="N154" s="51"/>
    </row>
    <row r="155" spans="2:14" ht="12.75" customHeight="1" x14ac:dyDescent="0.15">
      <c r="B155" s="51"/>
      <c r="C155" s="51"/>
      <c r="D155" s="51"/>
      <c r="E155" s="51"/>
      <c r="F155" s="51"/>
      <c r="G155" s="51"/>
      <c r="H155" s="51"/>
      <c r="I155" s="51"/>
      <c r="J155" s="51"/>
      <c r="K155" s="51"/>
      <c r="L155" s="51"/>
      <c r="M155" s="51"/>
      <c r="N155" s="51"/>
    </row>
    <row r="156" spans="2:14" ht="12.75" customHeight="1" x14ac:dyDescent="0.15">
      <c r="B156" s="51"/>
      <c r="C156" s="51"/>
      <c r="D156" s="51"/>
      <c r="E156" s="51"/>
      <c r="F156" s="51"/>
      <c r="G156" s="51"/>
      <c r="H156" s="51"/>
      <c r="I156" s="51"/>
      <c r="J156" s="51"/>
      <c r="K156" s="51"/>
      <c r="L156" s="51"/>
      <c r="M156" s="51"/>
      <c r="N156" s="51"/>
    </row>
    <row r="157" spans="2:14" ht="12.75" customHeight="1" x14ac:dyDescent="0.15">
      <c r="B157" s="51"/>
      <c r="C157" s="51"/>
      <c r="D157" s="51"/>
      <c r="E157" s="51"/>
      <c r="F157" s="51"/>
      <c r="G157" s="51"/>
      <c r="H157" s="51"/>
      <c r="I157" s="51"/>
      <c r="J157" s="51"/>
      <c r="K157" s="51"/>
      <c r="L157" s="51"/>
      <c r="M157" s="51"/>
      <c r="N157" s="51"/>
    </row>
    <row r="158" spans="2:14" ht="12.75" customHeight="1" x14ac:dyDescent="0.15">
      <c r="B158" s="51"/>
      <c r="C158" s="51"/>
      <c r="D158" s="51"/>
      <c r="E158" s="51"/>
      <c r="F158" s="51"/>
      <c r="G158" s="51"/>
      <c r="H158" s="51"/>
      <c r="I158" s="51"/>
      <c r="J158" s="51"/>
      <c r="K158" s="51"/>
      <c r="L158" s="51"/>
      <c r="M158" s="51"/>
      <c r="N158" s="51"/>
    </row>
    <row r="159" spans="2:14" ht="12.75" customHeight="1" x14ac:dyDescent="0.15">
      <c r="B159" s="51"/>
      <c r="C159" s="51"/>
      <c r="D159" s="51"/>
      <c r="E159" s="51"/>
      <c r="F159" s="51"/>
      <c r="G159" s="51"/>
      <c r="H159" s="51"/>
      <c r="I159" s="51"/>
      <c r="J159" s="51"/>
      <c r="K159" s="51"/>
      <c r="L159" s="51"/>
      <c r="M159" s="51"/>
      <c r="N159" s="51"/>
    </row>
    <row r="160" spans="2:14" ht="12.75" customHeight="1" x14ac:dyDescent="0.15">
      <c r="B160" s="51"/>
      <c r="C160" s="51"/>
      <c r="D160" s="51"/>
      <c r="E160" s="51"/>
      <c r="F160" s="51"/>
      <c r="G160" s="51"/>
      <c r="H160" s="51"/>
      <c r="I160" s="51"/>
      <c r="J160" s="51"/>
      <c r="K160" s="51"/>
      <c r="L160" s="51"/>
      <c r="M160" s="51"/>
      <c r="N160" s="51"/>
    </row>
    <row r="161" spans="2:14" ht="12.75" customHeight="1" x14ac:dyDescent="0.15">
      <c r="B161" s="51"/>
      <c r="C161" s="51"/>
      <c r="D161" s="51"/>
      <c r="E161" s="51"/>
      <c r="F161" s="51"/>
      <c r="G161" s="51"/>
      <c r="H161" s="51"/>
      <c r="I161" s="51"/>
      <c r="J161" s="51"/>
      <c r="K161" s="51"/>
      <c r="L161" s="51"/>
      <c r="M161" s="51"/>
      <c r="N161" s="51"/>
    </row>
    <row r="162" spans="2:14" ht="12.75" customHeight="1" x14ac:dyDescent="0.15">
      <c r="B162" s="51"/>
      <c r="C162" s="51"/>
      <c r="D162" s="51"/>
      <c r="E162" s="51"/>
      <c r="F162" s="51"/>
      <c r="G162" s="51"/>
      <c r="H162" s="51"/>
      <c r="I162" s="51"/>
      <c r="J162" s="51"/>
      <c r="K162" s="51"/>
      <c r="L162" s="51"/>
      <c r="M162" s="51"/>
      <c r="N162" s="51"/>
    </row>
    <row r="163" spans="2:14" ht="12.75" customHeight="1" x14ac:dyDescent="0.15">
      <c r="B163" s="51"/>
      <c r="C163" s="51"/>
      <c r="D163" s="51"/>
      <c r="E163" s="51"/>
      <c r="F163" s="51"/>
      <c r="G163" s="51"/>
      <c r="H163" s="51"/>
      <c r="I163" s="51"/>
      <c r="J163" s="51"/>
      <c r="K163" s="51"/>
      <c r="L163" s="51"/>
      <c r="M163" s="51"/>
      <c r="N163" s="51"/>
    </row>
    <row r="164" spans="2:14" ht="12.75" customHeight="1" x14ac:dyDescent="0.15">
      <c r="B164" s="51"/>
      <c r="C164" s="51"/>
      <c r="D164" s="51"/>
      <c r="E164" s="51"/>
      <c r="F164" s="51"/>
      <c r="G164" s="51"/>
      <c r="H164" s="51"/>
      <c r="I164" s="51"/>
      <c r="J164" s="51"/>
      <c r="K164" s="51"/>
      <c r="L164" s="51"/>
      <c r="M164" s="51"/>
      <c r="N164" s="51"/>
    </row>
    <row r="165" spans="2:14" ht="12.75" customHeight="1" x14ac:dyDescent="0.15">
      <c r="B165" s="51"/>
      <c r="C165" s="51"/>
      <c r="D165" s="51"/>
      <c r="E165" s="51"/>
      <c r="F165" s="51"/>
      <c r="G165" s="51"/>
      <c r="H165" s="51"/>
      <c r="I165" s="51"/>
      <c r="J165" s="51"/>
      <c r="K165" s="51"/>
      <c r="L165" s="51"/>
      <c r="M165" s="51"/>
      <c r="N165" s="51"/>
    </row>
    <row r="166" spans="2:14" ht="12.75" customHeight="1" x14ac:dyDescent="0.15">
      <c r="B166" s="51"/>
      <c r="C166" s="51"/>
      <c r="D166" s="51"/>
      <c r="E166" s="51"/>
      <c r="F166" s="51"/>
      <c r="G166" s="51"/>
      <c r="H166" s="51"/>
      <c r="I166" s="51"/>
      <c r="J166" s="51"/>
      <c r="K166" s="51"/>
      <c r="L166" s="51"/>
      <c r="M166" s="51"/>
      <c r="N166" s="51"/>
    </row>
    <row r="167" spans="2:14" ht="12.75" customHeight="1" x14ac:dyDescent="0.15">
      <c r="B167" s="51"/>
      <c r="C167" s="51"/>
      <c r="D167" s="51"/>
      <c r="E167" s="51"/>
      <c r="F167" s="51"/>
      <c r="G167" s="51"/>
      <c r="H167" s="51"/>
      <c r="I167" s="51"/>
      <c r="J167" s="51"/>
      <c r="K167" s="51"/>
      <c r="L167" s="51"/>
      <c r="M167" s="51"/>
      <c r="N167" s="51"/>
    </row>
    <row r="168" spans="2:14" ht="12.75" customHeight="1" x14ac:dyDescent="0.15">
      <c r="B168" s="51"/>
      <c r="C168" s="51"/>
      <c r="D168" s="51"/>
      <c r="E168" s="51"/>
      <c r="F168" s="51"/>
      <c r="G168" s="51"/>
      <c r="H168" s="51"/>
      <c r="I168" s="51"/>
      <c r="J168" s="51"/>
      <c r="K168" s="51"/>
      <c r="L168" s="51"/>
      <c r="M168" s="51"/>
      <c r="N168" s="51"/>
    </row>
    <row r="169" spans="2:14" ht="12.75" customHeight="1" x14ac:dyDescent="0.15">
      <c r="B169" s="51"/>
      <c r="C169" s="51"/>
      <c r="D169" s="51"/>
      <c r="E169" s="51"/>
      <c r="F169" s="51"/>
      <c r="G169" s="51"/>
      <c r="H169" s="51"/>
      <c r="I169" s="51"/>
      <c r="J169" s="51"/>
      <c r="K169" s="51"/>
      <c r="L169" s="51"/>
      <c r="M169" s="51"/>
      <c r="N169" s="51"/>
    </row>
    <row r="170" spans="2:14" ht="12.75" customHeight="1" x14ac:dyDescent="0.15">
      <c r="B170" s="51"/>
      <c r="C170" s="51"/>
      <c r="D170" s="51"/>
      <c r="E170" s="51"/>
      <c r="F170" s="51"/>
      <c r="G170" s="51"/>
      <c r="H170" s="51"/>
      <c r="I170" s="51"/>
      <c r="J170" s="51"/>
      <c r="K170" s="51"/>
      <c r="L170" s="51"/>
      <c r="M170" s="51"/>
      <c r="N170" s="51"/>
    </row>
    <row r="171" spans="2:14" ht="12.75" customHeight="1" x14ac:dyDescent="0.15">
      <c r="B171" s="51"/>
      <c r="C171" s="51"/>
      <c r="D171" s="51"/>
      <c r="E171" s="51"/>
      <c r="F171" s="51"/>
      <c r="G171" s="51"/>
      <c r="H171" s="51"/>
      <c r="I171" s="51"/>
      <c r="J171" s="51"/>
      <c r="K171" s="51"/>
      <c r="L171" s="51"/>
      <c r="M171" s="51"/>
      <c r="N171" s="51"/>
    </row>
    <row r="172" spans="2:14" ht="12.75" customHeight="1" x14ac:dyDescent="0.15">
      <c r="B172" s="51"/>
      <c r="C172" s="51"/>
      <c r="D172" s="51"/>
      <c r="E172" s="51"/>
      <c r="F172" s="51"/>
      <c r="G172" s="51"/>
      <c r="H172" s="51"/>
      <c r="I172" s="51"/>
      <c r="J172" s="51"/>
      <c r="K172" s="51"/>
      <c r="L172" s="51"/>
      <c r="M172" s="51"/>
      <c r="N172" s="51"/>
    </row>
    <row r="173" spans="2:14" ht="12.75" customHeight="1" x14ac:dyDescent="0.15">
      <c r="B173" s="51"/>
      <c r="C173" s="51"/>
      <c r="D173" s="51"/>
      <c r="E173" s="51"/>
      <c r="F173" s="51"/>
      <c r="G173" s="51"/>
      <c r="H173" s="51"/>
      <c r="I173" s="51"/>
      <c r="J173" s="51"/>
      <c r="K173" s="51"/>
      <c r="L173" s="51"/>
      <c r="M173" s="51"/>
      <c r="N173" s="51"/>
    </row>
    <row r="174" spans="2:14" ht="12.75" customHeight="1" x14ac:dyDescent="0.15">
      <c r="B174" s="51"/>
      <c r="C174" s="51"/>
      <c r="D174" s="51"/>
      <c r="E174" s="51"/>
      <c r="F174" s="51"/>
      <c r="G174" s="51"/>
      <c r="H174" s="51"/>
      <c r="I174" s="51"/>
      <c r="J174" s="51"/>
      <c r="K174" s="51"/>
      <c r="L174" s="51"/>
      <c r="M174" s="51"/>
      <c r="N174" s="51"/>
    </row>
    <row r="175" spans="2:14" ht="12.75" customHeight="1" x14ac:dyDescent="0.15">
      <c r="B175" s="51"/>
      <c r="C175" s="51"/>
      <c r="D175" s="51"/>
      <c r="E175" s="51"/>
      <c r="F175" s="51"/>
      <c r="G175" s="51"/>
      <c r="H175" s="51"/>
      <c r="I175" s="51"/>
      <c r="J175" s="51"/>
      <c r="K175" s="51"/>
      <c r="L175" s="51"/>
      <c r="M175" s="51"/>
      <c r="N175" s="51"/>
    </row>
    <row r="176" spans="2:14" ht="12.75" customHeight="1" x14ac:dyDescent="0.15">
      <c r="B176" s="51"/>
      <c r="C176" s="51"/>
      <c r="D176" s="51"/>
      <c r="E176" s="51"/>
      <c r="F176" s="51"/>
      <c r="G176" s="51"/>
      <c r="H176" s="51"/>
      <c r="I176" s="51"/>
      <c r="J176" s="51"/>
      <c r="K176" s="51"/>
      <c r="L176" s="51"/>
      <c r="M176" s="51"/>
      <c r="N176" s="51"/>
    </row>
    <row r="177" spans="2:14" ht="12.75" customHeight="1" x14ac:dyDescent="0.15">
      <c r="B177" s="51"/>
      <c r="C177" s="51"/>
      <c r="D177" s="51"/>
      <c r="E177" s="51"/>
      <c r="F177" s="51"/>
      <c r="G177" s="51"/>
      <c r="H177" s="51"/>
      <c r="I177" s="51"/>
      <c r="J177" s="51"/>
      <c r="K177" s="51"/>
      <c r="L177" s="51"/>
      <c r="M177" s="51"/>
      <c r="N177" s="51"/>
    </row>
    <row r="178" spans="2:14" ht="12.75" customHeight="1" x14ac:dyDescent="0.15">
      <c r="B178" s="51"/>
      <c r="C178" s="51"/>
      <c r="D178" s="51"/>
      <c r="E178" s="51"/>
      <c r="F178" s="51"/>
      <c r="G178" s="51"/>
      <c r="H178" s="51"/>
      <c r="I178" s="51"/>
      <c r="J178" s="51"/>
      <c r="K178" s="51"/>
      <c r="L178" s="51"/>
      <c r="M178" s="51"/>
      <c r="N178" s="51"/>
    </row>
    <row r="179" spans="2:14" ht="12.75" customHeight="1" x14ac:dyDescent="0.15">
      <c r="B179" s="51"/>
      <c r="C179" s="51"/>
      <c r="D179" s="51"/>
      <c r="E179" s="51"/>
      <c r="F179" s="51"/>
      <c r="G179" s="51"/>
      <c r="H179" s="51"/>
      <c r="I179" s="51"/>
      <c r="J179" s="51"/>
      <c r="K179" s="51"/>
      <c r="L179" s="51"/>
      <c r="M179" s="51"/>
      <c r="N179" s="51"/>
    </row>
    <row r="180" spans="2:14" ht="12.75" customHeight="1" x14ac:dyDescent="0.15">
      <c r="B180" s="51"/>
      <c r="C180" s="51"/>
      <c r="D180" s="51"/>
      <c r="E180" s="51"/>
      <c r="F180" s="51"/>
      <c r="G180" s="51"/>
      <c r="H180" s="51"/>
      <c r="I180" s="51"/>
      <c r="J180" s="51"/>
      <c r="K180" s="51"/>
      <c r="L180" s="51"/>
      <c r="M180" s="51"/>
      <c r="N180" s="51"/>
    </row>
    <row r="181" spans="2:14" ht="12.75" customHeight="1" x14ac:dyDescent="0.15">
      <c r="B181" s="51"/>
      <c r="C181" s="51"/>
      <c r="D181" s="51"/>
      <c r="E181" s="51"/>
      <c r="F181" s="51"/>
      <c r="G181" s="51"/>
      <c r="H181" s="51"/>
      <c r="I181" s="51"/>
      <c r="J181" s="51"/>
      <c r="K181" s="51"/>
      <c r="L181" s="51"/>
      <c r="M181" s="51"/>
      <c r="N181" s="51"/>
    </row>
    <row r="182" spans="2:14" ht="12.75" customHeight="1" x14ac:dyDescent="0.15">
      <c r="B182" s="51"/>
      <c r="C182" s="51"/>
      <c r="D182" s="51"/>
      <c r="E182" s="51"/>
      <c r="F182" s="51"/>
      <c r="G182" s="51"/>
      <c r="H182" s="51"/>
      <c r="I182" s="51"/>
      <c r="J182" s="51"/>
      <c r="K182" s="51"/>
      <c r="L182" s="51"/>
      <c r="M182" s="51"/>
      <c r="N182" s="51"/>
    </row>
    <row r="183" spans="2:14" ht="12.75" customHeight="1" x14ac:dyDescent="0.15">
      <c r="B183" s="51"/>
      <c r="C183" s="51"/>
      <c r="D183" s="51"/>
      <c r="E183" s="51"/>
      <c r="F183" s="51"/>
      <c r="G183" s="51"/>
      <c r="H183" s="51"/>
      <c r="I183" s="51"/>
      <c r="J183" s="51"/>
      <c r="K183" s="51"/>
      <c r="L183" s="51"/>
      <c r="M183" s="51"/>
      <c r="N183" s="51"/>
    </row>
    <row r="184" spans="2:14" ht="12.75" customHeight="1" x14ac:dyDescent="0.15">
      <c r="B184" s="51"/>
      <c r="C184" s="51"/>
      <c r="D184" s="51"/>
      <c r="E184" s="51"/>
      <c r="F184" s="51"/>
      <c r="G184" s="51"/>
      <c r="H184" s="51"/>
      <c r="I184" s="51"/>
      <c r="J184" s="51"/>
      <c r="K184" s="51"/>
      <c r="L184" s="51"/>
      <c r="M184" s="51"/>
      <c r="N184" s="51"/>
    </row>
    <row r="185" spans="2:14" ht="12.75" customHeight="1" x14ac:dyDescent="0.15">
      <c r="B185" s="51"/>
      <c r="C185" s="51"/>
      <c r="D185" s="51"/>
      <c r="E185" s="51"/>
      <c r="F185" s="51"/>
      <c r="G185" s="51"/>
      <c r="H185" s="51"/>
      <c r="I185" s="51"/>
      <c r="J185" s="51"/>
      <c r="K185" s="51"/>
      <c r="L185" s="51"/>
      <c r="M185" s="51"/>
      <c r="N185" s="51"/>
    </row>
    <row r="186" spans="2:14" ht="12.75" customHeight="1" x14ac:dyDescent="0.15">
      <c r="B186" s="51"/>
      <c r="C186" s="51"/>
      <c r="D186" s="51"/>
      <c r="E186" s="51"/>
      <c r="F186" s="51"/>
      <c r="G186" s="51"/>
      <c r="H186" s="51"/>
      <c r="I186" s="51"/>
      <c r="J186" s="51"/>
      <c r="K186" s="51"/>
      <c r="L186" s="51"/>
      <c r="M186" s="51"/>
      <c r="N186" s="51"/>
    </row>
    <row r="187" spans="2:14" ht="12.75" customHeight="1" x14ac:dyDescent="0.15">
      <c r="B187" s="51"/>
      <c r="C187" s="51"/>
      <c r="D187" s="51"/>
      <c r="E187" s="51"/>
      <c r="F187" s="51"/>
      <c r="G187" s="51"/>
      <c r="H187" s="51"/>
      <c r="I187" s="51"/>
      <c r="J187" s="51"/>
      <c r="K187" s="51"/>
      <c r="L187" s="51"/>
      <c r="M187" s="51"/>
      <c r="N187" s="51"/>
    </row>
    <row r="188" spans="2:14" ht="12.75" customHeight="1" x14ac:dyDescent="0.15">
      <c r="B188" s="51"/>
      <c r="C188" s="51"/>
      <c r="D188" s="51"/>
      <c r="E188" s="51"/>
      <c r="F188" s="51"/>
      <c r="G188" s="51"/>
      <c r="H188" s="51"/>
      <c r="I188" s="51"/>
      <c r="J188" s="51"/>
      <c r="K188" s="51"/>
      <c r="L188" s="51"/>
      <c r="M188" s="51"/>
      <c r="N188" s="51"/>
    </row>
    <row r="189" spans="2:14" ht="12.75" customHeight="1" x14ac:dyDescent="0.15">
      <c r="B189" s="51"/>
      <c r="C189" s="51"/>
      <c r="D189" s="51"/>
      <c r="E189" s="51"/>
      <c r="F189" s="51"/>
      <c r="G189" s="51"/>
      <c r="H189" s="51"/>
      <c r="I189" s="51"/>
      <c r="J189" s="51"/>
      <c r="K189" s="51"/>
      <c r="L189" s="51"/>
      <c r="M189" s="51"/>
      <c r="N189" s="51"/>
    </row>
    <row r="190" spans="2:14" ht="12.75" customHeight="1" x14ac:dyDescent="0.15">
      <c r="B190" s="51"/>
      <c r="C190" s="51"/>
      <c r="D190" s="51"/>
      <c r="E190" s="51"/>
      <c r="F190" s="51"/>
      <c r="G190" s="51"/>
      <c r="H190" s="51"/>
      <c r="I190" s="51"/>
      <c r="J190" s="51"/>
      <c r="K190" s="51"/>
      <c r="L190" s="51"/>
      <c r="M190" s="51"/>
      <c r="N190" s="51"/>
    </row>
    <row r="191" spans="2:14" ht="12.75" customHeight="1" x14ac:dyDescent="0.15">
      <c r="B191" s="51"/>
      <c r="C191" s="51"/>
      <c r="D191" s="51"/>
      <c r="E191" s="51"/>
      <c r="F191" s="51"/>
      <c r="G191" s="51"/>
      <c r="H191" s="51"/>
      <c r="I191" s="51"/>
      <c r="J191" s="51"/>
      <c r="K191" s="51"/>
      <c r="L191" s="51"/>
      <c r="M191" s="51"/>
      <c r="N191" s="51"/>
    </row>
    <row r="192" spans="2:14" ht="12.75" customHeight="1" x14ac:dyDescent="0.15">
      <c r="B192" s="51"/>
      <c r="C192" s="51"/>
      <c r="D192" s="51"/>
      <c r="E192" s="51"/>
      <c r="F192" s="51"/>
      <c r="G192" s="51"/>
      <c r="H192" s="51"/>
      <c r="I192" s="51"/>
      <c r="J192" s="51"/>
      <c r="K192" s="51"/>
      <c r="L192" s="51"/>
      <c r="M192" s="51"/>
      <c r="N192" s="51"/>
    </row>
    <row r="193" spans="2:14" ht="12.75" customHeight="1" x14ac:dyDescent="0.15">
      <c r="B193" s="51"/>
      <c r="C193" s="51"/>
      <c r="D193" s="51"/>
      <c r="E193" s="51"/>
      <c r="F193" s="51"/>
      <c r="G193" s="51"/>
      <c r="H193" s="51"/>
      <c r="I193" s="51"/>
      <c r="J193" s="51"/>
      <c r="K193" s="51"/>
      <c r="L193" s="51"/>
      <c r="M193" s="51"/>
      <c r="N193" s="51"/>
    </row>
    <row r="194" spans="2:14" ht="12.75" customHeight="1" x14ac:dyDescent="0.15">
      <c r="B194" s="51"/>
      <c r="C194" s="51"/>
      <c r="D194" s="51"/>
      <c r="E194" s="51"/>
      <c r="F194" s="51"/>
      <c r="G194" s="51"/>
      <c r="H194" s="51"/>
      <c r="I194" s="51"/>
      <c r="J194" s="51"/>
      <c r="K194" s="51"/>
      <c r="L194" s="51"/>
      <c r="M194" s="51"/>
      <c r="N194" s="51"/>
    </row>
    <row r="195" spans="2:14" ht="12.75" customHeight="1" x14ac:dyDescent="0.15">
      <c r="B195" s="51"/>
      <c r="C195" s="51"/>
      <c r="D195" s="51"/>
      <c r="E195" s="51"/>
      <c r="F195" s="51"/>
      <c r="G195" s="51"/>
      <c r="H195" s="51"/>
      <c r="I195" s="51"/>
      <c r="J195" s="51"/>
      <c r="K195" s="51"/>
      <c r="L195" s="51"/>
      <c r="M195" s="51"/>
      <c r="N195" s="51"/>
    </row>
    <row r="196" spans="2:14" ht="12.75" customHeight="1" x14ac:dyDescent="0.15">
      <c r="B196" s="51"/>
      <c r="C196" s="51"/>
      <c r="D196" s="51"/>
      <c r="E196" s="51"/>
      <c r="F196" s="51"/>
      <c r="G196" s="51"/>
      <c r="H196" s="51"/>
      <c r="I196" s="51"/>
      <c r="J196" s="51"/>
      <c r="K196" s="51"/>
      <c r="L196" s="51"/>
      <c r="M196" s="51"/>
      <c r="N196" s="51"/>
    </row>
    <row r="197" spans="2:14" ht="12.75" customHeight="1" x14ac:dyDescent="0.15">
      <c r="B197" s="51"/>
      <c r="C197" s="51"/>
      <c r="D197" s="51"/>
      <c r="E197" s="51"/>
      <c r="F197" s="51"/>
      <c r="G197" s="51"/>
      <c r="H197" s="51"/>
      <c r="I197" s="51"/>
      <c r="J197" s="51"/>
      <c r="K197" s="51"/>
      <c r="L197" s="51"/>
      <c r="M197" s="51"/>
      <c r="N197" s="51"/>
    </row>
    <row r="198" spans="2:14" ht="12.75" customHeight="1" x14ac:dyDescent="0.15">
      <c r="B198" s="51"/>
      <c r="C198" s="51"/>
      <c r="D198" s="51"/>
      <c r="E198" s="51"/>
      <c r="F198" s="51"/>
      <c r="G198" s="51"/>
      <c r="H198" s="51"/>
      <c r="I198" s="51"/>
      <c r="J198" s="51"/>
      <c r="K198" s="51"/>
      <c r="L198" s="51"/>
      <c r="M198" s="51"/>
      <c r="N198" s="51"/>
    </row>
    <row r="199" spans="2:14" ht="12.75" customHeight="1" x14ac:dyDescent="0.15">
      <c r="B199" s="51"/>
      <c r="C199" s="51"/>
      <c r="D199" s="51"/>
      <c r="E199" s="51"/>
      <c r="F199" s="51"/>
      <c r="G199" s="51"/>
      <c r="H199" s="51"/>
      <c r="I199" s="51"/>
      <c r="J199" s="51"/>
      <c r="K199" s="51"/>
      <c r="L199" s="51"/>
      <c r="M199" s="51"/>
      <c r="N199" s="51"/>
    </row>
    <row r="200" spans="2:14" ht="12.75" customHeight="1" x14ac:dyDescent="0.15">
      <c r="B200" s="51"/>
      <c r="C200" s="51"/>
      <c r="D200" s="51"/>
      <c r="E200" s="51"/>
      <c r="F200" s="51"/>
      <c r="G200" s="51"/>
      <c r="H200" s="51"/>
      <c r="I200" s="51"/>
      <c r="J200" s="51"/>
      <c r="K200" s="51"/>
      <c r="L200" s="51"/>
      <c r="M200" s="51"/>
      <c r="N200" s="51"/>
    </row>
    <row r="201" spans="2:14" ht="12.75" customHeight="1" x14ac:dyDescent="0.15">
      <c r="B201" s="51"/>
      <c r="C201" s="51"/>
      <c r="D201" s="51"/>
      <c r="E201" s="51"/>
      <c r="F201" s="51"/>
      <c r="G201" s="51"/>
      <c r="H201" s="51"/>
      <c r="I201" s="51"/>
      <c r="J201" s="51"/>
      <c r="K201" s="51"/>
      <c r="L201" s="51"/>
      <c r="M201" s="51"/>
      <c r="N201" s="51"/>
    </row>
    <row r="202" spans="2:14" ht="12.75" customHeight="1" x14ac:dyDescent="0.15">
      <c r="B202" s="51"/>
      <c r="C202" s="51"/>
      <c r="D202" s="51"/>
      <c r="E202" s="51"/>
      <c r="F202" s="51"/>
      <c r="G202" s="51"/>
      <c r="H202" s="51"/>
      <c r="I202" s="51"/>
      <c r="J202" s="51"/>
      <c r="K202" s="51"/>
      <c r="L202" s="51"/>
      <c r="M202" s="51"/>
      <c r="N202" s="51"/>
    </row>
    <row r="203" spans="2:14" ht="12.75" customHeight="1" x14ac:dyDescent="0.15">
      <c r="B203" s="51"/>
      <c r="C203" s="51"/>
      <c r="D203" s="51"/>
      <c r="E203" s="51"/>
      <c r="F203" s="51"/>
      <c r="G203" s="51"/>
      <c r="H203" s="51"/>
      <c r="I203" s="51"/>
      <c r="J203" s="51"/>
      <c r="K203" s="51"/>
      <c r="L203" s="51"/>
      <c r="M203" s="51"/>
      <c r="N203" s="51"/>
    </row>
    <row r="204" spans="2:14" ht="12.75" customHeight="1" x14ac:dyDescent="0.15">
      <c r="B204" s="51"/>
      <c r="C204" s="51"/>
      <c r="D204" s="51"/>
      <c r="E204" s="51"/>
      <c r="F204" s="51"/>
      <c r="G204" s="51"/>
      <c r="H204" s="51"/>
      <c r="I204" s="51"/>
      <c r="J204" s="51"/>
      <c r="K204" s="51"/>
      <c r="L204" s="51"/>
      <c r="M204" s="51"/>
      <c r="N204" s="51"/>
    </row>
    <row r="205" spans="2:14" ht="12.75" customHeight="1" x14ac:dyDescent="0.15">
      <c r="B205" s="51"/>
      <c r="C205" s="51"/>
      <c r="D205" s="51"/>
      <c r="E205" s="51"/>
      <c r="F205" s="51"/>
      <c r="G205" s="51"/>
      <c r="H205" s="51"/>
      <c r="I205" s="51"/>
      <c r="J205" s="51"/>
      <c r="K205" s="51"/>
      <c r="L205" s="51"/>
      <c r="M205" s="51"/>
      <c r="N205" s="51"/>
    </row>
    <row r="206" spans="2:14" ht="12.75" customHeight="1" x14ac:dyDescent="0.15">
      <c r="B206" s="51"/>
      <c r="C206" s="51"/>
      <c r="D206" s="51"/>
      <c r="E206" s="51"/>
      <c r="F206" s="51"/>
      <c r="G206" s="51"/>
      <c r="H206" s="51"/>
      <c r="I206" s="51"/>
      <c r="J206" s="51"/>
      <c r="K206" s="51"/>
      <c r="L206" s="51"/>
      <c r="M206" s="51"/>
      <c r="N206" s="51"/>
    </row>
    <row r="207" spans="2:14" ht="12.75" customHeight="1" x14ac:dyDescent="0.15">
      <c r="B207" s="51"/>
      <c r="C207" s="51"/>
      <c r="D207" s="51"/>
      <c r="E207" s="51"/>
      <c r="F207" s="51"/>
      <c r="G207" s="51"/>
      <c r="H207" s="51"/>
      <c r="I207" s="51"/>
      <c r="J207" s="51"/>
      <c r="K207" s="51"/>
      <c r="L207" s="51"/>
      <c r="M207" s="51"/>
      <c r="N207" s="51"/>
    </row>
    <row r="208" spans="2:14" ht="12.75" customHeight="1" x14ac:dyDescent="0.15">
      <c r="B208" s="51"/>
      <c r="C208" s="51"/>
      <c r="D208" s="51"/>
      <c r="E208" s="51"/>
      <c r="F208" s="51"/>
      <c r="G208" s="51"/>
      <c r="H208" s="51"/>
      <c r="I208" s="51"/>
      <c r="J208" s="51"/>
      <c r="K208" s="51"/>
      <c r="L208" s="51"/>
      <c r="M208" s="51"/>
      <c r="N208" s="51"/>
    </row>
    <row r="209" spans="2:14" ht="12.75" customHeight="1" x14ac:dyDescent="0.15">
      <c r="B209" s="51"/>
      <c r="C209" s="51"/>
      <c r="D209" s="51"/>
      <c r="E209" s="51"/>
      <c r="F209" s="51"/>
      <c r="G209" s="51"/>
      <c r="H209" s="51"/>
      <c r="I209" s="51"/>
      <c r="J209" s="51"/>
      <c r="K209" s="51"/>
      <c r="L209" s="51"/>
      <c r="M209" s="51"/>
      <c r="N209" s="51"/>
    </row>
    <row r="210" spans="2:14" ht="12.75" customHeight="1" x14ac:dyDescent="0.15">
      <c r="B210" s="51"/>
      <c r="C210" s="51"/>
      <c r="D210" s="51"/>
      <c r="E210" s="51"/>
      <c r="F210" s="51"/>
      <c r="G210" s="51"/>
      <c r="H210" s="51"/>
      <c r="I210" s="51"/>
      <c r="J210" s="51"/>
      <c r="K210" s="51"/>
      <c r="L210" s="51"/>
      <c r="M210" s="51"/>
      <c r="N210" s="51"/>
    </row>
    <row r="211" spans="2:14" ht="12.75" customHeight="1" x14ac:dyDescent="0.15">
      <c r="B211" s="51"/>
      <c r="C211" s="51"/>
      <c r="D211" s="51"/>
      <c r="E211" s="51"/>
      <c r="F211" s="51"/>
      <c r="G211" s="51"/>
      <c r="H211" s="51"/>
      <c r="I211" s="51"/>
      <c r="J211" s="51"/>
      <c r="K211" s="51"/>
      <c r="L211" s="51"/>
      <c r="M211" s="51"/>
      <c r="N211" s="51"/>
    </row>
    <row r="212" spans="2:14" ht="12.75" customHeight="1" x14ac:dyDescent="0.15">
      <c r="B212" s="51"/>
      <c r="C212" s="51"/>
      <c r="D212" s="51"/>
      <c r="E212" s="51"/>
      <c r="F212" s="51"/>
      <c r="G212" s="51"/>
      <c r="H212" s="51"/>
      <c r="I212" s="51"/>
      <c r="J212" s="51"/>
      <c r="K212" s="51"/>
      <c r="L212" s="51"/>
      <c r="M212" s="51"/>
      <c r="N212" s="51"/>
    </row>
    <row r="213" spans="2:14" ht="12.75" customHeight="1" x14ac:dyDescent="0.15">
      <c r="B213" s="51"/>
      <c r="C213" s="51"/>
      <c r="D213" s="51"/>
      <c r="E213" s="51"/>
      <c r="F213" s="51"/>
      <c r="G213" s="51"/>
      <c r="H213" s="51"/>
      <c r="I213" s="51"/>
      <c r="J213" s="51"/>
      <c r="K213" s="51"/>
      <c r="L213" s="51"/>
      <c r="M213" s="51"/>
      <c r="N213" s="51"/>
    </row>
    <row r="214" spans="2:14" ht="12.75" customHeight="1" x14ac:dyDescent="0.15">
      <c r="B214" s="51"/>
      <c r="C214" s="51"/>
      <c r="D214" s="51"/>
      <c r="E214" s="51"/>
      <c r="F214" s="51"/>
      <c r="G214" s="51"/>
      <c r="H214" s="51"/>
      <c r="I214" s="51"/>
      <c r="J214" s="51"/>
      <c r="K214" s="51"/>
      <c r="L214" s="51"/>
      <c r="M214" s="51"/>
      <c r="N214" s="51"/>
    </row>
    <row r="215" spans="2:14" ht="12.75" customHeight="1" x14ac:dyDescent="0.15">
      <c r="B215" s="51"/>
      <c r="C215" s="51"/>
      <c r="D215" s="51"/>
      <c r="E215" s="51"/>
      <c r="F215" s="51"/>
      <c r="G215" s="51"/>
      <c r="H215" s="51"/>
      <c r="I215" s="51"/>
      <c r="J215" s="51"/>
      <c r="K215" s="51"/>
      <c r="L215" s="51"/>
      <c r="M215" s="51"/>
      <c r="N215" s="51"/>
    </row>
    <row r="216" spans="2:14" ht="12.75" customHeight="1" x14ac:dyDescent="0.15">
      <c r="B216" s="51"/>
      <c r="C216" s="51"/>
      <c r="D216" s="51"/>
      <c r="E216" s="51"/>
      <c r="F216" s="51"/>
      <c r="G216" s="51"/>
      <c r="H216" s="51"/>
      <c r="I216" s="51"/>
      <c r="J216" s="51"/>
      <c r="K216" s="51"/>
      <c r="L216" s="51"/>
      <c r="M216" s="51"/>
      <c r="N216" s="51"/>
    </row>
    <row r="217" spans="2:14" ht="12.75" customHeight="1" x14ac:dyDescent="0.15">
      <c r="B217" s="51"/>
      <c r="C217" s="51"/>
      <c r="D217" s="51"/>
      <c r="E217" s="51"/>
      <c r="F217" s="51"/>
      <c r="G217" s="51"/>
      <c r="H217" s="51"/>
      <c r="I217" s="51"/>
      <c r="J217" s="51"/>
      <c r="K217" s="51"/>
      <c r="L217" s="51"/>
      <c r="M217" s="51"/>
      <c r="N217" s="51"/>
    </row>
    <row r="218" spans="2:14" ht="12.75" customHeight="1" x14ac:dyDescent="0.15">
      <c r="B218" s="51"/>
      <c r="C218" s="51"/>
      <c r="D218" s="51"/>
      <c r="E218" s="51"/>
      <c r="F218" s="51"/>
      <c r="G218" s="51"/>
      <c r="H218" s="51"/>
      <c r="I218" s="51"/>
      <c r="J218" s="51"/>
      <c r="K218" s="51"/>
      <c r="L218" s="51"/>
      <c r="M218" s="51"/>
      <c r="N218" s="51"/>
    </row>
    <row r="219" spans="2:14" ht="12.75" customHeight="1" x14ac:dyDescent="0.15">
      <c r="B219" s="51"/>
      <c r="C219" s="51"/>
      <c r="D219" s="51"/>
      <c r="E219" s="51"/>
      <c r="F219" s="51"/>
      <c r="G219" s="51"/>
      <c r="H219" s="51"/>
      <c r="I219" s="51"/>
      <c r="J219" s="51"/>
      <c r="K219" s="51"/>
      <c r="L219" s="51"/>
      <c r="M219" s="51"/>
      <c r="N219" s="51"/>
    </row>
    <row r="220" spans="2:14" ht="12.75" customHeight="1" x14ac:dyDescent="0.15">
      <c r="B220" s="51"/>
      <c r="C220" s="51"/>
      <c r="D220" s="51"/>
      <c r="E220" s="51"/>
      <c r="F220" s="51"/>
      <c r="G220" s="51"/>
      <c r="H220" s="51"/>
      <c r="I220" s="51"/>
      <c r="J220" s="51"/>
      <c r="K220" s="51"/>
      <c r="L220" s="51"/>
      <c r="M220" s="51"/>
      <c r="N220" s="51"/>
    </row>
    <row r="221" spans="2:14" ht="12.75" customHeight="1" x14ac:dyDescent="0.15">
      <c r="B221" s="51"/>
      <c r="C221" s="51"/>
      <c r="D221" s="51"/>
      <c r="E221" s="51"/>
      <c r="F221" s="51"/>
      <c r="G221" s="51"/>
      <c r="H221" s="51"/>
      <c r="I221" s="51"/>
      <c r="J221" s="51"/>
      <c r="K221" s="51"/>
      <c r="L221" s="51"/>
      <c r="M221" s="51"/>
      <c r="N221" s="51"/>
    </row>
    <row r="222" spans="2:14" ht="12.75" customHeight="1" x14ac:dyDescent="0.15">
      <c r="B222" s="51"/>
      <c r="C222" s="51"/>
      <c r="D222" s="51"/>
      <c r="E222" s="51"/>
      <c r="F222" s="51"/>
      <c r="G222" s="51"/>
      <c r="H222" s="51"/>
      <c r="I222" s="51"/>
      <c r="J222" s="51"/>
      <c r="K222" s="51"/>
      <c r="L222" s="51"/>
      <c r="M222" s="51"/>
      <c r="N222" s="51"/>
    </row>
    <row r="223" spans="2:14" ht="12.75" customHeight="1" x14ac:dyDescent="0.15">
      <c r="B223" s="51"/>
      <c r="C223" s="51"/>
      <c r="D223" s="51"/>
      <c r="E223" s="51"/>
      <c r="F223" s="51"/>
      <c r="G223" s="51"/>
      <c r="H223" s="51"/>
      <c r="I223" s="51"/>
      <c r="J223" s="51"/>
      <c r="K223" s="51"/>
      <c r="L223" s="51"/>
      <c r="M223" s="51"/>
      <c r="N223" s="51"/>
    </row>
    <row r="224" spans="2:14" ht="12.75" customHeight="1" x14ac:dyDescent="0.15">
      <c r="B224" s="51"/>
      <c r="C224" s="51"/>
      <c r="D224" s="51"/>
      <c r="E224" s="51"/>
      <c r="F224" s="51"/>
      <c r="G224" s="51"/>
      <c r="H224" s="51"/>
      <c r="I224" s="51"/>
      <c r="J224" s="51"/>
      <c r="K224" s="51"/>
      <c r="L224" s="51"/>
      <c r="M224" s="51"/>
      <c r="N224" s="51"/>
    </row>
    <row r="225" spans="2:14" ht="12.75" customHeight="1" x14ac:dyDescent="0.15">
      <c r="B225" s="51"/>
      <c r="C225" s="51"/>
      <c r="D225" s="51"/>
      <c r="E225" s="51"/>
      <c r="F225" s="51"/>
      <c r="G225" s="51"/>
      <c r="H225" s="51"/>
      <c r="I225" s="51"/>
      <c r="J225" s="51"/>
      <c r="K225" s="51"/>
      <c r="L225" s="51"/>
      <c r="M225" s="51"/>
      <c r="N225" s="51"/>
    </row>
    <row r="226" spans="2:14" ht="12.75" customHeight="1" x14ac:dyDescent="0.15">
      <c r="B226" s="51"/>
      <c r="C226" s="51"/>
      <c r="D226" s="51"/>
      <c r="E226" s="51"/>
      <c r="F226" s="51"/>
      <c r="G226" s="51"/>
      <c r="H226" s="51"/>
      <c r="I226" s="51"/>
      <c r="J226" s="51"/>
      <c r="K226" s="51"/>
      <c r="L226" s="51"/>
      <c r="M226" s="51"/>
      <c r="N226" s="51"/>
    </row>
    <row r="227" spans="2:14" ht="12.75" customHeight="1" x14ac:dyDescent="0.15">
      <c r="B227" s="51"/>
      <c r="C227" s="51"/>
      <c r="D227" s="51"/>
      <c r="E227" s="51"/>
      <c r="F227" s="51"/>
      <c r="G227" s="51"/>
      <c r="H227" s="51"/>
      <c r="I227" s="51"/>
      <c r="J227" s="51"/>
      <c r="K227" s="51"/>
      <c r="L227" s="51"/>
      <c r="M227" s="51"/>
      <c r="N227" s="51"/>
    </row>
    <row r="228" spans="2:14" ht="12.75" customHeight="1" x14ac:dyDescent="0.15">
      <c r="B228" s="51"/>
      <c r="C228" s="51"/>
      <c r="D228" s="51"/>
      <c r="E228" s="51"/>
      <c r="F228" s="51"/>
      <c r="G228" s="51"/>
      <c r="H228" s="51"/>
      <c r="I228" s="51"/>
      <c r="J228" s="51"/>
      <c r="K228" s="51"/>
      <c r="L228" s="51"/>
      <c r="M228" s="51"/>
      <c r="N228" s="51"/>
    </row>
    <row r="229" spans="2:14" ht="12.75" customHeight="1" x14ac:dyDescent="0.15">
      <c r="B229" s="51"/>
      <c r="C229" s="51"/>
      <c r="D229" s="51"/>
      <c r="E229" s="51"/>
      <c r="F229" s="51"/>
      <c r="G229" s="51"/>
      <c r="H229" s="51"/>
      <c r="I229" s="51"/>
      <c r="J229" s="51"/>
      <c r="K229" s="51"/>
      <c r="L229" s="51"/>
      <c r="M229" s="51"/>
      <c r="N229" s="51"/>
    </row>
    <row r="230" spans="2:14" ht="12.75" customHeight="1" x14ac:dyDescent="0.15">
      <c r="B230" s="51"/>
      <c r="C230" s="51"/>
      <c r="D230" s="51"/>
      <c r="E230" s="51"/>
      <c r="F230" s="51"/>
      <c r="G230" s="51"/>
      <c r="H230" s="51"/>
      <c r="I230" s="51"/>
      <c r="J230" s="51"/>
      <c r="K230" s="51"/>
      <c r="L230" s="51"/>
      <c r="M230" s="51"/>
      <c r="N230" s="51"/>
    </row>
    <row r="231" spans="2:14" ht="12.75" customHeight="1" x14ac:dyDescent="0.15">
      <c r="B231" s="51"/>
      <c r="C231" s="51"/>
      <c r="D231" s="51"/>
      <c r="E231" s="51"/>
      <c r="F231" s="51"/>
      <c r="G231" s="51"/>
      <c r="H231" s="51"/>
      <c r="I231" s="51"/>
      <c r="J231" s="51"/>
      <c r="K231" s="51"/>
      <c r="L231" s="51"/>
      <c r="M231" s="51"/>
      <c r="N231" s="51"/>
    </row>
    <row r="232" spans="2:14" ht="12.75" customHeight="1" x14ac:dyDescent="0.15">
      <c r="B232" s="51"/>
      <c r="C232" s="51"/>
      <c r="D232" s="51"/>
      <c r="E232" s="51"/>
      <c r="F232" s="51"/>
      <c r="G232" s="51"/>
      <c r="H232" s="51"/>
      <c r="I232" s="51"/>
      <c r="J232" s="51"/>
      <c r="K232" s="51"/>
      <c r="L232" s="51"/>
      <c r="M232" s="51"/>
      <c r="N232" s="51"/>
    </row>
    <row r="233" spans="2:14" ht="12.75" customHeight="1" x14ac:dyDescent="0.15">
      <c r="B233" s="51"/>
      <c r="C233" s="51"/>
      <c r="D233" s="51"/>
      <c r="E233" s="51"/>
      <c r="F233" s="51"/>
      <c r="G233" s="51"/>
      <c r="H233" s="51"/>
      <c r="I233" s="51"/>
      <c r="J233" s="51"/>
      <c r="K233" s="51"/>
      <c r="L233" s="51"/>
      <c r="M233" s="51"/>
      <c r="N233" s="51"/>
    </row>
    <row r="234" spans="2:14" ht="12.75" customHeight="1" x14ac:dyDescent="0.15">
      <c r="B234" s="51"/>
      <c r="C234" s="51"/>
      <c r="D234" s="51"/>
      <c r="E234" s="51"/>
      <c r="F234" s="51"/>
      <c r="G234" s="51"/>
      <c r="H234" s="51"/>
      <c r="I234" s="51"/>
      <c r="J234" s="51"/>
      <c r="K234" s="51"/>
      <c r="L234" s="51"/>
      <c r="M234" s="51"/>
      <c r="N234" s="51"/>
    </row>
    <row r="235" spans="2:14" ht="12.75" customHeight="1" x14ac:dyDescent="0.15">
      <c r="B235" s="51"/>
      <c r="C235" s="51"/>
      <c r="D235" s="51"/>
      <c r="E235" s="51"/>
      <c r="F235" s="51"/>
      <c r="G235" s="51"/>
      <c r="H235" s="51"/>
      <c r="I235" s="51"/>
      <c r="J235" s="51"/>
      <c r="K235" s="51"/>
      <c r="L235" s="51"/>
      <c r="M235" s="51"/>
      <c r="N235" s="51"/>
    </row>
    <row r="236" spans="2:14" ht="12.75" customHeight="1" x14ac:dyDescent="0.15">
      <c r="B236" s="51"/>
      <c r="C236" s="51"/>
      <c r="D236" s="51"/>
      <c r="E236" s="51"/>
      <c r="F236" s="51"/>
      <c r="G236" s="51"/>
      <c r="H236" s="51"/>
      <c r="I236" s="51"/>
      <c r="J236" s="51"/>
      <c r="K236" s="51"/>
      <c r="L236" s="51"/>
      <c r="M236" s="51"/>
      <c r="N236" s="51"/>
    </row>
    <row r="237" spans="2:14" ht="12.75" customHeight="1" x14ac:dyDescent="0.15">
      <c r="B237" s="51"/>
      <c r="C237" s="51"/>
      <c r="D237" s="51"/>
      <c r="E237" s="51"/>
      <c r="F237" s="51"/>
      <c r="G237" s="51"/>
      <c r="H237" s="51"/>
      <c r="I237" s="51"/>
      <c r="J237" s="51"/>
      <c r="K237" s="51"/>
      <c r="L237" s="51"/>
      <c r="M237" s="51"/>
      <c r="N237" s="51"/>
    </row>
    <row r="238" spans="2:14" ht="12.75" customHeight="1" x14ac:dyDescent="0.15">
      <c r="B238" s="51"/>
      <c r="C238" s="51"/>
      <c r="D238" s="51"/>
      <c r="E238" s="51"/>
      <c r="F238" s="51"/>
      <c r="G238" s="51"/>
      <c r="H238" s="51"/>
      <c r="I238" s="51"/>
      <c r="J238" s="51"/>
      <c r="K238" s="51"/>
      <c r="L238" s="51"/>
      <c r="M238" s="51"/>
      <c r="N238" s="51"/>
    </row>
    <row r="239" spans="2:14" ht="12.75" customHeight="1" x14ac:dyDescent="0.15">
      <c r="B239" s="51"/>
      <c r="C239" s="51"/>
      <c r="D239" s="51"/>
      <c r="E239" s="51"/>
      <c r="F239" s="51"/>
      <c r="G239" s="51"/>
      <c r="H239" s="51"/>
      <c r="I239" s="51"/>
      <c r="J239" s="51"/>
      <c r="K239" s="51"/>
      <c r="L239" s="51"/>
      <c r="M239" s="51"/>
      <c r="N239" s="51"/>
    </row>
    <row r="240" spans="2:14" ht="12.75" customHeight="1" x14ac:dyDescent="0.15">
      <c r="B240" s="51"/>
      <c r="C240" s="51"/>
      <c r="D240" s="51"/>
      <c r="E240" s="51"/>
      <c r="F240" s="51"/>
      <c r="G240" s="51"/>
      <c r="H240" s="51"/>
      <c r="I240" s="51"/>
      <c r="J240" s="51"/>
      <c r="K240" s="51"/>
      <c r="L240" s="51"/>
      <c r="M240" s="51"/>
      <c r="N240" s="51"/>
    </row>
    <row r="241" spans="2:14" ht="12.75" customHeight="1" x14ac:dyDescent="0.15">
      <c r="B241" s="51"/>
      <c r="C241" s="51"/>
      <c r="D241" s="51"/>
      <c r="E241" s="51"/>
      <c r="F241" s="51"/>
      <c r="G241" s="51"/>
      <c r="H241" s="51"/>
      <c r="I241" s="51"/>
      <c r="J241" s="51"/>
      <c r="K241" s="51"/>
      <c r="L241" s="51"/>
      <c r="M241" s="51"/>
      <c r="N241" s="51"/>
    </row>
    <row r="242" spans="2:14" ht="12.75" customHeight="1" x14ac:dyDescent="0.15">
      <c r="B242" s="51"/>
      <c r="C242" s="51"/>
      <c r="D242" s="51"/>
      <c r="E242" s="51"/>
      <c r="F242" s="51"/>
      <c r="G242" s="51"/>
      <c r="H242" s="51"/>
      <c r="I242" s="51"/>
      <c r="J242" s="51"/>
      <c r="K242" s="51"/>
      <c r="L242" s="51"/>
      <c r="M242" s="51"/>
      <c r="N242" s="51"/>
    </row>
    <row r="243" spans="2:14" ht="12.75" customHeight="1" x14ac:dyDescent="0.15">
      <c r="B243" s="51"/>
      <c r="C243" s="51"/>
      <c r="D243" s="51"/>
      <c r="E243" s="51"/>
      <c r="F243" s="51"/>
      <c r="G243" s="51"/>
      <c r="H243" s="51"/>
      <c r="I243" s="51"/>
      <c r="J243" s="51"/>
      <c r="K243" s="51"/>
      <c r="L243" s="51"/>
      <c r="M243" s="51"/>
      <c r="N243" s="51"/>
    </row>
    <row r="244" spans="2:14" ht="12.75" customHeight="1" x14ac:dyDescent="0.15">
      <c r="B244" s="51"/>
      <c r="C244" s="51"/>
      <c r="D244" s="51"/>
      <c r="E244" s="51"/>
      <c r="F244" s="51"/>
      <c r="G244" s="51"/>
      <c r="H244" s="51"/>
      <c r="I244" s="51"/>
      <c r="J244" s="51"/>
      <c r="K244" s="51"/>
      <c r="L244" s="51"/>
      <c r="M244" s="51"/>
      <c r="N244" s="51"/>
    </row>
    <row r="245" spans="2:14" ht="12.75" customHeight="1" x14ac:dyDescent="0.15">
      <c r="B245" s="51"/>
      <c r="C245" s="51"/>
      <c r="D245" s="51"/>
      <c r="E245" s="51"/>
      <c r="F245" s="51"/>
      <c r="G245" s="51"/>
      <c r="H245" s="51"/>
      <c r="I245" s="51"/>
      <c r="J245" s="51"/>
      <c r="K245" s="51"/>
      <c r="L245" s="51"/>
      <c r="M245" s="51"/>
      <c r="N245" s="51"/>
    </row>
    <row r="246" spans="2:14" ht="12.75" customHeight="1" x14ac:dyDescent="0.15">
      <c r="B246" s="51"/>
      <c r="C246" s="51"/>
      <c r="D246" s="51"/>
      <c r="E246" s="51"/>
      <c r="F246" s="51"/>
      <c r="G246" s="51"/>
      <c r="H246" s="51"/>
      <c r="I246" s="51"/>
      <c r="J246" s="51"/>
      <c r="K246" s="51"/>
      <c r="L246" s="51"/>
      <c r="M246" s="51"/>
      <c r="N246" s="51"/>
    </row>
    <row r="247" spans="2:14" ht="12.75" customHeight="1" x14ac:dyDescent="0.15">
      <c r="B247" s="51"/>
      <c r="C247" s="51"/>
      <c r="D247" s="51"/>
      <c r="E247" s="51"/>
      <c r="F247" s="51"/>
      <c r="G247" s="51"/>
      <c r="H247" s="51"/>
      <c r="I247" s="51"/>
      <c r="J247" s="51"/>
      <c r="K247" s="51"/>
      <c r="L247" s="51"/>
      <c r="M247" s="51"/>
      <c r="N247" s="51"/>
    </row>
    <row r="248" spans="2:14" ht="12.75" customHeight="1" x14ac:dyDescent="0.15">
      <c r="B248" s="51"/>
      <c r="C248" s="51"/>
      <c r="D248" s="51"/>
      <c r="E248" s="51"/>
      <c r="F248" s="51"/>
      <c r="G248" s="51"/>
      <c r="H248" s="51"/>
      <c r="I248" s="51"/>
      <c r="J248" s="51"/>
      <c r="K248" s="51"/>
      <c r="L248" s="51"/>
      <c r="M248" s="51"/>
      <c r="N248" s="51"/>
    </row>
    <row r="249" spans="2:14" ht="12.75" customHeight="1" x14ac:dyDescent="0.15">
      <c r="B249" s="51"/>
      <c r="C249" s="51"/>
      <c r="D249" s="51"/>
      <c r="E249" s="51"/>
      <c r="F249" s="51"/>
      <c r="G249" s="51"/>
      <c r="H249" s="51"/>
      <c r="I249" s="51"/>
      <c r="J249" s="51"/>
      <c r="K249" s="51"/>
      <c r="L249" s="51"/>
      <c r="M249" s="51"/>
      <c r="N249" s="51"/>
    </row>
    <row r="250" spans="2:14" ht="12.75" customHeight="1" x14ac:dyDescent="0.15">
      <c r="B250" s="51"/>
      <c r="C250" s="51"/>
      <c r="D250" s="51"/>
      <c r="E250" s="51"/>
      <c r="F250" s="51"/>
      <c r="G250" s="51"/>
      <c r="H250" s="51"/>
      <c r="I250" s="51"/>
      <c r="J250" s="51"/>
      <c r="K250" s="51"/>
      <c r="L250" s="51"/>
      <c r="M250" s="51"/>
      <c r="N250" s="51"/>
    </row>
    <row r="251" spans="2:14" ht="12.75" customHeight="1" x14ac:dyDescent="0.15">
      <c r="B251" s="51"/>
      <c r="C251" s="51"/>
      <c r="D251" s="51"/>
      <c r="E251" s="51"/>
      <c r="F251" s="51"/>
      <c r="G251" s="51"/>
      <c r="H251" s="51"/>
      <c r="I251" s="51"/>
      <c r="J251" s="51"/>
      <c r="K251" s="51"/>
      <c r="L251" s="51"/>
      <c r="M251" s="51"/>
      <c r="N251" s="51"/>
    </row>
    <row r="252" spans="2:14" ht="12.75" customHeight="1" x14ac:dyDescent="0.15">
      <c r="B252" s="51"/>
      <c r="C252" s="51"/>
      <c r="D252" s="51"/>
      <c r="E252" s="51"/>
      <c r="F252" s="51"/>
      <c r="G252" s="51"/>
      <c r="H252" s="51"/>
      <c r="I252" s="51"/>
      <c r="J252" s="51"/>
      <c r="K252" s="51"/>
      <c r="L252" s="51"/>
      <c r="M252" s="51"/>
      <c r="N252" s="51"/>
    </row>
    <row r="253" spans="2:14" ht="12.75" customHeight="1" x14ac:dyDescent="0.15">
      <c r="B253" s="51"/>
      <c r="C253" s="51"/>
      <c r="D253" s="51"/>
      <c r="E253" s="51"/>
      <c r="F253" s="51"/>
      <c r="G253" s="51"/>
      <c r="H253" s="51"/>
      <c r="I253" s="51"/>
      <c r="J253" s="51"/>
      <c r="K253" s="51"/>
      <c r="L253" s="51"/>
      <c r="M253" s="51"/>
      <c r="N253" s="51"/>
    </row>
    <row r="254" spans="2:14" ht="12.75" customHeight="1" x14ac:dyDescent="0.15">
      <c r="B254" s="51"/>
      <c r="C254" s="51"/>
      <c r="D254" s="51"/>
      <c r="E254" s="51"/>
      <c r="F254" s="51"/>
      <c r="G254" s="51"/>
      <c r="H254" s="51"/>
      <c r="I254" s="51"/>
      <c r="J254" s="51"/>
      <c r="K254" s="51"/>
      <c r="L254" s="51"/>
      <c r="M254" s="51"/>
      <c r="N254" s="51"/>
    </row>
    <row r="255" spans="2:14" ht="12.75" customHeight="1" x14ac:dyDescent="0.15">
      <c r="B255" s="51"/>
      <c r="C255" s="51"/>
      <c r="D255" s="51"/>
      <c r="E255" s="51"/>
      <c r="F255" s="51"/>
      <c r="G255" s="51"/>
      <c r="H255" s="51"/>
      <c r="I255" s="51"/>
      <c r="J255" s="51"/>
      <c r="K255" s="51"/>
      <c r="L255" s="51"/>
      <c r="M255" s="51"/>
      <c r="N255" s="51"/>
    </row>
    <row r="256" spans="2:14" ht="12.75" customHeight="1" x14ac:dyDescent="0.15">
      <c r="B256" s="51"/>
      <c r="C256" s="51"/>
      <c r="D256" s="51"/>
      <c r="E256" s="51"/>
      <c r="F256" s="51"/>
      <c r="G256" s="51"/>
      <c r="H256" s="51"/>
      <c r="I256" s="51"/>
      <c r="J256" s="51"/>
      <c r="K256" s="51"/>
      <c r="L256" s="51"/>
      <c r="M256" s="51"/>
      <c r="N256" s="51"/>
    </row>
    <row r="257" spans="2:14" ht="12.75" customHeight="1" x14ac:dyDescent="0.15">
      <c r="B257" s="51"/>
      <c r="C257" s="51"/>
      <c r="D257" s="51"/>
      <c r="E257" s="51"/>
      <c r="F257" s="51"/>
      <c r="G257" s="51"/>
      <c r="H257" s="51"/>
      <c r="I257" s="51"/>
      <c r="J257" s="51"/>
      <c r="K257" s="51"/>
      <c r="L257" s="51"/>
      <c r="M257" s="51"/>
      <c r="N257" s="51"/>
    </row>
    <row r="258" spans="2:14" ht="12.75" customHeight="1" x14ac:dyDescent="0.15">
      <c r="B258" s="51"/>
      <c r="C258" s="51"/>
      <c r="D258" s="51"/>
      <c r="E258" s="51"/>
      <c r="F258" s="51"/>
      <c r="G258" s="51"/>
      <c r="H258" s="51"/>
      <c r="I258" s="51"/>
      <c r="J258" s="51"/>
      <c r="K258" s="51"/>
      <c r="L258" s="51"/>
      <c r="M258" s="51"/>
      <c r="N258" s="51"/>
    </row>
    <row r="259" spans="2:14" ht="12.75" customHeight="1" x14ac:dyDescent="0.15">
      <c r="B259" s="51"/>
      <c r="C259" s="51"/>
      <c r="D259" s="51"/>
      <c r="E259" s="51"/>
      <c r="F259" s="51"/>
      <c r="G259" s="51"/>
      <c r="H259" s="51"/>
      <c r="I259" s="51"/>
      <c r="J259" s="51"/>
      <c r="K259" s="51"/>
      <c r="L259" s="51"/>
      <c r="M259" s="51"/>
      <c r="N259" s="51"/>
    </row>
    <row r="260" spans="2:14" ht="12.75" customHeight="1" x14ac:dyDescent="0.15">
      <c r="B260" s="51"/>
      <c r="C260" s="51"/>
      <c r="D260" s="51"/>
      <c r="E260" s="51"/>
      <c r="F260" s="51"/>
      <c r="G260" s="51"/>
      <c r="H260" s="51"/>
      <c r="I260" s="51"/>
      <c r="J260" s="51"/>
      <c r="K260" s="51"/>
      <c r="L260" s="51"/>
      <c r="M260" s="51"/>
      <c r="N260" s="51"/>
    </row>
    <row r="261" spans="2:14" ht="12.75" customHeight="1" x14ac:dyDescent="0.15">
      <c r="B261" s="51"/>
      <c r="C261" s="51"/>
      <c r="D261" s="51"/>
      <c r="E261" s="51"/>
      <c r="F261" s="51"/>
      <c r="G261" s="51"/>
      <c r="H261" s="51"/>
      <c r="I261" s="51"/>
      <c r="J261" s="51"/>
      <c r="K261" s="51"/>
      <c r="L261" s="51"/>
      <c r="M261" s="51"/>
      <c r="N261" s="51"/>
    </row>
    <row r="262" spans="2:14" ht="12.75" customHeight="1" x14ac:dyDescent="0.15">
      <c r="B262" s="51"/>
      <c r="C262" s="51"/>
      <c r="D262" s="51"/>
      <c r="E262" s="51"/>
      <c r="F262" s="51"/>
      <c r="G262" s="51"/>
      <c r="H262" s="51"/>
      <c r="I262" s="51"/>
      <c r="J262" s="51"/>
      <c r="K262" s="51"/>
      <c r="L262" s="51"/>
      <c r="M262" s="51"/>
      <c r="N262" s="51"/>
    </row>
    <row r="263" spans="2:14" ht="12.75" customHeight="1" x14ac:dyDescent="0.15">
      <c r="B263" s="51"/>
      <c r="C263" s="51"/>
      <c r="D263" s="51"/>
      <c r="E263" s="51"/>
      <c r="F263" s="51"/>
      <c r="G263" s="51"/>
      <c r="H263" s="51"/>
      <c r="I263" s="51"/>
      <c r="J263" s="51"/>
      <c r="K263" s="51"/>
      <c r="L263" s="51"/>
      <c r="M263" s="51"/>
      <c r="N263" s="51"/>
    </row>
    <row r="264" spans="2:14" ht="12.75" customHeight="1" x14ac:dyDescent="0.15">
      <c r="B264" s="51"/>
      <c r="C264" s="51"/>
      <c r="D264" s="51"/>
      <c r="E264" s="51"/>
      <c r="F264" s="51"/>
      <c r="G264" s="51"/>
      <c r="H264" s="51"/>
      <c r="I264" s="51"/>
      <c r="J264" s="51"/>
      <c r="K264" s="51"/>
      <c r="L264" s="51"/>
      <c r="M264" s="51"/>
      <c r="N264" s="51"/>
    </row>
    <row r="265" spans="2:14" ht="12.75" customHeight="1" x14ac:dyDescent="0.15">
      <c r="B265" s="51"/>
      <c r="C265" s="51"/>
      <c r="D265" s="51"/>
      <c r="E265" s="51"/>
      <c r="F265" s="51"/>
      <c r="G265" s="51"/>
      <c r="H265" s="51"/>
      <c r="I265" s="51"/>
      <c r="J265" s="51"/>
      <c r="K265" s="51"/>
      <c r="L265" s="51"/>
      <c r="M265" s="51"/>
      <c r="N265" s="51"/>
    </row>
    <row r="266" spans="2:14" ht="12.75" customHeight="1" x14ac:dyDescent="0.15">
      <c r="B266" s="51"/>
      <c r="C266" s="51"/>
      <c r="D266" s="51"/>
      <c r="E266" s="51"/>
      <c r="F266" s="51"/>
      <c r="G266" s="51"/>
      <c r="H266" s="51"/>
      <c r="I266" s="51"/>
      <c r="J266" s="51"/>
      <c r="K266" s="51"/>
      <c r="L266" s="51"/>
      <c r="M266" s="51"/>
      <c r="N266" s="51"/>
    </row>
    <row r="267" spans="2:14" ht="12.75" customHeight="1" x14ac:dyDescent="0.15">
      <c r="B267" s="51"/>
      <c r="C267" s="51"/>
      <c r="D267" s="51"/>
      <c r="E267" s="51"/>
      <c r="F267" s="51"/>
      <c r="G267" s="51"/>
      <c r="H267" s="51"/>
      <c r="I267" s="51"/>
      <c r="J267" s="51"/>
      <c r="K267" s="51"/>
      <c r="L267" s="51"/>
      <c r="M267" s="51"/>
      <c r="N267" s="51"/>
    </row>
    <row r="268" spans="2:14" ht="12.75" customHeight="1" x14ac:dyDescent="0.15">
      <c r="B268" s="51"/>
      <c r="C268" s="51"/>
      <c r="D268" s="51"/>
      <c r="E268" s="51"/>
      <c r="F268" s="51"/>
      <c r="G268" s="51"/>
      <c r="H268" s="51"/>
      <c r="I268" s="51"/>
      <c r="J268" s="51"/>
      <c r="K268" s="51"/>
      <c r="L268" s="51"/>
      <c r="M268" s="51"/>
      <c r="N268" s="51"/>
    </row>
    <row r="269" spans="2:14" ht="12.75" customHeight="1" x14ac:dyDescent="0.15">
      <c r="B269" s="51"/>
      <c r="C269" s="51"/>
      <c r="D269" s="51"/>
      <c r="E269" s="51"/>
      <c r="F269" s="51"/>
      <c r="G269" s="51"/>
      <c r="H269" s="51"/>
      <c r="I269" s="51"/>
      <c r="J269" s="51"/>
      <c r="K269" s="51"/>
      <c r="L269" s="51"/>
      <c r="M269" s="51"/>
      <c r="N269" s="51"/>
    </row>
    <row r="270" spans="2:14" ht="12.75" customHeight="1" x14ac:dyDescent="0.15">
      <c r="B270" s="51"/>
      <c r="C270" s="51"/>
      <c r="D270" s="51"/>
      <c r="E270" s="51"/>
      <c r="F270" s="51"/>
      <c r="G270" s="51"/>
      <c r="H270" s="51"/>
      <c r="I270" s="51"/>
      <c r="J270" s="51"/>
      <c r="K270" s="51"/>
      <c r="L270" s="51"/>
      <c r="M270" s="51"/>
      <c r="N270" s="51"/>
    </row>
    <row r="271" spans="2:14" ht="12.75" customHeight="1" x14ac:dyDescent="0.15">
      <c r="B271" s="51"/>
      <c r="C271" s="51"/>
      <c r="D271" s="51"/>
      <c r="E271" s="51"/>
      <c r="F271" s="51"/>
      <c r="G271" s="51"/>
      <c r="H271" s="51"/>
      <c r="I271" s="51"/>
      <c r="J271" s="51"/>
      <c r="K271" s="51"/>
      <c r="L271" s="51"/>
      <c r="M271" s="51"/>
      <c r="N271" s="51"/>
    </row>
    <row r="272" spans="2:14" ht="12.75" customHeight="1" x14ac:dyDescent="0.15">
      <c r="B272" s="51"/>
      <c r="C272" s="51"/>
      <c r="D272" s="51"/>
      <c r="E272" s="51"/>
      <c r="F272" s="51"/>
      <c r="G272" s="51"/>
      <c r="H272" s="51"/>
      <c r="I272" s="51"/>
      <c r="J272" s="51"/>
      <c r="K272" s="51"/>
      <c r="L272" s="51"/>
      <c r="M272" s="51"/>
      <c r="N272" s="51"/>
    </row>
    <row r="273" spans="2:14" ht="12.75" customHeight="1" x14ac:dyDescent="0.15">
      <c r="B273" s="51"/>
      <c r="C273" s="51"/>
      <c r="D273" s="51"/>
      <c r="E273" s="51"/>
      <c r="F273" s="51"/>
      <c r="G273" s="51"/>
      <c r="H273" s="51"/>
      <c r="I273" s="51"/>
      <c r="J273" s="51"/>
      <c r="K273" s="51"/>
      <c r="L273" s="51"/>
      <c r="M273" s="51"/>
      <c r="N273" s="51"/>
    </row>
    <row r="274" spans="2:14" ht="12.75" customHeight="1" x14ac:dyDescent="0.15">
      <c r="B274" s="51"/>
      <c r="C274" s="51"/>
      <c r="D274" s="51"/>
      <c r="E274" s="51"/>
      <c r="F274" s="51"/>
      <c r="G274" s="51"/>
      <c r="H274" s="51"/>
      <c r="I274" s="51"/>
      <c r="J274" s="51"/>
      <c r="K274" s="51"/>
      <c r="L274" s="51"/>
      <c r="M274" s="51"/>
      <c r="N274" s="51"/>
    </row>
    <row r="275" spans="2:14" ht="12.75" customHeight="1" x14ac:dyDescent="0.15">
      <c r="B275" s="51"/>
      <c r="C275" s="51"/>
      <c r="D275" s="51"/>
      <c r="E275" s="51"/>
      <c r="F275" s="51"/>
      <c r="G275" s="51"/>
      <c r="H275" s="51"/>
      <c r="I275" s="51"/>
      <c r="J275" s="51"/>
      <c r="K275" s="51"/>
      <c r="L275" s="51"/>
      <c r="M275" s="51"/>
      <c r="N275" s="51"/>
    </row>
    <row r="276" spans="2:14" ht="12.75" customHeight="1" x14ac:dyDescent="0.15">
      <c r="B276" s="51"/>
      <c r="C276" s="51"/>
      <c r="D276" s="51"/>
      <c r="E276" s="51"/>
      <c r="F276" s="51"/>
      <c r="G276" s="51"/>
      <c r="H276" s="51"/>
      <c r="I276" s="51"/>
      <c r="J276" s="51"/>
      <c r="K276" s="51"/>
      <c r="L276" s="51"/>
      <c r="M276" s="51"/>
      <c r="N276" s="51"/>
    </row>
    <row r="277" spans="2:14" ht="12.75" customHeight="1" x14ac:dyDescent="0.15">
      <c r="B277" s="51"/>
      <c r="C277" s="51"/>
      <c r="D277" s="51"/>
      <c r="E277" s="51"/>
      <c r="F277" s="51"/>
      <c r="G277" s="51"/>
      <c r="H277" s="51"/>
      <c r="I277" s="51"/>
      <c r="J277" s="51"/>
      <c r="K277" s="51"/>
      <c r="L277" s="51"/>
      <c r="M277" s="51"/>
      <c r="N277" s="51"/>
    </row>
    <row r="278" spans="2:14" ht="12.75" customHeight="1" x14ac:dyDescent="0.15">
      <c r="B278" s="51"/>
      <c r="C278" s="51"/>
      <c r="D278" s="51"/>
      <c r="E278" s="51"/>
      <c r="F278" s="51"/>
      <c r="G278" s="51"/>
      <c r="H278" s="51"/>
      <c r="I278" s="51"/>
      <c r="J278" s="51"/>
      <c r="K278" s="51"/>
      <c r="L278" s="51"/>
      <c r="M278" s="51"/>
      <c r="N278" s="51"/>
    </row>
    <row r="279" spans="2:14" ht="12.75" customHeight="1" x14ac:dyDescent="0.15">
      <c r="B279" s="51"/>
      <c r="C279" s="51"/>
      <c r="D279" s="51"/>
      <c r="E279" s="51"/>
      <c r="F279" s="51"/>
      <c r="G279" s="51"/>
      <c r="H279" s="51"/>
      <c r="I279" s="51"/>
      <c r="J279" s="51"/>
      <c r="K279" s="51"/>
      <c r="L279" s="51"/>
      <c r="M279" s="51"/>
      <c r="N279" s="51"/>
    </row>
    <row r="280" spans="2:14" ht="12.75" customHeight="1" x14ac:dyDescent="0.15">
      <c r="B280" s="51"/>
      <c r="C280" s="51"/>
      <c r="D280" s="51"/>
      <c r="E280" s="51"/>
      <c r="F280" s="51"/>
      <c r="G280" s="51"/>
      <c r="H280" s="51"/>
      <c r="I280" s="51"/>
      <c r="J280" s="51"/>
      <c r="K280" s="51"/>
      <c r="L280" s="51"/>
      <c r="M280" s="51"/>
      <c r="N280" s="51"/>
    </row>
    <row r="281" spans="2:14" ht="12.75" customHeight="1" x14ac:dyDescent="0.15">
      <c r="B281" s="51"/>
      <c r="C281" s="51"/>
      <c r="D281" s="51"/>
      <c r="E281" s="51"/>
      <c r="F281" s="51"/>
      <c r="G281" s="51"/>
      <c r="H281" s="51"/>
      <c r="I281" s="51"/>
      <c r="J281" s="51"/>
      <c r="K281" s="51"/>
      <c r="L281" s="51"/>
      <c r="M281" s="51"/>
      <c r="N281" s="51"/>
    </row>
    <row r="282" spans="2:14" ht="12.75" customHeight="1" x14ac:dyDescent="0.15">
      <c r="B282" s="51"/>
      <c r="C282" s="51"/>
      <c r="D282" s="51"/>
      <c r="E282" s="51"/>
      <c r="F282" s="51"/>
      <c r="G282" s="51"/>
      <c r="H282" s="51"/>
      <c r="I282" s="51"/>
      <c r="J282" s="51"/>
      <c r="K282" s="51"/>
      <c r="L282" s="51"/>
      <c r="M282" s="51"/>
      <c r="N282" s="51"/>
    </row>
    <row r="283" spans="2:14" ht="12.75" customHeight="1" x14ac:dyDescent="0.15">
      <c r="B283" s="51"/>
      <c r="C283" s="51"/>
      <c r="D283" s="51"/>
      <c r="E283" s="51"/>
      <c r="F283" s="51"/>
      <c r="G283" s="51"/>
      <c r="H283" s="51"/>
      <c r="I283" s="51"/>
      <c r="J283" s="51"/>
      <c r="K283" s="51"/>
      <c r="L283" s="51"/>
      <c r="M283" s="51"/>
      <c r="N283" s="51"/>
    </row>
    <row r="284" spans="2:14" ht="12.75" customHeight="1" x14ac:dyDescent="0.15">
      <c r="B284" s="51"/>
      <c r="C284" s="51"/>
      <c r="D284" s="51"/>
      <c r="E284" s="51"/>
      <c r="F284" s="51"/>
      <c r="G284" s="51"/>
      <c r="H284" s="51"/>
      <c r="I284" s="51"/>
      <c r="J284" s="51"/>
      <c r="K284" s="51"/>
      <c r="L284" s="51"/>
      <c r="M284" s="51"/>
      <c r="N284" s="51"/>
    </row>
    <row r="285" spans="2:14" ht="12.75" customHeight="1" x14ac:dyDescent="0.15">
      <c r="B285" s="51"/>
      <c r="C285" s="51"/>
      <c r="D285" s="51"/>
      <c r="E285" s="51"/>
      <c r="F285" s="51"/>
      <c r="G285" s="51"/>
      <c r="H285" s="51"/>
      <c r="I285" s="51"/>
      <c r="J285" s="51"/>
      <c r="K285" s="51"/>
      <c r="L285" s="51"/>
      <c r="M285" s="51"/>
      <c r="N285" s="51"/>
    </row>
    <row r="286" spans="2:14" ht="12.75" customHeight="1" x14ac:dyDescent="0.15">
      <c r="B286" s="51"/>
      <c r="C286" s="51"/>
      <c r="D286" s="51"/>
      <c r="E286" s="51"/>
      <c r="F286" s="51"/>
      <c r="G286" s="51"/>
      <c r="H286" s="51"/>
      <c r="I286" s="51"/>
      <c r="J286" s="51"/>
      <c r="K286" s="51"/>
      <c r="L286" s="51"/>
      <c r="M286" s="51"/>
      <c r="N286" s="51"/>
    </row>
    <row r="287" spans="2:14" ht="12.75" customHeight="1" x14ac:dyDescent="0.15">
      <c r="B287" s="51"/>
      <c r="C287" s="51"/>
      <c r="D287" s="51"/>
      <c r="E287" s="51"/>
      <c r="F287" s="51"/>
      <c r="G287" s="51"/>
      <c r="H287" s="51"/>
      <c r="I287" s="51"/>
      <c r="J287" s="51"/>
      <c r="K287" s="51"/>
      <c r="L287" s="51"/>
      <c r="M287" s="51"/>
      <c r="N287" s="51"/>
    </row>
    <row r="288" spans="2:14" ht="12.75" customHeight="1" x14ac:dyDescent="0.15">
      <c r="B288" s="51"/>
      <c r="C288" s="51"/>
      <c r="D288" s="51"/>
      <c r="E288" s="51"/>
      <c r="F288" s="51"/>
      <c r="G288" s="51"/>
      <c r="H288" s="51"/>
      <c r="I288" s="51"/>
      <c r="J288" s="51"/>
      <c r="K288" s="51"/>
      <c r="L288" s="51"/>
      <c r="M288" s="51"/>
      <c r="N288" s="51"/>
    </row>
    <row r="289" spans="2:14" ht="12.75" customHeight="1" x14ac:dyDescent="0.15">
      <c r="B289" s="51"/>
      <c r="C289" s="51"/>
      <c r="D289" s="51"/>
      <c r="E289" s="51"/>
      <c r="F289" s="51"/>
      <c r="G289" s="51"/>
      <c r="H289" s="51"/>
      <c r="I289" s="51"/>
      <c r="J289" s="51"/>
      <c r="K289" s="51"/>
      <c r="L289" s="51"/>
      <c r="M289" s="51"/>
      <c r="N289" s="51"/>
    </row>
    <row r="290" spans="2:14" ht="12.75" customHeight="1" x14ac:dyDescent="0.15">
      <c r="B290" s="51"/>
      <c r="C290" s="51"/>
      <c r="D290" s="51"/>
      <c r="E290" s="51"/>
      <c r="F290" s="51"/>
      <c r="G290" s="51"/>
      <c r="H290" s="51"/>
      <c r="I290" s="51"/>
      <c r="J290" s="51"/>
      <c r="K290" s="51"/>
      <c r="L290" s="51"/>
      <c r="M290" s="51"/>
      <c r="N290" s="51"/>
    </row>
    <row r="291" spans="2:14" ht="12.75" customHeight="1" x14ac:dyDescent="0.15">
      <c r="B291" s="51"/>
      <c r="C291" s="51"/>
      <c r="D291" s="51"/>
      <c r="E291" s="51"/>
      <c r="F291" s="51"/>
      <c r="G291" s="51"/>
      <c r="H291" s="51"/>
      <c r="I291" s="51"/>
      <c r="J291" s="51"/>
      <c r="K291" s="51"/>
      <c r="L291" s="51"/>
      <c r="M291" s="51"/>
      <c r="N291" s="51"/>
    </row>
    <row r="292" spans="2:14" ht="12.75" customHeight="1" x14ac:dyDescent="0.15">
      <c r="B292" s="51"/>
      <c r="C292" s="51"/>
      <c r="D292" s="51"/>
      <c r="E292" s="51"/>
      <c r="F292" s="51"/>
      <c r="G292" s="51"/>
      <c r="H292" s="51"/>
      <c r="I292" s="51"/>
      <c r="J292" s="51"/>
      <c r="K292" s="51"/>
      <c r="L292" s="51"/>
      <c r="M292" s="51"/>
      <c r="N292" s="51"/>
    </row>
    <row r="293" spans="2:14" ht="12.75" customHeight="1" x14ac:dyDescent="0.15">
      <c r="B293" s="51"/>
      <c r="C293" s="51"/>
      <c r="D293" s="51"/>
      <c r="E293" s="51"/>
      <c r="F293" s="51"/>
      <c r="G293" s="51"/>
      <c r="H293" s="51"/>
      <c r="I293" s="51"/>
      <c r="J293" s="51"/>
      <c r="K293" s="51"/>
      <c r="L293" s="51"/>
      <c r="M293" s="51"/>
      <c r="N293" s="51"/>
    </row>
    <row r="294" spans="2:14" ht="12.75" customHeight="1" x14ac:dyDescent="0.15">
      <c r="B294" s="51"/>
      <c r="C294" s="51"/>
      <c r="D294" s="51"/>
      <c r="E294" s="51"/>
      <c r="F294" s="51"/>
      <c r="G294" s="51"/>
      <c r="H294" s="51"/>
      <c r="I294" s="51"/>
      <c r="J294" s="51"/>
      <c r="K294" s="51"/>
      <c r="L294" s="51"/>
      <c r="M294" s="51"/>
      <c r="N294" s="51"/>
    </row>
    <row r="295" spans="2:14" ht="12.75" customHeight="1" x14ac:dyDescent="0.15">
      <c r="B295" s="51"/>
      <c r="C295" s="51"/>
      <c r="D295" s="51"/>
      <c r="E295" s="51"/>
      <c r="F295" s="51"/>
      <c r="G295" s="51"/>
      <c r="H295" s="51"/>
      <c r="I295" s="51"/>
      <c r="J295" s="51"/>
      <c r="K295" s="51"/>
      <c r="L295" s="51"/>
      <c r="M295" s="51"/>
      <c r="N295" s="51"/>
    </row>
    <row r="296" spans="2:14" ht="12.75" customHeight="1" x14ac:dyDescent="0.15">
      <c r="B296" s="51"/>
      <c r="C296" s="51"/>
      <c r="D296" s="51"/>
      <c r="E296" s="51"/>
      <c r="F296" s="51"/>
      <c r="G296" s="51"/>
      <c r="H296" s="51"/>
      <c r="I296" s="51"/>
      <c r="J296" s="51"/>
      <c r="K296" s="51"/>
      <c r="L296" s="51"/>
      <c r="M296" s="51"/>
      <c r="N296" s="51"/>
    </row>
    <row r="297" spans="2:14" ht="12.75" customHeight="1" x14ac:dyDescent="0.15">
      <c r="B297" s="51"/>
      <c r="C297" s="51"/>
      <c r="D297" s="51"/>
      <c r="E297" s="51"/>
      <c r="F297" s="51"/>
      <c r="G297" s="51"/>
      <c r="H297" s="51"/>
      <c r="I297" s="51"/>
      <c r="J297" s="51"/>
      <c r="K297" s="51"/>
      <c r="L297" s="51"/>
      <c r="M297" s="51"/>
      <c r="N297" s="51"/>
    </row>
    <row r="298" spans="2:14" ht="12.75" customHeight="1" x14ac:dyDescent="0.15">
      <c r="B298" s="51"/>
      <c r="C298" s="51"/>
      <c r="D298" s="51"/>
      <c r="E298" s="51"/>
      <c r="F298" s="51"/>
      <c r="G298" s="51"/>
      <c r="H298" s="51"/>
      <c r="I298" s="51"/>
      <c r="J298" s="51"/>
      <c r="K298" s="51"/>
      <c r="L298" s="51"/>
      <c r="M298" s="51"/>
      <c r="N298" s="51"/>
    </row>
    <row r="299" spans="2:14" ht="12.75" customHeight="1" x14ac:dyDescent="0.15">
      <c r="B299" s="51"/>
      <c r="C299" s="51"/>
      <c r="D299" s="51"/>
      <c r="E299" s="51"/>
      <c r="F299" s="51"/>
      <c r="G299" s="51"/>
      <c r="H299" s="51"/>
      <c r="I299" s="51"/>
      <c r="J299" s="51"/>
      <c r="K299" s="51"/>
      <c r="L299" s="51"/>
      <c r="M299" s="51"/>
      <c r="N299" s="51"/>
    </row>
    <row r="300" spans="2:14" ht="12.75" customHeight="1" x14ac:dyDescent="0.15">
      <c r="B300" s="51"/>
      <c r="C300" s="51"/>
      <c r="D300" s="51"/>
      <c r="E300" s="51"/>
      <c r="F300" s="51"/>
      <c r="G300" s="51"/>
      <c r="H300" s="51"/>
      <c r="I300" s="51"/>
      <c r="J300" s="51"/>
      <c r="K300" s="51"/>
      <c r="L300" s="51"/>
      <c r="M300" s="51"/>
      <c r="N300" s="51"/>
    </row>
    <row r="301" spans="2:14" ht="12.75" customHeight="1" x14ac:dyDescent="0.15">
      <c r="B301" s="51"/>
      <c r="C301" s="51"/>
      <c r="D301" s="51"/>
      <c r="E301" s="51"/>
      <c r="F301" s="51"/>
      <c r="G301" s="51"/>
      <c r="H301" s="51"/>
      <c r="I301" s="51"/>
      <c r="J301" s="51"/>
      <c r="K301" s="51"/>
      <c r="L301" s="51"/>
      <c r="M301" s="51"/>
      <c r="N301" s="51"/>
    </row>
    <row r="302" spans="2:14" ht="12.75" customHeight="1" x14ac:dyDescent="0.15">
      <c r="B302" s="51"/>
      <c r="C302" s="51"/>
      <c r="D302" s="51"/>
      <c r="E302" s="51"/>
      <c r="F302" s="51"/>
      <c r="G302" s="51"/>
      <c r="H302" s="51"/>
      <c r="I302" s="51"/>
      <c r="J302" s="51"/>
      <c r="K302" s="51"/>
      <c r="L302" s="51"/>
      <c r="M302" s="51"/>
      <c r="N302" s="51"/>
    </row>
    <row r="303" spans="2:14" ht="12.75" customHeight="1" x14ac:dyDescent="0.15">
      <c r="B303" s="51"/>
      <c r="C303" s="51"/>
      <c r="D303" s="51"/>
      <c r="E303" s="51"/>
      <c r="F303" s="51"/>
      <c r="G303" s="51"/>
      <c r="H303" s="51"/>
      <c r="I303" s="51"/>
      <c r="J303" s="51"/>
      <c r="K303" s="51"/>
      <c r="L303" s="51"/>
      <c r="M303" s="51"/>
      <c r="N303" s="51"/>
    </row>
    <row r="304" spans="2:14" ht="12.75" customHeight="1" x14ac:dyDescent="0.15">
      <c r="B304" s="51"/>
      <c r="C304" s="51"/>
      <c r="D304" s="51"/>
      <c r="E304" s="51"/>
      <c r="F304" s="51"/>
      <c r="G304" s="51"/>
      <c r="H304" s="51"/>
      <c r="I304" s="51"/>
      <c r="J304" s="51"/>
      <c r="K304" s="51"/>
      <c r="L304" s="51"/>
      <c r="M304" s="51"/>
      <c r="N304" s="51"/>
    </row>
    <row r="305" spans="2:14" ht="12.75" customHeight="1" x14ac:dyDescent="0.15">
      <c r="B305" s="51"/>
      <c r="C305" s="51"/>
      <c r="D305" s="51"/>
      <c r="E305" s="51"/>
      <c r="F305" s="51"/>
      <c r="G305" s="51"/>
      <c r="H305" s="51"/>
      <c r="I305" s="51"/>
      <c r="J305" s="51"/>
      <c r="K305" s="51"/>
      <c r="L305" s="51"/>
      <c r="M305" s="51"/>
      <c r="N305" s="51"/>
    </row>
    <row r="306" spans="2:14" ht="12.75" customHeight="1" x14ac:dyDescent="0.15">
      <c r="B306" s="51"/>
      <c r="C306" s="51"/>
      <c r="D306" s="51"/>
      <c r="E306" s="51"/>
      <c r="F306" s="51"/>
      <c r="G306" s="51"/>
      <c r="H306" s="51"/>
      <c r="I306" s="51"/>
      <c r="J306" s="51"/>
      <c r="K306" s="51"/>
      <c r="L306" s="51"/>
      <c r="M306" s="51"/>
      <c r="N306" s="51"/>
    </row>
    <row r="307" spans="2:14" ht="12.75" customHeight="1" x14ac:dyDescent="0.15">
      <c r="B307" s="51"/>
      <c r="C307" s="51"/>
      <c r="D307" s="51"/>
      <c r="E307" s="51"/>
      <c r="F307" s="51"/>
      <c r="G307" s="51"/>
      <c r="H307" s="51"/>
      <c r="I307" s="51"/>
      <c r="J307" s="51"/>
      <c r="K307" s="51"/>
      <c r="L307" s="51"/>
      <c r="M307" s="51"/>
      <c r="N307" s="51"/>
    </row>
    <row r="308" spans="2:14" ht="12.75" customHeight="1" x14ac:dyDescent="0.15">
      <c r="B308" s="51"/>
      <c r="C308" s="51"/>
      <c r="D308" s="51"/>
      <c r="E308" s="51"/>
      <c r="F308" s="51"/>
      <c r="G308" s="51"/>
      <c r="H308" s="51"/>
      <c r="I308" s="51"/>
      <c r="J308" s="51"/>
      <c r="K308" s="51"/>
      <c r="L308" s="51"/>
      <c r="M308" s="51"/>
      <c r="N308" s="51"/>
    </row>
    <row r="309" spans="2:14" ht="12.75" customHeight="1" x14ac:dyDescent="0.15">
      <c r="B309" s="51"/>
      <c r="C309" s="51"/>
      <c r="D309" s="51"/>
      <c r="E309" s="51"/>
      <c r="F309" s="51"/>
      <c r="G309" s="51"/>
      <c r="H309" s="51"/>
      <c r="I309" s="51"/>
      <c r="J309" s="51"/>
      <c r="K309" s="51"/>
      <c r="L309" s="51"/>
      <c r="M309" s="51"/>
      <c r="N309" s="51"/>
    </row>
    <row r="310" spans="2:14" ht="12.75" customHeight="1" x14ac:dyDescent="0.15">
      <c r="B310" s="51"/>
      <c r="C310" s="51"/>
      <c r="D310" s="51"/>
      <c r="E310" s="51"/>
      <c r="F310" s="51"/>
      <c r="G310" s="51"/>
      <c r="H310" s="51"/>
      <c r="I310" s="51"/>
      <c r="J310" s="51"/>
      <c r="K310" s="51"/>
      <c r="L310" s="51"/>
      <c r="M310" s="51"/>
      <c r="N310" s="51"/>
    </row>
    <row r="311" spans="2:14" ht="12.75" customHeight="1" x14ac:dyDescent="0.15">
      <c r="B311" s="51"/>
      <c r="C311" s="51"/>
      <c r="D311" s="51"/>
      <c r="E311" s="51"/>
      <c r="F311" s="51"/>
      <c r="G311" s="51"/>
      <c r="H311" s="51"/>
      <c r="I311" s="51"/>
      <c r="J311" s="51"/>
      <c r="K311" s="51"/>
      <c r="L311" s="51"/>
      <c r="M311" s="51"/>
      <c r="N311" s="51"/>
    </row>
    <row r="312" spans="2:14" ht="12.75" customHeight="1" x14ac:dyDescent="0.15">
      <c r="B312" s="51"/>
      <c r="C312" s="51"/>
      <c r="D312" s="51"/>
      <c r="E312" s="51"/>
      <c r="F312" s="51"/>
      <c r="G312" s="51"/>
      <c r="H312" s="51"/>
      <c r="I312" s="51"/>
      <c r="J312" s="51"/>
      <c r="K312" s="51"/>
      <c r="L312" s="51"/>
      <c r="M312" s="51"/>
      <c r="N312" s="51"/>
    </row>
    <row r="313" spans="2:14" ht="12.75" customHeight="1" x14ac:dyDescent="0.15">
      <c r="B313" s="51"/>
      <c r="C313" s="51"/>
      <c r="D313" s="51"/>
      <c r="E313" s="51"/>
      <c r="F313" s="51"/>
      <c r="G313" s="51"/>
      <c r="H313" s="51"/>
      <c r="I313" s="51"/>
      <c r="J313" s="51"/>
      <c r="K313" s="51"/>
      <c r="L313" s="51"/>
      <c r="M313" s="51"/>
      <c r="N313" s="51"/>
    </row>
    <row r="314" spans="2:14" ht="12.75" customHeight="1" x14ac:dyDescent="0.15">
      <c r="B314" s="51"/>
      <c r="C314" s="51"/>
      <c r="D314" s="51"/>
      <c r="E314" s="51"/>
      <c r="F314" s="51"/>
      <c r="G314" s="51"/>
      <c r="H314" s="51"/>
      <c r="I314" s="51"/>
      <c r="J314" s="51"/>
      <c r="K314" s="51"/>
      <c r="L314" s="51"/>
      <c r="M314" s="51"/>
      <c r="N314" s="51"/>
    </row>
    <row r="315" spans="2:14" ht="12.75" customHeight="1" x14ac:dyDescent="0.15">
      <c r="B315" s="51"/>
      <c r="C315" s="51"/>
      <c r="D315" s="51"/>
      <c r="E315" s="51"/>
      <c r="F315" s="51"/>
      <c r="G315" s="51"/>
      <c r="H315" s="51"/>
      <c r="I315" s="51"/>
      <c r="J315" s="51"/>
      <c r="K315" s="51"/>
      <c r="L315" s="51"/>
      <c r="M315" s="51"/>
      <c r="N315" s="51"/>
    </row>
    <row r="316" spans="2:14" ht="12.75" customHeight="1" x14ac:dyDescent="0.15">
      <c r="B316" s="51"/>
      <c r="C316" s="51"/>
      <c r="D316" s="51"/>
      <c r="E316" s="51"/>
      <c r="F316" s="51"/>
      <c r="G316" s="51"/>
      <c r="H316" s="51"/>
      <c r="I316" s="51"/>
      <c r="J316" s="51"/>
      <c r="K316" s="51"/>
      <c r="L316" s="51"/>
      <c r="M316" s="51"/>
      <c r="N316" s="51"/>
    </row>
    <row r="317" spans="2:14" ht="12.75" customHeight="1" x14ac:dyDescent="0.15">
      <c r="B317" s="51"/>
      <c r="C317" s="51"/>
      <c r="D317" s="51"/>
      <c r="E317" s="51"/>
      <c r="F317" s="51"/>
      <c r="G317" s="51"/>
      <c r="H317" s="51"/>
      <c r="I317" s="51"/>
      <c r="J317" s="51"/>
      <c r="K317" s="51"/>
      <c r="L317" s="51"/>
      <c r="M317" s="51"/>
      <c r="N317" s="51"/>
    </row>
    <row r="318" spans="2:14" ht="12.75" customHeight="1" x14ac:dyDescent="0.15">
      <c r="B318" s="51"/>
      <c r="C318" s="51"/>
      <c r="D318" s="51"/>
      <c r="E318" s="51"/>
      <c r="F318" s="51"/>
      <c r="G318" s="51"/>
      <c r="H318" s="51"/>
      <c r="I318" s="51"/>
      <c r="J318" s="51"/>
      <c r="K318" s="51"/>
      <c r="L318" s="51"/>
      <c r="M318" s="51"/>
      <c r="N318" s="51"/>
    </row>
    <row r="319" spans="2:14" ht="12.75" customHeight="1" x14ac:dyDescent="0.15">
      <c r="B319" s="51"/>
      <c r="C319" s="51"/>
      <c r="D319" s="51"/>
      <c r="E319" s="51"/>
      <c r="F319" s="51"/>
      <c r="G319" s="51"/>
      <c r="H319" s="51"/>
      <c r="I319" s="51"/>
      <c r="J319" s="51"/>
      <c r="K319" s="51"/>
      <c r="L319" s="51"/>
      <c r="M319" s="51"/>
      <c r="N319" s="51"/>
    </row>
    <row r="320" spans="2:14" ht="12.75" customHeight="1" x14ac:dyDescent="0.15">
      <c r="B320" s="51"/>
      <c r="C320" s="51"/>
      <c r="D320" s="51"/>
      <c r="E320" s="51"/>
      <c r="F320" s="51"/>
      <c r="G320" s="51"/>
      <c r="H320" s="51"/>
      <c r="I320" s="51"/>
      <c r="J320" s="51"/>
      <c r="K320" s="51"/>
      <c r="L320" s="51"/>
      <c r="M320" s="51"/>
      <c r="N320" s="51"/>
    </row>
    <row r="321" spans="2:14" ht="12.75" customHeight="1" x14ac:dyDescent="0.15">
      <c r="B321" s="51"/>
      <c r="C321" s="51"/>
      <c r="D321" s="51"/>
      <c r="E321" s="51"/>
      <c r="F321" s="51"/>
      <c r="G321" s="51"/>
      <c r="H321" s="51"/>
      <c r="I321" s="51"/>
      <c r="J321" s="51"/>
      <c r="K321" s="51"/>
      <c r="L321" s="51"/>
      <c r="M321" s="51"/>
      <c r="N321" s="51"/>
    </row>
    <row r="322" spans="2:14" ht="12.75" customHeight="1" x14ac:dyDescent="0.15">
      <c r="B322" s="51"/>
      <c r="C322" s="51"/>
      <c r="D322" s="51"/>
      <c r="E322" s="51"/>
      <c r="F322" s="51"/>
      <c r="G322" s="51"/>
      <c r="H322" s="51"/>
      <c r="I322" s="51"/>
      <c r="J322" s="51"/>
      <c r="K322" s="51"/>
      <c r="L322" s="51"/>
      <c r="M322" s="51"/>
      <c r="N322" s="51"/>
    </row>
    <row r="323" spans="2:14" ht="12.75" customHeight="1" x14ac:dyDescent="0.15">
      <c r="B323" s="51"/>
      <c r="C323" s="51"/>
      <c r="D323" s="51"/>
      <c r="E323" s="51"/>
      <c r="F323" s="51"/>
      <c r="G323" s="51"/>
      <c r="H323" s="51"/>
      <c r="I323" s="51"/>
      <c r="J323" s="51"/>
      <c r="K323" s="51"/>
      <c r="L323" s="51"/>
      <c r="M323" s="51"/>
      <c r="N323" s="51"/>
    </row>
    <row r="324" spans="2:14" ht="12.75" customHeight="1" x14ac:dyDescent="0.15">
      <c r="B324" s="51"/>
      <c r="C324" s="51"/>
      <c r="D324" s="51"/>
      <c r="E324" s="51"/>
      <c r="F324" s="51"/>
      <c r="G324" s="51"/>
      <c r="H324" s="51"/>
      <c r="I324" s="51"/>
      <c r="J324" s="51"/>
      <c r="K324" s="51"/>
      <c r="L324" s="51"/>
      <c r="M324" s="51"/>
      <c r="N324" s="51"/>
    </row>
    <row r="325" spans="2:14" ht="12.75" customHeight="1" x14ac:dyDescent="0.15">
      <c r="B325" s="51"/>
      <c r="C325" s="51"/>
      <c r="D325" s="51"/>
      <c r="E325" s="51"/>
      <c r="F325" s="51"/>
      <c r="G325" s="51"/>
      <c r="H325" s="51"/>
      <c r="I325" s="51"/>
      <c r="J325" s="51"/>
      <c r="K325" s="51"/>
      <c r="L325" s="51"/>
      <c r="M325" s="51"/>
      <c r="N325" s="51"/>
    </row>
    <row r="326" spans="2:14" ht="12.75" customHeight="1" x14ac:dyDescent="0.15">
      <c r="B326" s="51"/>
      <c r="C326" s="51"/>
      <c r="D326" s="51"/>
      <c r="E326" s="51"/>
      <c r="F326" s="51"/>
      <c r="G326" s="51"/>
      <c r="H326" s="51"/>
      <c r="I326" s="51"/>
      <c r="J326" s="51"/>
      <c r="K326" s="51"/>
      <c r="L326" s="51"/>
      <c r="M326" s="51"/>
      <c r="N326" s="51"/>
    </row>
    <row r="327" spans="2:14" ht="12.75" customHeight="1" x14ac:dyDescent="0.15">
      <c r="B327" s="51"/>
      <c r="C327" s="51"/>
      <c r="D327" s="51"/>
      <c r="E327" s="51"/>
      <c r="F327" s="51"/>
      <c r="G327" s="51"/>
      <c r="H327" s="51"/>
      <c r="I327" s="51"/>
      <c r="J327" s="51"/>
      <c r="K327" s="51"/>
      <c r="L327" s="51"/>
      <c r="M327" s="51"/>
      <c r="N327" s="51"/>
    </row>
    <row r="328" spans="2:14" ht="12.75" customHeight="1" x14ac:dyDescent="0.15">
      <c r="B328" s="51"/>
      <c r="C328" s="51"/>
      <c r="D328" s="51"/>
      <c r="E328" s="51"/>
      <c r="F328" s="51"/>
      <c r="G328" s="51"/>
      <c r="H328" s="51"/>
      <c r="I328" s="51"/>
      <c r="J328" s="51"/>
      <c r="K328" s="51"/>
      <c r="L328" s="51"/>
      <c r="M328" s="51"/>
      <c r="N328" s="51"/>
    </row>
    <row r="329" spans="2:14" ht="12.75" customHeight="1" x14ac:dyDescent="0.15">
      <c r="B329" s="51"/>
      <c r="C329" s="51"/>
      <c r="D329" s="51"/>
      <c r="E329" s="51"/>
      <c r="F329" s="51"/>
      <c r="G329" s="51"/>
      <c r="H329" s="51"/>
      <c r="I329" s="51"/>
      <c r="J329" s="51"/>
      <c r="K329" s="51"/>
      <c r="L329" s="51"/>
      <c r="M329" s="51"/>
      <c r="N329" s="51"/>
    </row>
    <row r="330" spans="2:14" ht="12.75" customHeight="1" x14ac:dyDescent="0.15">
      <c r="B330" s="51"/>
      <c r="C330" s="51"/>
      <c r="D330" s="51"/>
      <c r="E330" s="51"/>
      <c r="F330" s="51"/>
      <c r="G330" s="51"/>
      <c r="H330" s="51"/>
      <c r="I330" s="51"/>
      <c r="J330" s="51"/>
      <c r="K330" s="51"/>
      <c r="L330" s="51"/>
      <c r="M330" s="51"/>
      <c r="N330" s="51"/>
    </row>
    <row r="331" spans="2:14" ht="12.75" customHeight="1" x14ac:dyDescent="0.15">
      <c r="B331" s="51"/>
      <c r="C331" s="51"/>
      <c r="D331" s="51"/>
      <c r="E331" s="51"/>
      <c r="F331" s="51"/>
      <c r="G331" s="51"/>
      <c r="H331" s="51"/>
      <c r="I331" s="51"/>
      <c r="J331" s="51"/>
      <c r="K331" s="51"/>
      <c r="L331" s="51"/>
      <c r="M331" s="51"/>
      <c r="N331" s="51"/>
    </row>
    <row r="332" spans="2:14" ht="12.75" customHeight="1" x14ac:dyDescent="0.15">
      <c r="B332" s="51"/>
      <c r="C332" s="51"/>
      <c r="D332" s="51"/>
      <c r="E332" s="51"/>
      <c r="F332" s="51"/>
      <c r="G332" s="51"/>
      <c r="H332" s="51"/>
      <c r="I332" s="51"/>
      <c r="J332" s="51"/>
      <c r="K332" s="51"/>
      <c r="L332" s="51"/>
      <c r="M332" s="51"/>
      <c r="N332" s="51"/>
    </row>
    <row r="333" spans="2:14" ht="12.75" customHeight="1" x14ac:dyDescent="0.15">
      <c r="B333" s="51"/>
      <c r="C333" s="51"/>
      <c r="D333" s="51"/>
      <c r="E333" s="51"/>
      <c r="F333" s="51"/>
      <c r="G333" s="51"/>
      <c r="H333" s="51"/>
      <c r="I333" s="51"/>
      <c r="J333" s="51"/>
      <c r="K333" s="51"/>
      <c r="L333" s="51"/>
      <c r="M333" s="51"/>
      <c r="N333" s="51"/>
    </row>
    <row r="334" spans="2:14" ht="12.75" customHeight="1" x14ac:dyDescent="0.15">
      <c r="B334" s="51"/>
      <c r="C334" s="51"/>
      <c r="D334" s="51"/>
      <c r="E334" s="51"/>
      <c r="F334" s="51"/>
      <c r="G334" s="51"/>
      <c r="H334" s="51"/>
      <c r="I334" s="51"/>
      <c r="J334" s="51"/>
      <c r="K334" s="51"/>
      <c r="L334" s="51"/>
      <c r="M334" s="51"/>
      <c r="N334" s="51"/>
    </row>
    <row r="335" spans="2:14" ht="12.75" customHeight="1" x14ac:dyDescent="0.15">
      <c r="B335" s="51"/>
      <c r="C335" s="51"/>
      <c r="D335" s="51"/>
      <c r="E335" s="51"/>
      <c r="F335" s="51"/>
      <c r="G335" s="51"/>
      <c r="H335" s="51"/>
      <c r="I335" s="51"/>
      <c r="J335" s="51"/>
      <c r="K335" s="51"/>
      <c r="L335" s="51"/>
      <c r="M335" s="51"/>
      <c r="N335" s="51"/>
    </row>
    <row r="336" spans="2:14" ht="12.75" customHeight="1" x14ac:dyDescent="0.15">
      <c r="B336" s="51"/>
      <c r="C336" s="51"/>
      <c r="D336" s="51"/>
      <c r="E336" s="51"/>
      <c r="F336" s="51"/>
      <c r="G336" s="51"/>
      <c r="H336" s="51"/>
      <c r="I336" s="51"/>
      <c r="J336" s="51"/>
      <c r="K336" s="51"/>
      <c r="L336" s="51"/>
      <c r="M336" s="51"/>
      <c r="N336" s="51"/>
    </row>
    <row r="337" spans="2:14" ht="12.75" customHeight="1" x14ac:dyDescent="0.15">
      <c r="B337" s="51"/>
      <c r="C337" s="51"/>
      <c r="D337" s="51"/>
      <c r="E337" s="51"/>
      <c r="F337" s="51"/>
      <c r="G337" s="51"/>
      <c r="H337" s="51"/>
      <c r="I337" s="51"/>
      <c r="J337" s="51"/>
      <c r="K337" s="51"/>
      <c r="L337" s="51"/>
      <c r="M337" s="51"/>
      <c r="N337" s="51"/>
    </row>
    <row r="338" spans="2:14" ht="12.75" customHeight="1" x14ac:dyDescent="0.15">
      <c r="B338" s="51"/>
      <c r="C338" s="51"/>
      <c r="D338" s="51"/>
      <c r="E338" s="51"/>
      <c r="F338" s="51"/>
      <c r="G338" s="51"/>
      <c r="H338" s="51"/>
      <c r="I338" s="51"/>
      <c r="J338" s="51"/>
      <c r="K338" s="51"/>
      <c r="L338" s="51"/>
      <c r="M338" s="51"/>
      <c r="N338" s="51"/>
    </row>
    <row r="339" spans="2:14" ht="12.75" customHeight="1" x14ac:dyDescent="0.15">
      <c r="B339" s="51"/>
      <c r="C339" s="51"/>
      <c r="D339" s="51"/>
      <c r="E339" s="51"/>
      <c r="F339" s="51"/>
      <c r="G339" s="51"/>
      <c r="H339" s="51"/>
      <c r="I339" s="51"/>
      <c r="J339" s="51"/>
      <c r="K339" s="51"/>
      <c r="L339" s="51"/>
      <c r="M339" s="51"/>
      <c r="N339" s="51"/>
    </row>
    <row r="340" spans="2:14" ht="12.75" customHeight="1" x14ac:dyDescent="0.15">
      <c r="B340" s="51"/>
      <c r="C340" s="51"/>
      <c r="D340" s="51"/>
      <c r="E340" s="51"/>
      <c r="F340" s="51"/>
      <c r="G340" s="51"/>
      <c r="H340" s="51"/>
      <c r="I340" s="51"/>
      <c r="J340" s="51"/>
      <c r="K340" s="51"/>
      <c r="L340" s="51"/>
      <c r="M340" s="51"/>
      <c r="N340" s="51"/>
    </row>
    <row r="341" spans="2:14" ht="12.75" customHeight="1" x14ac:dyDescent="0.15">
      <c r="B341" s="51"/>
      <c r="C341" s="51"/>
      <c r="D341" s="51"/>
      <c r="E341" s="51"/>
      <c r="F341" s="51"/>
      <c r="G341" s="51"/>
      <c r="H341" s="51"/>
      <c r="I341" s="51"/>
      <c r="J341" s="51"/>
      <c r="K341" s="51"/>
      <c r="L341" s="51"/>
      <c r="M341" s="51"/>
      <c r="N341" s="51"/>
    </row>
    <row r="342" spans="2:14" ht="12.75" customHeight="1" x14ac:dyDescent="0.15">
      <c r="B342" s="51"/>
      <c r="C342" s="51"/>
      <c r="D342" s="51"/>
      <c r="E342" s="51"/>
      <c r="F342" s="51"/>
      <c r="G342" s="51"/>
      <c r="H342" s="51"/>
      <c r="I342" s="51"/>
      <c r="J342" s="51"/>
      <c r="K342" s="51"/>
      <c r="L342" s="51"/>
      <c r="M342" s="51"/>
      <c r="N342" s="51"/>
    </row>
    <row r="343" spans="2:14" ht="12.75" customHeight="1" x14ac:dyDescent="0.15">
      <c r="B343" s="51"/>
      <c r="C343" s="51"/>
      <c r="D343" s="51"/>
      <c r="E343" s="51"/>
      <c r="F343" s="51"/>
      <c r="G343" s="51"/>
      <c r="H343" s="51"/>
      <c r="I343" s="51"/>
      <c r="J343" s="51"/>
      <c r="K343" s="51"/>
      <c r="L343" s="51"/>
      <c r="M343" s="51"/>
      <c r="N343" s="51"/>
    </row>
    <row r="344" spans="2:14" ht="12.75" customHeight="1" x14ac:dyDescent="0.15">
      <c r="B344" s="51"/>
      <c r="C344" s="51"/>
      <c r="D344" s="51"/>
      <c r="E344" s="51"/>
      <c r="F344" s="51"/>
      <c r="G344" s="51"/>
      <c r="H344" s="51"/>
      <c r="I344" s="51"/>
      <c r="J344" s="51"/>
      <c r="K344" s="51"/>
      <c r="L344" s="51"/>
      <c r="M344" s="51"/>
      <c r="N344" s="51"/>
    </row>
    <row r="345" spans="2:14" ht="12.75" customHeight="1" x14ac:dyDescent="0.15">
      <c r="B345" s="51"/>
      <c r="C345" s="51"/>
      <c r="D345" s="51"/>
      <c r="E345" s="51"/>
      <c r="F345" s="51"/>
      <c r="G345" s="51"/>
      <c r="H345" s="51"/>
      <c r="I345" s="51"/>
      <c r="J345" s="51"/>
      <c r="K345" s="51"/>
      <c r="L345" s="51"/>
      <c r="M345" s="51"/>
      <c r="N345" s="51"/>
    </row>
    <row r="346" spans="2:14" ht="12.75" customHeight="1" x14ac:dyDescent="0.15">
      <c r="B346" s="51"/>
      <c r="C346" s="51"/>
      <c r="D346" s="51"/>
      <c r="E346" s="51"/>
      <c r="F346" s="51"/>
      <c r="G346" s="51"/>
      <c r="H346" s="51"/>
      <c r="I346" s="51"/>
      <c r="J346" s="51"/>
      <c r="K346" s="51"/>
      <c r="L346" s="51"/>
      <c r="M346" s="51"/>
      <c r="N346" s="51"/>
    </row>
    <row r="347" spans="2:14" ht="12.75" customHeight="1" x14ac:dyDescent="0.15">
      <c r="B347" s="51"/>
      <c r="C347" s="51"/>
      <c r="D347" s="51"/>
      <c r="E347" s="51"/>
      <c r="F347" s="51"/>
      <c r="G347" s="51"/>
      <c r="H347" s="51"/>
      <c r="I347" s="51"/>
      <c r="J347" s="51"/>
      <c r="K347" s="51"/>
      <c r="L347" s="51"/>
      <c r="M347" s="51"/>
      <c r="N347" s="51"/>
    </row>
    <row r="348" spans="2:14" ht="12.75" customHeight="1" x14ac:dyDescent="0.15">
      <c r="B348" s="51"/>
      <c r="C348" s="51"/>
      <c r="D348" s="51"/>
      <c r="E348" s="51"/>
      <c r="F348" s="51"/>
      <c r="G348" s="51"/>
      <c r="H348" s="51"/>
      <c r="I348" s="51"/>
      <c r="J348" s="51"/>
      <c r="K348" s="51"/>
      <c r="L348" s="51"/>
      <c r="M348" s="51"/>
      <c r="N348" s="51"/>
    </row>
    <row r="349" spans="2:14" ht="12.75" customHeight="1" x14ac:dyDescent="0.15">
      <c r="B349" s="51"/>
      <c r="C349" s="51"/>
      <c r="D349" s="51"/>
      <c r="E349" s="51"/>
      <c r="F349" s="51"/>
      <c r="G349" s="51"/>
      <c r="H349" s="51"/>
      <c r="I349" s="51"/>
      <c r="J349" s="51"/>
      <c r="K349" s="51"/>
      <c r="L349" s="51"/>
      <c r="M349" s="51"/>
      <c r="N349" s="51"/>
    </row>
    <row r="350" spans="2:14" ht="12.75" customHeight="1" x14ac:dyDescent="0.15">
      <c r="B350" s="51"/>
      <c r="C350" s="51"/>
      <c r="D350" s="51"/>
      <c r="E350" s="51"/>
      <c r="F350" s="51"/>
      <c r="G350" s="51"/>
      <c r="H350" s="51"/>
      <c r="I350" s="51"/>
      <c r="J350" s="51"/>
      <c r="K350" s="51"/>
      <c r="L350" s="51"/>
      <c r="M350" s="51"/>
      <c r="N350" s="51"/>
    </row>
    <row r="351" spans="2:14" ht="12.75" customHeight="1" x14ac:dyDescent="0.15">
      <c r="B351" s="51"/>
      <c r="C351" s="51"/>
      <c r="D351" s="51"/>
      <c r="E351" s="51"/>
      <c r="F351" s="51"/>
      <c r="G351" s="51"/>
      <c r="H351" s="51"/>
      <c r="I351" s="51"/>
      <c r="J351" s="51"/>
      <c r="K351" s="51"/>
      <c r="L351" s="51"/>
      <c r="M351" s="51"/>
      <c r="N351" s="51"/>
    </row>
    <row r="352" spans="2:14" ht="12.75" customHeight="1" x14ac:dyDescent="0.15">
      <c r="B352" s="51"/>
      <c r="C352" s="51"/>
      <c r="D352" s="51"/>
      <c r="E352" s="51"/>
      <c r="F352" s="51"/>
      <c r="G352" s="51"/>
      <c r="H352" s="51"/>
      <c r="I352" s="51"/>
      <c r="J352" s="51"/>
      <c r="K352" s="51"/>
      <c r="L352" s="51"/>
      <c r="M352" s="51"/>
      <c r="N352" s="51"/>
    </row>
    <row r="353" spans="2:14" ht="12.75" customHeight="1" x14ac:dyDescent="0.15">
      <c r="B353" s="51"/>
      <c r="C353" s="51"/>
      <c r="D353" s="51"/>
      <c r="E353" s="51"/>
      <c r="F353" s="51"/>
      <c r="G353" s="51"/>
      <c r="H353" s="51"/>
      <c r="I353" s="51"/>
      <c r="J353" s="51"/>
      <c r="K353" s="51"/>
      <c r="L353" s="51"/>
      <c r="M353" s="51"/>
      <c r="N353" s="51"/>
    </row>
    <row r="354" spans="2:14" ht="12.75" customHeight="1" x14ac:dyDescent="0.15">
      <c r="B354" s="51"/>
      <c r="C354" s="51"/>
      <c r="D354" s="51"/>
      <c r="E354" s="51"/>
      <c r="F354" s="51"/>
      <c r="G354" s="51"/>
      <c r="H354" s="51"/>
      <c r="I354" s="51"/>
      <c r="J354" s="51"/>
      <c r="K354" s="51"/>
      <c r="L354" s="51"/>
      <c r="M354" s="51"/>
      <c r="N354" s="51"/>
    </row>
    <row r="355" spans="2:14" ht="12.75" customHeight="1" x14ac:dyDescent="0.15">
      <c r="B355" s="51"/>
      <c r="C355" s="51"/>
      <c r="D355" s="51"/>
      <c r="E355" s="51"/>
      <c r="F355" s="51"/>
      <c r="G355" s="51"/>
      <c r="H355" s="51"/>
      <c r="I355" s="51"/>
      <c r="J355" s="51"/>
      <c r="K355" s="51"/>
      <c r="L355" s="51"/>
      <c r="M355" s="51"/>
      <c r="N355" s="51"/>
    </row>
    <row r="356" spans="2:14" ht="12.75" customHeight="1" x14ac:dyDescent="0.15">
      <c r="B356" s="51"/>
      <c r="C356" s="51"/>
      <c r="D356" s="51"/>
      <c r="E356" s="51"/>
      <c r="F356" s="51"/>
      <c r="G356" s="51"/>
      <c r="H356" s="51"/>
      <c r="I356" s="51"/>
      <c r="J356" s="51"/>
      <c r="K356" s="51"/>
      <c r="L356" s="51"/>
      <c r="M356" s="51"/>
      <c r="N356" s="51"/>
    </row>
    <row r="357" spans="2:14" ht="12.75" customHeight="1" x14ac:dyDescent="0.15">
      <c r="B357" s="51"/>
      <c r="C357" s="51"/>
      <c r="D357" s="51"/>
      <c r="E357" s="51"/>
      <c r="F357" s="51"/>
      <c r="G357" s="51"/>
      <c r="H357" s="51"/>
      <c r="I357" s="51"/>
      <c r="J357" s="51"/>
      <c r="K357" s="51"/>
      <c r="L357" s="51"/>
      <c r="M357" s="51"/>
      <c r="N357" s="51"/>
    </row>
    <row r="358" spans="2:14" ht="12.75" customHeight="1" x14ac:dyDescent="0.15">
      <c r="B358" s="51"/>
      <c r="C358" s="51"/>
      <c r="D358" s="51"/>
      <c r="E358" s="51"/>
      <c r="F358" s="51"/>
      <c r="G358" s="51"/>
      <c r="H358" s="51"/>
      <c r="I358" s="51"/>
      <c r="J358" s="51"/>
      <c r="K358" s="51"/>
      <c r="L358" s="51"/>
      <c r="M358" s="51"/>
      <c r="N358" s="51"/>
    </row>
    <row r="359" spans="2:14" ht="12.75" customHeight="1" x14ac:dyDescent="0.15">
      <c r="B359" s="51"/>
      <c r="C359" s="51"/>
      <c r="D359" s="51"/>
      <c r="E359" s="51"/>
      <c r="F359" s="51"/>
      <c r="G359" s="51"/>
      <c r="H359" s="51"/>
      <c r="I359" s="51"/>
      <c r="J359" s="51"/>
      <c r="K359" s="51"/>
      <c r="L359" s="51"/>
      <c r="M359" s="51"/>
      <c r="N359" s="51"/>
    </row>
    <row r="360" spans="2:14" ht="12.75" customHeight="1" x14ac:dyDescent="0.15">
      <c r="B360" s="51"/>
      <c r="C360" s="51"/>
      <c r="D360" s="51"/>
      <c r="E360" s="51"/>
      <c r="F360" s="51"/>
      <c r="G360" s="51"/>
      <c r="H360" s="51"/>
      <c r="I360" s="51"/>
      <c r="J360" s="51"/>
      <c r="K360" s="51"/>
      <c r="L360" s="51"/>
      <c r="M360" s="51"/>
      <c r="N360" s="51"/>
    </row>
    <row r="361" spans="2:14" ht="12.75" customHeight="1" x14ac:dyDescent="0.15">
      <c r="B361" s="51"/>
      <c r="C361" s="51"/>
      <c r="D361" s="51"/>
      <c r="E361" s="51"/>
      <c r="F361" s="51"/>
      <c r="G361" s="51"/>
      <c r="H361" s="51"/>
      <c r="I361" s="51"/>
      <c r="J361" s="51"/>
      <c r="K361" s="51"/>
      <c r="L361" s="51"/>
      <c r="M361" s="51"/>
      <c r="N361" s="51"/>
    </row>
    <row r="362" spans="2:14" ht="12.75" customHeight="1" x14ac:dyDescent="0.15">
      <c r="B362" s="51"/>
      <c r="C362" s="51"/>
      <c r="D362" s="51"/>
      <c r="E362" s="51"/>
      <c r="F362" s="51"/>
      <c r="G362" s="51"/>
      <c r="H362" s="51"/>
      <c r="I362" s="51"/>
      <c r="J362" s="51"/>
      <c r="K362" s="51"/>
      <c r="L362" s="51"/>
      <c r="M362" s="51"/>
      <c r="N362" s="51"/>
    </row>
    <row r="363" spans="2:14" ht="12.75" customHeight="1" x14ac:dyDescent="0.15">
      <c r="B363" s="51"/>
      <c r="C363" s="51"/>
      <c r="D363" s="51"/>
      <c r="E363" s="51"/>
      <c r="F363" s="51"/>
      <c r="G363" s="51"/>
      <c r="H363" s="51"/>
      <c r="I363" s="51"/>
      <c r="J363" s="51"/>
      <c r="K363" s="51"/>
      <c r="L363" s="51"/>
      <c r="M363" s="51"/>
      <c r="N363" s="51"/>
    </row>
    <row r="364" spans="2:14" ht="12.75" customHeight="1" x14ac:dyDescent="0.15">
      <c r="B364" s="51"/>
      <c r="C364" s="51"/>
      <c r="D364" s="51"/>
      <c r="E364" s="51"/>
      <c r="F364" s="51"/>
      <c r="G364" s="51"/>
      <c r="H364" s="51"/>
      <c r="I364" s="51"/>
      <c r="J364" s="51"/>
      <c r="K364" s="51"/>
      <c r="L364" s="51"/>
      <c r="M364" s="51"/>
      <c r="N364" s="51"/>
    </row>
    <row r="365" spans="2:14" ht="12.75" customHeight="1" x14ac:dyDescent="0.15">
      <c r="B365" s="51"/>
      <c r="C365" s="51"/>
      <c r="D365" s="51"/>
      <c r="E365" s="51"/>
      <c r="F365" s="51"/>
      <c r="G365" s="51"/>
      <c r="H365" s="51"/>
      <c r="I365" s="51"/>
      <c r="J365" s="51"/>
      <c r="K365" s="51"/>
      <c r="L365" s="51"/>
      <c r="M365" s="51"/>
      <c r="N365" s="51"/>
    </row>
    <row r="366" spans="2:14" ht="12.75" customHeight="1" x14ac:dyDescent="0.15">
      <c r="B366" s="51"/>
      <c r="C366" s="51"/>
      <c r="D366" s="51"/>
      <c r="E366" s="51"/>
      <c r="F366" s="51"/>
      <c r="G366" s="51"/>
      <c r="H366" s="51"/>
      <c r="I366" s="51"/>
      <c r="J366" s="51"/>
      <c r="K366" s="51"/>
      <c r="L366" s="51"/>
      <c r="M366" s="51"/>
      <c r="N366" s="51"/>
    </row>
    <row r="367" spans="2:14" ht="12.75" customHeight="1" x14ac:dyDescent="0.15">
      <c r="B367" s="51"/>
      <c r="C367" s="51"/>
      <c r="D367" s="51"/>
      <c r="E367" s="51"/>
      <c r="F367" s="51"/>
      <c r="G367" s="51"/>
      <c r="H367" s="51"/>
      <c r="I367" s="51"/>
      <c r="J367" s="51"/>
      <c r="K367" s="51"/>
      <c r="L367" s="51"/>
      <c r="M367" s="51"/>
      <c r="N367" s="51"/>
    </row>
    <row r="368" spans="2:14" ht="12.75" customHeight="1" x14ac:dyDescent="0.15">
      <c r="B368" s="51"/>
      <c r="C368" s="51"/>
      <c r="D368" s="51"/>
      <c r="E368" s="51"/>
      <c r="F368" s="51"/>
      <c r="G368" s="51"/>
      <c r="H368" s="51"/>
      <c r="I368" s="51"/>
      <c r="J368" s="51"/>
      <c r="K368" s="51"/>
      <c r="L368" s="51"/>
      <c r="M368" s="51"/>
      <c r="N368" s="51"/>
    </row>
    <row r="369" spans="2:14" ht="12.75" customHeight="1" x14ac:dyDescent="0.15">
      <c r="B369" s="51"/>
      <c r="C369" s="51"/>
      <c r="D369" s="51"/>
      <c r="E369" s="51"/>
      <c r="F369" s="51"/>
      <c r="G369" s="51"/>
      <c r="H369" s="51"/>
      <c r="I369" s="51"/>
      <c r="J369" s="51"/>
      <c r="K369" s="51"/>
      <c r="L369" s="51"/>
      <c r="M369" s="51"/>
      <c r="N369" s="51"/>
    </row>
    <row r="370" spans="2:14" ht="12.75" customHeight="1" x14ac:dyDescent="0.15">
      <c r="B370" s="51"/>
      <c r="C370" s="51"/>
      <c r="D370" s="51"/>
      <c r="E370" s="51"/>
      <c r="F370" s="51"/>
      <c r="G370" s="51"/>
      <c r="H370" s="51"/>
      <c r="I370" s="51"/>
      <c r="J370" s="51"/>
      <c r="K370" s="51"/>
      <c r="L370" s="51"/>
      <c r="M370" s="51"/>
      <c r="N370" s="51"/>
    </row>
    <row r="371" spans="2:14" ht="12.75" customHeight="1" x14ac:dyDescent="0.15">
      <c r="B371" s="51"/>
      <c r="C371" s="51"/>
      <c r="D371" s="51"/>
      <c r="E371" s="51"/>
      <c r="F371" s="51"/>
      <c r="G371" s="51"/>
      <c r="H371" s="51"/>
      <c r="I371" s="51"/>
      <c r="J371" s="51"/>
      <c r="K371" s="51"/>
      <c r="L371" s="51"/>
      <c r="M371" s="51"/>
      <c r="N371" s="51"/>
    </row>
    <row r="372" spans="2:14" ht="12.75" customHeight="1" x14ac:dyDescent="0.15">
      <c r="B372" s="51"/>
      <c r="C372" s="51"/>
      <c r="D372" s="51"/>
      <c r="E372" s="51"/>
      <c r="F372" s="51"/>
      <c r="G372" s="51"/>
      <c r="H372" s="51"/>
      <c r="I372" s="51"/>
      <c r="J372" s="51"/>
      <c r="K372" s="51"/>
      <c r="L372" s="51"/>
      <c r="M372" s="51"/>
      <c r="N372" s="51"/>
    </row>
    <row r="373" spans="2:14" ht="12.75" customHeight="1" x14ac:dyDescent="0.15">
      <c r="B373" s="51"/>
      <c r="C373" s="51"/>
      <c r="D373" s="51"/>
      <c r="E373" s="51"/>
      <c r="F373" s="51"/>
      <c r="G373" s="51"/>
      <c r="H373" s="51"/>
      <c r="I373" s="51"/>
      <c r="J373" s="51"/>
      <c r="K373" s="51"/>
      <c r="L373" s="51"/>
      <c r="M373" s="51"/>
      <c r="N373" s="51"/>
    </row>
    <row r="374" spans="2:14" ht="12.75" customHeight="1" x14ac:dyDescent="0.15">
      <c r="B374" s="51"/>
      <c r="C374" s="51"/>
      <c r="D374" s="51"/>
      <c r="E374" s="51"/>
      <c r="F374" s="51"/>
      <c r="G374" s="51"/>
      <c r="H374" s="51"/>
      <c r="I374" s="51"/>
      <c r="J374" s="51"/>
      <c r="K374" s="51"/>
      <c r="L374" s="51"/>
      <c r="M374" s="51"/>
      <c r="N374" s="51"/>
    </row>
    <row r="375" spans="2:14" ht="12.75" customHeight="1" x14ac:dyDescent="0.15">
      <c r="B375" s="51"/>
      <c r="C375" s="51"/>
      <c r="D375" s="51"/>
      <c r="E375" s="51"/>
      <c r="F375" s="51"/>
      <c r="G375" s="51"/>
      <c r="H375" s="51"/>
      <c r="I375" s="51"/>
      <c r="J375" s="51"/>
      <c r="K375" s="51"/>
      <c r="L375" s="51"/>
      <c r="M375" s="51"/>
      <c r="N375" s="51"/>
    </row>
    <row r="376" spans="2:14" ht="12.75" customHeight="1" x14ac:dyDescent="0.15">
      <c r="B376" s="51"/>
      <c r="C376" s="51"/>
      <c r="D376" s="51"/>
      <c r="E376" s="51"/>
      <c r="F376" s="51"/>
      <c r="G376" s="51"/>
      <c r="H376" s="51"/>
      <c r="I376" s="51"/>
      <c r="J376" s="51"/>
      <c r="K376" s="51"/>
      <c r="L376" s="51"/>
      <c r="M376" s="51"/>
      <c r="N376" s="51"/>
    </row>
    <row r="377" spans="2:14" ht="12.75" customHeight="1" x14ac:dyDescent="0.15">
      <c r="B377" s="51"/>
      <c r="C377" s="51"/>
      <c r="D377" s="51"/>
      <c r="E377" s="51"/>
      <c r="F377" s="51"/>
      <c r="G377" s="51"/>
      <c r="H377" s="51"/>
      <c r="I377" s="51"/>
      <c r="J377" s="51"/>
      <c r="K377" s="51"/>
      <c r="L377" s="51"/>
      <c r="M377" s="51"/>
      <c r="N377" s="51"/>
    </row>
    <row r="378" spans="2:14" ht="12.75" customHeight="1" x14ac:dyDescent="0.15">
      <c r="B378" s="51"/>
      <c r="C378" s="51"/>
      <c r="D378" s="51"/>
      <c r="E378" s="51"/>
      <c r="F378" s="51"/>
      <c r="G378" s="51"/>
      <c r="H378" s="51"/>
      <c r="I378" s="51"/>
      <c r="J378" s="51"/>
      <c r="K378" s="51"/>
      <c r="L378" s="51"/>
      <c r="M378" s="51"/>
      <c r="N378" s="51"/>
    </row>
    <row r="379" spans="2:14" ht="12.75" customHeight="1" x14ac:dyDescent="0.15">
      <c r="B379" s="51"/>
      <c r="C379" s="51"/>
      <c r="D379" s="51"/>
      <c r="E379" s="51"/>
      <c r="F379" s="51"/>
      <c r="G379" s="51"/>
      <c r="H379" s="51"/>
      <c r="I379" s="51"/>
      <c r="J379" s="51"/>
      <c r="K379" s="51"/>
      <c r="L379" s="51"/>
      <c r="M379" s="51"/>
      <c r="N379" s="51"/>
    </row>
    <row r="380" spans="2:14" ht="12.75" customHeight="1" x14ac:dyDescent="0.15">
      <c r="B380" s="51"/>
      <c r="C380" s="51"/>
      <c r="D380" s="51"/>
      <c r="E380" s="51"/>
      <c r="F380" s="51"/>
      <c r="G380" s="51"/>
      <c r="H380" s="51"/>
      <c r="I380" s="51"/>
      <c r="J380" s="51"/>
      <c r="K380" s="51"/>
      <c r="L380" s="51"/>
      <c r="M380" s="51"/>
      <c r="N380" s="51"/>
    </row>
    <row r="381" spans="2:14" ht="12.75" customHeight="1" x14ac:dyDescent="0.15">
      <c r="B381" s="51"/>
      <c r="C381" s="51"/>
      <c r="D381" s="51"/>
      <c r="E381" s="51"/>
      <c r="F381" s="51"/>
      <c r="G381" s="51"/>
      <c r="H381" s="51"/>
      <c r="I381" s="51"/>
      <c r="J381" s="51"/>
      <c r="K381" s="51"/>
      <c r="L381" s="51"/>
      <c r="M381" s="51"/>
      <c r="N381" s="51"/>
    </row>
    <row r="382" spans="2:14" ht="12.75" customHeight="1" x14ac:dyDescent="0.15">
      <c r="B382" s="51"/>
      <c r="C382" s="51"/>
      <c r="D382" s="51"/>
      <c r="E382" s="51"/>
      <c r="F382" s="51"/>
      <c r="G382" s="51"/>
      <c r="H382" s="51"/>
      <c r="I382" s="51"/>
      <c r="J382" s="51"/>
      <c r="K382" s="51"/>
      <c r="L382" s="51"/>
      <c r="M382" s="51"/>
      <c r="N382" s="51"/>
    </row>
    <row r="383" spans="2:14" ht="12.75" customHeight="1" x14ac:dyDescent="0.15">
      <c r="B383" s="51"/>
      <c r="C383" s="51"/>
      <c r="D383" s="51"/>
      <c r="E383" s="51"/>
      <c r="F383" s="51"/>
      <c r="G383" s="51"/>
      <c r="H383" s="51"/>
      <c r="I383" s="51"/>
      <c r="J383" s="51"/>
      <c r="K383" s="51"/>
      <c r="L383" s="51"/>
      <c r="M383" s="51"/>
      <c r="N383" s="51"/>
    </row>
    <row r="384" spans="2:14" ht="12.75" customHeight="1" x14ac:dyDescent="0.15">
      <c r="B384" s="51"/>
      <c r="C384" s="51"/>
      <c r="D384" s="51"/>
      <c r="E384" s="51"/>
      <c r="F384" s="51"/>
      <c r="G384" s="51"/>
      <c r="H384" s="51"/>
      <c r="I384" s="51"/>
      <c r="J384" s="51"/>
      <c r="K384" s="51"/>
      <c r="L384" s="51"/>
      <c r="M384" s="51"/>
      <c r="N384" s="51"/>
    </row>
    <row r="385" spans="2:14" ht="12.75" customHeight="1" x14ac:dyDescent="0.15">
      <c r="B385" s="51"/>
      <c r="C385" s="51"/>
      <c r="D385" s="51"/>
      <c r="E385" s="51"/>
      <c r="F385" s="51"/>
      <c r="G385" s="51"/>
      <c r="H385" s="51"/>
      <c r="I385" s="51"/>
      <c r="J385" s="51"/>
      <c r="K385" s="51"/>
      <c r="L385" s="51"/>
      <c r="M385" s="51"/>
      <c r="N385" s="51"/>
    </row>
    <row r="386" spans="2:14" ht="12.75" customHeight="1" x14ac:dyDescent="0.15">
      <c r="B386" s="51"/>
      <c r="C386" s="51"/>
      <c r="D386" s="51"/>
      <c r="E386" s="51"/>
      <c r="F386" s="51"/>
      <c r="G386" s="51"/>
      <c r="H386" s="51"/>
      <c r="I386" s="51"/>
      <c r="J386" s="51"/>
      <c r="K386" s="51"/>
      <c r="L386" s="51"/>
      <c r="M386" s="51"/>
      <c r="N386" s="51"/>
    </row>
    <row r="387" spans="2:14" ht="12.75" customHeight="1" x14ac:dyDescent="0.15">
      <c r="B387" s="51"/>
      <c r="C387" s="51"/>
      <c r="D387" s="51"/>
      <c r="E387" s="51"/>
      <c r="F387" s="51"/>
      <c r="G387" s="51"/>
      <c r="H387" s="51"/>
      <c r="I387" s="51"/>
      <c r="J387" s="51"/>
      <c r="K387" s="51"/>
      <c r="L387" s="51"/>
      <c r="M387" s="51"/>
      <c r="N387" s="51"/>
    </row>
    <row r="388" spans="2:14" ht="12.75" customHeight="1" x14ac:dyDescent="0.15">
      <c r="B388" s="51"/>
      <c r="C388" s="51"/>
      <c r="D388" s="51"/>
      <c r="E388" s="51"/>
      <c r="F388" s="51"/>
      <c r="G388" s="51"/>
      <c r="H388" s="51"/>
      <c r="I388" s="51"/>
      <c r="J388" s="51"/>
      <c r="K388" s="51"/>
      <c r="L388" s="51"/>
      <c r="M388" s="51"/>
      <c r="N388" s="51"/>
    </row>
    <row r="389" spans="2:14" ht="12.75" customHeight="1" x14ac:dyDescent="0.15">
      <c r="B389" s="51"/>
      <c r="C389" s="51"/>
      <c r="D389" s="51"/>
      <c r="E389" s="51"/>
      <c r="F389" s="51"/>
      <c r="G389" s="51"/>
      <c r="H389" s="51"/>
      <c r="I389" s="51"/>
      <c r="J389" s="51"/>
      <c r="K389" s="51"/>
      <c r="L389" s="51"/>
      <c r="M389" s="51"/>
      <c r="N389" s="51"/>
    </row>
    <row r="390" spans="2:14" ht="12.75" customHeight="1" x14ac:dyDescent="0.15">
      <c r="B390" s="51"/>
      <c r="C390" s="51"/>
      <c r="D390" s="51"/>
      <c r="E390" s="51"/>
      <c r="F390" s="51"/>
      <c r="G390" s="51"/>
      <c r="H390" s="51"/>
      <c r="I390" s="51"/>
      <c r="J390" s="51"/>
      <c r="K390" s="51"/>
      <c r="L390" s="51"/>
      <c r="M390" s="51"/>
      <c r="N390" s="51"/>
    </row>
    <row r="391" spans="2:14" ht="12.75" customHeight="1" x14ac:dyDescent="0.15">
      <c r="B391" s="51"/>
      <c r="C391" s="51"/>
      <c r="D391" s="51"/>
      <c r="E391" s="51"/>
      <c r="F391" s="51"/>
      <c r="G391" s="51"/>
      <c r="H391" s="51"/>
      <c r="I391" s="51"/>
      <c r="J391" s="51"/>
      <c r="K391" s="51"/>
      <c r="L391" s="51"/>
      <c r="M391" s="51"/>
      <c r="N391" s="51"/>
    </row>
    <row r="392" spans="2:14" ht="12.75" customHeight="1" x14ac:dyDescent="0.15">
      <c r="B392" s="51"/>
      <c r="C392" s="51"/>
      <c r="D392" s="51"/>
      <c r="E392" s="51"/>
      <c r="F392" s="51"/>
      <c r="G392" s="51"/>
      <c r="H392" s="51"/>
      <c r="I392" s="51"/>
      <c r="J392" s="51"/>
      <c r="K392" s="51"/>
      <c r="L392" s="51"/>
      <c r="M392" s="51"/>
      <c r="N392" s="51"/>
    </row>
    <row r="393" spans="2:14" ht="12.75" customHeight="1" x14ac:dyDescent="0.15">
      <c r="B393" s="51"/>
      <c r="C393" s="51"/>
      <c r="D393" s="51"/>
      <c r="E393" s="51"/>
      <c r="F393" s="51"/>
      <c r="G393" s="51"/>
      <c r="H393" s="51"/>
      <c r="I393" s="51"/>
      <c r="J393" s="51"/>
      <c r="K393" s="51"/>
      <c r="L393" s="51"/>
      <c r="M393" s="51"/>
      <c r="N393" s="51"/>
    </row>
    <row r="394" spans="2:14" ht="12.75" customHeight="1" x14ac:dyDescent="0.15">
      <c r="B394" s="51"/>
      <c r="C394" s="51"/>
      <c r="D394" s="51"/>
      <c r="E394" s="51"/>
      <c r="F394" s="51"/>
      <c r="G394" s="51"/>
      <c r="H394" s="51"/>
      <c r="I394" s="51"/>
      <c r="J394" s="51"/>
      <c r="K394" s="51"/>
      <c r="L394" s="51"/>
      <c r="M394" s="51"/>
      <c r="N394" s="51"/>
    </row>
    <row r="395" spans="2:14" ht="12.75" customHeight="1" x14ac:dyDescent="0.15">
      <c r="B395" s="51"/>
      <c r="C395" s="51"/>
      <c r="D395" s="51"/>
      <c r="E395" s="51"/>
      <c r="F395" s="51"/>
      <c r="G395" s="51"/>
      <c r="H395" s="51"/>
      <c r="I395" s="51"/>
      <c r="J395" s="51"/>
      <c r="K395" s="51"/>
      <c r="L395" s="51"/>
      <c r="M395" s="51"/>
      <c r="N395" s="51"/>
    </row>
    <row r="396" spans="2:14" ht="12.75" customHeight="1" x14ac:dyDescent="0.15">
      <c r="B396" s="51"/>
      <c r="C396" s="51"/>
      <c r="D396" s="51"/>
      <c r="E396" s="51"/>
      <c r="F396" s="51"/>
      <c r="G396" s="51"/>
      <c r="H396" s="51"/>
      <c r="I396" s="51"/>
      <c r="J396" s="51"/>
      <c r="K396" s="51"/>
      <c r="L396" s="51"/>
      <c r="M396" s="51"/>
      <c r="N396" s="51"/>
    </row>
    <row r="397" spans="2:14" ht="12.75" customHeight="1" x14ac:dyDescent="0.15">
      <c r="B397" s="51"/>
      <c r="C397" s="51"/>
      <c r="D397" s="51"/>
      <c r="E397" s="51"/>
      <c r="F397" s="51"/>
      <c r="G397" s="51"/>
      <c r="H397" s="51"/>
      <c r="I397" s="51"/>
      <c r="J397" s="51"/>
      <c r="K397" s="51"/>
      <c r="L397" s="51"/>
      <c r="M397" s="51"/>
      <c r="N397" s="51"/>
    </row>
    <row r="398" spans="2:14" ht="12.75" customHeight="1" x14ac:dyDescent="0.15">
      <c r="B398" s="51"/>
      <c r="C398" s="51"/>
      <c r="D398" s="51"/>
      <c r="E398" s="51"/>
      <c r="F398" s="51"/>
      <c r="G398" s="51"/>
      <c r="H398" s="51"/>
      <c r="I398" s="51"/>
      <c r="J398" s="51"/>
      <c r="K398" s="51"/>
      <c r="L398" s="51"/>
      <c r="M398" s="51"/>
      <c r="N398" s="51"/>
    </row>
    <row r="399" spans="2:14" ht="12.75" customHeight="1" x14ac:dyDescent="0.15">
      <c r="B399" s="51"/>
      <c r="C399" s="51"/>
      <c r="D399" s="51"/>
      <c r="E399" s="51"/>
      <c r="F399" s="51"/>
      <c r="G399" s="51"/>
      <c r="H399" s="51"/>
      <c r="I399" s="51"/>
      <c r="J399" s="51"/>
      <c r="K399" s="51"/>
      <c r="L399" s="51"/>
      <c r="M399" s="51"/>
      <c r="N399" s="51"/>
    </row>
    <row r="400" spans="2:14" ht="12.75" customHeight="1" x14ac:dyDescent="0.15">
      <c r="B400" s="51"/>
      <c r="C400" s="51"/>
      <c r="D400" s="51"/>
      <c r="E400" s="51"/>
      <c r="F400" s="51"/>
      <c r="G400" s="51"/>
      <c r="H400" s="51"/>
      <c r="I400" s="51"/>
      <c r="J400" s="51"/>
      <c r="K400" s="51"/>
      <c r="L400" s="51"/>
      <c r="M400" s="51"/>
      <c r="N400" s="51"/>
    </row>
    <row r="401" spans="2:14" ht="12.75" customHeight="1" x14ac:dyDescent="0.15">
      <c r="B401" s="51"/>
      <c r="C401" s="51"/>
      <c r="D401" s="51"/>
      <c r="E401" s="51"/>
      <c r="F401" s="51"/>
      <c r="G401" s="51"/>
      <c r="H401" s="51"/>
      <c r="I401" s="51"/>
      <c r="J401" s="51"/>
      <c r="K401" s="51"/>
      <c r="L401" s="51"/>
      <c r="M401" s="51"/>
      <c r="N401" s="51"/>
    </row>
    <row r="402" spans="2:14" ht="12.75" customHeight="1" x14ac:dyDescent="0.15">
      <c r="B402" s="51"/>
      <c r="C402" s="51"/>
      <c r="D402" s="51"/>
      <c r="E402" s="51"/>
      <c r="F402" s="51"/>
      <c r="G402" s="51"/>
      <c r="H402" s="51"/>
      <c r="I402" s="51"/>
      <c r="J402" s="51"/>
      <c r="K402" s="51"/>
      <c r="L402" s="51"/>
      <c r="M402" s="51"/>
      <c r="N402" s="51"/>
    </row>
    <row r="403" spans="2:14" ht="12.75" customHeight="1" x14ac:dyDescent="0.15">
      <c r="B403" s="51"/>
      <c r="C403" s="51"/>
      <c r="D403" s="51"/>
      <c r="E403" s="51"/>
      <c r="F403" s="51"/>
      <c r="G403" s="51"/>
      <c r="H403" s="51"/>
      <c r="I403" s="51"/>
      <c r="J403" s="51"/>
      <c r="K403" s="51"/>
      <c r="L403" s="51"/>
      <c r="M403" s="51"/>
      <c r="N403" s="51"/>
    </row>
    <row r="404" spans="2:14" ht="12.75" customHeight="1" x14ac:dyDescent="0.15">
      <c r="B404" s="51"/>
      <c r="C404" s="51"/>
      <c r="D404" s="51"/>
      <c r="E404" s="51"/>
      <c r="F404" s="51"/>
      <c r="G404" s="51"/>
      <c r="H404" s="51"/>
      <c r="I404" s="51"/>
      <c r="J404" s="51"/>
      <c r="K404" s="51"/>
      <c r="L404" s="51"/>
      <c r="M404" s="51"/>
      <c r="N404" s="51"/>
    </row>
    <row r="405" spans="2:14" ht="12.75" customHeight="1" x14ac:dyDescent="0.15">
      <c r="B405" s="51"/>
      <c r="C405" s="51"/>
      <c r="D405" s="51"/>
      <c r="E405" s="51"/>
      <c r="F405" s="51"/>
      <c r="G405" s="51"/>
      <c r="H405" s="51"/>
      <c r="I405" s="51"/>
      <c r="J405" s="51"/>
      <c r="K405" s="51"/>
      <c r="L405" s="51"/>
      <c r="M405" s="51"/>
      <c r="N405" s="51"/>
    </row>
    <row r="406" spans="2:14" ht="12.75" customHeight="1" x14ac:dyDescent="0.15">
      <c r="B406" s="51"/>
      <c r="C406" s="51"/>
      <c r="D406" s="51"/>
      <c r="E406" s="51"/>
      <c r="F406" s="51"/>
      <c r="G406" s="51"/>
      <c r="H406" s="51"/>
      <c r="I406" s="51"/>
      <c r="J406" s="51"/>
      <c r="K406" s="51"/>
      <c r="L406" s="51"/>
      <c r="M406" s="51"/>
      <c r="N406" s="51"/>
    </row>
    <row r="407" spans="2:14" ht="12.75" customHeight="1" x14ac:dyDescent="0.15">
      <c r="B407" s="51"/>
      <c r="C407" s="51"/>
      <c r="D407" s="51"/>
      <c r="E407" s="51"/>
      <c r="F407" s="51"/>
      <c r="G407" s="51"/>
      <c r="H407" s="51"/>
      <c r="I407" s="51"/>
      <c r="J407" s="51"/>
      <c r="K407" s="51"/>
      <c r="L407" s="51"/>
      <c r="M407" s="51"/>
      <c r="N407" s="51"/>
    </row>
    <row r="408" spans="2:14" ht="12.75" customHeight="1" x14ac:dyDescent="0.15">
      <c r="B408" s="51"/>
      <c r="C408" s="51"/>
      <c r="D408" s="51"/>
      <c r="E408" s="51"/>
      <c r="F408" s="51"/>
      <c r="G408" s="51"/>
      <c r="H408" s="51"/>
      <c r="I408" s="51"/>
      <c r="J408" s="51"/>
      <c r="K408" s="51"/>
      <c r="L408" s="51"/>
      <c r="M408" s="51"/>
      <c r="N408" s="51"/>
    </row>
    <row r="409" spans="2:14" ht="12.75" customHeight="1" x14ac:dyDescent="0.15">
      <c r="B409" s="51"/>
      <c r="C409" s="51"/>
      <c r="D409" s="51"/>
      <c r="E409" s="51"/>
      <c r="F409" s="51"/>
      <c r="G409" s="51"/>
      <c r="H409" s="51"/>
      <c r="I409" s="51"/>
      <c r="J409" s="51"/>
      <c r="K409" s="51"/>
      <c r="L409" s="51"/>
      <c r="M409" s="51"/>
      <c r="N409" s="51"/>
    </row>
    <row r="410" spans="2:14" ht="12.75" customHeight="1" x14ac:dyDescent="0.15">
      <c r="B410" s="51"/>
      <c r="C410" s="51"/>
      <c r="D410" s="51"/>
      <c r="E410" s="51"/>
      <c r="F410" s="51"/>
      <c r="G410" s="51"/>
      <c r="H410" s="51"/>
      <c r="I410" s="51"/>
      <c r="J410" s="51"/>
      <c r="K410" s="51"/>
      <c r="L410" s="51"/>
      <c r="M410" s="51"/>
      <c r="N410" s="51"/>
    </row>
    <row r="411" spans="2:14" ht="12.75" customHeight="1" x14ac:dyDescent="0.15">
      <c r="B411" s="51"/>
      <c r="C411" s="51"/>
      <c r="D411" s="51"/>
      <c r="E411" s="51"/>
      <c r="F411" s="51"/>
      <c r="G411" s="51"/>
      <c r="H411" s="51"/>
      <c r="I411" s="51"/>
      <c r="J411" s="51"/>
      <c r="K411" s="51"/>
      <c r="L411" s="51"/>
      <c r="M411" s="51"/>
      <c r="N411" s="51"/>
    </row>
    <row r="412" spans="2:14" ht="12.75" customHeight="1" x14ac:dyDescent="0.15">
      <c r="B412" s="51"/>
      <c r="C412" s="51"/>
      <c r="D412" s="51"/>
      <c r="E412" s="51"/>
      <c r="F412" s="51"/>
      <c r="G412" s="51"/>
      <c r="H412" s="51"/>
      <c r="I412" s="51"/>
      <c r="J412" s="51"/>
      <c r="K412" s="51"/>
      <c r="L412" s="51"/>
      <c r="M412" s="51"/>
      <c r="N412" s="51"/>
    </row>
    <row r="413" spans="2:14" ht="12.75" customHeight="1" x14ac:dyDescent="0.15">
      <c r="B413" s="51"/>
      <c r="C413" s="51"/>
      <c r="D413" s="51"/>
      <c r="E413" s="51"/>
      <c r="F413" s="51"/>
      <c r="G413" s="51"/>
      <c r="H413" s="51"/>
      <c r="I413" s="51"/>
      <c r="J413" s="51"/>
      <c r="K413" s="51"/>
      <c r="L413" s="51"/>
      <c r="M413" s="51"/>
      <c r="N413" s="51"/>
    </row>
    <row r="414" spans="2:14" ht="12.75" customHeight="1" x14ac:dyDescent="0.15">
      <c r="B414" s="51"/>
      <c r="C414" s="51"/>
      <c r="D414" s="51"/>
      <c r="E414" s="51"/>
      <c r="F414" s="51"/>
      <c r="G414" s="51"/>
      <c r="H414" s="51"/>
      <c r="I414" s="51"/>
      <c r="J414" s="51"/>
      <c r="K414" s="51"/>
      <c r="L414" s="51"/>
      <c r="M414" s="51"/>
      <c r="N414" s="51"/>
    </row>
    <row r="415" spans="2:14" ht="12.75" customHeight="1" x14ac:dyDescent="0.15">
      <c r="B415" s="51"/>
      <c r="C415" s="51"/>
      <c r="D415" s="51"/>
      <c r="E415" s="51"/>
      <c r="F415" s="51"/>
      <c r="G415" s="51"/>
      <c r="H415" s="51"/>
      <c r="I415" s="51"/>
      <c r="J415" s="51"/>
      <c r="K415" s="51"/>
      <c r="L415" s="51"/>
      <c r="M415" s="51"/>
      <c r="N415" s="51"/>
    </row>
    <row r="416" spans="2:14" ht="12.75" customHeight="1" x14ac:dyDescent="0.15">
      <c r="B416" s="51"/>
      <c r="C416" s="51"/>
      <c r="D416" s="51"/>
      <c r="E416" s="51"/>
      <c r="F416" s="51"/>
      <c r="G416" s="51"/>
      <c r="H416" s="51"/>
      <c r="I416" s="51"/>
      <c r="J416" s="51"/>
      <c r="K416" s="51"/>
      <c r="L416" s="51"/>
      <c r="M416" s="51"/>
      <c r="N416" s="51"/>
    </row>
    <row r="417" spans="2:14" ht="12.75" customHeight="1" x14ac:dyDescent="0.15">
      <c r="B417" s="51"/>
      <c r="C417" s="51"/>
      <c r="D417" s="51"/>
      <c r="E417" s="51"/>
      <c r="F417" s="51"/>
      <c r="G417" s="51"/>
      <c r="H417" s="51"/>
      <c r="I417" s="51"/>
      <c r="J417" s="51"/>
      <c r="K417" s="51"/>
      <c r="L417" s="51"/>
      <c r="M417" s="51"/>
      <c r="N417" s="51"/>
    </row>
    <row r="418" spans="2:14" ht="12.75" customHeight="1" x14ac:dyDescent="0.15">
      <c r="B418" s="51"/>
      <c r="C418" s="51"/>
      <c r="D418" s="51"/>
      <c r="E418" s="51"/>
      <c r="F418" s="51"/>
      <c r="G418" s="51"/>
      <c r="H418" s="51"/>
      <c r="I418" s="51"/>
      <c r="J418" s="51"/>
      <c r="K418" s="51"/>
      <c r="L418" s="51"/>
      <c r="M418" s="51"/>
      <c r="N418" s="51"/>
    </row>
    <row r="419" spans="2:14" ht="12.75" customHeight="1" x14ac:dyDescent="0.15">
      <c r="B419" s="51"/>
      <c r="C419" s="51"/>
      <c r="D419" s="51"/>
      <c r="E419" s="51"/>
      <c r="F419" s="51"/>
      <c r="G419" s="51"/>
      <c r="H419" s="51"/>
      <c r="I419" s="51"/>
      <c r="J419" s="51"/>
      <c r="K419" s="51"/>
      <c r="L419" s="51"/>
      <c r="M419" s="51"/>
      <c r="N419" s="51"/>
    </row>
    <row r="420" spans="2:14" ht="12.75" customHeight="1" x14ac:dyDescent="0.15">
      <c r="B420" s="51"/>
      <c r="C420" s="51"/>
      <c r="D420" s="51"/>
      <c r="E420" s="51"/>
      <c r="F420" s="51"/>
      <c r="G420" s="51"/>
      <c r="H420" s="51"/>
      <c r="I420" s="51"/>
      <c r="J420" s="51"/>
      <c r="K420" s="51"/>
      <c r="L420" s="51"/>
      <c r="M420" s="51"/>
      <c r="N420" s="51"/>
    </row>
    <row r="421" spans="2:14" ht="12.75" customHeight="1" x14ac:dyDescent="0.15">
      <c r="B421" s="51"/>
      <c r="C421" s="51"/>
      <c r="D421" s="51"/>
      <c r="E421" s="51"/>
      <c r="F421" s="51"/>
      <c r="G421" s="51"/>
      <c r="H421" s="51"/>
      <c r="I421" s="51"/>
      <c r="J421" s="51"/>
      <c r="K421" s="51"/>
      <c r="L421" s="51"/>
      <c r="M421" s="51"/>
      <c r="N421" s="51"/>
    </row>
    <row r="422" spans="2:14" ht="12.75" customHeight="1" x14ac:dyDescent="0.15">
      <c r="B422" s="51"/>
      <c r="C422" s="51"/>
      <c r="D422" s="51"/>
      <c r="E422" s="51"/>
      <c r="F422" s="51"/>
      <c r="G422" s="51"/>
      <c r="H422" s="51"/>
      <c r="I422" s="51"/>
      <c r="J422" s="51"/>
      <c r="K422" s="51"/>
      <c r="L422" s="51"/>
      <c r="M422" s="51"/>
      <c r="N422" s="51"/>
    </row>
    <row r="423" spans="2:14" ht="12.75" customHeight="1" x14ac:dyDescent="0.15">
      <c r="B423" s="51"/>
      <c r="C423" s="51"/>
      <c r="D423" s="51"/>
      <c r="E423" s="51"/>
      <c r="F423" s="51"/>
      <c r="G423" s="51"/>
      <c r="H423" s="51"/>
      <c r="I423" s="51"/>
      <c r="J423" s="51"/>
      <c r="K423" s="51"/>
      <c r="L423" s="51"/>
      <c r="M423" s="51"/>
      <c r="N423" s="51"/>
    </row>
    <row r="424" spans="2:14" ht="12.75" customHeight="1" x14ac:dyDescent="0.15">
      <c r="B424" s="51"/>
      <c r="C424" s="51"/>
      <c r="D424" s="51"/>
      <c r="E424" s="51"/>
      <c r="F424" s="51"/>
      <c r="G424" s="51"/>
      <c r="H424" s="51"/>
      <c r="I424" s="51"/>
      <c r="J424" s="51"/>
      <c r="K424" s="51"/>
      <c r="L424" s="51"/>
      <c r="M424" s="51"/>
      <c r="N424" s="51"/>
    </row>
    <row r="425" spans="2:14" ht="12.75" customHeight="1" x14ac:dyDescent="0.15">
      <c r="B425" s="51"/>
      <c r="C425" s="51"/>
      <c r="D425" s="51"/>
      <c r="E425" s="51"/>
      <c r="F425" s="51"/>
      <c r="G425" s="51"/>
      <c r="H425" s="51"/>
      <c r="I425" s="51"/>
      <c r="J425" s="51"/>
      <c r="K425" s="51"/>
      <c r="L425" s="51"/>
      <c r="M425" s="51"/>
      <c r="N425" s="51"/>
    </row>
    <row r="426" spans="2:14" ht="12.75" customHeight="1" x14ac:dyDescent="0.15">
      <c r="B426" s="51"/>
      <c r="C426" s="51"/>
      <c r="D426" s="51"/>
      <c r="E426" s="51"/>
      <c r="F426" s="51"/>
      <c r="G426" s="51"/>
      <c r="H426" s="51"/>
      <c r="I426" s="51"/>
      <c r="J426" s="51"/>
      <c r="K426" s="51"/>
      <c r="L426" s="51"/>
      <c r="M426" s="51"/>
      <c r="N426" s="51"/>
    </row>
    <row r="427" spans="2:14" ht="12.75" customHeight="1" x14ac:dyDescent="0.15">
      <c r="B427" s="51"/>
      <c r="C427" s="51"/>
      <c r="D427" s="51"/>
      <c r="E427" s="51"/>
      <c r="F427" s="51"/>
      <c r="G427" s="51"/>
      <c r="H427" s="51"/>
      <c r="I427" s="51"/>
      <c r="J427" s="51"/>
      <c r="K427" s="51"/>
      <c r="L427" s="51"/>
      <c r="M427" s="51"/>
      <c r="N427" s="51"/>
    </row>
    <row r="428" spans="2:14" ht="12.75" customHeight="1" x14ac:dyDescent="0.15">
      <c r="B428" s="51"/>
      <c r="C428" s="51"/>
      <c r="D428" s="51"/>
      <c r="E428" s="51"/>
      <c r="F428" s="51"/>
      <c r="G428" s="51"/>
      <c r="H428" s="51"/>
      <c r="I428" s="51"/>
      <c r="J428" s="51"/>
      <c r="K428" s="51"/>
      <c r="L428" s="51"/>
      <c r="M428" s="51"/>
      <c r="N428" s="51"/>
    </row>
    <row r="429" spans="2:14" ht="12.75" customHeight="1" x14ac:dyDescent="0.15">
      <c r="B429" s="51"/>
      <c r="C429" s="51"/>
      <c r="D429" s="51"/>
      <c r="E429" s="51"/>
      <c r="F429" s="51"/>
      <c r="G429" s="51"/>
      <c r="H429" s="51"/>
      <c r="I429" s="51"/>
      <c r="J429" s="51"/>
      <c r="K429" s="51"/>
      <c r="L429" s="51"/>
      <c r="M429" s="51"/>
      <c r="N429" s="51"/>
    </row>
    <row r="430" spans="2:14" ht="12.75" customHeight="1" x14ac:dyDescent="0.15">
      <c r="B430" s="51"/>
      <c r="C430" s="51"/>
      <c r="D430" s="51"/>
      <c r="E430" s="51"/>
      <c r="F430" s="51"/>
      <c r="G430" s="51"/>
      <c r="H430" s="51"/>
      <c r="I430" s="51"/>
      <c r="J430" s="51"/>
      <c r="K430" s="51"/>
      <c r="L430" s="51"/>
      <c r="M430" s="51"/>
      <c r="N430" s="51"/>
    </row>
    <row r="431" spans="2:14" ht="12.75" customHeight="1" x14ac:dyDescent="0.15">
      <c r="B431" s="51"/>
      <c r="C431" s="51"/>
      <c r="D431" s="51"/>
      <c r="E431" s="51"/>
      <c r="F431" s="51"/>
      <c r="G431" s="51"/>
      <c r="H431" s="51"/>
      <c r="I431" s="51"/>
      <c r="J431" s="51"/>
      <c r="K431" s="51"/>
      <c r="L431" s="51"/>
      <c r="M431" s="51"/>
      <c r="N431" s="51"/>
    </row>
    <row r="432" spans="2:14" ht="12.75" customHeight="1" x14ac:dyDescent="0.15">
      <c r="B432" s="51"/>
      <c r="C432" s="51"/>
      <c r="D432" s="51"/>
      <c r="E432" s="51"/>
      <c r="F432" s="51"/>
      <c r="G432" s="51"/>
      <c r="H432" s="51"/>
      <c r="I432" s="51"/>
      <c r="J432" s="51"/>
      <c r="K432" s="51"/>
      <c r="L432" s="51"/>
      <c r="M432" s="51"/>
      <c r="N432" s="51"/>
    </row>
    <row r="433" spans="2:14" ht="12.75" customHeight="1" x14ac:dyDescent="0.15">
      <c r="B433" s="51"/>
      <c r="C433" s="51"/>
      <c r="D433" s="51"/>
      <c r="E433" s="51"/>
      <c r="F433" s="51"/>
      <c r="G433" s="51"/>
      <c r="H433" s="51"/>
      <c r="I433" s="51"/>
      <c r="J433" s="51"/>
      <c r="K433" s="51"/>
      <c r="L433" s="51"/>
      <c r="M433" s="51"/>
      <c r="N433" s="51"/>
    </row>
    <row r="434" spans="2:14" ht="12.75" customHeight="1" x14ac:dyDescent="0.15">
      <c r="B434" s="51"/>
      <c r="C434" s="51"/>
      <c r="D434" s="51"/>
      <c r="E434" s="51"/>
      <c r="F434" s="51"/>
      <c r="G434" s="51"/>
      <c r="H434" s="51"/>
      <c r="I434" s="51"/>
      <c r="J434" s="51"/>
      <c r="K434" s="51"/>
      <c r="L434" s="51"/>
      <c r="M434" s="51"/>
      <c r="N434" s="51"/>
    </row>
    <row r="435" spans="2:14" ht="12.75" customHeight="1" x14ac:dyDescent="0.15">
      <c r="B435" s="51"/>
      <c r="C435" s="51"/>
      <c r="D435" s="51"/>
      <c r="E435" s="51"/>
      <c r="F435" s="51"/>
      <c r="G435" s="51"/>
      <c r="H435" s="51"/>
      <c r="I435" s="51"/>
      <c r="J435" s="51"/>
      <c r="K435" s="51"/>
      <c r="L435" s="51"/>
      <c r="M435" s="51"/>
      <c r="N435" s="51"/>
    </row>
    <row r="436" spans="2:14" ht="12.75" customHeight="1" x14ac:dyDescent="0.15">
      <c r="B436" s="51"/>
      <c r="C436" s="51"/>
      <c r="D436" s="51"/>
      <c r="E436" s="51"/>
      <c r="F436" s="51"/>
      <c r="G436" s="51"/>
      <c r="H436" s="51"/>
      <c r="I436" s="51"/>
      <c r="J436" s="51"/>
      <c r="K436" s="51"/>
      <c r="L436" s="51"/>
      <c r="M436" s="51"/>
      <c r="N436" s="51"/>
    </row>
    <row r="437" spans="2:14" ht="12.75" customHeight="1" x14ac:dyDescent="0.15">
      <c r="B437" s="51"/>
      <c r="C437" s="51"/>
      <c r="D437" s="51"/>
      <c r="E437" s="51"/>
      <c r="F437" s="51"/>
      <c r="G437" s="51"/>
      <c r="H437" s="51"/>
      <c r="I437" s="51"/>
      <c r="J437" s="51"/>
      <c r="K437" s="51"/>
      <c r="L437" s="51"/>
      <c r="M437" s="51"/>
      <c r="N437" s="51"/>
    </row>
    <row r="438" spans="2:14" ht="12.75" customHeight="1" x14ac:dyDescent="0.15">
      <c r="B438" s="51"/>
      <c r="C438" s="51"/>
      <c r="D438" s="51"/>
      <c r="E438" s="51"/>
      <c r="F438" s="51"/>
      <c r="G438" s="51"/>
      <c r="H438" s="51"/>
      <c r="I438" s="51"/>
      <c r="J438" s="51"/>
      <c r="K438" s="51"/>
      <c r="L438" s="51"/>
      <c r="M438" s="51"/>
      <c r="N438" s="51"/>
    </row>
    <row r="439" spans="2:14" ht="12.75" customHeight="1" x14ac:dyDescent="0.15">
      <c r="B439" s="51"/>
      <c r="C439" s="51"/>
      <c r="D439" s="51"/>
      <c r="E439" s="51"/>
      <c r="F439" s="51"/>
      <c r="G439" s="51"/>
      <c r="H439" s="51"/>
      <c r="I439" s="51"/>
      <c r="J439" s="51"/>
      <c r="K439" s="51"/>
      <c r="L439" s="51"/>
      <c r="M439" s="51"/>
      <c r="N439" s="51"/>
    </row>
    <row r="440" spans="2:14" ht="12.75" customHeight="1" x14ac:dyDescent="0.15">
      <c r="B440" s="51"/>
      <c r="C440" s="51"/>
      <c r="D440" s="51"/>
      <c r="E440" s="51"/>
      <c r="F440" s="51"/>
      <c r="G440" s="51"/>
      <c r="H440" s="51"/>
      <c r="I440" s="51"/>
      <c r="J440" s="51"/>
      <c r="K440" s="51"/>
      <c r="L440" s="51"/>
      <c r="M440" s="51"/>
      <c r="N440" s="51"/>
    </row>
    <row r="441" spans="2:14" ht="12.75" customHeight="1" x14ac:dyDescent="0.15">
      <c r="B441" s="51"/>
      <c r="C441" s="51"/>
      <c r="D441" s="51"/>
      <c r="E441" s="51"/>
      <c r="F441" s="51"/>
      <c r="G441" s="51"/>
      <c r="H441" s="51"/>
      <c r="I441" s="51"/>
      <c r="J441" s="51"/>
      <c r="K441" s="51"/>
      <c r="L441" s="51"/>
      <c r="M441" s="51"/>
      <c r="N441" s="51"/>
    </row>
    <row r="442" spans="2:14" ht="12.75" customHeight="1" x14ac:dyDescent="0.15">
      <c r="B442" s="51"/>
      <c r="C442" s="51"/>
      <c r="D442" s="51"/>
      <c r="E442" s="51"/>
      <c r="F442" s="51"/>
      <c r="G442" s="51"/>
      <c r="H442" s="51"/>
      <c r="I442" s="51"/>
      <c r="J442" s="51"/>
      <c r="K442" s="51"/>
      <c r="L442" s="51"/>
      <c r="M442" s="51"/>
      <c r="N442" s="51"/>
    </row>
    <row r="443" spans="2:14" ht="12.75" customHeight="1" x14ac:dyDescent="0.15">
      <c r="B443" s="51"/>
      <c r="C443" s="51"/>
      <c r="D443" s="51"/>
      <c r="E443" s="51"/>
      <c r="F443" s="51"/>
      <c r="G443" s="51"/>
      <c r="H443" s="51"/>
      <c r="I443" s="51"/>
      <c r="J443" s="51"/>
      <c r="K443" s="51"/>
      <c r="L443" s="51"/>
      <c r="M443" s="51"/>
      <c r="N443" s="51"/>
    </row>
    <row r="444" spans="2:14" ht="12.75" customHeight="1" x14ac:dyDescent="0.15">
      <c r="B444" s="51"/>
      <c r="C444" s="51"/>
      <c r="D444" s="51"/>
      <c r="E444" s="51"/>
      <c r="F444" s="51"/>
      <c r="G444" s="51"/>
      <c r="H444" s="51"/>
      <c r="I444" s="51"/>
      <c r="J444" s="51"/>
      <c r="K444" s="51"/>
      <c r="L444" s="51"/>
      <c r="M444" s="51"/>
      <c r="N444" s="51"/>
    </row>
    <row r="445" spans="2:14" ht="12.75" customHeight="1" x14ac:dyDescent="0.15">
      <c r="B445" s="51"/>
      <c r="C445" s="51"/>
      <c r="D445" s="51"/>
      <c r="E445" s="51"/>
      <c r="F445" s="51"/>
      <c r="G445" s="51"/>
      <c r="H445" s="51"/>
      <c r="I445" s="51"/>
      <c r="J445" s="51"/>
      <c r="K445" s="51"/>
      <c r="L445" s="51"/>
      <c r="M445" s="51"/>
      <c r="N445" s="51"/>
    </row>
    <row r="446" spans="2:14" ht="12.75" customHeight="1" x14ac:dyDescent="0.15">
      <c r="B446" s="51"/>
      <c r="C446" s="51"/>
      <c r="D446" s="51"/>
      <c r="E446" s="51"/>
      <c r="F446" s="51"/>
      <c r="G446" s="51"/>
      <c r="H446" s="51"/>
      <c r="I446" s="51"/>
      <c r="J446" s="51"/>
      <c r="K446" s="51"/>
      <c r="L446" s="51"/>
      <c r="M446" s="51"/>
      <c r="N446" s="51"/>
    </row>
    <row r="447" spans="2:14" ht="12.75" customHeight="1" x14ac:dyDescent="0.15">
      <c r="B447" s="51"/>
      <c r="C447" s="51"/>
      <c r="D447" s="51"/>
      <c r="E447" s="51"/>
      <c r="F447" s="51"/>
      <c r="G447" s="51"/>
      <c r="H447" s="51"/>
      <c r="I447" s="51"/>
      <c r="J447" s="51"/>
      <c r="K447" s="51"/>
      <c r="L447" s="51"/>
      <c r="M447" s="51"/>
      <c r="N447" s="51"/>
    </row>
    <row r="448" spans="2:14" ht="12.75" customHeight="1" x14ac:dyDescent="0.15">
      <c r="B448" s="51"/>
      <c r="C448" s="51"/>
      <c r="D448" s="51"/>
      <c r="E448" s="51"/>
      <c r="F448" s="51"/>
      <c r="G448" s="51"/>
      <c r="H448" s="51"/>
      <c r="I448" s="51"/>
      <c r="J448" s="51"/>
      <c r="K448" s="51"/>
      <c r="L448" s="51"/>
      <c r="M448" s="51"/>
      <c r="N448" s="51"/>
    </row>
    <row r="449" spans="2:14" ht="12.75" customHeight="1" x14ac:dyDescent="0.15">
      <c r="B449" s="51"/>
      <c r="C449" s="51"/>
      <c r="D449" s="51"/>
      <c r="E449" s="51"/>
      <c r="F449" s="51"/>
      <c r="G449" s="51"/>
      <c r="H449" s="51"/>
      <c r="I449" s="51"/>
      <c r="J449" s="51"/>
      <c r="K449" s="51"/>
      <c r="L449" s="51"/>
      <c r="M449" s="51"/>
      <c r="N449" s="51"/>
    </row>
    <row r="450" spans="2:14" ht="12.75" customHeight="1" x14ac:dyDescent="0.15">
      <c r="B450" s="51"/>
      <c r="C450" s="51"/>
      <c r="D450" s="51"/>
      <c r="E450" s="51"/>
      <c r="F450" s="51"/>
      <c r="G450" s="51"/>
      <c r="H450" s="51"/>
      <c r="I450" s="51"/>
      <c r="J450" s="51"/>
      <c r="K450" s="51"/>
      <c r="L450" s="51"/>
      <c r="M450" s="51"/>
      <c r="N450" s="51"/>
    </row>
    <row r="451" spans="2:14" ht="12.75" customHeight="1" x14ac:dyDescent="0.15">
      <c r="B451" s="51"/>
      <c r="C451" s="51"/>
      <c r="D451" s="51"/>
      <c r="E451" s="51"/>
      <c r="F451" s="51"/>
      <c r="G451" s="51"/>
      <c r="H451" s="51"/>
      <c r="I451" s="51"/>
      <c r="J451" s="51"/>
      <c r="K451" s="51"/>
      <c r="L451" s="51"/>
      <c r="M451" s="51"/>
      <c r="N451" s="51"/>
    </row>
    <row r="452" spans="2:14" ht="12.75" customHeight="1" x14ac:dyDescent="0.15">
      <c r="B452" s="51"/>
      <c r="C452" s="51"/>
      <c r="D452" s="51"/>
      <c r="E452" s="51"/>
      <c r="F452" s="51"/>
      <c r="G452" s="51"/>
      <c r="H452" s="51"/>
      <c r="I452" s="51"/>
      <c r="J452" s="51"/>
      <c r="K452" s="51"/>
      <c r="L452" s="51"/>
      <c r="M452" s="51"/>
      <c r="N452" s="51"/>
    </row>
    <row r="453" spans="2:14" ht="12.75" customHeight="1" x14ac:dyDescent="0.15">
      <c r="B453" s="51"/>
      <c r="C453" s="51"/>
      <c r="D453" s="51"/>
      <c r="E453" s="51"/>
      <c r="F453" s="51"/>
      <c r="G453" s="51"/>
      <c r="H453" s="51"/>
      <c r="I453" s="51"/>
      <c r="J453" s="51"/>
      <c r="K453" s="51"/>
      <c r="L453" s="51"/>
      <c r="M453" s="51"/>
      <c r="N453" s="51"/>
    </row>
    <row r="454" spans="2:14" ht="12.75" customHeight="1" x14ac:dyDescent="0.15">
      <c r="B454" s="51"/>
      <c r="C454" s="51"/>
      <c r="D454" s="51"/>
      <c r="E454" s="51"/>
      <c r="F454" s="51"/>
      <c r="G454" s="51"/>
      <c r="H454" s="51"/>
      <c r="I454" s="51"/>
      <c r="J454" s="51"/>
      <c r="K454" s="51"/>
      <c r="L454" s="51"/>
      <c r="M454" s="51"/>
      <c r="N454" s="51"/>
    </row>
    <row r="455" spans="2:14" ht="12.75" customHeight="1" x14ac:dyDescent="0.15">
      <c r="B455" s="51"/>
      <c r="C455" s="51"/>
      <c r="D455" s="51"/>
      <c r="E455" s="51"/>
      <c r="F455" s="51"/>
      <c r="G455" s="51"/>
      <c r="H455" s="51"/>
      <c r="I455" s="51"/>
      <c r="J455" s="51"/>
      <c r="K455" s="51"/>
      <c r="L455" s="51"/>
      <c r="M455" s="51"/>
      <c r="N455" s="51"/>
    </row>
    <row r="456" spans="2:14" ht="12.75" customHeight="1" x14ac:dyDescent="0.15">
      <c r="B456" s="51"/>
      <c r="C456" s="51"/>
      <c r="D456" s="51"/>
      <c r="E456" s="51"/>
      <c r="F456" s="51"/>
      <c r="G456" s="51"/>
      <c r="H456" s="51"/>
      <c r="I456" s="51"/>
      <c r="J456" s="51"/>
      <c r="K456" s="51"/>
      <c r="L456" s="51"/>
      <c r="M456" s="51"/>
      <c r="N456" s="51"/>
    </row>
    <row r="457" spans="2:14" ht="12.75" customHeight="1" x14ac:dyDescent="0.15">
      <c r="B457" s="51"/>
      <c r="C457" s="51"/>
      <c r="D457" s="51"/>
      <c r="E457" s="51"/>
      <c r="F457" s="51"/>
      <c r="G457" s="51"/>
      <c r="H457" s="51"/>
      <c r="I457" s="51"/>
      <c r="J457" s="51"/>
      <c r="K457" s="51"/>
      <c r="L457" s="51"/>
      <c r="M457" s="51"/>
      <c r="N457" s="51"/>
    </row>
    <row r="458" spans="2:14" ht="12.75" customHeight="1" x14ac:dyDescent="0.15">
      <c r="B458" s="51"/>
      <c r="C458" s="51"/>
      <c r="D458" s="51"/>
      <c r="E458" s="51"/>
      <c r="F458" s="51"/>
      <c r="G458" s="51"/>
      <c r="H458" s="51"/>
      <c r="I458" s="51"/>
      <c r="J458" s="51"/>
      <c r="K458" s="51"/>
      <c r="L458" s="51"/>
      <c r="M458" s="51"/>
      <c r="N458" s="51"/>
    </row>
    <row r="459" spans="2:14" ht="12.75" customHeight="1" x14ac:dyDescent="0.15">
      <c r="B459" s="51"/>
      <c r="C459" s="51"/>
      <c r="D459" s="51"/>
      <c r="E459" s="51"/>
      <c r="F459" s="51"/>
      <c r="G459" s="51"/>
      <c r="H459" s="51"/>
      <c r="I459" s="51"/>
      <c r="J459" s="51"/>
      <c r="K459" s="51"/>
      <c r="L459" s="51"/>
      <c r="M459" s="51"/>
      <c r="N459" s="51"/>
    </row>
    <row r="460" spans="2:14" ht="12.75" customHeight="1" x14ac:dyDescent="0.15">
      <c r="B460" s="51"/>
      <c r="C460" s="51"/>
      <c r="D460" s="51"/>
      <c r="E460" s="51"/>
      <c r="F460" s="51"/>
      <c r="G460" s="51"/>
      <c r="H460" s="51"/>
      <c r="I460" s="51"/>
      <c r="J460" s="51"/>
      <c r="K460" s="51"/>
      <c r="L460" s="51"/>
      <c r="M460" s="51"/>
      <c r="N460" s="51"/>
    </row>
    <row r="461" spans="2:14" ht="12.75" customHeight="1" x14ac:dyDescent="0.15">
      <c r="B461" s="51"/>
      <c r="C461" s="51"/>
      <c r="D461" s="51"/>
      <c r="E461" s="51"/>
      <c r="F461" s="51"/>
      <c r="G461" s="51"/>
      <c r="H461" s="51"/>
      <c r="I461" s="51"/>
      <c r="J461" s="51"/>
      <c r="K461" s="51"/>
      <c r="L461" s="51"/>
      <c r="M461" s="51"/>
      <c r="N461" s="51"/>
    </row>
    <row r="462" spans="2:14" ht="12.75" customHeight="1" x14ac:dyDescent="0.15">
      <c r="B462" s="51"/>
      <c r="C462" s="51"/>
      <c r="D462" s="51"/>
      <c r="E462" s="51"/>
      <c r="F462" s="51"/>
      <c r="G462" s="51"/>
      <c r="H462" s="51"/>
      <c r="I462" s="51"/>
      <c r="J462" s="51"/>
      <c r="K462" s="51"/>
      <c r="L462" s="51"/>
      <c r="M462" s="51"/>
      <c r="N462" s="51"/>
    </row>
    <row r="463" spans="2:14" ht="12.75" customHeight="1" x14ac:dyDescent="0.15">
      <c r="B463" s="51"/>
      <c r="C463" s="51"/>
      <c r="D463" s="51"/>
      <c r="E463" s="51"/>
      <c r="F463" s="51"/>
      <c r="G463" s="51"/>
      <c r="H463" s="51"/>
      <c r="I463" s="51"/>
      <c r="J463" s="51"/>
      <c r="K463" s="51"/>
      <c r="L463" s="51"/>
      <c r="M463" s="51"/>
      <c r="N463" s="51"/>
    </row>
    <row r="464" spans="2:14" ht="12.75" customHeight="1" x14ac:dyDescent="0.15">
      <c r="B464" s="51"/>
      <c r="C464" s="51"/>
      <c r="D464" s="51"/>
      <c r="E464" s="51"/>
      <c r="F464" s="51"/>
      <c r="G464" s="51"/>
      <c r="H464" s="51"/>
      <c r="I464" s="51"/>
      <c r="J464" s="51"/>
      <c r="K464" s="51"/>
      <c r="L464" s="51"/>
      <c r="M464" s="51"/>
      <c r="N464" s="51"/>
    </row>
    <row r="465" spans="2:14" ht="12.75" customHeight="1" x14ac:dyDescent="0.15">
      <c r="B465" s="51"/>
      <c r="C465" s="51"/>
      <c r="D465" s="51"/>
      <c r="E465" s="51"/>
      <c r="F465" s="51"/>
      <c r="G465" s="51"/>
      <c r="H465" s="51"/>
      <c r="I465" s="51"/>
      <c r="J465" s="51"/>
      <c r="K465" s="51"/>
      <c r="L465" s="51"/>
      <c r="M465" s="51"/>
      <c r="N465" s="51"/>
    </row>
    <row r="466" spans="2:14" ht="12.75" customHeight="1" x14ac:dyDescent="0.15">
      <c r="B466" s="51"/>
      <c r="C466" s="51"/>
      <c r="D466" s="51"/>
      <c r="E466" s="51"/>
      <c r="F466" s="51"/>
      <c r="G466" s="51"/>
      <c r="H466" s="51"/>
      <c r="I466" s="51"/>
      <c r="J466" s="51"/>
      <c r="K466" s="51"/>
      <c r="L466" s="51"/>
      <c r="M466" s="51"/>
      <c r="N466" s="51"/>
    </row>
    <row r="467" spans="2:14" ht="12.75" customHeight="1" x14ac:dyDescent="0.15">
      <c r="B467" s="51"/>
      <c r="C467" s="51"/>
      <c r="D467" s="51"/>
      <c r="E467" s="51"/>
      <c r="F467" s="51"/>
      <c r="G467" s="51"/>
      <c r="H467" s="51"/>
      <c r="I467" s="51"/>
      <c r="J467" s="51"/>
      <c r="K467" s="51"/>
      <c r="L467" s="51"/>
      <c r="M467" s="51"/>
      <c r="N467" s="51"/>
    </row>
    <row r="468" spans="2:14" ht="12.75" customHeight="1" x14ac:dyDescent="0.15">
      <c r="B468" s="51"/>
      <c r="C468" s="51"/>
      <c r="D468" s="51"/>
      <c r="E468" s="51"/>
      <c r="F468" s="51"/>
      <c r="G468" s="51"/>
      <c r="H468" s="51"/>
      <c r="I468" s="51"/>
      <c r="J468" s="51"/>
      <c r="K468" s="51"/>
      <c r="L468" s="51"/>
      <c r="M468" s="51"/>
      <c r="N468" s="51"/>
    </row>
    <row r="469" spans="2:14" ht="12.75" customHeight="1" x14ac:dyDescent="0.15">
      <c r="B469" s="51"/>
      <c r="C469" s="51"/>
      <c r="D469" s="51"/>
      <c r="E469" s="51"/>
      <c r="F469" s="51"/>
      <c r="G469" s="51"/>
      <c r="H469" s="51"/>
      <c r="I469" s="51"/>
      <c r="J469" s="51"/>
      <c r="K469" s="51"/>
      <c r="L469" s="51"/>
      <c r="M469" s="51"/>
      <c r="N469" s="51"/>
    </row>
    <row r="470" spans="2:14" ht="12.75" customHeight="1" x14ac:dyDescent="0.15">
      <c r="B470" s="51"/>
      <c r="C470" s="51"/>
      <c r="D470" s="51"/>
      <c r="E470" s="51"/>
      <c r="F470" s="51"/>
      <c r="G470" s="51"/>
      <c r="H470" s="51"/>
      <c r="I470" s="51"/>
      <c r="J470" s="51"/>
      <c r="K470" s="51"/>
      <c r="L470" s="51"/>
      <c r="M470" s="51"/>
      <c r="N470" s="51"/>
    </row>
    <row r="471" spans="2:14" ht="12.75" customHeight="1" x14ac:dyDescent="0.15">
      <c r="B471" s="51"/>
      <c r="C471" s="51"/>
      <c r="D471" s="51"/>
      <c r="E471" s="51"/>
      <c r="F471" s="51"/>
      <c r="G471" s="51"/>
      <c r="H471" s="51"/>
      <c r="I471" s="51"/>
      <c r="J471" s="51"/>
      <c r="K471" s="51"/>
      <c r="L471" s="51"/>
      <c r="M471" s="51"/>
      <c r="N471" s="51"/>
    </row>
    <row r="472" spans="2:14" ht="12.75" customHeight="1" x14ac:dyDescent="0.15">
      <c r="B472" s="51"/>
      <c r="C472" s="51"/>
      <c r="D472" s="51"/>
      <c r="E472" s="51"/>
      <c r="F472" s="51"/>
      <c r="G472" s="51"/>
      <c r="H472" s="51"/>
      <c r="I472" s="51"/>
      <c r="J472" s="51"/>
      <c r="K472" s="51"/>
      <c r="L472" s="51"/>
      <c r="M472" s="51"/>
      <c r="N472" s="51"/>
    </row>
    <row r="473" spans="2:14" ht="12.75" customHeight="1" x14ac:dyDescent="0.15">
      <c r="B473" s="51"/>
      <c r="C473" s="51"/>
      <c r="D473" s="51"/>
      <c r="E473" s="51"/>
      <c r="F473" s="51"/>
      <c r="G473" s="51"/>
      <c r="H473" s="51"/>
      <c r="I473" s="51"/>
      <c r="J473" s="51"/>
      <c r="K473" s="51"/>
      <c r="L473" s="51"/>
      <c r="M473" s="51"/>
      <c r="N473" s="51"/>
    </row>
    <row r="474" spans="2:14" ht="12.75" customHeight="1" x14ac:dyDescent="0.15">
      <c r="B474" s="51"/>
      <c r="C474" s="51"/>
      <c r="D474" s="51"/>
      <c r="E474" s="51"/>
      <c r="F474" s="51"/>
      <c r="G474" s="51"/>
      <c r="H474" s="51"/>
      <c r="I474" s="51"/>
      <c r="J474" s="51"/>
      <c r="K474" s="51"/>
      <c r="L474" s="51"/>
      <c r="M474" s="51"/>
      <c r="N474" s="51"/>
    </row>
    <row r="475" spans="2:14" ht="12.75" customHeight="1" x14ac:dyDescent="0.15">
      <c r="B475" s="51"/>
      <c r="C475" s="51"/>
      <c r="D475" s="51"/>
      <c r="E475" s="51"/>
      <c r="F475" s="51"/>
      <c r="G475" s="51"/>
      <c r="H475" s="51"/>
      <c r="I475" s="51"/>
      <c r="J475" s="51"/>
      <c r="K475" s="51"/>
      <c r="L475" s="51"/>
      <c r="M475" s="51"/>
      <c r="N475" s="51"/>
    </row>
    <row r="476" spans="2:14" ht="12.75" customHeight="1" x14ac:dyDescent="0.15">
      <c r="B476" s="51"/>
      <c r="C476" s="51"/>
      <c r="D476" s="51"/>
      <c r="E476" s="51"/>
      <c r="F476" s="51"/>
      <c r="G476" s="51"/>
      <c r="H476" s="51"/>
      <c r="I476" s="51"/>
      <c r="J476" s="51"/>
      <c r="K476" s="51"/>
      <c r="L476" s="51"/>
      <c r="M476" s="51"/>
      <c r="N476" s="51"/>
    </row>
    <row r="477" spans="2:14" ht="12.75" customHeight="1" x14ac:dyDescent="0.15">
      <c r="B477" s="51"/>
      <c r="C477" s="51"/>
      <c r="D477" s="51"/>
      <c r="E477" s="51"/>
      <c r="F477" s="51"/>
      <c r="G477" s="51"/>
      <c r="H477" s="51"/>
      <c r="I477" s="51"/>
      <c r="J477" s="51"/>
      <c r="K477" s="51"/>
      <c r="L477" s="51"/>
      <c r="M477" s="51"/>
      <c r="N477" s="51"/>
    </row>
    <row r="478" spans="2:14" ht="12.75" customHeight="1" x14ac:dyDescent="0.15">
      <c r="B478" s="51"/>
      <c r="C478" s="51"/>
      <c r="D478" s="51"/>
      <c r="E478" s="51"/>
      <c r="F478" s="51"/>
      <c r="G478" s="51"/>
      <c r="H478" s="51"/>
      <c r="I478" s="51"/>
      <c r="J478" s="51"/>
      <c r="K478" s="51"/>
      <c r="L478" s="51"/>
      <c r="M478" s="51"/>
      <c r="N478" s="51"/>
    </row>
    <row r="479" spans="2:14" ht="12.75" customHeight="1" x14ac:dyDescent="0.15">
      <c r="B479" s="51"/>
      <c r="C479" s="51"/>
      <c r="D479" s="51"/>
      <c r="E479" s="51"/>
      <c r="F479" s="51"/>
      <c r="G479" s="51"/>
      <c r="H479" s="51"/>
      <c r="I479" s="51"/>
      <c r="J479" s="51"/>
      <c r="K479" s="51"/>
      <c r="L479" s="51"/>
      <c r="M479" s="51"/>
      <c r="N479" s="51"/>
    </row>
    <row r="480" spans="2:14" ht="12.75" customHeight="1" x14ac:dyDescent="0.15">
      <c r="B480" s="51"/>
      <c r="C480" s="51"/>
      <c r="D480" s="51"/>
      <c r="E480" s="51"/>
      <c r="F480" s="51"/>
      <c r="G480" s="51"/>
      <c r="H480" s="51"/>
      <c r="I480" s="51"/>
      <c r="J480" s="51"/>
      <c r="K480" s="51"/>
      <c r="L480" s="51"/>
      <c r="M480" s="51"/>
      <c r="N480" s="51"/>
    </row>
    <row r="481" spans="2:14" ht="12.75" customHeight="1" x14ac:dyDescent="0.15">
      <c r="B481" s="51"/>
      <c r="C481" s="51"/>
      <c r="D481" s="51"/>
      <c r="E481" s="51"/>
      <c r="F481" s="51"/>
      <c r="G481" s="51"/>
      <c r="H481" s="51"/>
      <c r="I481" s="51"/>
      <c r="J481" s="51"/>
      <c r="K481" s="51"/>
      <c r="L481" s="51"/>
      <c r="M481" s="51"/>
      <c r="N481" s="51"/>
    </row>
    <row r="482" spans="2:14" ht="12.75" customHeight="1" x14ac:dyDescent="0.15">
      <c r="B482" s="51"/>
      <c r="C482" s="51"/>
      <c r="D482" s="51"/>
      <c r="E482" s="51"/>
      <c r="F482" s="51"/>
      <c r="G482" s="51"/>
      <c r="H482" s="51"/>
      <c r="I482" s="51"/>
      <c r="J482" s="51"/>
      <c r="K482" s="51"/>
      <c r="L482" s="51"/>
      <c r="M482" s="51"/>
      <c r="N482" s="51"/>
    </row>
    <row r="483" spans="2:14" ht="12.75" customHeight="1" x14ac:dyDescent="0.15">
      <c r="B483" s="51"/>
      <c r="C483" s="51"/>
      <c r="D483" s="51"/>
      <c r="E483" s="51"/>
      <c r="F483" s="51"/>
      <c r="G483" s="51"/>
      <c r="H483" s="51"/>
      <c r="I483" s="51"/>
      <c r="J483" s="51"/>
      <c r="K483" s="51"/>
      <c r="L483" s="51"/>
      <c r="M483" s="51"/>
      <c r="N483" s="51"/>
    </row>
    <row r="484" spans="2:14" ht="12.75" customHeight="1" x14ac:dyDescent="0.15">
      <c r="B484" s="51"/>
      <c r="C484" s="51"/>
      <c r="D484" s="51"/>
      <c r="E484" s="51"/>
      <c r="F484" s="51"/>
      <c r="G484" s="51"/>
      <c r="H484" s="51"/>
      <c r="I484" s="51"/>
      <c r="J484" s="51"/>
      <c r="K484" s="51"/>
      <c r="L484" s="51"/>
      <c r="M484" s="51"/>
      <c r="N484" s="51"/>
    </row>
    <row r="485" spans="2:14" ht="12.75" customHeight="1" x14ac:dyDescent="0.15">
      <c r="B485" s="51"/>
      <c r="C485" s="51"/>
      <c r="D485" s="51"/>
      <c r="E485" s="51"/>
      <c r="F485" s="51"/>
      <c r="G485" s="51"/>
      <c r="H485" s="51"/>
      <c r="I485" s="51"/>
      <c r="J485" s="51"/>
      <c r="K485" s="51"/>
      <c r="L485" s="51"/>
      <c r="M485" s="51"/>
      <c r="N485" s="51"/>
    </row>
    <row r="486" spans="2:14" ht="12.75" customHeight="1" x14ac:dyDescent="0.15">
      <c r="B486" s="51"/>
      <c r="C486" s="51"/>
      <c r="D486" s="51"/>
      <c r="E486" s="51"/>
      <c r="F486" s="51"/>
      <c r="G486" s="51"/>
      <c r="H486" s="51"/>
      <c r="I486" s="51"/>
      <c r="J486" s="51"/>
      <c r="K486" s="51"/>
      <c r="L486" s="51"/>
      <c r="M486" s="51"/>
      <c r="N486" s="51"/>
    </row>
    <row r="487" spans="2:14" ht="12.75" customHeight="1" x14ac:dyDescent="0.15">
      <c r="B487" s="51"/>
      <c r="C487" s="51"/>
      <c r="D487" s="51"/>
      <c r="E487" s="51"/>
      <c r="F487" s="51"/>
      <c r="G487" s="51"/>
      <c r="H487" s="51"/>
      <c r="I487" s="51"/>
      <c r="J487" s="51"/>
      <c r="K487" s="51"/>
      <c r="L487" s="51"/>
      <c r="M487" s="51"/>
      <c r="N487" s="51"/>
    </row>
    <row r="488" spans="2:14" ht="12.75" customHeight="1" x14ac:dyDescent="0.15">
      <c r="B488" s="51"/>
      <c r="C488" s="51"/>
      <c r="D488" s="51"/>
      <c r="E488" s="51"/>
      <c r="F488" s="51"/>
      <c r="G488" s="51"/>
      <c r="H488" s="51"/>
      <c r="I488" s="51"/>
      <c r="J488" s="51"/>
      <c r="K488" s="51"/>
      <c r="L488" s="51"/>
      <c r="M488" s="51"/>
      <c r="N488" s="51"/>
    </row>
    <row r="489" spans="2:14" ht="12.75" customHeight="1" x14ac:dyDescent="0.15">
      <c r="B489" s="51"/>
      <c r="C489" s="51"/>
      <c r="D489" s="51"/>
      <c r="E489" s="51"/>
      <c r="F489" s="51"/>
      <c r="G489" s="51"/>
      <c r="H489" s="51"/>
      <c r="I489" s="51"/>
      <c r="J489" s="51"/>
      <c r="K489" s="51"/>
      <c r="L489" s="51"/>
      <c r="M489" s="51"/>
      <c r="N489" s="51"/>
    </row>
    <row r="490" spans="2:14" ht="12.75" customHeight="1" x14ac:dyDescent="0.15">
      <c r="B490" s="51"/>
      <c r="C490" s="51"/>
      <c r="D490" s="51"/>
      <c r="E490" s="51"/>
      <c r="F490" s="51"/>
      <c r="G490" s="51"/>
      <c r="H490" s="51"/>
      <c r="I490" s="51"/>
      <c r="J490" s="51"/>
      <c r="K490" s="51"/>
      <c r="L490" s="51"/>
      <c r="M490" s="51"/>
      <c r="N490" s="51"/>
    </row>
    <row r="491" spans="2:14" ht="12.75" customHeight="1" x14ac:dyDescent="0.15">
      <c r="B491" s="51"/>
      <c r="C491" s="51"/>
      <c r="D491" s="51"/>
      <c r="E491" s="51"/>
      <c r="F491" s="51"/>
      <c r="G491" s="51"/>
      <c r="H491" s="51"/>
      <c r="I491" s="51"/>
      <c r="J491" s="51"/>
      <c r="K491" s="51"/>
      <c r="L491" s="51"/>
      <c r="M491" s="51"/>
      <c r="N491" s="51"/>
    </row>
    <row r="492" spans="2:14" ht="12.75" customHeight="1" x14ac:dyDescent="0.15">
      <c r="B492" s="51"/>
      <c r="C492" s="51"/>
      <c r="D492" s="51"/>
      <c r="E492" s="51"/>
      <c r="F492" s="51"/>
      <c r="G492" s="51"/>
      <c r="H492" s="51"/>
      <c r="I492" s="51"/>
      <c r="J492" s="51"/>
      <c r="K492" s="51"/>
      <c r="L492" s="51"/>
      <c r="M492" s="51"/>
      <c r="N492" s="51"/>
    </row>
    <row r="493" spans="2:14" ht="12.75" customHeight="1" x14ac:dyDescent="0.15">
      <c r="B493" s="51"/>
      <c r="C493" s="51"/>
      <c r="D493" s="51"/>
      <c r="E493" s="51"/>
      <c r="F493" s="51"/>
      <c r="G493" s="51"/>
      <c r="H493" s="51"/>
      <c r="I493" s="51"/>
      <c r="J493" s="51"/>
      <c r="K493" s="51"/>
      <c r="L493" s="51"/>
      <c r="M493" s="51"/>
      <c r="N493" s="51"/>
    </row>
    <row r="494" spans="2:14" ht="12.75" customHeight="1" x14ac:dyDescent="0.15">
      <c r="B494" s="51"/>
      <c r="C494" s="51"/>
      <c r="D494" s="51"/>
      <c r="E494" s="51"/>
      <c r="F494" s="51"/>
      <c r="G494" s="51"/>
      <c r="H494" s="51"/>
      <c r="I494" s="51"/>
      <c r="J494" s="51"/>
      <c r="K494" s="51"/>
      <c r="L494" s="51"/>
      <c r="M494" s="51"/>
      <c r="N494" s="51"/>
    </row>
    <row r="495" spans="2:14" ht="12.75" customHeight="1" x14ac:dyDescent="0.15">
      <c r="B495" s="51"/>
      <c r="C495" s="51"/>
      <c r="D495" s="51"/>
      <c r="E495" s="51"/>
      <c r="F495" s="51"/>
      <c r="G495" s="51"/>
      <c r="H495" s="51"/>
      <c r="I495" s="51"/>
      <c r="J495" s="51"/>
      <c r="K495" s="51"/>
      <c r="L495" s="51"/>
      <c r="M495" s="51"/>
      <c r="N495" s="51"/>
    </row>
    <row r="496" spans="2:14" ht="12.75" customHeight="1" x14ac:dyDescent="0.15">
      <c r="B496" s="51"/>
      <c r="C496" s="51"/>
      <c r="D496" s="51"/>
      <c r="E496" s="51"/>
      <c r="F496" s="51"/>
      <c r="G496" s="51"/>
      <c r="H496" s="51"/>
      <c r="I496" s="51"/>
      <c r="J496" s="51"/>
      <c r="K496" s="51"/>
      <c r="L496" s="51"/>
      <c r="M496" s="51"/>
      <c r="N496" s="51"/>
    </row>
    <row r="497" spans="2:14" ht="12.75" customHeight="1" x14ac:dyDescent="0.15">
      <c r="B497" s="51"/>
      <c r="C497" s="51"/>
      <c r="D497" s="51"/>
      <c r="E497" s="51"/>
      <c r="F497" s="51"/>
      <c r="G497" s="51"/>
      <c r="H497" s="51"/>
      <c r="I497" s="51"/>
      <c r="J497" s="51"/>
      <c r="K497" s="51"/>
      <c r="L497" s="51"/>
      <c r="M497" s="51"/>
      <c r="N497" s="51"/>
    </row>
    <row r="498" spans="2:14" ht="12.75" customHeight="1" x14ac:dyDescent="0.15">
      <c r="B498" s="51"/>
      <c r="C498" s="51"/>
      <c r="D498" s="51"/>
      <c r="E498" s="51"/>
      <c r="F498" s="51"/>
      <c r="G498" s="51"/>
      <c r="H498" s="51"/>
      <c r="I498" s="51"/>
      <c r="J498" s="51"/>
      <c r="K498" s="51"/>
      <c r="L498" s="51"/>
      <c r="M498" s="51"/>
      <c r="N498" s="51"/>
    </row>
    <row r="499" spans="2:14" ht="12.75" customHeight="1" x14ac:dyDescent="0.15">
      <c r="B499" s="51"/>
      <c r="C499" s="51"/>
      <c r="D499" s="51"/>
      <c r="E499" s="51"/>
      <c r="F499" s="51"/>
      <c r="G499" s="51"/>
      <c r="H499" s="51"/>
      <c r="I499" s="51"/>
      <c r="J499" s="51"/>
      <c r="K499" s="51"/>
      <c r="L499" s="51"/>
      <c r="M499" s="51"/>
      <c r="N499" s="51"/>
    </row>
    <row r="500" spans="2:14" ht="12.75" customHeight="1" x14ac:dyDescent="0.15">
      <c r="B500" s="51"/>
      <c r="C500" s="51"/>
      <c r="D500" s="51"/>
      <c r="E500" s="51"/>
      <c r="F500" s="51"/>
      <c r="G500" s="51"/>
      <c r="H500" s="51"/>
      <c r="I500" s="51"/>
      <c r="J500" s="51"/>
      <c r="K500" s="51"/>
      <c r="L500" s="51"/>
      <c r="M500" s="51"/>
      <c r="N500" s="51"/>
    </row>
    <row r="501" spans="2:14" ht="12.75" customHeight="1" x14ac:dyDescent="0.15">
      <c r="B501" s="51"/>
      <c r="C501" s="51"/>
      <c r="D501" s="51"/>
      <c r="E501" s="51"/>
      <c r="F501" s="51"/>
      <c r="G501" s="51"/>
      <c r="H501" s="51"/>
      <c r="I501" s="51"/>
      <c r="J501" s="51"/>
      <c r="K501" s="51"/>
      <c r="L501" s="51"/>
      <c r="M501" s="51"/>
      <c r="N501" s="51"/>
    </row>
    <row r="502" spans="2:14" ht="12.75" customHeight="1" x14ac:dyDescent="0.15">
      <c r="B502" s="51"/>
      <c r="C502" s="51"/>
      <c r="D502" s="51"/>
      <c r="E502" s="51"/>
      <c r="F502" s="51"/>
      <c r="G502" s="51"/>
      <c r="H502" s="51"/>
      <c r="I502" s="51"/>
      <c r="J502" s="51"/>
      <c r="K502" s="51"/>
      <c r="L502" s="51"/>
      <c r="M502" s="51"/>
      <c r="N502" s="51"/>
    </row>
    <row r="503" spans="2:14" ht="12.75" customHeight="1" x14ac:dyDescent="0.15">
      <c r="B503" s="51"/>
      <c r="C503" s="51"/>
      <c r="D503" s="51"/>
      <c r="E503" s="51"/>
      <c r="F503" s="51"/>
      <c r="G503" s="51"/>
      <c r="H503" s="51"/>
      <c r="I503" s="51"/>
      <c r="J503" s="51"/>
      <c r="K503" s="51"/>
      <c r="L503" s="51"/>
      <c r="M503" s="51"/>
      <c r="N503" s="51"/>
    </row>
    <row r="504" spans="2:14" ht="12.75" customHeight="1" x14ac:dyDescent="0.15">
      <c r="B504" s="51"/>
      <c r="C504" s="51"/>
      <c r="D504" s="51"/>
      <c r="E504" s="51"/>
      <c r="F504" s="51"/>
      <c r="G504" s="51"/>
      <c r="H504" s="51"/>
      <c r="I504" s="51"/>
      <c r="J504" s="51"/>
      <c r="K504" s="51"/>
      <c r="L504" s="51"/>
      <c r="M504" s="51"/>
      <c r="N504" s="51"/>
    </row>
    <row r="505" spans="2:14" ht="12.75" customHeight="1" x14ac:dyDescent="0.15">
      <c r="B505" s="51"/>
      <c r="C505" s="51"/>
      <c r="D505" s="51"/>
      <c r="E505" s="51"/>
      <c r="F505" s="51"/>
      <c r="G505" s="51"/>
      <c r="H505" s="51"/>
      <c r="I505" s="51"/>
      <c r="J505" s="51"/>
      <c r="K505" s="51"/>
      <c r="L505" s="51"/>
      <c r="M505" s="51"/>
      <c r="N505" s="51"/>
    </row>
    <row r="506" spans="2:14" ht="12.75" customHeight="1" x14ac:dyDescent="0.15">
      <c r="B506" s="51"/>
      <c r="C506" s="51"/>
      <c r="D506" s="51"/>
      <c r="E506" s="51"/>
      <c r="F506" s="51"/>
      <c r="G506" s="51"/>
      <c r="H506" s="51"/>
      <c r="I506" s="51"/>
      <c r="J506" s="51"/>
      <c r="K506" s="51"/>
      <c r="L506" s="51"/>
      <c r="M506" s="51"/>
      <c r="N506" s="51"/>
    </row>
    <row r="507" spans="2:14" ht="12.75" customHeight="1" x14ac:dyDescent="0.15">
      <c r="B507" s="51"/>
      <c r="C507" s="51"/>
      <c r="D507" s="51"/>
      <c r="E507" s="51"/>
      <c r="F507" s="51"/>
      <c r="G507" s="51"/>
      <c r="H507" s="51"/>
      <c r="I507" s="51"/>
      <c r="J507" s="51"/>
      <c r="K507" s="51"/>
      <c r="L507" s="51"/>
      <c r="M507" s="51"/>
      <c r="N507" s="51"/>
    </row>
    <row r="508" spans="2:14" ht="12.75" customHeight="1" x14ac:dyDescent="0.15">
      <c r="B508" s="51"/>
      <c r="C508" s="51"/>
      <c r="D508" s="51"/>
      <c r="E508" s="51"/>
      <c r="F508" s="51"/>
      <c r="G508" s="51"/>
      <c r="H508" s="51"/>
      <c r="I508" s="51"/>
      <c r="J508" s="51"/>
      <c r="K508" s="51"/>
      <c r="L508" s="51"/>
      <c r="M508" s="51"/>
      <c r="N508" s="51"/>
    </row>
    <row r="509" spans="2:14" ht="12.75" customHeight="1" x14ac:dyDescent="0.15">
      <c r="B509" s="51"/>
      <c r="C509" s="51"/>
      <c r="D509" s="51"/>
      <c r="E509" s="51"/>
      <c r="F509" s="51"/>
      <c r="G509" s="51"/>
      <c r="H509" s="51"/>
      <c r="I509" s="51"/>
      <c r="J509" s="51"/>
      <c r="K509" s="51"/>
      <c r="L509" s="51"/>
      <c r="M509" s="51"/>
      <c r="N509" s="51"/>
    </row>
    <row r="510" spans="2:14" ht="12.75" customHeight="1" x14ac:dyDescent="0.15">
      <c r="B510" s="51"/>
      <c r="C510" s="51"/>
      <c r="D510" s="51"/>
      <c r="E510" s="51"/>
      <c r="F510" s="51"/>
      <c r="G510" s="51"/>
      <c r="H510" s="51"/>
      <c r="I510" s="51"/>
      <c r="J510" s="51"/>
      <c r="K510" s="51"/>
      <c r="L510" s="51"/>
      <c r="M510" s="51"/>
      <c r="N510" s="51"/>
    </row>
    <row r="511" spans="2:14" ht="12.75" customHeight="1" x14ac:dyDescent="0.15">
      <c r="B511" s="51"/>
      <c r="C511" s="51"/>
      <c r="D511" s="51"/>
      <c r="E511" s="51"/>
      <c r="F511" s="51"/>
      <c r="G511" s="51"/>
      <c r="H511" s="51"/>
      <c r="I511" s="51"/>
      <c r="J511" s="51"/>
      <c r="K511" s="51"/>
      <c r="L511" s="51"/>
      <c r="M511" s="51"/>
      <c r="N511" s="51"/>
    </row>
    <row r="512" spans="2:14" ht="12.75" customHeight="1" x14ac:dyDescent="0.15">
      <c r="B512" s="51"/>
      <c r="C512" s="51"/>
      <c r="D512" s="51"/>
      <c r="E512" s="51"/>
      <c r="F512" s="51"/>
      <c r="G512" s="51"/>
      <c r="H512" s="51"/>
      <c r="I512" s="51"/>
      <c r="J512" s="51"/>
      <c r="K512" s="51"/>
      <c r="L512" s="51"/>
      <c r="M512" s="51"/>
      <c r="N512" s="51"/>
    </row>
    <row r="513" spans="2:14" ht="12.75" customHeight="1" x14ac:dyDescent="0.15">
      <c r="B513" s="51"/>
      <c r="C513" s="51"/>
      <c r="D513" s="51"/>
      <c r="E513" s="51"/>
      <c r="F513" s="51"/>
      <c r="G513" s="51"/>
      <c r="H513" s="51"/>
      <c r="I513" s="51"/>
      <c r="J513" s="51"/>
      <c r="K513" s="51"/>
      <c r="L513" s="51"/>
      <c r="M513" s="51"/>
      <c r="N513" s="51"/>
    </row>
    <row r="514" spans="2:14" ht="12.75" customHeight="1" x14ac:dyDescent="0.15">
      <c r="B514" s="51"/>
      <c r="C514" s="51"/>
      <c r="D514" s="51"/>
      <c r="E514" s="51"/>
      <c r="F514" s="51"/>
      <c r="G514" s="51"/>
      <c r="H514" s="51"/>
      <c r="I514" s="51"/>
      <c r="J514" s="51"/>
      <c r="K514" s="51"/>
      <c r="L514" s="51"/>
      <c r="M514" s="51"/>
      <c r="N514" s="51"/>
    </row>
    <row r="515" spans="2:14" ht="12.75" customHeight="1" x14ac:dyDescent="0.15">
      <c r="B515" s="51"/>
      <c r="C515" s="51"/>
      <c r="D515" s="51"/>
      <c r="E515" s="51"/>
      <c r="F515" s="51"/>
      <c r="G515" s="51"/>
      <c r="H515" s="51"/>
      <c r="I515" s="51"/>
      <c r="J515" s="51"/>
      <c r="K515" s="51"/>
      <c r="L515" s="51"/>
      <c r="M515" s="51"/>
      <c r="N515" s="51"/>
    </row>
    <row r="516" spans="2:14" ht="12.75" customHeight="1" x14ac:dyDescent="0.15">
      <c r="B516" s="51"/>
      <c r="C516" s="51"/>
      <c r="D516" s="51"/>
      <c r="E516" s="51"/>
      <c r="F516" s="51"/>
      <c r="G516" s="51"/>
      <c r="H516" s="51"/>
      <c r="I516" s="51"/>
      <c r="J516" s="51"/>
      <c r="K516" s="51"/>
      <c r="L516" s="51"/>
      <c r="M516" s="51"/>
      <c r="N516" s="51"/>
    </row>
    <row r="517" spans="2:14" ht="12.75" customHeight="1" x14ac:dyDescent="0.15">
      <c r="B517" s="51"/>
      <c r="C517" s="51"/>
      <c r="D517" s="51"/>
      <c r="E517" s="51"/>
      <c r="F517" s="51"/>
      <c r="G517" s="51"/>
      <c r="H517" s="51"/>
      <c r="I517" s="51"/>
      <c r="J517" s="51"/>
      <c r="K517" s="51"/>
      <c r="L517" s="51"/>
      <c r="M517" s="51"/>
      <c r="N517" s="51"/>
    </row>
    <row r="518" spans="2:14" ht="12.75" customHeight="1" x14ac:dyDescent="0.15">
      <c r="B518" s="51"/>
      <c r="C518" s="51"/>
      <c r="D518" s="51"/>
      <c r="E518" s="51"/>
      <c r="F518" s="51"/>
      <c r="G518" s="51"/>
      <c r="H518" s="51"/>
      <c r="I518" s="51"/>
      <c r="J518" s="51"/>
      <c r="K518" s="51"/>
      <c r="L518" s="51"/>
      <c r="M518" s="51"/>
      <c r="N518" s="51"/>
    </row>
    <row r="519" spans="2:14" ht="12.75" customHeight="1" x14ac:dyDescent="0.15">
      <c r="B519" s="51"/>
      <c r="C519" s="51"/>
      <c r="D519" s="51"/>
      <c r="E519" s="51"/>
      <c r="F519" s="51"/>
      <c r="G519" s="51"/>
      <c r="H519" s="51"/>
      <c r="I519" s="51"/>
      <c r="J519" s="51"/>
      <c r="K519" s="51"/>
      <c r="L519" s="51"/>
      <c r="M519" s="51"/>
      <c r="N519" s="51"/>
    </row>
    <row r="520" spans="2:14" ht="12.75" customHeight="1" x14ac:dyDescent="0.15">
      <c r="B520" s="51"/>
      <c r="C520" s="51"/>
      <c r="D520" s="51"/>
      <c r="E520" s="51"/>
      <c r="F520" s="51"/>
      <c r="G520" s="51"/>
      <c r="H520" s="51"/>
      <c r="I520" s="51"/>
      <c r="J520" s="51"/>
      <c r="K520" s="51"/>
      <c r="L520" s="51"/>
      <c r="M520" s="51"/>
      <c r="N520" s="51"/>
    </row>
    <row r="521" spans="2:14" ht="12.75" customHeight="1" x14ac:dyDescent="0.15">
      <c r="B521" s="51"/>
      <c r="C521" s="51"/>
      <c r="D521" s="51"/>
      <c r="E521" s="51"/>
      <c r="F521" s="51"/>
      <c r="G521" s="51"/>
      <c r="H521" s="51"/>
      <c r="I521" s="51"/>
      <c r="J521" s="51"/>
      <c r="K521" s="51"/>
      <c r="L521" s="51"/>
      <c r="M521" s="51"/>
      <c r="N521" s="51"/>
    </row>
    <row r="522" spans="2:14" ht="12.75" customHeight="1" x14ac:dyDescent="0.15">
      <c r="B522" s="51"/>
      <c r="C522" s="51"/>
      <c r="D522" s="51"/>
      <c r="E522" s="51"/>
      <c r="F522" s="51"/>
      <c r="G522" s="51"/>
      <c r="H522" s="51"/>
      <c r="I522" s="51"/>
      <c r="J522" s="51"/>
      <c r="K522" s="51"/>
      <c r="L522" s="51"/>
      <c r="M522" s="51"/>
      <c r="N522" s="51"/>
    </row>
    <row r="523" spans="2:14" ht="12.75" customHeight="1" x14ac:dyDescent="0.15">
      <c r="B523" s="51"/>
      <c r="C523" s="51"/>
      <c r="D523" s="51"/>
      <c r="E523" s="51"/>
      <c r="F523" s="51"/>
      <c r="G523" s="51"/>
      <c r="H523" s="51"/>
      <c r="I523" s="51"/>
      <c r="J523" s="51"/>
      <c r="K523" s="51"/>
      <c r="L523" s="51"/>
      <c r="M523" s="51"/>
      <c r="N523" s="51"/>
    </row>
    <row r="524" spans="2:14" ht="12.75" customHeight="1" x14ac:dyDescent="0.15">
      <c r="B524" s="51"/>
      <c r="C524" s="51"/>
      <c r="D524" s="51"/>
      <c r="E524" s="51"/>
      <c r="F524" s="51"/>
      <c r="G524" s="51"/>
      <c r="H524" s="51"/>
      <c r="I524" s="51"/>
      <c r="J524" s="51"/>
      <c r="K524" s="51"/>
      <c r="L524" s="51"/>
      <c r="M524" s="51"/>
      <c r="N524" s="51"/>
    </row>
    <row r="525" spans="2:14" ht="12.75" customHeight="1" x14ac:dyDescent="0.15">
      <c r="B525" s="51"/>
      <c r="C525" s="51"/>
      <c r="D525" s="51"/>
      <c r="E525" s="51"/>
      <c r="F525" s="51"/>
      <c r="G525" s="51"/>
      <c r="H525" s="51"/>
      <c r="I525" s="51"/>
      <c r="J525" s="51"/>
      <c r="K525" s="51"/>
      <c r="L525" s="51"/>
      <c r="M525" s="51"/>
      <c r="N525" s="51"/>
    </row>
    <row r="526" spans="2:14" ht="12.75" customHeight="1" x14ac:dyDescent="0.15">
      <c r="B526" s="51"/>
      <c r="C526" s="51"/>
      <c r="D526" s="51"/>
      <c r="E526" s="51"/>
      <c r="F526" s="51"/>
      <c r="G526" s="51"/>
      <c r="H526" s="51"/>
      <c r="I526" s="51"/>
      <c r="J526" s="51"/>
      <c r="K526" s="51"/>
      <c r="L526" s="51"/>
      <c r="M526" s="51"/>
      <c r="N526" s="51"/>
    </row>
    <row r="527" spans="2:14" ht="12.75" customHeight="1" x14ac:dyDescent="0.15">
      <c r="B527" s="51"/>
      <c r="C527" s="51"/>
      <c r="D527" s="51"/>
      <c r="E527" s="51"/>
      <c r="F527" s="51"/>
      <c r="G527" s="51"/>
      <c r="H527" s="51"/>
      <c r="I527" s="51"/>
      <c r="J527" s="51"/>
      <c r="K527" s="51"/>
      <c r="L527" s="51"/>
      <c r="M527" s="51"/>
      <c r="N527" s="51"/>
    </row>
    <row r="528" spans="2:14" ht="12.75" customHeight="1" x14ac:dyDescent="0.15">
      <c r="B528" s="51"/>
      <c r="C528" s="51"/>
      <c r="D528" s="51"/>
      <c r="E528" s="51"/>
      <c r="F528" s="51"/>
      <c r="G528" s="51"/>
      <c r="H528" s="51"/>
      <c r="I528" s="51"/>
      <c r="J528" s="51"/>
      <c r="K528" s="51"/>
      <c r="L528" s="51"/>
      <c r="M528" s="51"/>
      <c r="N528" s="51"/>
    </row>
    <row r="529" spans="2:14" ht="12.75" customHeight="1" x14ac:dyDescent="0.15">
      <c r="B529" s="51"/>
      <c r="C529" s="51"/>
      <c r="D529" s="51"/>
      <c r="E529" s="51"/>
      <c r="F529" s="51"/>
      <c r="G529" s="51"/>
      <c r="H529" s="51"/>
      <c r="I529" s="51"/>
      <c r="J529" s="51"/>
      <c r="K529" s="51"/>
      <c r="L529" s="51"/>
      <c r="M529" s="51"/>
      <c r="N529" s="51"/>
    </row>
    <row r="530" spans="2:14" ht="12.75" customHeight="1" x14ac:dyDescent="0.15">
      <c r="B530" s="51"/>
      <c r="C530" s="51"/>
      <c r="D530" s="51"/>
      <c r="E530" s="51"/>
      <c r="F530" s="51"/>
      <c r="G530" s="51"/>
      <c r="H530" s="51"/>
      <c r="I530" s="51"/>
      <c r="J530" s="51"/>
      <c r="K530" s="51"/>
      <c r="L530" s="51"/>
      <c r="M530" s="51"/>
      <c r="N530" s="51"/>
    </row>
    <row r="531" spans="2:14" ht="12.75" customHeight="1" x14ac:dyDescent="0.15">
      <c r="B531" s="51"/>
      <c r="C531" s="51"/>
      <c r="D531" s="51"/>
      <c r="E531" s="51"/>
      <c r="F531" s="51"/>
      <c r="G531" s="51"/>
      <c r="H531" s="51"/>
      <c r="I531" s="51"/>
      <c r="J531" s="51"/>
      <c r="K531" s="51"/>
      <c r="L531" s="51"/>
      <c r="M531" s="51"/>
      <c r="N531" s="51"/>
    </row>
    <row r="532" spans="2:14" ht="12.75" customHeight="1" x14ac:dyDescent="0.15">
      <c r="B532" s="51"/>
      <c r="C532" s="51"/>
      <c r="D532" s="51"/>
      <c r="E532" s="51"/>
      <c r="F532" s="51"/>
      <c r="G532" s="51"/>
      <c r="H532" s="51"/>
      <c r="I532" s="51"/>
      <c r="J532" s="51"/>
      <c r="K532" s="51"/>
      <c r="L532" s="51"/>
      <c r="M532" s="51"/>
      <c r="N532" s="51"/>
    </row>
    <row r="533" spans="2:14" ht="12.75" customHeight="1" x14ac:dyDescent="0.15">
      <c r="B533" s="51"/>
      <c r="C533" s="51"/>
      <c r="D533" s="51"/>
      <c r="E533" s="51"/>
      <c r="F533" s="51"/>
      <c r="G533" s="51"/>
      <c r="H533" s="51"/>
      <c r="I533" s="51"/>
      <c r="J533" s="51"/>
      <c r="K533" s="51"/>
      <c r="L533" s="51"/>
      <c r="M533" s="51"/>
      <c r="N533" s="51"/>
    </row>
    <row r="534" spans="2:14" ht="12.75" customHeight="1" x14ac:dyDescent="0.15">
      <c r="B534" s="51"/>
      <c r="C534" s="51"/>
      <c r="D534" s="51"/>
      <c r="E534" s="51"/>
      <c r="F534" s="51"/>
      <c r="G534" s="51"/>
      <c r="H534" s="51"/>
      <c r="I534" s="51"/>
      <c r="J534" s="51"/>
      <c r="K534" s="51"/>
      <c r="L534" s="51"/>
      <c r="M534" s="51"/>
      <c r="N534" s="51"/>
    </row>
    <row r="535" spans="2:14" ht="12.75" customHeight="1" x14ac:dyDescent="0.15">
      <c r="B535" s="51"/>
      <c r="C535" s="51"/>
      <c r="D535" s="51"/>
      <c r="E535" s="51"/>
      <c r="F535" s="51"/>
      <c r="G535" s="51"/>
      <c r="H535" s="51"/>
      <c r="I535" s="51"/>
      <c r="J535" s="51"/>
      <c r="K535" s="51"/>
      <c r="L535" s="51"/>
      <c r="M535" s="51"/>
      <c r="N535" s="51"/>
    </row>
    <row r="536" spans="2:14" ht="12.75" customHeight="1" x14ac:dyDescent="0.15">
      <c r="B536" s="51"/>
      <c r="C536" s="51"/>
      <c r="D536" s="51"/>
      <c r="E536" s="51"/>
      <c r="F536" s="51"/>
      <c r="G536" s="51"/>
      <c r="H536" s="51"/>
      <c r="I536" s="51"/>
      <c r="J536" s="51"/>
      <c r="K536" s="51"/>
      <c r="L536" s="51"/>
      <c r="M536" s="51"/>
      <c r="N536" s="51"/>
    </row>
    <row r="537" spans="2:14" ht="12.75" customHeight="1" x14ac:dyDescent="0.15">
      <c r="B537" s="51"/>
      <c r="C537" s="51"/>
      <c r="D537" s="51"/>
      <c r="E537" s="51"/>
      <c r="F537" s="51"/>
      <c r="G537" s="51"/>
      <c r="H537" s="51"/>
      <c r="I537" s="51"/>
      <c r="J537" s="51"/>
      <c r="K537" s="51"/>
      <c r="L537" s="51"/>
      <c r="M537" s="51"/>
      <c r="N537" s="51"/>
    </row>
    <row r="538" spans="2:14" ht="12.75" customHeight="1" x14ac:dyDescent="0.15">
      <c r="B538" s="51"/>
      <c r="C538" s="51"/>
      <c r="D538" s="51"/>
      <c r="E538" s="51"/>
      <c r="F538" s="51"/>
      <c r="G538" s="51"/>
      <c r="H538" s="51"/>
      <c r="I538" s="51"/>
      <c r="J538" s="51"/>
      <c r="K538" s="51"/>
      <c r="L538" s="51"/>
      <c r="M538" s="51"/>
      <c r="N538" s="51"/>
    </row>
    <row r="539" spans="2:14" ht="12.75" customHeight="1" x14ac:dyDescent="0.15">
      <c r="B539" s="51"/>
      <c r="C539" s="51"/>
      <c r="D539" s="51"/>
      <c r="E539" s="51"/>
      <c r="F539" s="51"/>
      <c r="G539" s="51"/>
      <c r="H539" s="51"/>
      <c r="I539" s="51"/>
      <c r="J539" s="51"/>
      <c r="K539" s="51"/>
      <c r="L539" s="51"/>
      <c r="M539" s="51"/>
      <c r="N539" s="51"/>
    </row>
    <row r="540" spans="2:14" ht="12.75" customHeight="1" x14ac:dyDescent="0.15">
      <c r="B540" s="51"/>
      <c r="C540" s="51"/>
      <c r="D540" s="51"/>
      <c r="E540" s="51"/>
      <c r="F540" s="51"/>
      <c r="G540" s="51"/>
      <c r="H540" s="51"/>
      <c r="I540" s="51"/>
      <c r="J540" s="51"/>
      <c r="K540" s="51"/>
      <c r="L540" s="51"/>
      <c r="M540" s="51"/>
      <c r="N540" s="51"/>
    </row>
    <row r="541" spans="2:14" ht="12.75" customHeight="1" x14ac:dyDescent="0.15">
      <c r="B541" s="51"/>
      <c r="C541" s="51"/>
      <c r="D541" s="51"/>
      <c r="E541" s="51"/>
      <c r="F541" s="51"/>
      <c r="G541" s="51"/>
      <c r="H541" s="51"/>
      <c r="I541" s="51"/>
      <c r="J541" s="51"/>
      <c r="K541" s="51"/>
      <c r="L541" s="51"/>
      <c r="M541" s="51"/>
      <c r="N541" s="51"/>
    </row>
    <row r="542" spans="2:14" ht="12.75" customHeight="1" x14ac:dyDescent="0.15">
      <c r="B542" s="51"/>
      <c r="C542" s="51"/>
      <c r="D542" s="51"/>
      <c r="E542" s="51"/>
      <c r="F542" s="51"/>
      <c r="G542" s="51"/>
      <c r="H542" s="51"/>
      <c r="I542" s="51"/>
      <c r="J542" s="51"/>
      <c r="K542" s="51"/>
      <c r="L542" s="51"/>
      <c r="M542" s="51"/>
      <c r="N542" s="51"/>
    </row>
    <row r="543" spans="2:14" ht="12.75" customHeight="1" x14ac:dyDescent="0.15">
      <c r="B543" s="51"/>
      <c r="C543" s="51"/>
      <c r="D543" s="51"/>
      <c r="E543" s="51"/>
      <c r="F543" s="51"/>
      <c r="G543" s="51"/>
      <c r="H543" s="51"/>
      <c r="I543" s="51"/>
      <c r="J543" s="51"/>
      <c r="K543" s="51"/>
      <c r="L543" s="51"/>
      <c r="M543" s="51"/>
      <c r="N543" s="51"/>
    </row>
    <row r="544" spans="2:14" ht="12.75" customHeight="1" x14ac:dyDescent="0.15">
      <c r="B544" s="51"/>
      <c r="C544" s="51"/>
      <c r="D544" s="51"/>
      <c r="E544" s="51"/>
      <c r="F544" s="51"/>
      <c r="G544" s="51"/>
      <c r="H544" s="51"/>
      <c r="I544" s="51"/>
      <c r="J544" s="51"/>
      <c r="K544" s="51"/>
      <c r="L544" s="51"/>
      <c r="M544" s="51"/>
      <c r="N544" s="51"/>
    </row>
    <row r="545" spans="2:14" ht="12.75" customHeight="1" x14ac:dyDescent="0.15">
      <c r="B545" s="51"/>
      <c r="C545" s="51"/>
      <c r="D545" s="51"/>
      <c r="E545" s="51"/>
      <c r="F545" s="51"/>
      <c r="G545" s="51"/>
      <c r="H545" s="51"/>
      <c r="I545" s="51"/>
      <c r="J545" s="51"/>
      <c r="K545" s="51"/>
      <c r="L545" s="51"/>
      <c r="M545" s="51"/>
      <c r="N545" s="51"/>
    </row>
    <row r="546" spans="2:14" ht="12.75" customHeight="1" x14ac:dyDescent="0.15">
      <c r="B546" s="51"/>
      <c r="C546" s="51"/>
      <c r="D546" s="51"/>
      <c r="E546" s="51"/>
      <c r="F546" s="51"/>
      <c r="G546" s="51"/>
      <c r="H546" s="51"/>
      <c r="I546" s="51"/>
      <c r="J546" s="51"/>
      <c r="K546" s="51"/>
      <c r="L546" s="51"/>
      <c r="M546" s="51"/>
      <c r="N546" s="51"/>
    </row>
    <row r="547" spans="2:14" ht="12.75" customHeight="1" x14ac:dyDescent="0.15">
      <c r="B547" s="51"/>
      <c r="C547" s="51"/>
      <c r="D547" s="51"/>
      <c r="E547" s="51"/>
      <c r="F547" s="51"/>
      <c r="G547" s="51"/>
      <c r="H547" s="51"/>
      <c r="I547" s="51"/>
      <c r="J547" s="51"/>
      <c r="K547" s="51"/>
      <c r="L547" s="51"/>
      <c r="M547" s="51"/>
      <c r="N547" s="51"/>
    </row>
    <row r="548" spans="2:14" ht="12.75" customHeight="1" x14ac:dyDescent="0.15">
      <c r="B548" s="51"/>
      <c r="C548" s="51"/>
      <c r="D548" s="51"/>
      <c r="E548" s="51"/>
      <c r="F548" s="51"/>
      <c r="G548" s="51"/>
      <c r="H548" s="51"/>
      <c r="I548" s="51"/>
      <c r="J548" s="51"/>
      <c r="K548" s="51"/>
      <c r="L548" s="51"/>
      <c r="M548" s="51"/>
      <c r="N548" s="51"/>
    </row>
    <row r="549" spans="2:14" ht="12.75" customHeight="1" x14ac:dyDescent="0.15">
      <c r="B549" s="51"/>
      <c r="C549" s="51"/>
      <c r="D549" s="51"/>
      <c r="E549" s="51"/>
      <c r="F549" s="51"/>
      <c r="G549" s="51"/>
      <c r="H549" s="51"/>
      <c r="I549" s="51"/>
      <c r="J549" s="51"/>
      <c r="K549" s="51"/>
      <c r="L549" s="51"/>
      <c r="M549" s="51"/>
      <c r="N549" s="51"/>
    </row>
    <row r="550" spans="2:14" ht="12.75" customHeight="1" x14ac:dyDescent="0.15">
      <c r="B550" s="51"/>
      <c r="C550" s="51"/>
      <c r="D550" s="51"/>
      <c r="E550" s="51"/>
      <c r="F550" s="51"/>
      <c r="G550" s="51"/>
      <c r="H550" s="51"/>
      <c r="I550" s="51"/>
      <c r="J550" s="51"/>
      <c r="K550" s="51"/>
      <c r="L550" s="51"/>
      <c r="M550" s="51"/>
      <c r="N550" s="51"/>
    </row>
    <row r="551" spans="2:14" ht="12.75" customHeight="1" x14ac:dyDescent="0.15">
      <c r="B551" s="51"/>
      <c r="C551" s="51"/>
      <c r="D551" s="51"/>
      <c r="E551" s="51"/>
      <c r="F551" s="51"/>
      <c r="G551" s="51"/>
      <c r="H551" s="51"/>
      <c r="I551" s="51"/>
      <c r="J551" s="51"/>
      <c r="K551" s="51"/>
      <c r="L551" s="51"/>
      <c r="M551" s="51"/>
      <c r="N551" s="51"/>
    </row>
    <row r="552" spans="2:14" ht="12.75" customHeight="1" x14ac:dyDescent="0.15">
      <c r="B552" s="51"/>
      <c r="C552" s="51"/>
      <c r="D552" s="51"/>
      <c r="E552" s="51"/>
      <c r="F552" s="51"/>
      <c r="G552" s="51"/>
      <c r="H552" s="51"/>
      <c r="I552" s="51"/>
      <c r="J552" s="51"/>
      <c r="K552" s="51"/>
      <c r="L552" s="51"/>
      <c r="M552" s="51"/>
      <c r="N552" s="51"/>
    </row>
    <row r="553" spans="2:14" ht="12.75" customHeight="1" x14ac:dyDescent="0.15">
      <c r="B553" s="51"/>
      <c r="C553" s="51"/>
      <c r="D553" s="51"/>
      <c r="E553" s="51"/>
      <c r="F553" s="51"/>
      <c r="G553" s="51"/>
      <c r="H553" s="51"/>
      <c r="I553" s="51"/>
      <c r="J553" s="51"/>
      <c r="K553" s="51"/>
      <c r="L553" s="51"/>
      <c r="M553" s="51"/>
      <c r="N553" s="51"/>
    </row>
    <row r="554" spans="2:14" ht="12.75" customHeight="1" x14ac:dyDescent="0.15">
      <c r="B554" s="51"/>
      <c r="C554" s="51"/>
      <c r="D554" s="51"/>
      <c r="E554" s="51"/>
      <c r="F554" s="51"/>
      <c r="G554" s="51"/>
      <c r="H554" s="51"/>
      <c r="I554" s="51"/>
      <c r="J554" s="51"/>
      <c r="K554" s="51"/>
      <c r="L554" s="51"/>
      <c r="M554" s="51"/>
      <c r="N554" s="51"/>
    </row>
    <row r="555" spans="2:14" ht="12.75" customHeight="1" x14ac:dyDescent="0.15">
      <c r="B555" s="51"/>
      <c r="C555" s="51"/>
      <c r="D555" s="51"/>
      <c r="E555" s="51"/>
      <c r="F555" s="51"/>
      <c r="G555" s="51"/>
      <c r="H555" s="51"/>
      <c r="I555" s="51"/>
      <c r="J555" s="51"/>
      <c r="K555" s="51"/>
      <c r="L555" s="51"/>
      <c r="M555" s="51"/>
      <c r="N555" s="51"/>
    </row>
    <row r="556" spans="2:14" ht="12.75" customHeight="1" x14ac:dyDescent="0.15">
      <c r="B556" s="51"/>
      <c r="C556" s="51"/>
      <c r="D556" s="51"/>
      <c r="E556" s="51"/>
      <c r="F556" s="51"/>
      <c r="G556" s="51"/>
      <c r="H556" s="51"/>
      <c r="I556" s="51"/>
      <c r="J556" s="51"/>
      <c r="K556" s="51"/>
      <c r="L556" s="51"/>
      <c r="M556" s="51"/>
      <c r="N556" s="51"/>
    </row>
    <row r="557" spans="2:14" ht="12.75" customHeight="1" x14ac:dyDescent="0.15">
      <c r="B557" s="51"/>
      <c r="C557" s="51"/>
      <c r="D557" s="51"/>
      <c r="E557" s="51"/>
      <c r="F557" s="51"/>
      <c r="G557" s="51"/>
      <c r="H557" s="51"/>
      <c r="I557" s="51"/>
      <c r="J557" s="51"/>
      <c r="K557" s="51"/>
      <c r="L557" s="51"/>
      <c r="M557" s="51"/>
      <c r="N557" s="51"/>
    </row>
    <row r="558" spans="2:14" ht="12.75" customHeight="1" x14ac:dyDescent="0.15">
      <c r="B558" s="51"/>
      <c r="C558" s="51"/>
      <c r="D558" s="51"/>
      <c r="E558" s="51"/>
      <c r="F558" s="51"/>
      <c r="G558" s="51"/>
      <c r="H558" s="51"/>
      <c r="I558" s="51"/>
      <c r="J558" s="51"/>
      <c r="K558" s="51"/>
      <c r="L558" s="51"/>
      <c r="M558" s="51"/>
      <c r="N558" s="51"/>
    </row>
    <row r="559" spans="2:14" ht="12.75" customHeight="1" x14ac:dyDescent="0.15">
      <c r="B559" s="51"/>
      <c r="C559" s="51"/>
      <c r="D559" s="51"/>
      <c r="E559" s="51"/>
      <c r="F559" s="51"/>
      <c r="G559" s="51"/>
      <c r="H559" s="51"/>
      <c r="I559" s="51"/>
      <c r="J559" s="51"/>
      <c r="K559" s="51"/>
      <c r="L559" s="51"/>
      <c r="M559" s="51"/>
      <c r="N559" s="51"/>
    </row>
    <row r="560" spans="2:14" ht="12.75" customHeight="1" x14ac:dyDescent="0.15">
      <c r="B560" s="51"/>
      <c r="C560" s="51"/>
      <c r="D560" s="51"/>
      <c r="E560" s="51"/>
      <c r="F560" s="51"/>
      <c r="G560" s="51"/>
      <c r="H560" s="51"/>
      <c r="I560" s="51"/>
      <c r="J560" s="51"/>
      <c r="K560" s="51"/>
      <c r="L560" s="51"/>
      <c r="M560" s="51"/>
      <c r="N560" s="51"/>
    </row>
    <row r="561" spans="2:14" ht="12.75" customHeight="1" x14ac:dyDescent="0.15">
      <c r="B561" s="51"/>
      <c r="C561" s="51"/>
      <c r="D561" s="51"/>
      <c r="E561" s="51"/>
      <c r="F561" s="51"/>
      <c r="G561" s="51"/>
      <c r="H561" s="51"/>
      <c r="I561" s="51"/>
      <c r="J561" s="51"/>
      <c r="K561" s="51"/>
      <c r="L561" s="51"/>
      <c r="M561" s="51"/>
      <c r="N561" s="51"/>
    </row>
    <row r="562" spans="2:14" ht="12.75" customHeight="1" x14ac:dyDescent="0.15">
      <c r="B562" s="51"/>
      <c r="C562" s="51"/>
      <c r="D562" s="51"/>
      <c r="E562" s="51"/>
      <c r="F562" s="51"/>
      <c r="G562" s="51"/>
      <c r="H562" s="51"/>
      <c r="I562" s="51"/>
      <c r="J562" s="51"/>
      <c r="K562" s="51"/>
      <c r="L562" s="51"/>
      <c r="M562" s="51"/>
      <c r="N562" s="51"/>
    </row>
    <row r="563" spans="2:14" ht="12.75" customHeight="1" x14ac:dyDescent="0.15">
      <c r="B563" s="51"/>
      <c r="C563" s="51"/>
      <c r="D563" s="51"/>
      <c r="E563" s="51"/>
      <c r="F563" s="51"/>
      <c r="G563" s="51"/>
      <c r="H563" s="51"/>
      <c r="I563" s="51"/>
      <c r="J563" s="51"/>
      <c r="K563" s="51"/>
      <c r="L563" s="51"/>
      <c r="M563" s="51"/>
      <c r="N563" s="51"/>
    </row>
    <row r="564" spans="2:14" ht="12.75" customHeight="1" x14ac:dyDescent="0.15">
      <c r="B564" s="51"/>
      <c r="C564" s="51"/>
      <c r="D564" s="51"/>
      <c r="E564" s="51"/>
      <c r="F564" s="51"/>
      <c r="G564" s="51"/>
      <c r="H564" s="51"/>
      <c r="I564" s="51"/>
      <c r="J564" s="51"/>
      <c r="K564" s="51"/>
      <c r="L564" s="51"/>
      <c r="M564" s="51"/>
      <c r="N564" s="51"/>
    </row>
    <row r="565" spans="2:14" ht="12.75" customHeight="1" x14ac:dyDescent="0.15">
      <c r="B565" s="51"/>
      <c r="C565" s="51"/>
      <c r="D565" s="51"/>
      <c r="E565" s="51"/>
      <c r="F565" s="51"/>
      <c r="G565" s="51"/>
      <c r="H565" s="51"/>
      <c r="I565" s="51"/>
      <c r="J565" s="51"/>
      <c r="K565" s="51"/>
      <c r="L565" s="51"/>
      <c r="M565" s="51"/>
      <c r="N565" s="51"/>
    </row>
    <row r="566" spans="2:14" ht="12.75" customHeight="1" x14ac:dyDescent="0.15">
      <c r="B566" s="51"/>
      <c r="C566" s="51"/>
      <c r="D566" s="51"/>
      <c r="E566" s="51"/>
      <c r="F566" s="51"/>
      <c r="G566" s="51"/>
      <c r="H566" s="51"/>
      <c r="I566" s="51"/>
      <c r="J566" s="51"/>
      <c r="K566" s="51"/>
      <c r="L566" s="51"/>
      <c r="M566" s="51"/>
      <c r="N566" s="51"/>
    </row>
    <row r="567" spans="2:14" ht="12.75" customHeight="1" x14ac:dyDescent="0.15">
      <c r="B567" s="51"/>
      <c r="C567" s="51"/>
      <c r="D567" s="51"/>
      <c r="E567" s="51"/>
      <c r="F567" s="51"/>
      <c r="G567" s="51"/>
      <c r="H567" s="51"/>
      <c r="I567" s="51"/>
      <c r="J567" s="51"/>
      <c r="K567" s="51"/>
      <c r="L567" s="51"/>
      <c r="M567" s="51"/>
      <c r="N567" s="51"/>
    </row>
    <row r="568" spans="2:14" ht="12.75" customHeight="1" x14ac:dyDescent="0.15">
      <c r="B568" s="51"/>
      <c r="C568" s="51"/>
      <c r="D568" s="51"/>
      <c r="E568" s="51"/>
      <c r="F568" s="51"/>
      <c r="G568" s="51"/>
      <c r="H568" s="51"/>
      <c r="I568" s="51"/>
      <c r="J568" s="51"/>
      <c r="K568" s="51"/>
      <c r="L568" s="51"/>
      <c r="M568" s="51"/>
      <c r="N568" s="51"/>
    </row>
    <row r="569" spans="2:14" ht="12.75" customHeight="1" x14ac:dyDescent="0.15">
      <c r="B569" s="51"/>
      <c r="C569" s="51"/>
      <c r="D569" s="51"/>
      <c r="E569" s="51"/>
      <c r="F569" s="51"/>
      <c r="G569" s="51"/>
      <c r="H569" s="51"/>
      <c r="I569" s="51"/>
      <c r="J569" s="51"/>
      <c r="K569" s="51"/>
      <c r="L569" s="51"/>
      <c r="M569" s="51"/>
      <c r="N569" s="51"/>
    </row>
    <row r="570" spans="2:14" ht="12.75" customHeight="1" x14ac:dyDescent="0.15">
      <c r="B570" s="51"/>
      <c r="C570" s="51"/>
      <c r="D570" s="51"/>
      <c r="E570" s="51"/>
      <c r="F570" s="51"/>
      <c r="G570" s="51"/>
      <c r="H570" s="51"/>
      <c r="I570" s="51"/>
      <c r="J570" s="51"/>
      <c r="K570" s="51"/>
      <c r="L570" s="51"/>
      <c r="M570" s="51"/>
      <c r="N570" s="51"/>
    </row>
    <row r="571" spans="2:14" ht="12.75" customHeight="1" x14ac:dyDescent="0.15">
      <c r="B571" s="51"/>
      <c r="C571" s="51"/>
      <c r="D571" s="51"/>
      <c r="E571" s="51"/>
      <c r="F571" s="51"/>
      <c r="G571" s="51"/>
      <c r="H571" s="51"/>
      <c r="I571" s="51"/>
      <c r="J571" s="51"/>
      <c r="K571" s="51"/>
      <c r="L571" s="51"/>
      <c r="M571" s="51"/>
      <c r="N571" s="51"/>
    </row>
    <row r="572" spans="2:14" ht="12.75" customHeight="1" x14ac:dyDescent="0.15">
      <c r="B572" s="51"/>
      <c r="C572" s="51"/>
      <c r="D572" s="51"/>
      <c r="E572" s="51"/>
      <c r="F572" s="51"/>
      <c r="G572" s="51"/>
      <c r="H572" s="51"/>
      <c r="I572" s="51"/>
      <c r="J572" s="51"/>
      <c r="K572" s="51"/>
      <c r="L572" s="51"/>
      <c r="M572" s="51"/>
      <c r="N572" s="51"/>
    </row>
    <row r="573" spans="2:14" ht="12.75" customHeight="1" x14ac:dyDescent="0.15">
      <c r="B573" s="51"/>
      <c r="C573" s="51"/>
      <c r="D573" s="51"/>
      <c r="E573" s="51"/>
      <c r="F573" s="51"/>
      <c r="G573" s="51"/>
      <c r="H573" s="51"/>
      <c r="I573" s="51"/>
      <c r="J573" s="51"/>
      <c r="K573" s="51"/>
      <c r="L573" s="51"/>
      <c r="M573" s="51"/>
      <c r="N573" s="51"/>
    </row>
    <row r="574" spans="2:14" ht="12.75" customHeight="1" x14ac:dyDescent="0.15">
      <c r="B574" s="51"/>
      <c r="C574" s="51"/>
      <c r="D574" s="51"/>
      <c r="E574" s="51"/>
      <c r="F574" s="51"/>
      <c r="G574" s="51"/>
      <c r="H574" s="51"/>
      <c r="I574" s="51"/>
      <c r="J574" s="51"/>
      <c r="K574" s="51"/>
      <c r="L574" s="51"/>
      <c r="M574" s="51"/>
      <c r="N574" s="51"/>
    </row>
    <row r="575" spans="2:14" ht="12.75" customHeight="1" x14ac:dyDescent="0.15">
      <c r="B575" s="51"/>
      <c r="C575" s="51"/>
      <c r="D575" s="51"/>
      <c r="E575" s="51"/>
      <c r="F575" s="51"/>
      <c r="G575" s="51"/>
      <c r="H575" s="51"/>
      <c r="I575" s="51"/>
      <c r="J575" s="51"/>
      <c r="K575" s="51"/>
      <c r="L575" s="51"/>
      <c r="M575" s="51"/>
      <c r="N575" s="51"/>
    </row>
    <row r="576" spans="2:14" ht="12.75" customHeight="1" x14ac:dyDescent="0.15">
      <c r="B576" s="51"/>
      <c r="C576" s="51"/>
      <c r="D576" s="51"/>
      <c r="E576" s="51"/>
      <c r="F576" s="51"/>
      <c r="G576" s="51"/>
      <c r="H576" s="51"/>
      <c r="I576" s="51"/>
      <c r="J576" s="51"/>
      <c r="K576" s="51"/>
      <c r="L576" s="51"/>
      <c r="M576" s="51"/>
      <c r="N576" s="51"/>
    </row>
    <row r="577" spans="2:14" ht="12.75" customHeight="1" x14ac:dyDescent="0.15">
      <c r="B577" s="51"/>
      <c r="C577" s="51"/>
      <c r="D577" s="51"/>
      <c r="E577" s="51"/>
      <c r="F577" s="51"/>
      <c r="G577" s="51"/>
      <c r="H577" s="51"/>
      <c r="I577" s="51"/>
      <c r="J577" s="51"/>
      <c r="K577" s="51"/>
      <c r="L577" s="51"/>
      <c r="M577" s="51"/>
      <c r="N577" s="51"/>
    </row>
    <row r="578" spans="2:14" ht="12.75" customHeight="1" x14ac:dyDescent="0.15">
      <c r="B578" s="51"/>
      <c r="C578" s="51"/>
      <c r="D578" s="51"/>
      <c r="E578" s="51"/>
      <c r="F578" s="51"/>
      <c r="G578" s="51"/>
      <c r="H578" s="51"/>
      <c r="I578" s="51"/>
      <c r="J578" s="51"/>
      <c r="K578" s="51"/>
      <c r="L578" s="51"/>
      <c r="M578" s="51"/>
      <c r="N578" s="51"/>
    </row>
    <row r="579" spans="2:14" ht="12.75" customHeight="1" x14ac:dyDescent="0.15">
      <c r="B579" s="51"/>
      <c r="C579" s="51"/>
      <c r="D579" s="51"/>
      <c r="E579" s="51"/>
      <c r="F579" s="51"/>
      <c r="G579" s="51"/>
      <c r="H579" s="51"/>
      <c r="I579" s="51"/>
      <c r="J579" s="51"/>
      <c r="K579" s="51"/>
      <c r="L579" s="51"/>
      <c r="M579" s="51"/>
      <c r="N579" s="51"/>
    </row>
    <row r="580" spans="2:14" ht="12.75" customHeight="1" x14ac:dyDescent="0.15">
      <c r="B580" s="51"/>
      <c r="C580" s="51"/>
      <c r="D580" s="51"/>
      <c r="E580" s="51"/>
      <c r="F580" s="51"/>
      <c r="G580" s="51"/>
      <c r="H580" s="51"/>
      <c r="I580" s="51"/>
      <c r="J580" s="51"/>
      <c r="K580" s="51"/>
      <c r="L580" s="51"/>
      <c r="M580" s="51"/>
      <c r="N580" s="51"/>
    </row>
    <row r="581" spans="2:14" ht="12.75" customHeight="1" x14ac:dyDescent="0.15">
      <c r="B581" s="51"/>
      <c r="C581" s="51"/>
      <c r="D581" s="51"/>
      <c r="E581" s="51"/>
      <c r="F581" s="51"/>
      <c r="G581" s="51"/>
      <c r="H581" s="51"/>
      <c r="I581" s="51"/>
      <c r="J581" s="51"/>
      <c r="K581" s="51"/>
      <c r="L581" s="51"/>
      <c r="M581" s="51"/>
      <c r="N581" s="51"/>
    </row>
    <row r="582" spans="2:14" ht="12.75" customHeight="1" x14ac:dyDescent="0.15">
      <c r="B582" s="51"/>
      <c r="C582" s="51"/>
      <c r="D582" s="51"/>
      <c r="E582" s="51"/>
      <c r="F582" s="51"/>
      <c r="G582" s="51"/>
      <c r="H582" s="51"/>
      <c r="I582" s="51"/>
      <c r="J582" s="51"/>
      <c r="K582" s="51"/>
      <c r="L582" s="51"/>
      <c r="M582" s="51"/>
      <c r="N582" s="51"/>
    </row>
    <row r="583" spans="2:14" ht="12.75" customHeight="1" x14ac:dyDescent="0.15">
      <c r="B583" s="51"/>
      <c r="C583" s="51"/>
      <c r="D583" s="51"/>
      <c r="E583" s="51"/>
      <c r="F583" s="51"/>
      <c r="G583" s="51"/>
      <c r="H583" s="51"/>
      <c r="I583" s="51"/>
      <c r="J583" s="51"/>
      <c r="K583" s="51"/>
      <c r="L583" s="51"/>
      <c r="M583" s="51"/>
      <c r="N583" s="51"/>
    </row>
    <row r="584" spans="2:14" ht="12.75" customHeight="1" x14ac:dyDescent="0.15">
      <c r="B584" s="51"/>
      <c r="C584" s="51"/>
      <c r="D584" s="51"/>
      <c r="E584" s="51"/>
      <c r="F584" s="51"/>
      <c r="G584" s="51"/>
      <c r="H584" s="51"/>
      <c r="I584" s="51"/>
      <c r="J584" s="51"/>
      <c r="K584" s="51"/>
      <c r="L584" s="51"/>
      <c r="M584" s="51"/>
      <c r="N584" s="51"/>
    </row>
    <row r="585" spans="2:14" ht="12.75" customHeight="1" x14ac:dyDescent="0.15">
      <c r="B585" s="51"/>
      <c r="C585" s="51"/>
      <c r="D585" s="51"/>
      <c r="E585" s="51"/>
      <c r="F585" s="51"/>
      <c r="G585" s="51"/>
      <c r="H585" s="51"/>
      <c r="I585" s="51"/>
      <c r="J585" s="51"/>
      <c r="K585" s="51"/>
      <c r="L585" s="51"/>
      <c r="M585" s="51"/>
      <c r="N585" s="51"/>
    </row>
    <row r="586" spans="2:14" ht="12.75" customHeight="1" x14ac:dyDescent="0.15">
      <c r="B586" s="51"/>
      <c r="C586" s="51"/>
      <c r="D586" s="51"/>
      <c r="E586" s="51"/>
      <c r="F586" s="51"/>
      <c r="G586" s="51"/>
      <c r="H586" s="51"/>
      <c r="I586" s="51"/>
      <c r="J586" s="51"/>
      <c r="K586" s="51"/>
      <c r="L586" s="51"/>
      <c r="M586" s="51"/>
      <c r="N586" s="51"/>
    </row>
    <row r="587" spans="2:14" ht="12.75" customHeight="1" x14ac:dyDescent="0.15">
      <c r="B587" s="51"/>
      <c r="C587" s="51"/>
      <c r="D587" s="51"/>
      <c r="E587" s="51"/>
      <c r="F587" s="51"/>
      <c r="G587" s="51"/>
      <c r="H587" s="51"/>
      <c r="I587" s="51"/>
      <c r="J587" s="51"/>
      <c r="K587" s="51"/>
      <c r="L587" s="51"/>
      <c r="M587" s="51"/>
      <c r="N587" s="51"/>
    </row>
    <row r="588" spans="2:14" ht="12.75" customHeight="1" x14ac:dyDescent="0.15">
      <c r="B588" s="51"/>
      <c r="C588" s="51"/>
      <c r="D588" s="51"/>
      <c r="E588" s="51"/>
      <c r="F588" s="51"/>
      <c r="G588" s="51"/>
      <c r="H588" s="51"/>
      <c r="I588" s="51"/>
      <c r="J588" s="51"/>
      <c r="K588" s="51"/>
      <c r="L588" s="51"/>
      <c r="M588" s="51"/>
      <c r="N588" s="51"/>
    </row>
    <row r="589" spans="2:14" ht="12.75" customHeight="1" x14ac:dyDescent="0.15">
      <c r="B589" s="51"/>
      <c r="C589" s="51"/>
      <c r="D589" s="51"/>
      <c r="E589" s="51"/>
      <c r="F589" s="51"/>
      <c r="G589" s="51"/>
      <c r="H589" s="51"/>
      <c r="I589" s="51"/>
      <c r="J589" s="51"/>
      <c r="K589" s="51"/>
      <c r="L589" s="51"/>
      <c r="M589" s="51"/>
      <c r="N589" s="51"/>
    </row>
    <row r="590" spans="2:14" ht="12.75" customHeight="1" x14ac:dyDescent="0.15">
      <c r="B590" s="51"/>
      <c r="C590" s="51"/>
      <c r="D590" s="51"/>
      <c r="E590" s="51"/>
      <c r="F590" s="51"/>
      <c r="G590" s="51"/>
      <c r="H590" s="51"/>
      <c r="I590" s="51"/>
      <c r="J590" s="51"/>
      <c r="K590" s="51"/>
      <c r="L590" s="51"/>
      <c r="M590" s="51"/>
      <c r="N590" s="51"/>
    </row>
    <row r="591" spans="2:14" ht="12.75" customHeight="1" x14ac:dyDescent="0.15">
      <c r="B591" s="51"/>
      <c r="C591" s="51"/>
      <c r="D591" s="51"/>
      <c r="E591" s="51"/>
      <c r="F591" s="51"/>
      <c r="G591" s="51"/>
      <c r="H591" s="51"/>
      <c r="I591" s="51"/>
      <c r="J591" s="51"/>
      <c r="K591" s="51"/>
      <c r="L591" s="51"/>
      <c r="M591" s="51"/>
      <c r="N591" s="51"/>
    </row>
    <row r="592" spans="2:14" ht="12.75" customHeight="1" x14ac:dyDescent="0.15">
      <c r="B592" s="51"/>
      <c r="C592" s="51"/>
      <c r="D592" s="51"/>
      <c r="E592" s="51"/>
      <c r="F592" s="51"/>
      <c r="G592" s="51"/>
      <c r="H592" s="51"/>
      <c r="I592" s="51"/>
      <c r="J592" s="51"/>
      <c r="K592" s="51"/>
      <c r="L592" s="51"/>
      <c r="M592" s="51"/>
      <c r="N592" s="51"/>
    </row>
    <row r="593" spans="2:14" ht="12.75" customHeight="1" x14ac:dyDescent="0.15">
      <c r="B593" s="51"/>
      <c r="C593" s="51"/>
      <c r="D593" s="51"/>
      <c r="E593" s="51"/>
      <c r="F593" s="51"/>
      <c r="G593" s="51"/>
      <c r="H593" s="51"/>
      <c r="I593" s="51"/>
      <c r="J593" s="51"/>
      <c r="K593" s="51"/>
      <c r="L593" s="51"/>
      <c r="M593" s="51"/>
      <c r="N593" s="51"/>
    </row>
    <row r="594" spans="2:14" ht="12.75" customHeight="1" x14ac:dyDescent="0.15">
      <c r="B594" s="51"/>
      <c r="C594" s="51"/>
      <c r="D594" s="51"/>
      <c r="E594" s="51"/>
      <c r="F594" s="51"/>
      <c r="G594" s="51"/>
      <c r="H594" s="51"/>
      <c r="I594" s="51"/>
      <c r="J594" s="51"/>
      <c r="K594" s="51"/>
      <c r="L594" s="51"/>
      <c r="M594" s="51"/>
      <c r="N594" s="51"/>
    </row>
    <row r="595" spans="2:14" ht="12.75" customHeight="1" x14ac:dyDescent="0.15">
      <c r="B595" s="51"/>
      <c r="C595" s="51"/>
      <c r="D595" s="51"/>
      <c r="E595" s="51"/>
      <c r="F595" s="51"/>
      <c r="G595" s="51"/>
      <c r="H595" s="51"/>
      <c r="I595" s="51"/>
      <c r="J595" s="51"/>
      <c r="K595" s="51"/>
      <c r="L595" s="51"/>
      <c r="M595" s="51"/>
      <c r="N595" s="51"/>
    </row>
    <row r="596" spans="2:14" ht="12.75" customHeight="1" x14ac:dyDescent="0.15">
      <c r="B596" s="51"/>
      <c r="C596" s="51"/>
      <c r="D596" s="51"/>
      <c r="E596" s="51"/>
      <c r="F596" s="51"/>
      <c r="G596" s="51"/>
      <c r="H596" s="51"/>
      <c r="I596" s="51"/>
      <c r="J596" s="51"/>
      <c r="K596" s="51"/>
      <c r="L596" s="51"/>
      <c r="M596" s="51"/>
      <c r="N596" s="51"/>
    </row>
    <row r="597" spans="2:14" ht="12.75" customHeight="1" x14ac:dyDescent="0.15">
      <c r="B597" s="51"/>
      <c r="C597" s="51"/>
      <c r="D597" s="51"/>
      <c r="E597" s="51"/>
      <c r="F597" s="51"/>
      <c r="G597" s="51"/>
      <c r="H597" s="51"/>
      <c r="I597" s="51"/>
      <c r="J597" s="51"/>
      <c r="K597" s="51"/>
      <c r="L597" s="51"/>
      <c r="M597" s="51"/>
      <c r="N597" s="51"/>
    </row>
    <row r="598" spans="2:14" ht="12.75" customHeight="1" x14ac:dyDescent="0.15">
      <c r="B598" s="51"/>
      <c r="C598" s="51"/>
      <c r="D598" s="51"/>
      <c r="E598" s="51"/>
      <c r="F598" s="51"/>
      <c r="G598" s="51"/>
      <c r="H598" s="51"/>
      <c r="I598" s="51"/>
      <c r="J598" s="51"/>
      <c r="K598" s="51"/>
      <c r="L598" s="51"/>
      <c r="M598" s="51"/>
      <c r="N598" s="51"/>
    </row>
    <row r="599" spans="2:14" ht="12.75" customHeight="1" x14ac:dyDescent="0.15">
      <c r="B599" s="51"/>
      <c r="C599" s="51"/>
      <c r="D599" s="51"/>
      <c r="E599" s="51"/>
      <c r="F599" s="51"/>
      <c r="G599" s="51"/>
      <c r="H599" s="51"/>
      <c r="I599" s="51"/>
      <c r="J599" s="51"/>
      <c r="K599" s="51"/>
      <c r="L599" s="51"/>
      <c r="M599" s="51"/>
      <c r="N599" s="51"/>
    </row>
    <row r="600" spans="2:14" ht="12.75" customHeight="1" x14ac:dyDescent="0.15">
      <c r="B600" s="51"/>
      <c r="C600" s="51"/>
      <c r="D600" s="51"/>
      <c r="E600" s="51"/>
      <c r="F600" s="51"/>
      <c r="G600" s="51"/>
      <c r="H600" s="51"/>
      <c r="I600" s="51"/>
      <c r="J600" s="51"/>
      <c r="K600" s="51"/>
      <c r="L600" s="51"/>
      <c r="M600" s="51"/>
      <c r="N600" s="51"/>
    </row>
    <row r="601" spans="2:14" ht="12.75" customHeight="1" x14ac:dyDescent="0.15">
      <c r="B601" s="51"/>
      <c r="C601" s="51"/>
      <c r="D601" s="51"/>
      <c r="E601" s="51"/>
      <c r="F601" s="51"/>
      <c r="G601" s="51"/>
      <c r="H601" s="51"/>
      <c r="I601" s="51"/>
      <c r="J601" s="51"/>
      <c r="K601" s="51"/>
      <c r="L601" s="51"/>
      <c r="M601" s="51"/>
      <c r="N601" s="51"/>
    </row>
    <row r="602" spans="2:14" ht="12.75" customHeight="1" x14ac:dyDescent="0.15">
      <c r="B602" s="51"/>
      <c r="C602" s="51"/>
      <c r="D602" s="51"/>
      <c r="E602" s="51"/>
      <c r="F602" s="51"/>
      <c r="G602" s="51"/>
      <c r="H602" s="51"/>
      <c r="I602" s="51"/>
      <c r="J602" s="51"/>
      <c r="K602" s="51"/>
      <c r="L602" s="51"/>
      <c r="M602" s="51"/>
      <c r="N602" s="51"/>
    </row>
    <row r="603" spans="2:14" ht="12.75" customHeight="1" x14ac:dyDescent="0.15">
      <c r="B603" s="51"/>
      <c r="C603" s="51"/>
      <c r="D603" s="51"/>
      <c r="E603" s="51"/>
      <c r="F603" s="51"/>
      <c r="G603" s="51"/>
      <c r="H603" s="51"/>
      <c r="I603" s="51"/>
      <c r="J603" s="51"/>
      <c r="K603" s="51"/>
      <c r="L603" s="51"/>
      <c r="M603" s="51"/>
      <c r="N603" s="51"/>
    </row>
    <row r="604" spans="2:14" ht="12.75" customHeight="1" x14ac:dyDescent="0.15">
      <c r="B604" s="51"/>
      <c r="C604" s="51"/>
      <c r="D604" s="51"/>
      <c r="E604" s="51"/>
      <c r="F604" s="51"/>
      <c r="G604" s="51"/>
      <c r="H604" s="51"/>
      <c r="I604" s="51"/>
      <c r="J604" s="51"/>
      <c r="K604" s="51"/>
      <c r="L604" s="51"/>
      <c r="M604" s="51"/>
      <c r="N604" s="51"/>
    </row>
    <row r="605" spans="2:14" ht="12.75" customHeight="1" x14ac:dyDescent="0.15">
      <c r="B605" s="51"/>
      <c r="C605" s="51"/>
      <c r="D605" s="51"/>
      <c r="E605" s="51"/>
      <c r="F605" s="51"/>
      <c r="G605" s="51"/>
      <c r="H605" s="51"/>
      <c r="I605" s="51"/>
      <c r="J605" s="51"/>
      <c r="K605" s="51"/>
      <c r="L605" s="51"/>
      <c r="M605" s="51"/>
      <c r="N605" s="51"/>
    </row>
    <row r="606" spans="2:14" ht="12.75" customHeight="1" x14ac:dyDescent="0.15">
      <c r="B606" s="51"/>
      <c r="C606" s="51"/>
      <c r="D606" s="51"/>
      <c r="E606" s="51"/>
      <c r="F606" s="51"/>
      <c r="G606" s="51"/>
      <c r="H606" s="51"/>
      <c r="I606" s="51"/>
      <c r="J606" s="51"/>
      <c r="K606" s="51"/>
      <c r="L606" s="51"/>
      <c r="M606" s="51"/>
      <c r="N606" s="51"/>
    </row>
    <row r="607" spans="2:14" ht="12.75" customHeight="1" x14ac:dyDescent="0.15">
      <c r="B607" s="51"/>
      <c r="C607" s="51"/>
      <c r="D607" s="51"/>
      <c r="E607" s="51"/>
      <c r="F607" s="51"/>
      <c r="G607" s="51"/>
      <c r="H607" s="51"/>
      <c r="I607" s="51"/>
      <c r="J607" s="51"/>
      <c r="K607" s="51"/>
      <c r="L607" s="51"/>
      <c r="M607" s="51"/>
      <c r="N607" s="51"/>
    </row>
    <row r="608" spans="2:14" ht="12.75" customHeight="1" x14ac:dyDescent="0.15">
      <c r="B608" s="51"/>
      <c r="C608" s="51"/>
      <c r="D608" s="51"/>
      <c r="E608" s="51"/>
      <c r="F608" s="51"/>
      <c r="G608" s="51"/>
      <c r="H608" s="51"/>
      <c r="I608" s="51"/>
      <c r="J608" s="51"/>
      <c r="K608" s="51"/>
      <c r="L608" s="51"/>
      <c r="M608" s="51"/>
      <c r="N608" s="51"/>
    </row>
    <row r="609" spans="2:14" ht="12.75" customHeight="1" x14ac:dyDescent="0.15">
      <c r="B609" s="51"/>
      <c r="C609" s="51"/>
      <c r="D609" s="51"/>
      <c r="E609" s="51"/>
      <c r="F609" s="51"/>
      <c r="G609" s="51"/>
      <c r="H609" s="51"/>
      <c r="I609" s="51"/>
      <c r="J609" s="51"/>
      <c r="K609" s="51"/>
      <c r="L609" s="51"/>
      <c r="M609" s="51"/>
      <c r="N609" s="51"/>
    </row>
    <row r="610" spans="2:14" ht="12.75" customHeight="1" x14ac:dyDescent="0.15">
      <c r="B610" s="51"/>
      <c r="C610" s="51"/>
      <c r="D610" s="51"/>
      <c r="E610" s="51"/>
      <c r="F610" s="51"/>
      <c r="G610" s="51"/>
      <c r="H610" s="51"/>
      <c r="I610" s="51"/>
      <c r="J610" s="51"/>
      <c r="K610" s="51"/>
      <c r="L610" s="51"/>
      <c r="M610" s="51"/>
      <c r="N610" s="51"/>
    </row>
    <row r="611" spans="2:14" ht="12.75" customHeight="1" x14ac:dyDescent="0.15">
      <c r="B611" s="51"/>
      <c r="C611" s="51"/>
      <c r="D611" s="51"/>
      <c r="E611" s="51"/>
      <c r="F611" s="51"/>
      <c r="G611" s="51"/>
      <c r="H611" s="51"/>
      <c r="I611" s="51"/>
      <c r="J611" s="51"/>
      <c r="K611" s="51"/>
      <c r="L611" s="51"/>
      <c r="M611" s="51"/>
      <c r="N611" s="51"/>
    </row>
    <row r="612" spans="2:14" ht="12.75" customHeight="1" x14ac:dyDescent="0.15">
      <c r="B612" s="51"/>
      <c r="C612" s="51"/>
      <c r="D612" s="51"/>
      <c r="E612" s="51"/>
      <c r="F612" s="51"/>
      <c r="G612" s="51"/>
      <c r="H612" s="51"/>
      <c r="I612" s="51"/>
      <c r="J612" s="51"/>
      <c r="K612" s="51"/>
      <c r="L612" s="51"/>
      <c r="M612" s="51"/>
      <c r="N612" s="51"/>
    </row>
    <row r="613" spans="2:14" ht="12.75" customHeight="1" x14ac:dyDescent="0.15">
      <c r="B613" s="51"/>
      <c r="C613" s="51"/>
      <c r="D613" s="51"/>
      <c r="E613" s="51"/>
      <c r="F613" s="51"/>
      <c r="G613" s="51"/>
      <c r="H613" s="51"/>
      <c r="I613" s="51"/>
      <c r="J613" s="51"/>
      <c r="K613" s="51"/>
      <c r="L613" s="51"/>
      <c r="M613" s="51"/>
      <c r="N613" s="51"/>
    </row>
    <row r="614" spans="2:14" ht="12.75" customHeight="1" x14ac:dyDescent="0.15">
      <c r="B614" s="51"/>
      <c r="C614" s="51"/>
      <c r="D614" s="51"/>
      <c r="E614" s="51"/>
      <c r="F614" s="51"/>
      <c r="G614" s="51"/>
      <c r="H614" s="51"/>
      <c r="I614" s="51"/>
      <c r="J614" s="51"/>
      <c r="K614" s="51"/>
      <c r="L614" s="51"/>
      <c r="M614" s="51"/>
      <c r="N614" s="51"/>
    </row>
    <row r="615" spans="2:14" ht="12.75" customHeight="1" x14ac:dyDescent="0.15">
      <c r="B615" s="51"/>
      <c r="C615" s="51"/>
      <c r="D615" s="51"/>
      <c r="E615" s="51"/>
      <c r="F615" s="51"/>
      <c r="G615" s="51"/>
      <c r="H615" s="51"/>
      <c r="I615" s="51"/>
      <c r="J615" s="51"/>
      <c r="K615" s="51"/>
      <c r="L615" s="51"/>
      <c r="M615" s="51"/>
      <c r="N615" s="51"/>
    </row>
    <row r="616" spans="2:14" ht="12.75" customHeight="1" x14ac:dyDescent="0.15">
      <c r="B616" s="51"/>
      <c r="C616" s="51"/>
      <c r="D616" s="51"/>
      <c r="E616" s="51"/>
      <c r="F616" s="51"/>
      <c r="G616" s="51"/>
      <c r="H616" s="51"/>
      <c r="I616" s="51"/>
      <c r="J616" s="51"/>
      <c r="K616" s="51"/>
      <c r="L616" s="51"/>
      <c r="M616" s="51"/>
      <c r="N616" s="51"/>
    </row>
    <row r="617" spans="2:14" ht="12.75" customHeight="1" x14ac:dyDescent="0.15">
      <c r="B617" s="51"/>
      <c r="C617" s="51"/>
      <c r="D617" s="51"/>
      <c r="E617" s="51"/>
      <c r="F617" s="51"/>
      <c r="G617" s="51"/>
      <c r="H617" s="51"/>
      <c r="I617" s="51"/>
      <c r="J617" s="51"/>
      <c r="K617" s="51"/>
      <c r="L617" s="51"/>
      <c r="M617" s="51"/>
      <c r="N617" s="51"/>
    </row>
    <row r="618" spans="2:14" ht="12.75" customHeight="1" x14ac:dyDescent="0.15">
      <c r="B618" s="51"/>
      <c r="C618" s="51"/>
      <c r="D618" s="51"/>
      <c r="E618" s="51"/>
      <c r="F618" s="51"/>
      <c r="G618" s="51"/>
      <c r="H618" s="51"/>
      <c r="I618" s="51"/>
      <c r="J618" s="51"/>
      <c r="K618" s="51"/>
      <c r="L618" s="51"/>
      <c r="M618" s="51"/>
      <c r="N618" s="51"/>
    </row>
    <row r="619" spans="2:14" ht="12.75" customHeight="1" x14ac:dyDescent="0.15">
      <c r="B619" s="51"/>
      <c r="C619" s="51"/>
      <c r="D619" s="51"/>
      <c r="E619" s="51"/>
      <c r="F619" s="51"/>
      <c r="G619" s="51"/>
      <c r="H619" s="51"/>
      <c r="I619" s="51"/>
      <c r="J619" s="51"/>
      <c r="K619" s="51"/>
      <c r="L619" s="51"/>
      <c r="M619" s="51"/>
      <c r="N619" s="51"/>
    </row>
    <row r="620" spans="2:14" ht="12.75" customHeight="1" x14ac:dyDescent="0.15">
      <c r="B620" s="51"/>
      <c r="C620" s="51"/>
      <c r="D620" s="51"/>
      <c r="E620" s="51"/>
      <c r="F620" s="51"/>
      <c r="G620" s="51"/>
      <c r="H620" s="51"/>
      <c r="I620" s="51"/>
      <c r="J620" s="51"/>
      <c r="K620" s="51"/>
      <c r="L620" s="51"/>
      <c r="M620" s="51"/>
      <c r="N620" s="51"/>
    </row>
    <row r="621" spans="2:14" ht="12.75" customHeight="1" x14ac:dyDescent="0.15">
      <c r="B621" s="51"/>
      <c r="C621" s="51"/>
      <c r="D621" s="51"/>
      <c r="E621" s="51"/>
      <c r="F621" s="51"/>
      <c r="G621" s="51"/>
      <c r="H621" s="51"/>
      <c r="I621" s="51"/>
      <c r="J621" s="51"/>
      <c r="K621" s="51"/>
      <c r="L621" s="51"/>
      <c r="M621" s="51"/>
      <c r="N621" s="51"/>
    </row>
    <row r="622" spans="2:14" ht="12.75" customHeight="1" x14ac:dyDescent="0.15">
      <c r="B622" s="51"/>
      <c r="C622" s="51"/>
      <c r="D622" s="51"/>
      <c r="E622" s="51"/>
      <c r="F622" s="51"/>
      <c r="G622" s="51"/>
      <c r="H622" s="51"/>
      <c r="I622" s="51"/>
      <c r="J622" s="51"/>
      <c r="K622" s="51"/>
      <c r="L622" s="51"/>
      <c r="M622" s="51"/>
      <c r="N622" s="51"/>
    </row>
    <row r="623" spans="2:14" ht="12.75" customHeight="1" x14ac:dyDescent="0.15">
      <c r="B623" s="51"/>
      <c r="C623" s="51"/>
      <c r="D623" s="51"/>
      <c r="E623" s="51"/>
      <c r="F623" s="51"/>
      <c r="G623" s="51"/>
      <c r="H623" s="51"/>
      <c r="I623" s="51"/>
      <c r="J623" s="51"/>
      <c r="K623" s="51"/>
      <c r="L623" s="51"/>
      <c r="M623" s="51"/>
      <c r="N623" s="51"/>
    </row>
    <row r="624" spans="2:14" ht="12.75" customHeight="1" x14ac:dyDescent="0.15">
      <c r="B624" s="51"/>
      <c r="C624" s="51"/>
      <c r="D624" s="51"/>
      <c r="E624" s="51"/>
      <c r="F624" s="51"/>
      <c r="G624" s="51"/>
      <c r="H624" s="51"/>
      <c r="I624" s="51"/>
      <c r="J624" s="51"/>
      <c r="K624" s="51"/>
      <c r="L624" s="51"/>
      <c r="M624" s="51"/>
      <c r="N624" s="51"/>
    </row>
    <row r="625" spans="2:14" ht="12.75" customHeight="1" x14ac:dyDescent="0.15">
      <c r="B625" s="51"/>
      <c r="C625" s="51"/>
      <c r="D625" s="51"/>
      <c r="E625" s="51"/>
      <c r="F625" s="51"/>
      <c r="G625" s="51"/>
      <c r="H625" s="51"/>
      <c r="I625" s="51"/>
      <c r="J625" s="51"/>
      <c r="K625" s="51"/>
      <c r="L625" s="51"/>
      <c r="M625" s="51"/>
      <c r="N625" s="51"/>
    </row>
    <row r="626" spans="2:14" ht="12.75" customHeight="1" x14ac:dyDescent="0.15">
      <c r="B626" s="51"/>
      <c r="C626" s="51"/>
      <c r="D626" s="51"/>
      <c r="E626" s="51"/>
      <c r="F626" s="51"/>
      <c r="G626" s="51"/>
      <c r="H626" s="51"/>
      <c r="I626" s="51"/>
      <c r="J626" s="51"/>
      <c r="K626" s="51"/>
      <c r="L626" s="51"/>
      <c r="M626" s="51"/>
      <c r="N626" s="51"/>
    </row>
    <row r="627" spans="2:14" ht="12.75" customHeight="1" x14ac:dyDescent="0.15">
      <c r="B627" s="51"/>
      <c r="C627" s="51"/>
      <c r="D627" s="51"/>
      <c r="E627" s="51"/>
      <c r="F627" s="51"/>
      <c r="G627" s="51"/>
      <c r="H627" s="51"/>
      <c r="I627" s="51"/>
      <c r="J627" s="51"/>
      <c r="K627" s="51"/>
      <c r="L627" s="51"/>
      <c r="M627" s="51"/>
      <c r="N627" s="51"/>
    </row>
    <row r="628" spans="2:14" ht="12.75" customHeight="1" x14ac:dyDescent="0.15">
      <c r="B628" s="51"/>
      <c r="C628" s="51"/>
      <c r="D628" s="51"/>
      <c r="E628" s="51"/>
      <c r="F628" s="51"/>
      <c r="G628" s="51"/>
      <c r="H628" s="51"/>
      <c r="I628" s="51"/>
      <c r="J628" s="51"/>
      <c r="K628" s="51"/>
      <c r="L628" s="51"/>
      <c r="M628" s="51"/>
      <c r="N628" s="51"/>
    </row>
    <row r="629" spans="2:14" ht="12.75" customHeight="1" x14ac:dyDescent="0.15">
      <c r="B629" s="51"/>
      <c r="C629" s="51"/>
      <c r="D629" s="51"/>
      <c r="E629" s="51"/>
      <c r="F629" s="51"/>
      <c r="G629" s="51"/>
      <c r="H629" s="51"/>
      <c r="I629" s="51"/>
      <c r="J629" s="51"/>
      <c r="K629" s="51"/>
      <c r="L629" s="51"/>
      <c r="M629" s="51"/>
      <c r="N629" s="51"/>
    </row>
    <row r="630" spans="2:14" ht="12.75" customHeight="1" x14ac:dyDescent="0.15">
      <c r="B630" s="51"/>
      <c r="C630" s="51"/>
      <c r="D630" s="51"/>
      <c r="E630" s="51"/>
      <c r="F630" s="51"/>
      <c r="G630" s="51"/>
      <c r="H630" s="51"/>
      <c r="I630" s="51"/>
      <c r="J630" s="51"/>
      <c r="K630" s="51"/>
      <c r="L630" s="51"/>
      <c r="M630" s="51"/>
      <c r="N630" s="51"/>
    </row>
    <row r="631" spans="2:14" ht="12.75" customHeight="1" x14ac:dyDescent="0.15">
      <c r="B631" s="51"/>
      <c r="C631" s="51"/>
      <c r="D631" s="51"/>
      <c r="E631" s="51"/>
      <c r="F631" s="51"/>
      <c r="G631" s="51"/>
      <c r="H631" s="51"/>
      <c r="I631" s="51"/>
      <c r="J631" s="51"/>
      <c r="K631" s="51"/>
      <c r="L631" s="51"/>
      <c r="M631" s="51"/>
      <c r="N631" s="51"/>
    </row>
    <row r="632" spans="2:14" ht="12.75" customHeight="1" x14ac:dyDescent="0.15">
      <c r="B632" s="51"/>
      <c r="C632" s="51"/>
      <c r="D632" s="51"/>
      <c r="E632" s="51"/>
      <c r="F632" s="51"/>
      <c r="G632" s="51"/>
      <c r="H632" s="51"/>
      <c r="I632" s="51"/>
      <c r="J632" s="51"/>
      <c r="K632" s="51"/>
      <c r="L632" s="51"/>
      <c r="M632" s="51"/>
      <c r="N632" s="51"/>
    </row>
    <row r="633" spans="2:14" ht="12.75" customHeight="1" x14ac:dyDescent="0.15">
      <c r="B633" s="51"/>
      <c r="C633" s="51"/>
      <c r="D633" s="51"/>
      <c r="E633" s="51"/>
      <c r="F633" s="51"/>
      <c r="G633" s="51"/>
      <c r="H633" s="51"/>
      <c r="I633" s="51"/>
      <c r="J633" s="51"/>
      <c r="K633" s="51"/>
      <c r="L633" s="51"/>
      <c r="M633" s="51"/>
      <c r="N633" s="51"/>
    </row>
    <row r="634" spans="2:14" ht="12.75" customHeight="1" x14ac:dyDescent="0.15">
      <c r="B634" s="51"/>
      <c r="C634" s="51"/>
      <c r="D634" s="51"/>
      <c r="E634" s="51"/>
      <c r="F634" s="51"/>
      <c r="G634" s="51"/>
      <c r="H634" s="51"/>
      <c r="I634" s="51"/>
      <c r="J634" s="51"/>
      <c r="K634" s="51"/>
      <c r="L634" s="51"/>
      <c r="M634" s="51"/>
      <c r="N634" s="51"/>
    </row>
    <row r="635" spans="2:14" ht="12.75" customHeight="1" x14ac:dyDescent="0.15">
      <c r="B635" s="51"/>
      <c r="C635" s="51"/>
      <c r="D635" s="51"/>
      <c r="E635" s="51"/>
      <c r="F635" s="51"/>
      <c r="G635" s="51"/>
      <c r="H635" s="51"/>
      <c r="I635" s="51"/>
      <c r="J635" s="51"/>
      <c r="K635" s="51"/>
      <c r="L635" s="51"/>
      <c r="M635" s="51"/>
      <c r="N635" s="51"/>
    </row>
    <row r="636" spans="2:14" ht="12.75" customHeight="1" x14ac:dyDescent="0.15">
      <c r="B636" s="51"/>
      <c r="C636" s="51"/>
      <c r="D636" s="51"/>
      <c r="E636" s="51"/>
      <c r="F636" s="51"/>
      <c r="G636" s="51"/>
      <c r="H636" s="51"/>
      <c r="I636" s="51"/>
      <c r="J636" s="51"/>
      <c r="K636" s="51"/>
      <c r="L636" s="51"/>
      <c r="M636" s="51"/>
      <c r="N636" s="51"/>
    </row>
    <row r="637" spans="2:14" ht="12.75" customHeight="1" x14ac:dyDescent="0.15">
      <c r="B637" s="51"/>
      <c r="C637" s="51"/>
      <c r="D637" s="51"/>
      <c r="E637" s="51"/>
      <c r="F637" s="51"/>
      <c r="G637" s="51"/>
      <c r="H637" s="51"/>
      <c r="I637" s="51"/>
      <c r="J637" s="51"/>
      <c r="K637" s="51"/>
      <c r="L637" s="51"/>
      <c r="M637" s="51"/>
      <c r="N637" s="51"/>
    </row>
    <row r="638" spans="2:14" ht="12.75" customHeight="1" x14ac:dyDescent="0.15">
      <c r="B638" s="51"/>
      <c r="C638" s="51"/>
      <c r="D638" s="51"/>
      <c r="E638" s="51"/>
      <c r="F638" s="51"/>
      <c r="G638" s="51"/>
      <c r="H638" s="51"/>
      <c r="I638" s="51"/>
      <c r="J638" s="51"/>
      <c r="K638" s="51"/>
      <c r="L638" s="51"/>
      <c r="M638" s="51"/>
      <c r="N638" s="51"/>
    </row>
    <row r="639" spans="2:14" ht="12.75" customHeight="1" x14ac:dyDescent="0.15">
      <c r="B639" s="51"/>
      <c r="C639" s="51"/>
      <c r="D639" s="51"/>
      <c r="E639" s="51"/>
      <c r="F639" s="51"/>
      <c r="G639" s="51"/>
      <c r="H639" s="51"/>
      <c r="I639" s="51"/>
      <c r="J639" s="51"/>
      <c r="K639" s="51"/>
      <c r="L639" s="51"/>
      <c r="M639" s="51"/>
      <c r="N639" s="51"/>
    </row>
    <row r="640" spans="2:14" ht="12.75" customHeight="1" x14ac:dyDescent="0.15">
      <c r="B640" s="51"/>
      <c r="C640" s="51"/>
      <c r="D640" s="51"/>
      <c r="E640" s="51"/>
      <c r="F640" s="51"/>
      <c r="G640" s="51"/>
      <c r="H640" s="51"/>
      <c r="I640" s="51"/>
      <c r="J640" s="51"/>
      <c r="K640" s="51"/>
      <c r="L640" s="51"/>
      <c r="M640" s="51"/>
      <c r="N640" s="51"/>
    </row>
    <row r="641" spans="2:14" ht="12.75" customHeight="1" x14ac:dyDescent="0.15">
      <c r="B641" s="51"/>
      <c r="C641" s="51"/>
      <c r="D641" s="51"/>
      <c r="E641" s="51"/>
      <c r="F641" s="51"/>
      <c r="G641" s="51"/>
      <c r="H641" s="51"/>
      <c r="I641" s="51"/>
      <c r="J641" s="51"/>
      <c r="K641" s="51"/>
      <c r="L641" s="51"/>
      <c r="M641" s="51"/>
      <c r="N641" s="51"/>
    </row>
    <row r="642" spans="2:14" ht="12.75" customHeight="1" x14ac:dyDescent="0.15">
      <c r="B642" s="51"/>
      <c r="C642" s="51"/>
      <c r="D642" s="51"/>
      <c r="E642" s="51"/>
      <c r="F642" s="51"/>
      <c r="G642" s="51"/>
      <c r="H642" s="51"/>
      <c r="I642" s="51"/>
      <c r="J642" s="51"/>
      <c r="K642" s="51"/>
      <c r="L642" s="51"/>
      <c r="M642" s="51"/>
      <c r="N642" s="51"/>
    </row>
    <row r="643" spans="2:14" ht="12.75" customHeight="1" x14ac:dyDescent="0.15">
      <c r="B643" s="51"/>
      <c r="C643" s="51"/>
      <c r="D643" s="51"/>
      <c r="E643" s="51"/>
      <c r="F643" s="51"/>
      <c r="G643" s="51"/>
      <c r="H643" s="51"/>
      <c r="I643" s="51"/>
      <c r="J643" s="51"/>
      <c r="K643" s="51"/>
      <c r="L643" s="51"/>
      <c r="M643" s="51"/>
      <c r="N643" s="51"/>
    </row>
    <row r="644" spans="2:14" ht="12.75" customHeight="1" x14ac:dyDescent="0.15">
      <c r="B644" s="51"/>
      <c r="C644" s="51"/>
      <c r="D644" s="51"/>
      <c r="E644" s="51"/>
      <c r="F644" s="51"/>
      <c r="G644" s="51"/>
      <c r="H644" s="51"/>
      <c r="I644" s="51"/>
      <c r="J644" s="51"/>
      <c r="K644" s="51"/>
      <c r="L644" s="51"/>
      <c r="M644" s="51"/>
      <c r="N644" s="51"/>
    </row>
    <row r="645" spans="2:14" ht="12.75" customHeight="1" x14ac:dyDescent="0.15">
      <c r="B645" s="51"/>
      <c r="C645" s="51"/>
      <c r="D645" s="51"/>
      <c r="E645" s="51"/>
      <c r="F645" s="51"/>
      <c r="G645" s="51"/>
      <c r="H645" s="51"/>
      <c r="I645" s="51"/>
      <c r="J645" s="51"/>
      <c r="K645" s="51"/>
      <c r="L645" s="51"/>
      <c r="M645" s="51"/>
      <c r="N645" s="51"/>
    </row>
    <row r="646" spans="2:14" ht="12.75" customHeight="1" x14ac:dyDescent="0.15">
      <c r="B646" s="51"/>
      <c r="C646" s="51"/>
      <c r="D646" s="51"/>
      <c r="E646" s="51"/>
      <c r="F646" s="51"/>
      <c r="G646" s="51"/>
      <c r="H646" s="51"/>
      <c r="I646" s="51"/>
      <c r="J646" s="51"/>
      <c r="K646" s="51"/>
      <c r="L646" s="51"/>
      <c r="M646" s="51"/>
      <c r="N646" s="51"/>
    </row>
    <row r="647" spans="2:14" ht="12.75" customHeight="1" x14ac:dyDescent="0.15">
      <c r="B647" s="51"/>
      <c r="C647" s="51"/>
      <c r="D647" s="51"/>
      <c r="E647" s="51"/>
      <c r="F647" s="51"/>
      <c r="G647" s="51"/>
      <c r="H647" s="51"/>
      <c r="I647" s="51"/>
      <c r="J647" s="51"/>
      <c r="K647" s="51"/>
      <c r="L647" s="51"/>
      <c r="M647" s="51"/>
      <c r="N647" s="51"/>
    </row>
    <row r="648" spans="2:14" ht="12.75" customHeight="1" x14ac:dyDescent="0.15">
      <c r="B648" s="51"/>
      <c r="C648" s="51"/>
      <c r="D648" s="51"/>
      <c r="E648" s="51"/>
      <c r="F648" s="51"/>
      <c r="G648" s="51"/>
      <c r="H648" s="51"/>
      <c r="I648" s="51"/>
      <c r="J648" s="51"/>
      <c r="K648" s="51"/>
      <c r="L648" s="51"/>
      <c r="M648" s="51"/>
      <c r="N648" s="51"/>
    </row>
    <row r="649" spans="2:14" ht="12.75" customHeight="1" x14ac:dyDescent="0.15">
      <c r="B649" s="51"/>
      <c r="C649" s="51"/>
      <c r="D649" s="51"/>
      <c r="E649" s="51"/>
      <c r="F649" s="51"/>
      <c r="G649" s="51"/>
      <c r="H649" s="51"/>
      <c r="I649" s="51"/>
      <c r="J649" s="51"/>
      <c r="K649" s="51"/>
      <c r="L649" s="51"/>
      <c r="M649" s="51"/>
      <c r="N649" s="51"/>
    </row>
    <row r="650" spans="2:14" ht="12.75" customHeight="1" x14ac:dyDescent="0.15">
      <c r="B650" s="51"/>
      <c r="C650" s="51"/>
      <c r="D650" s="51"/>
      <c r="E650" s="51"/>
      <c r="F650" s="51"/>
      <c r="G650" s="51"/>
      <c r="H650" s="51"/>
      <c r="I650" s="51"/>
      <c r="J650" s="51"/>
      <c r="K650" s="51"/>
      <c r="L650" s="51"/>
      <c r="M650" s="51"/>
      <c r="N650" s="51"/>
    </row>
    <row r="651" spans="2:14" ht="12.75" customHeight="1" x14ac:dyDescent="0.15">
      <c r="B651" s="51"/>
      <c r="C651" s="51"/>
      <c r="D651" s="51"/>
      <c r="E651" s="51"/>
      <c r="F651" s="51"/>
      <c r="G651" s="51"/>
      <c r="H651" s="51"/>
      <c r="I651" s="51"/>
      <c r="J651" s="51"/>
      <c r="K651" s="51"/>
      <c r="L651" s="51"/>
      <c r="M651" s="51"/>
      <c r="N651" s="51"/>
    </row>
    <row r="652" spans="2:14" ht="12.75" customHeight="1" x14ac:dyDescent="0.15">
      <c r="B652" s="51"/>
      <c r="C652" s="51"/>
      <c r="D652" s="51"/>
      <c r="E652" s="51"/>
      <c r="F652" s="51"/>
      <c r="G652" s="51"/>
      <c r="H652" s="51"/>
      <c r="I652" s="51"/>
      <c r="J652" s="51"/>
      <c r="K652" s="51"/>
      <c r="L652" s="51"/>
      <c r="M652" s="51"/>
      <c r="N652" s="51"/>
    </row>
    <row r="653" spans="2:14" ht="12.75" customHeight="1" x14ac:dyDescent="0.15">
      <c r="B653" s="51"/>
      <c r="C653" s="51"/>
      <c r="D653" s="51"/>
      <c r="E653" s="51"/>
      <c r="F653" s="51"/>
      <c r="G653" s="51"/>
      <c r="H653" s="51"/>
      <c r="I653" s="51"/>
      <c r="J653" s="51"/>
      <c r="K653" s="51"/>
      <c r="L653" s="51"/>
      <c r="M653" s="51"/>
      <c r="N653" s="51"/>
    </row>
    <row r="654" spans="2:14" ht="12.75" customHeight="1" x14ac:dyDescent="0.15">
      <c r="B654" s="51"/>
      <c r="C654" s="51"/>
      <c r="D654" s="51"/>
      <c r="E654" s="51"/>
      <c r="F654" s="51"/>
      <c r="G654" s="51"/>
      <c r="H654" s="51"/>
      <c r="I654" s="51"/>
      <c r="J654" s="51"/>
      <c r="K654" s="51"/>
      <c r="L654" s="51"/>
      <c r="M654" s="51"/>
      <c r="N654" s="51"/>
    </row>
    <row r="655" spans="2:14" ht="12.75" customHeight="1" x14ac:dyDescent="0.15">
      <c r="B655" s="51"/>
      <c r="C655" s="51"/>
      <c r="D655" s="51"/>
      <c r="E655" s="51"/>
      <c r="F655" s="51"/>
      <c r="G655" s="51"/>
      <c r="H655" s="51"/>
      <c r="I655" s="51"/>
      <c r="J655" s="51"/>
      <c r="K655" s="51"/>
      <c r="L655" s="51"/>
      <c r="M655" s="51"/>
      <c r="N655" s="51"/>
    </row>
    <row r="656" spans="2:14" ht="12.75" customHeight="1" x14ac:dyDescent="0.15">
      <c r="B656" s="51"/>
      <c r="C656" s="51"/>
      <c r="D656" s="51"/>
      <c r="E656" s="51"/>
      <c r="F656" s="51"/>
      <c r="G656" s="51"/>
      <c r="H656" s="51"/>
      <c r="I656" s="51"/>
      <c r="J656" s="51"/>
      <c r="K656" s="51"/>
      <c r="L656" s="51"/>
      <c r="M656" s="51"/>
      <c r="N656" s="51"/>
    </row>
    <row r="657" spans="2:14" ht="12.75" customHeight="1" x14ac:dyDescent="0.15">
      <c r="B657" s="51"/>
      <c r="C657" s="51"/>
      <c r="D657" s="51"/>
      <c r="E657" s="51"/>
      <c r="F657" s="51"/>
      <c r="G657" s="51"/>
      <c r="H657" s="51"/>
      <c r="I657" s="51"/>
      <c r="J657" s="51"/>
      <c r="K657" s="51"/>
      <c r="L657" s="51"/>
      <c r="M657" s="51"/>
      <c r="N657" s="51"/>
    </row>
    <row r="658" spans="2:14" ht="12.75" customHeight="1" x14ac:dyDescent="0.15">
      <c r="B658" s="51"/>
      <c r="C658" s="51"/>
      <c r="D658" s="51"/>
      <c r="E658" s="51"/>
      <c r="F658" s="51"/>
      <c r="G658" s="51"/>
      <c r="H658" s="51"/>
      <c r="I658" s="51"/>
      <c r="J658" s="51"/>
      <c r="K658" s="51"/>
      <c r="L658" s="51"/>
      <c r="M658" s="51"/>
      <c r="N658" s="51"/>
    </row>
    <row r="659" spans="2:14" ht="12.75" customHeight="1" x14ac:dyDescent="0.15">
      <c r="B659" s="51"/>
      <c r="C659" s="51"/>
      <c r="D659" s="51"/>
      <c r="E659" s="51"/>
      <c r="F659" s="51"/>
      <c r="G659" s="51"/>
      <c r="H659" s="51"/>
      <c r="I659" s="51"/>
      <c r="J659" s="51"/>
      <c r="K659" s="51"/>
      <c r="L659" s="51"/>
      <c r="M659" s="51"/>
      <c r="N659" s="51"/>
    </row>
    <row r="660" spans="2:14" ht="12.75" customHeight="1" x14ac:dyDescent="0.15">
      <c r="B660" s="51"/>
      <c r="C660" s="51"/>
      <c r="D660" s="51"/>
      <c r="E660" s="51"/>
      <c r="F660" s="51"/>
      <c r="G660" s="51"/>
      <c r="H660" s="51"/>
      <c r="I660" s="51"/>
      <c r="J660" s="51"/>
      <c r="K660" s="51"/>
      <c r="L660" s="51"/>
      <c r="M660" s="51"/>
      <c r="N660" s="51"/>
    </row>
    <row r="661" spans="2:14" ht="12.75" customHeight="1" x14ac:dyDescent="0.15">
      <c r="B661" s="51"/>
      <c r="C661" s="51"/>
      <c r="D661" s="51"/>
      <c r="E661" s="51"/>
      <c r="F661" s="51"/>
      <c r="G661" s="51"/>
      <c r="H661" s="51"/>
      <c r="I661" s="51"/>
      <c r="J661" s="51"/>
      <c r="K661" s="51"/>
      <c r="L661" s="51"/>
      <c r="M661" s="51"/>
      <c r="N661" s="51"/>
    </row>
    <row r="662" spans="2:14" ht="12.75" customHeight="1" x14ac:dyDescent="0.15">
      <c r="B662" s="51"/>
      <c r="C662" s="51"/>
      <c r="D662" s="51"/>
      <c r="E662" s="51"/>
      <c r="F662" s="51"/>
      <c r="G662" s="51"/>
      <c r="H662" s="51"/>
      <c r="I662" s="51"/>
      <c r="J662" s="51"/>
      <c r="K662" s="51"/>
      <c r="L662" s="51"/>
      <c r="M662" s="51"/>
      <c r="N662" s="51"/>
    </row>
    <row r="663" spans="2:14" ht="12.75" customHeight="1" x14ac:dyDescent="0.15">
      <c r="B663" s="51"/>
      <c r="C663" s="51"/>
      <c r="D663" s="51"/>
      <c r="E663" s="51"/>
      <c r="F663" s="51"/>
      <c r="G663" s="51"/>
      <c r="H663" s="51"/>
      <c r="I663" s="51"/>
      <c r="J663" s="51"/>
      <c r="K663" s="51"/>
      <c r="L663" s="51"/>
      <c r="M663" s="51"/>
      <c r="N663" s="51"/>
    </row>
    <row r="664" spans="2:14" ht="12.75" customHeight="1" x14ac:dyDescent="0.15">
      <c r="B664" s="51"/>
      <c r="C664" s="51"/>
      <c r="D664" s="51"/>
      <c r="E664" s="51"/>
      <c r="F664" s="51"/>
      <c r="G664" s="51"/>
      <c r="H664" s="51"/>
      <c r="I664" s="51"/>
      <c r="J664" s="51"/>
      <c r="K664" s="51"/>
      <c r="L664" s="51"/>
      <c r="M664" s="51"/>
      <c r="N664" s="51"/>
    </row>
    <row r="665" spans="2:14" ht="12.75" customHeight="1" x14ac:dyDescent="0.15">
      <c r="B665" s="51"/>
      <c r="C665" s="51"/>
      <c r="D665" s="51"/>
      <c r="E665" s="51"/>
      <c r="F665" s="51"/>
      <c r="G665" s="51"/>
      <c r="H665" s="51"/>
      <c r="I665" s="51"/>
      <c r="J665" s="51"/>
      <c r="K665" s="51"/>
      <c r="L665" s="51"/>
      <c r="M665" s="51"/>
      <c r="N665" s="51"/>
    </row>
    <row r="666" spans="2:14" ht="12.75" customHeight="1" x14ac:dyDescent="0.15">
      <c r="B666" s="51"/>
      <c r="C666" s="51"/>
      <c r="D666" s="51"/>
      <c r="E666" s="51"/>
      <c r="F666" s="51"/>
      <c r="G666" s="51"/>
      <c r="H666" s="51"/>
      <c r="I666" s="51"/>
      <c r="J666" s="51"/>
      <c r="K666" s="51"/>
      <c r="L666" s="51"/>
      <c r="M666" s="51"/>
      <c r="N666" s="51"/>
    </row>
    <row r="667" spans="2:14" ht="12.75" customHeight="1" x14ac:dyDescent="0.15">
      <c r="B667" s="51"/>
      <c r="C667" s="51"/>
      <c r="D667" s="51"/>
      <c r="E667" s="51"/>
      <c r="F667" s="51"/>
      <c r="G667" s="51"/>
      <c r="H667" s="51"/>
      <c r="I667" s="51"/>
      <c r="J667" s="51"/>
      <c r="K667" s="51"/>
      <c r="L667" s="51"/>
      <c r="M667" s="51"/>
      <c r="N667" s="51"/>
    </row>
    <row r="668" spans="2:14" ht="12.75" customHeight="1" x14ac:dyDescent="0.15">
      <c r="B668" s="51"/>
      <c r="C668" s="51"/>
      <c r="D668" s="51"/>
      <c r="E668" s="51"/>
      <c r="F668" s="51"/>
      <c r="G668" s="51"/>
      <c r="H668" s="51"/>
      <c r="I668" s="51"/>
      <c r="J668" s="51"/>
      <c r="K668" s="51"/>
      <c r="L668" s="51"/>
      <c r="M668" s="51"/>
      <c r="N668" s="51"/>
    </row>
    <row r="669" spans="2:14" ht="12.75" customHeight="1" x14ac:dyDescent="0.15">
      <c r="B669" s="51"/>
      <c r="C669" s="51"/>
      <c r="D669" s="51"/>
      <c r="E669" s="51"/>
      <c r="F669" s="51"/>
      <c r="G669" s="51"/>
      <c r="H669" s="51"/>
      <c r="I669" s="51"/>
      <c r="J669" s="51"/>
      <c r="K669" s="51"/>
      <c r="L669" s="51"/>
      <c r="M669" s="51"/>
      <c r="N669" s="51"/>
    </row>
    <row r="670" spans="2:14" ht="12.75" customHeight="1" x14ac:dyDescent="0.15">
      <c r="B670" s="51"/>
      <c r="C670" s="51"/>
      <c r="D670" s="51"/>
      <c r="E670" s="51"/>
      <c r="F670" s="51"/>
      <c r="G670" s="51"/>
      <c r="H670" s="51"/>
      <c r="I670" s="51"/>
      <c r="J670" s="51"/>
      <c r="K670" s="51"/>
      <c r="L670" s="51"/>
      <c r="M670" s="51"/>
      <c r="N670" s="51"/>
    </row>
    <row r="671" spans="2:14" ht="12.75" customHeight="1" x14ac:dyDescent="0.15">
      <c r="B671" s="51"/>
      <c r="C671" s="51"/>
      <c r="D671" s="51"/>
      <c r="E671" s="51"/>
      <c r="F671" s="51"/>
      <c r="G671" s="51"/>
      <c r="H671" s="51"/>
      <c r="I671" s="51"/>
      <c r="J671" s="51"/>
      <c r="K671" s="51"/>
      <c r="L671" s="51"/>
      <c r="M671" s="51"/>
      <c r="N671" s="51"/>
    </row>
    <row r="672" spans="2:14" ht="12.75" customHeight="1" x14ac:dyDescent="0.15">
      <c r="B672" s="51"/>
      <c r="C672" s="51"/>
      <c r="D672" s="51"/>
      <c r="E672" s="51"/>
      <c r="F672" s="51"/>
      <c r="G672" s="51"/>
      <c r="H672" s="51"/>
      <c r="I672" s="51"/>
      <c r="J672" s="51"/>
      <c r="K672" s="51"/>
      <c r="L672" s="51"/>
      <c r="M672" s="51"/>
      <c r="N672" s="51"/>
    </row>
    <row r="673" spans="2:14" ht="12.75" customHeight="1" x14ac:dyDescent="0.15">
      <c r="B673" s="51"/>
      <c r="C673" s="51"/>
      <c r="D673" s="51"/>
      <c r="E673" s="51"/>
      <c r="F673" s="51"/>
      <c r="G673" s="51"/>
      <c r="H673" s="51"/>
      <c r="I673" s="51"/>
      <c r="J673" s="51"/>
      <c r="K673" s="51"/>
      <c r="L673" s="51"/>
      <c r="M673" s="51"/>
      <c r="N673" s="51"/>
    </row>
    <row r="674" spans="2:14" ht="12.75" customHeight="1" x14ac:dyDescent="0.15">
      <c r="B674" s="51"/>
      <c r="C674" s="51"/>
      <c r="D674" s="51"/>
      <c r="E674" s="51"/>
      <c r="F674" s="51"/>
      <c r="G674" s="51"/>
      <c r="H674" s="51"/>
      <c r="I674" s="51"/>
      <c r="J674" s="51"/>
      <c r="K674" s="51"/>
      <c r="L674" s="51"/>
      <c r="M674" s="51"/>
      <c r="N674" s="51"/>
    </row>
    <row r="675" spans="2:14" ht="12.75" customHeight="1" x14ac:dyDescent="0.15">
      <c r="B675" s="51"/>
      <c r="C675" s="51"/>
      <c r="D675" s="51"/>
      <c r="E675" s="51"/>
      <c r="F675" s="51"/>
      <c r="G675" s="51"/>
      <c r="H675" s="51"/>
      <c r="I675" s="51"/>
      <c r="J675" s="51"/>
      <c r="K675" s="51"/>
      <c r="L675" s="51"/>
      <c r="M675" s="51"/>
      <c r="N675" s="51"/>
    </row>
    <row r="676" spans="2:14" ht="12.75" customHeight="1" x14ac:dyDescent="0.15">
      <c r="B676" s="51"/>
      <c r="C676" s="51"/>
      <c r="D676" s="51"/>
      <c r="E676" s="51"/>
      <c r="F676" s="51"/>
      <c r="G676" s="51"/>
      <c r="H676" s="51"/>
      <c r="I676" s="51"/>
      <c r="J676" s="51"/>
      <c r="K676" s="51"/>
      <c r="L676" s="51"/>
      <c r="M676" s="51"/>
      <c r="N676" s="51"/>
    </row>
    <row r="677" spans="2:14" ht="12.75" customHeight="1" x14ac:dyDescent="0.15">
      <c r="B677" s="51"/>
      <c r="C677" s="51"/>
      <c r="D677" s="51"/>
      <c r="E677" s="51"/>
      <c r="F677" s="51"/>
      <c r="G677" s="51"/>
      <c r="H677" s="51"/>
      <c r="I677" s="51"/>
      <c r="J677" s="51"/>
      <c r="K677" s="51"/>
      <c r="L677" s="51"/>
      <c r="M677" s="51"/>
      <c r="N677" s="51"/>
    </row>
    <row r="678" spans="2:14" ht="12.75" customHeight="1" x14ac:dyDescent="0.15">
      <c r="B678" s="51"/>
      <c r="C678" s="51"/>
      <c r="D678" s="51"/>
      <c r="E678" s="51"/>
      <c r="F678" s="51"/>
      <c r="G678" s="51"/>
      <c r="H678" s="51"/>
      <c r="I678" s="51"/>
      <c r="J678" s="51"/>
      <c r="K678" s="51"/>
      <c r="L678" s="51"/>
      <c r="M678" s="51"/>
      <c r="N678" s="51"/>
    </row>
    <row r="679" spans="2:14" ht="12.75" customHeight="1" x14ac:dyDescent="0.15">
      <c r="B679" s="51"/>
      <c r="C679" s="51"/>
      <c r="D679" s="51"/>
      <c r="E679" s="51"/>
      <c r="F679" s="51"/>
      <c r="G679" s="51"/>
      <c r="H679" s="51"/>
      <c r="I679" s="51"/>
      <c r="J679" s="51"/>
      <c r="K679" s="51"/>
      <c r="L679" s="51"/>
      <c r="M679" s="51"/>
      <c r="N679" s="51"/>
    </row>
    <row r="680" spans="2:14" ht="12.75" customHeight="1" x14ac:dyDescent="0.15">
      <c r="B680" s="51"/>
      <c r="C680" s="51"/>
      <c r="D680" s="51"/>
      <c r="E680" s="51"/>
      <c r="F680" s="51"/>
      <c r="G680" s="51"/>
      <c r="H680" s="51"/>
      <c r="I680" s="51"/>
      <c r="J680" s="51"/>
      <c r="K680" s="51"/>
      <c r="L680" s="51"/>
      <c r="M680" s="51"/>
      <c r="N680" s="51"/>
    </row>
    <row r="681" spans="2:14" ht="12.75" customHeight="1" x14ac:dyDescent="0.15">
      <c r="B681" s="51"/>
      <c r="C681" s="51"/>
      <c r="D681" s="51"/>
      <c r="E681" s="51"/>
      <c r="F681" s="51"/>
      <c r="G681" s="51"/>
      <c r="H681" s="51"/>
      <c r="I681" s="51"/>
      <c r="J681" s="51"/>
      <c r="K681" s="51"/>
      <c r="L681" s="51"/>
      <c r="M681" s="51"/>
      <c r="N681" s="51"/>
    </row>
    <row r="682" spans="2:14" ht="12.75" customHeight="1" x14ac:dyDescent="0.15">
      <c r="B682" s="51"/>
      <c r="C682" s="51"/>
      <c r="D682" s="51"/>
      <c r="E682" s="51"/>
      <c r="F682" s="51"/>
      <c r="G682" s="51"/>
      <c r="H682" s="51"/>
      <c r="I682" s="51"/>
      <c r="J682" s="51"/>
      <c r="K682" s="51"/>
      <c r="L682" s="51"/>
      <c r="M682" s="51"/>
      <c r="N682" s="51"/>
    </row>
    <row r="683" spans="2:14" ht="12.75" customHeight="1" x14ac:dyDescent="0.15">
      <c r="B683" s="51"/>
      <c r="C683" s="51"/>
      <c r="D683" s="51"/>
      <c r="E683" s="51"/>
      <c r="F683" s="51"/>
      <c r="G683" s="51"/>
      <c r="H683" s="51"/>
      <c r="I683" s="51"/>
      <c r="J683" s="51"/>
      <c r="K683" s="51"/>
      <c r="L683" s="51"/>
      <c r="M683" s="51"/>
      <c r="N683" s="51"/>
    </row>
    <row r="684" spans="2:14" ht="12.75" customHeight="1" x14ac:dyDescent="0.15">
      <c r="B684" s="51"/>
      <c r="C684" s="51"/>
      <c r="D684" s="51"/>
      <c r="E684" s="51"/>
      <c r="F684" s="51"/>
      <c r="G684" s="51"/>
      <c r="H684" s="51"/>
      <c r="I684" s="51"/>
      <c r="J684" s="51"/>
      <c r="K684" s="51"/>
      <c r="L684" s="51"/>
      <c r="M684" s="51"/>
      <c r="N684" s="51"/>
    </row>
    <row r="685" spans="2:14" ht="12.75" customHeight="1" x14ac:dyDescent="0.15">
      <c r="B685" s="51"/>
      <c r="C685" s="51"/>
      <c r="D685" s="51"/>
      <c r="E685" s="51"/>
      <c r="F685" s="51"/>
      <c r="G685" s="51"/>
      <c r="H685" s="51"/>
      <c r="I685" s="51"/>
      <c r="J685" s="51"/>
      <c r="K685" s="51"/>
      <c r="L685" s="51"/>
      <c r="M685" s="51"/>
      <c r="N685" s="51"/>
    </row>
    <row r="686" spans="2:14" ht="12.75" customHeight="1" x14ac:dyDescent="0.15">
      <c r="B686" s="51"/>
      <c r="C686" s="51"/>
      <c r="D686" s="51"/>
      <c r="E686" s="51"/>
      <c r="F686" s="51"/>
      <c r="G686" s="51"/>
      <c r="H686" s="51"/>
      <c r="I686" s="51"/>
      <c r="J686" s="51"/>
      <c r="K686" s="51"/>
      <c r="L686" s="51"/>
      <c r="M686" s="51"/>
      <c r="N686" s="51"/>
    </row>
    <row r="687" spans="2:14" ht="12.75" customHeight="1" x14ac:dyDescent="0.15">
      <c r="B687" s="51"/>
      <c r="C687" s="51"/>
      <c r="D687" s="51"/>
      <c r="E687" s="51"/>
      <c r="F687" s="51"/>
      <c r="G687" s="51"/>
      <c r="H687" s="51"/>
      <c r="I687" s="51"/>
      <c r="J687" s="51"/>
      <c r="K687" s="51"/>
      <c r="L687" s="51"/>
      <c r="M687" s="51"/>
      <c r="N687" s="51"/>
    </row>
    <row r="688" spans="2:14" ht="12.75" customHeight="1" x14ac:dyDescent="0.15">
      <c r="B688" s="51"/>
      <c r="C688" s="51"/>
      <c r="D688" s="51"/>
      <c r="E688" s="51"/>
      <c r="F688" s="51"/>
      <c r="G688" s="51"/>
      <c r="H688" s="51"/>
      <c r="I688" s="51"/>
      <c r="J688" s="51"/>
      <c r="K688" s="51"/>
      <c r="L688" s="51"/>
      <c r="M688" s="51"/>
      <c r="N688" s="51"/>
    </row>
    <row r="689" spans="2:14" ht="12.75" customHeight="1" x14ac:dyDescent="0.15">
      <c r="B689" s="51"/>
      <c r="C689" s="51"/>
      <c r="D689" s="51"/>
      <c r="E689" s="51"/>
      <c r="F689" s="51"/>
      <c r="G689" s="51"/>
      <c r="H689" s="51"/>
      <c r="I689" s="51"/>
      <c r="J689" s="51"/>
      <c r="K689" s="51"/>
      <c r="L689" s="51"/>
      <c r="M689" s="51"/>
      <c r="N689" s="51"/>
    </row>
    <row r="690" spans="2:14" ht="12.75" customHeight="1" x14ac:dyDescent="0.15">
      <c r="B690" s="51"/>
      <c r="C690" s="51"/>
      <c r="D690" s="51"/>
      <c r="E690" s="51"/>
      <c r="F690" s="51"/>
      <c r="G690" s="51"/>
      <c r="H690" s="51"/>
      <c r="I690" s="51"/>
      <c r="J690" s="51"/>
      <c r="K690" s="51"/>
      <c r="L690" s="51"/>
      <c r="M690" s="51"/>
      <c r="N690" s="51"/>
    </row>
    <row r="691" spans="2:14" ht="12.75" customHeight="1" x14ac:dyDescent="0.15">
      <c r="B691" s="51"/>
      <c r="C691" s="51"/>
      <c r="D691" s="51"/>
      <c r="E691" s="51"/>
      <c r="F691" s="51"/>
      <c r="G691" s="51"/>
      <c r="H691" s="51"/>
      <c r="I691" s="51"/>
      <c r="J691" s="51"/>
      <c r="K691" s="51"/>
      <c r="L691" s="51"/>
      <c r="M691" s="51"/>
      <c r="N691" s="51"/>
    </row>
    <row r="692" spans="2:14" ht="12.75" customHeight="1" x14ac:dyDescent="0.15">
      <c r="B692" s="51"/>
      <c r="C692" s="51"/>
      <c r="D692" s="51"/>
      <c r="E692" s="51"/>
      <c r="F692" s="51"/>
      <c r="G692" s="51"/>
      <c r="H692" s="51"/>
      <c r="I692" s="51"/>
      <c r="J692" s="51"/>
      <c r="K692" s="51"/>
      <c r="L692" s="51"/>
      <c r="M692" s="51"/>
      <c r="N692" s="51"/>
    </row>
    <row r="693" spans="2:14" ht="12.75" customHeight="1" x14ac:dyDescent="0.15">
      <c r="B693" s="51"/>
      <c r="C693" s="51"/>
      <c r="D693" s="51"/>
      <c r="E693" s="51"/>
      <c r="F693" s="51"/>
      <c r="G693" s="51"/>
      <c r="H693" s="51"/>
      <c r="I693" s="51"/>
      <c r="J693" s="51"/>
      <c r="K693" s="51"/>
      <c r="L693" s="51"/>
      <c r="M693" s="51"/>
      <c r="N693" s="51"/>
    </row>
    <row r="694" spans="2:14" ht="12.75" customHeight="1" x14ac:dyDescent="0.15">
      <c r="B694" s="51"/>
      <c r="C694" s="51"/>
      <c r="D694" s="51"/>
      <c r="E694" s="51"/>
      <c r="F694" s="51"/>
      <c r="G694" s="51"/>
      <c r="H694" s="51"/>
      <c r="I694" s="51"/>
      <c r="J694" s="51"/>
      <c r="K694" s="51"/>
      <c r="L694" s="51"/>
      <c r="M694" s="51"/>
      <c r="N694" s="51"/>
    </row>
    <row r="695" spans="2:14" ht="12.75" customHeight="1" x14ac:dyDescent="0.15">
      <c r="B695" s="51"/>
      <c r="C695" s="51"/>
      <c r="D695" s="51"/>
      <c r="E695" s="51"/>
      <c r="F695" s="51"/>
      <c r="G695" s="51"/>
      <c r="H695" s="51"/>
      <c r="I695" s="51"/>
      <c r="J695" s="51"/>
      <c r="K695" s="51"/>
      <c r="L695" s="51"/>
      <c r="M695" s="51"/>
      <c r="N695" s="51"/>
    </row>
    <row r="696" spans="2:14" ht="12.75" customHeight="1" x14ac:dyDescent="0.15">
      <c r="B696" s="51"/>
      <c r="C696" s="51"/>
      <c r="D696" s="51"/>
      <c r="E696" s="51"/>
      <c r="F696" s="51"/>
      <c r="G696" s="51"/>
      <c r="H696" s="51"/>
      <c r="I696" s="51"/>
      <c r="J696" s="51"/>
      <c r="K696" s="51"/>
      <c r="L696" s="51"/>
      <c r="M696" s="51"/>
      <c r="N696" s="51"/>
    </row>
    <row r="697" spans="2:14" ht="12.75" customHeight="1" x14ac:dyDescent="0.15">
      <c r="B697" s="51"/>
      <c r="C697" s="51"/>
      <c r="D697" s="51"/>
      <c r="E697" s="51"/>
      <c r="F697" s="51"/>
      <c r="G697" s="51"/>
      <c r="H697" s="51"/>
      <c r="I697" s="51"/>
      <c r="J697" s="51"/>
      <c r="K697" s="51"/>
      <c r="L697" s="51"/>
      <c r="M697" s="51"/>
      <c r="N697" s="51"/>
    </row>
    <row r="698" spans="2:14" ht="12.75" customHeight="1" x14ac:dyDescent="0.15">
      <c r="B698" s="51"/>
      <c r="C698" s="51"/>
      <c r="D698" s="51"/>
      <c r="E698" s="51"/>
      <c r="F698" s="51"/>
      <c r="G698" s="51"/>
      <c r="H698" s="51"/>
      <c r="I698" s="51"/>
      <c r="J698" s="51"/>
      <c r="K698" s="51"/>
      <c r="L698" s="51"/>
      <c r="M698" s="51"/>
      <c r="N698" s="51"/>
    </row>
    <row r="699" spans="2:14" ht="12.75" customHeight="1" x14ac:dyDescent="0.15">
      <c r="B699" s="51"/>
      <c r="C699" s="51"/>
      <c r="D699" s="51"/>
      <c r="E699" s="51"/>
      <c r="F699" s="51"/>
      <c r="G699" s="51"/>
      <c r="H699" s="51"/>
      <c r="I699" s="51"/>
      <c r="J699" s="51"/>
      <c r="K699" s="51"/>
      <c r="L699" s="51"/>
      <c r="M699" s="51"/>
      <c r="N699" s="51"/>
    </row>
    <row r="700" spans="2:14" ht="12.75" customHeight="1" x14ac:dyDescent="0.15">
      <c r="B700" s="51"/>
      <c r="C700" s="51"/>
      <c r="D700" s="51"/>
      <c r="E700" s="51"/>
      <c r="F700" s="51"/>
      <c r="G700" s="51"/>
      <c r="H700" s="51"/>
      <c r="I700" s="51"/>
      <c r="J700" s="51"/>
      <c r="K700" s="51"/>
      <c r="L700" s="51"/>
      <c r="M700" s="51"/>
      <c r="N700" s="51"/>
    </row>
    <row r="701" spans="2:14" ht="12.75" customHeight="1" x14ac:dyDescent="0.15">
      <c r="B701" s="51"/>
      <c r="C701" s="51"/>
      <c r="D701" s="51"/>
      <c r="E701" s="51"/>
      <c r="F701" s="51"/>
      <c r="G701" s="51"/>
      <c r="H701" s="51"/>
      <c r="I701" s="51"/>
      <c r="J701" s="51"/>
      <c r="K701" s="51"/>
      <c r="L701" s="51"/>
      <c r="M701" s="51"/>
      <c r="N701" s="51"/>
    </row>
    <row r="702" spans="2:14" ht="12.75" customHeight="1" x14ac:dyDescent="0.15">
      <c r="B702" s="51"/>
      <c r="C702" s="51"/>
      <c r="D702" s="51"/>
      <c r="E702" s="51"/>
      <c r="F702" s="51"/>
      <c r="G702" s="51"/>
      <c r="H702" s="51"/>
      <c r="I702" s="51"/>
      <c r="J702" s="51"/>
      <c r="K702" s="51"/>
      <c r="L702" s="51"/>
      <c r="M702" s="51"/>
      <c r="N702" s="51"/>
    </row>
    <row r="703" spans="2:14" ht="12.75" customHeight="1" x14ac:dyDescent="0.15">
      <c r="B703" s="51"/>
      <c r="C703" s="51"/>
      <c r="D703" s="51"/>
      <c r="E703" s="51"/>
      <c r="F703" s="51"/>
      <c r="G703" s="51"/>
      <c r="H703" s="51"/>
      <c r="I703" s="51"/>
      <c r="J703" s="51"/>
      <c r="K703" s="51"/>
      <c r="L703" s="51"/>
      <c r="M703" s="51"/>
      <c r="N703" s="51"/>
    </row>
    <row r="704" spans="2:14" ht="12.75" customHeight="1" x14ac:dyDescent="0.15">
      <c r="B704" s="51"/>
      <c r="C704" s="51"/>
      <c r="D704" s="51"/>
      <c r="E704" s="51"/>
      <c r="F704" s="51"/>
      <c r="G704" s="51"/>
      <c r="H704" s="51"/>
      <c r="I704" s="51"/>
      <c r="J704" s="51"/>
      <c r="K704" s="51"/>
      <c r="L704" s="51"/>
      <c r="M704" s="51"/>
      <c r="N704" s="51"/>
    </row>
    <row r="705" spans="2:14" ht="12.75" customHeight="1" x14ac:dyDescent="0.15">
      <c r="B705" s="51"/>
      <c r="C705" s="51"/>
      <c r="D705" s="51"/>
      <c r="E705" s="51"/>
      <c r="F705" s="51"/>
      <c r="G705" s="51"/>
      <c r="H705" s="51"/>
      <c r="I705" s="51"/>
      <c r="J705" s="51"/>
      <c r="K705" s="51"/>
      <c r="L705" s="51"/>
      <c r="M705" s="51"/>
      <c r="N705" s="51"/>
    </row>
    <row r="706" spans="2:14" ht="12.75" customHeight="1" x14ac:dyDescent="0.15">
      <c r="B706" s="51"/>
      <c r="C706" s="51"/>
      <c r="D706" s="51"/>
      <c r="E706" s="51"/>
      <c r="F706" s="51"/>
      <c r="G706" s="51"/>
      <c r="H706" s="51"/>
      <c r="I706" s="51"/>
      <c r="J706" s="51"/>
      <c r="K706" s="51"/>
      <c r="L706" s="51"/>
      <c r="M706" s="51"/>
      <c r="N706" s="51"/>
    </row>
    <row r="707" spans="2:14" ht="12.75" customHeight="1" x14ac:dyDescent="0.15">
      <c r="B707" s="51"/>
      <c r="C707" s="51"/>
      <c r="D707" s="51"/>
      <c r="E707" s="51"/>
      <c r="F707" s="51"/>
      <c r="G707" s="51"/>
      <c r="H707" s="51"/>
      <c r="I707" s="51"/>
      <c r="J707" s="51"/>
      <c r="K707" s="51"/>
      <c r="L707" s="51"/>
      <c r="M707" s="51"/>
      <c r="N707" s="51"/>
    </row>
    <row r="708" spans="2:14" ht="12.75" customHeight="1" x14ac:dyDescent="0.15">
      <c r="B708" s="51"/>
      <c r="C708" s="51"/>
      <c r="D708" s="51"/>
      <c r="E708" s="51"/>
      <c r="F708" s="51"/>
      <c r="G708" s="51"/>
      <c r="H708" s="51"/>
      <c r="I708" s="51"/>
      <c r="J708" s="51"/>
      <c r="K708" s="51"/>
      <c r="L708" s="51"/>
      <c r="M708" s="51"/>
      <c r="N708" s="51"/>
    </row>
    <row r="709" spans="2:14" ht="12.75" customHeight="1" x14ac:dyDescent="0.15">
      <c r="B709" s="51"/>
      <c r="C709" s="51"/>
      <c r="D709" s="51"/>
      <c r="E709" s="51"/>
      <c r="F709" s="51"/>
      <c r="G709" s="51"/>
      <c r="H709" s="51"/>
      <c r="I709" s="51"/>
      <c r="J709" s="51"/>
      <c r="K709" s="51"/>
      <c r="L709" s="51"/>
      <c r="M709" s="51"/>
      <c r="N709" s="51"/>
    </row>
    <row r="710" spans="2:14" ht="12.75" customHeight="1" x14ac:dyDescent="0.15">
      <c r="B710" s="51"/>
      <c r="C710" s="51"/>
      <c r="D710" s="51"/>
      <c r="E710" s="51"/>
      <c r="F710" s="51"/>
      <c r="G710" s="51"/>
      <c r="H710" s="51"/>
      <c r="I710" s="51"/>
      <c r="J710" s="51"/>
      <c r="K710" s="51"/>
      <c r="L710" s="51"/>
      <c r="M710" s="51"/>
      <c r="N710" s="51"/>
    </row>
    <row r="711" spans="2:14" ht="12.75" customHeight="1" x14ac:dyDescent="0.15">
      <c r="B711" s="51"/>
      <c r="C711" s="51"/>
      <c r="D711" s="51"/>
      <c r="E711" s="51"/>
      <c r="F711" s="51"/>
      <c r="G711" s="51"/>
      <c r="H711" s="51"/>
      <c r="I711" s="51"/>
      <c r="J711" s="51"/>
      <c r="K711" s="51"/>
      <c r="L711" s="51"/>
      <c r="M711" s="51"/>
      <c r="N711" s="51"/>
    </row>
    <row r="712" spans="2:14" ht="12.75" customHeight="1" x14ac:dyDescent="0.15">
      <c r="B712" s="51"/>
      <c r="C712" s="51"/>
      <c r="D712" s="51"/>
      <c r="E712" s="51"/>
      <c r="F712" s="51"/>
      <c r="G712" s="51"/>
      <c r="H712" s="51"/>
      <c r="I712" s="51"/>
      <c r="J712" s="51"/>
      <c r="K712" s="51"/>
      <c r="L712" s="51"/>
      <c r="M712" s="51"/>
      <c r="N712" s="51"/>
    </row>
    <row r="713" spans="2:14" ht="12.75" customHeight="1" x14ac:dyDescent="0.15">
      <c r="B713" s="51"/>
      <c r="C713" s="51"/>
      <c r="D713" s="51"/>
      <c r="E713" s="51"/>
      <c r="F713" s="51"/>
      <c r="G713" s="51"/>
      <c r="H713" s="51"/>
      <c r="I713" s="51"/>
      <c r="J713" s="51"/>
      <c r="K713" s="51"/>
      <c r="L713" s="51"/>
      <c r="M713" s="51"/>
      <c r="N713" s="51"/>
    </row>
    <row r="714" spans="2:14" ht="12.75" customHeight="1" x14ac:dyDescent="0.15">
      <c r="B714" s="51"/>
      <c r="C714" s="51"/>
      <c r="D714" s="51"/>
      <c r="E714" s="51"/>
      <c r="F714" s="51"/>
      <c r="G714" s="51"/>
      <c r="H714" s="51"/>
      <c r="I714" s="51"/>
      <c r="J714" s="51"/>
      <c r="K714" s="51"/>
      <c r="L714" s="51"/>
      <c r="M714" s="51"/>
      <c r="N714" s="51"/>
    </row>
    <row r="715" spans="2:14" ht="12.75" customHeight="1" x14ac:dyDescent="0.15">
      <c r="B715" s="51"/>
      <c r="C715" s="51"/>
      <c r="D715" s="51"/>
      <c r="E715" s="51"/>
      <c r="F715" s="51"/>
      <c r="G715" s="51"/>
      <c r="H715" s="51"/>
      <c r="I715" s="51"/>
      <c r="J715" s="51"/>
      <c r="K715" s="51"/>
      <c r="L715" s="51"/>
      <c r="M715" s="51"/>
      <c r="N715" s="51"/>
    </row>
    <row r="716" spans="2:14" ht="12.75" customHeight="1" x14ac:dyDescent="0.15">
      <c r="B716" s="51"/>
      <c r="C716" s="51"/>
      <c r="D716" s="51"/>
      <c r="E716" s="51"/>
      <c r="F716" s="51"/>
      <c r="G716" s="51"/>
      <c r="H716" s="51"/>
      <c r="I716" s="51"/>
      <c r="J716" s="51"/>
      <c r="K716" s="51"/>
      <c r="L716" s="51"/>
      <c r="M716" s="51"/>
      <c r="N716" s="51"/>
    </row>
    <row r="717" spans="2:14" ht="12.75" customHeight="1" x14ac:dyDescent="0.15">
      <c r="B717" s="51"/>
      <c r="C717" s="51"/>
      <c r="D717" s="51"/>
      <c r="E717" s="51"/>
      <c r="F717" s="51"/>
      <c r="G717" s="51"/>
      <c r="H717" s="51"/>
      <c r="I717" s="51"/>
      <c r="J717" s="51"/>
      <c r="K717" s="51"/>
      <c r="L717" s="51"/>
      <c r="M717" s="51"/>
      <c r="N717" s="51"/>
    </row>
    <row r="718" spans="2:14" ht="12.75" customHeight="1" x14ac:dyDescent="0.15">
      <c r="B718" s="51"/>
      <c r="C718" s="51"/>
      <c r="D718" s="51"/>
      <c r="E718" s="51"/>
      <c r="F718" s="51"/>
      <c r="G718" s="51"/>
      <c r="H718" s="51"/>
      <c r="I718" s="51"/>
      <c r="J718" s="51"/>
      <c r="K718" s="51"/>
      <c r="L718" s="51"/>
      <c r="M718" s="51"/>
      <c r="N718" s="51"/>
    </row>
    <row r="719" spans="2:14" ht="12.75" customHeight="1" x14ac:dyDescent="0.15">
      <c r="B719" s="51"/>
      <c r="C719" s="51"/>
      <c r="D719" s="51"/>
      <c r="E719" s="51"/>
      <c r="F719" s="51"/>
      <c r="G719" s="51"/>
      <c r="H719" s="51"/>
      <c r="I719" s="51"/>
      <c r="J719" s="51"/>
      <c r="K719" s="51"/>
      <c r="L719" s="51"/>
      <c r="M719" s="51"/>
      <c r="N719" s="51"/>
    </row>
    <row r="720" spans="2:14" ht="12.75" customHeight="1" x14ac:dyDescent="0.15">
      <c r="B720" s="51"/>
      <c r="C720" s="51"/>
      <c r="D720" s="51"/>
      <c r="E720" s="51"/>
      <c r="F720" s="51"/>
      <c r="G720" s="51"/>
      <c r="H720" s="51"/>
      <c r="I720" s="51"/>
      <c r="J720" s="51"/>
      <c r="K720" s="51"/>
      <c r="L720" s="51"/>
      <c r="M720" s="51"/>
      <c r="N720" s="51"/>
    </row>
    <row r="721" spans="2:14" ht="12.75" customHeight="1" x14ac:dyDescent="0.15">
      <c r="B721" s="51"/>
      <c r="C721" s="51"/>
      <c r="D721" s="51"/>
      <c r="E721" s="51"/>
      <c r="F721" s="51"/>
      <c r="G721" s="51"/>
      <c r="H721" s="51"/>
      <c r="I721" s="51"/>
      <c r="J721" s="51"/>
      <c r="K721" s="51"/>
      <c r="L721" s="51"/>
      <c r="M721" s="51"/>
      <c r="N721" s="51"/>
    </row>
    <row r="722" spans="2:14" ht="12.75" customHeight="1" x14ac:dyDescent="0.15">
      <c r="B722" s="51"/>
      <c r="C722" s="51"/>
      <c r="D722" s="51"/>
      <c r="E722" s="51"/>
      <c r="F722" s="51"/>
      <c r="G722" s="51"/>
      <c r="H722" s="51"/>
      <c r="I722" s="51"/>
      <c r="J722" s="51"/>
      <c r="K722" s="51"/>
      <c r="L722" s="51"/>
      <c r="M722" s="51"/>
      <c r="N722" s="51"/>
    </row>
    <row r="723" spans="2:14" ht="12.75" customHeight="1" x14ac:dyDescent="0.15">
      <c r="B723" s="51"/>
      <c r="C723" s="51"/>
      <c r="D723" s="51"/>
      <c r="E723" s="51"/>
      <c r="F723" s="51"/>
      <c r="G723" s="51"/>
      <c r="H723" s="51"/>
      <c r="I723" s="51"/>
      <c r="J723" s="51"/>
      <c r="K723" s="51"/>
      <c r="L723" s="51"/>
      <c r="M723" s="51"/>
      <c r="N723" s="51"/>
    </row>
    <row r="724" spans="2:14" ht="12.75" customHeight="1" x14ac:dyDescent="0.15">
      <c r="B724" s="51"/>
      <c r="C724" s="51"/>
      <c r="D724" s="51"/>
      <c r="E724" s="51"/>
      <c r="F724" s="51"/>
      <c r="G724" s="51"/>
      <c r="H724" s="51"/>
      <c r="I724" s="51"/>
      <c r="J724" s="51"/>
      <c r="K724" s="51"/>
      <c r="L724" s="51"/>
      <c r="M724" s="51"/>
      <c r="N724" s="51"/>
    </row>
    <row r="725" spans="2:14" ht="12.75" customHeight="1" x14ac:dyDescent="0.15">
      <c r="B725" s="51"/>
      <c r="C725" s="51"/>
      <c r="D725" s="51"/>
      <c r="E725" s="51"/>
      <c r="F725" s="51"/>
      <c r="G725" s="51"/>
      <c r="H725" s="51"/>
      <c r="I725" s="51"/>
      <c r="J725" s="51"/>
      <c r="K725" s="51"/>
      <c r="L725" s="51"/>
      <c r="M725" s="51"/>
      <c r="N725" s="51"/>
    </row>
    <row r="726" spans="2:14" ht="12.75" customHeight="1" x14ac:dyDescent="0.15">
      <c r="B726" s="51"/>
      <c r="C726" s="51"/>
      <c r="D726" s="51"/>
      <c r="E726" s="51"/>
      <c r="F726" s="51"/>
      <c r="G726" s="51"/>
      <c r="H726" s="51"/>
      <c r="I726" s="51"/>
      <c r="J726" s="51"/>
      <c r="K726" s="51"/>
      <c r="L726" s="51"/>
      <c r="M726" s="51"/>
      <c r="N726" s="51"/>
    </row>
    <row r="727" spans="2:14" ht="12.75" customHeight="1" x14ac:dyDescent="0.15">
      <c r="B727" s="51"/>
      <c r="C727" s="51"/>
      <c r="D727" s="51"/>
      <c r="E727" s="51"/>
      <c r="F727" s="51"/>
      <c r="G727" s="51"/>
      <c r="H727" s="51"/>
      <c r="I727" s="51"/>
      <c r="J727" s="51"/>
      <c r="K727" s="51"/>
      <c r="L727" s="51"/>
      <c r="M727" s="51"/>
      <c r="N727" s="51"/>
    </row>
    <row r="728" spans="2:14" ht="12.75" customHeight="1" x14ac:dyDescent="0.15">
      <c r="B728" s="51"/>
      <c r="C728" s="51"/>
      <c r="D728" s="51"/>
      <c r="E728" s="51"/>
      <c r="F728" s="51"/>
      <c r="G728" s="51"/>
      <c r="H728" s="51"/>
      <c r="I728" s="51"/>
      <c r="J728" s="51"/>
      <c r="K728" s="51"/>
      <c r="L728" s="51"/>
      <c r="M728" s="51"/>
      <c r="N728" s="51"/>
    </row>
    <row r="729" spans="2:14" ht="12.75" customHeight="1" x14ac:dyDescent="0.15">
      <c r="B729" s="51"/>
      <c r="C729" s="51"/>
      <c r="D729" s="51"/>
      <c r="E729" s="51"/>
      <c r="F729" s="51"/>
      <c r="G729" s="51"/>
      <c r="H729" s="51"/>
      <c r="I729" s="51"/>
      <c r="J729" s="51"/>
      <c r="K729" s="51"/>
      <c r="L729" s="51"/>
      <c r="M729" s="51"/>
      <c r="N729" s="51"/>
    </row>
    <row r="730" spans="2:14" ht="12.75" customHeight="1" x14ac:dyDescent="0.15">
      <c r="B730" s="51"/>
      <c r="C730" s="51"/>
      <c r="D730" s="51"/>
      <c r="E730" s="51"/>
      <c r="F730" s="51"/>
      <c r="G730" s="51"/>
      <c r="H730" s="51"/>
      <c r="I730" s="51"/>
      <c r="J730" s="51"/>
      <c r="K730" s="51"/>
      <c r="L730" s="51"/>
      <c r="M730" s="51"/>
      <c r="N730" s="51"/>
    </row>
    <row r="731" spans="2:14" ht="12.75" customHeight="1" x14ac:dyDescent="0.15">
      <c r="B731" s="51"/>
      <c r="C731" s="51"/>
      <c r="D731" s="51"/>
      <c r="E731" s="51"/>
      <c r="F731" s="51"/>
      <c r="G731" s="51"/>
      <c r="H731" s="51"/>
      <c r="I731" s="51"/>
      <c r="J731" s="51"/>
      <c r="K731" s="51"/>
      <c r="L731" s="51"/>
      <c r="M731" s="51"/>
      <c r="N731" s="51"/>
    </row>
    <row r="732" spans="2:14" ht="12.75" customHeight="1" x14ac:dyDescent="0.15">
      <c r="B732" s="51"/>
      <c r="C732" s="51"/>
      <c r="D732" s="51"/>
      <c r="E732" s="51"/>
      <c r="F732" s="51"/>
      <c r="G732" s="51"/>
      <c r="H732" s="51"/>
      <c r="I732" s="51"/>
      <c r="J732" s="51"/>
      <c r="K732" s="51"/>
      <c r="L732" s="51"/>
      <c r="M732" s="51"/>
      <c r="N732" s="51"/>
    </row>
    <row r="733" spans="2:14" ht="12.75" customHeight="1" x14ac:dyDescent="0.15">
      <c r="B733" s="51"/>
      <c r="C733" s="51"/>
      <c r="D733" s="51"/>
      <c r="E733" s="51"/>
      <c r="F733" s="51"/>
      <c r="G733" s="51"/>
      <c r="H733" s="51"/>
      <c r="I733" s="51"/>
      <c r="J733" s="51"/>
      <c r="K733" s="51"/>
      <c r="L733" s="51"/>
      <c r="M733" s="51"/>
      <c r="N733" s="51"/>
    </row>
    <row r="734" spans="2:14" ht="12.75" customHeight="1" x14ac:dyDescent="0.15">
      <c r="B734" s="51"/>
      <c r="C734" s="51"/>
      <c r="D734" s="51"/>
      <c r="E734" s="51"/>
      <c r="F734" s="51"/>
      <c r="G734" s="51"/>
      <c r="H734" s="51"/>
      <c r="I734" s="51"/>
      <c r="J734" s="51"/>
      <c r="K734" s="51"/>
      <c r="L734" s="51"/>
      <c r="M734" s="51"/>
      <c r="N734" s="51"/>
    </row>
    <row r="735" spans="2:14" ht="12.75" customHeight="1" x14ac:dyDescent="0.15">
      <c r="B735" s="51"/>
      <c r="C735" s="51"/>
      <c r="D735" s="51"/>
      <c r="E735" s="51"/>
      <c r="F735" s="51"/>
      <c r="G735" s="51"/>
      <c r="H735" s="51"/>
      <c r="I735" s="51"/>
      <c r="J735" s="51"/>
      <c r="K735" s="51"/>
      <c r="L735" s="51"/>
      <c r="M735" s="51"/>
      <c r="N735" s="51"/>
    </row>
    <row r="736" spans="2:14" ht="12.75" customHeight="1" x14ac:dyDescent="0.15">
      <c r="B736" s="51"/>
      <c r="C736" s="51"/>
      <c r="D736" s="51"/>
      <c r="E736" s="51"/>
      <c r="F736" s="51"/>
      <c r="G736" s="51"/>
      <c r="H736" s="51"/>
      <c r="I736" s="51"/>
      <c r="J736" s="51"/>
      <c r="K736" s="51"/>
      <c r="L736" s="51"/>
      <c r="M736" s="51"/>
      <c r="N736" s="51"/>
    </row>
    <row r="737" spans="2:14" ht="12.75" customHeight="1" x14ac:dyDescent="0.15">
      <c r="B737" s="51"/>
      <c r="C737" s="51"/>
      <c r="D737" s="51"/>
      <c r="E737" s="51"/>
      <c r="F737" s="51"/>
      <c r="G737" s="51"/>
      <c r="H737" s="51"/>
      <c r="I737" s="51"/>
      <c r="J737" s="51"/>
      <c r="K737" s="51"/>
      <c r="L737" s="51"/>
      <c r="M737" s="51"/>
      <c r="N737" s="51"/>
    </row>
    <row r="738" spans="2:14" ht="12.75" customHeight="1" x14ac:dyDescent="0.15">
      <c r="B738" s="51"/>
      <c r="C738" s="51"/>
      <c r="D738" s="51"/>
      <c r="E738" s="51"/>
      <c r="F738" s="51"/>
      <c r="G738" s="51"/>
      <c r="H738" s="51"/>
      <c r="I738" s="51"/>
      <c r="J738" s="51"/>
      <c r="K738" s="51"/>
      <c r="L738" s="51"/>
      <c r="M738" s="51"/>
      <c r="N738" s="51"/>
    </row>
    <row r="739" spans="2:14" ht="12.75" customHeight="1" x14ac:dyDescent="0.15">
      <c r="B739" s="51"/>
      <c r="C739" s="51"/>
      <c r="D739" s="51"/>
      <c r="E739" s="51"/>
      <c r="F739" s="51"/>
      <c r="G739" s="51"/>
      <c r="H739" s="51"/>
      <c r="I739" s="51"/>
      <c r="J739" s="51"/>
      <c r="K739" s="51"/>
      <c r="L739" s="51"/>
      <c r="M739" s="51"/>
      <c r="N739" s="51"/>
    </row>
    <row r="740" spans="2:14" ht="12.75" customHeight="1" x14ac:dyDescent="0.15">
      <c r="B740" s="51"/>
      <c r="C740" s="51"/>
      <c r="D740" s="51"/>
      <c r="E740" s="51"/>
      <c r="F740" s="51"/>
      <c r="G740" s="51"/>
      <c r="H740" s="51"/>
      <c r="I740" s="51"/>
      <c r="J740" s="51"/>
      <c r="K740" s="51"/>
      <c r="L740" s="51"/>
      <c r="M740" s="51"/>
      <c r="N740" s="51"/>
    </row>
    <row r="741" spans="2:14" ht="12.75" customHeight="1" x14ac:dyDescent="0.15">
      <c r="B741" s="51"/>
      <c r="C741" s="51"/>
      <c r="D741" s="51"/>
      <c r="E741" s="51"/>
      <c r="F741" s="51"/>
      <c r="G741" s="51"/>
      <c r="H741" s="51"/>
      <c r="I741" s="51"/>
      <c r="J741" s="51"/>
      <c r="K741" s="51"/>
      <c r="L741" s="51"/>
      <c r="M741" s="51"/>
      <c r="N741" s="51"/>
    </row>
    <row r="742" spans="2:14" ht="12.75" customHeight="1" x14ac:dyDescent="0.15">
      <c r="B742" s="51"/>
      <c r="C742" s="51"/>
      <c r="D742" s="51"/>
      <c r="E742" s="51"/>
      <c r="F742" s="51"/>
      <c r="G742" s="51"/>
      <c r="H742" s="51"/>
      <c r="I742" s="51"/>
      <c r="J742" s="51"/>
      <c r="K742" s="51"/>
      <c r="L742" s="51"/>
      <c r="M742" s="51"/>
      <c r="N742" s="51"/>
    </row>
    <row r="743" spans="2:14" ht="12.75" customHeight="1" x14ac:dyDescent="0.15">
      <c r="B743" s="51"/>
      <c r="C743" s="51"/>
      <c r="D743" s="51"/>
      <c r="E743" s="51"/>
      <c r="F743" s="51"/>
      <c r="G743" s="51"/>
      <c r="H743" s="51"/>
      <c r="I743" s="51"/>
      <c r="J743" s="51"/>
      <c r="K743" s="51"/>
      <c r="L743" s="51"/>
      <c r="M743" s="51"/>
      <c r="N743" s="51"/>
    </row>
    <row r="744" spans="2:14" ht="12.75" customHeight="1" x14ac:dyDescent="0.15">
      <c r="B744" s="51"/>
      <c r="C744" s="51"/>
      <c r="D744" s="51"/>
      <c r="E744" s="51"/>
      <c r="F744" s="51"/>
      <c r="G744" s="51"/>
      <c r="H744" s="51"/>
      <c r="I744" s="51"/>
      <c r="J744" s="51"/>
      <c r="K744" s="51"/>
      <c r="L744" s="51"/>
      <c r="M744" s="51"/>
      <c r="N744" s="51"/>
    </row>
    <row r="745" spans="2:14" ht="12.75" customHeight="1" x14ac:dyDescent="0.15">
      <c r="B745" s="51"/>
      <c r="C745" s="51"/>
      <c r="D745" s="51"/>
      <c r="E745" s="51"/>
      <c r="F745" s="51"/>
      <c r="G745" s="51"/>
      <c r="H745" s="51"/>
      <c r="I745" s="51"/>
      <c r="J745" s="51"/>
      <c r="K745" s="51"/>
      <c r="L745" s="51"/>
      <c r="M745" s="51"/>
      <c r="N745" s="51"/>
    </row>
    <row r="746" spans="2:14" ht="12.75" customHeight="1" x14ac:dyDescent="0.15">
      <c r="B746" s="51"/>
      <c r="C746" s="51"/>
      <c r="D746" s="51"/>
      <c r="E746" s="51"/>
      <c r="F746" s="51"/>
      <c r="G746" s="51"/>
      <c r="H746" s="51"/>
      <c r="I746" s="51"/>
      <c r="J746" s="51"/>
      <c r="K746" s="51"/>
      <c r="L746" s="51"/>
      <c r="M746" s="51"/>
      <c r="N746" s="51"/>
    </row>
    <row r="747" spans="2:14" ht="12.75" customHeight="1" x14ac:dyDescent="0.15">
      <c r="B747" s="51"/>
      <c r="C747" s="51"/>
      <c r="D747" s="51"/>
      <c r="E747" s="51"/>
      <c r="F747" s="51"/>
      <c r="G747" s="51"/>
      <c r="H747" s="51"/>
      <c r="I747" s="51"/>
      <c r="J747" s="51"/>
      <c r="K747" s="51"/>
      <c r="L747" s="51"/>
      <c r="M747" s="51"/>
      <c r="N747" s="51"/>
    </row>
    <row r="748" spans="2:14" ht="12.75" customHeight="1" x14ac:dyDescent="0.15">
      <c r="B748" s="51"/>
      <c r="C748" s="51"/>
      <c r="D748" s="51"/>
      <c r="E748" s="51"/>
      <c r="F748" s="51"/>
      <c r="G748" s="51"/>
      <c r="H748" s="51"/>
      <c r="I748" s="51"/>
      <c r="J748" s="51"/>
      <c r="K748" s="51"/>
      <c r="L748" s="51"/>
      <c r="M748" s="51"/>
      <c r="N748" s="51"/>
    </row>
    <row r="749" spans="2:14" ht="12.75" customHeight="1" x14ac:dyDescent="0.15">
      <c r="B749" s="51"/>
      <c r="C749" s="51"/>
      <c r="D749" s="51"/>
      <c r="E749" s="51"/>
      <c r="F749" s="51"/>
      <c r="G749" s="51"/>
      <c r="H749" s="51"/>
      <c r="I749" s="51"/>
      <c r="J749" s="51"/>
      <c r="K749" s="51"/>
      <c r="L749" s="51"/>
      <c r="M749" s="51"/>
      <c r="N749" s="51"/>
    </row>
    <row r="750" spans="2:14" ht="12.75" customHeight="1" x14ac:dyDescent="0.15">
      <c r="B750" s="51"/>
      <c r="C750" s="51"/>
      <c r="D750" s="51"/>
      <c r="E750" s="51"/>
      <c r="F750" s="51"/>
      <c r="G750" s="51"/>
      <c r="H750" s="51"/>
      <c r="I750" s="51"/>
      <c r="J750" s="51"/>
      <c r="K750" s="51"/>
      <c r="L750" s="51"/>
      <c r="M750" s="51"/>
      <c r="N750" s="51"/>
    </row>
    <row r="751" spans="2:14" ht="12.75" customHeight="1" x14ac:dyDescent="0.15">
      <c r="B751" s="51"/>
      <c r="C751" s="51"/>
      <c r="D751" s="51"/>
      <c r="E751" s="51"/>
      <c r="F751" s="51"/>
      <c r="G751" s="51"/>
      <c r="H751" s="51"/>
      <c r="I751" s="51"/>
      <c r="J751" s="51"/>
      <c r="K751" s="51"/>
      <c r="L751" s="51"/>
      <c r="M751" s="51"/>
      <c r="N751" s="51"/>
    </row>
    <row r="752" spans="2:14" ht="12.75" customHeight="1" x14ac:dyDescent="0.15">
      <c r="B752" s="51"/>
      <c r="C752" s="51"/>
      <c r="D752" s="51"/>
      <c r="E752" s="51"/>
      <c r="F752" s="51"/>
      <c r="G752" s="51"/>
      <c r="H752" s="51"/>
      <c r="I752" s="51"/>
      <c r="J752" s="51"/>
      <c r="K752" s="51"/>
      <c r="L752" s="51"/>
      <c r="M752" s="51"/>
      <c r="N752" s="51"/>
    </row>
    <row r="753" spans="2:14" ht="12.75" customHeight="1" x14ac:dyDescent="0.15">
      <c r="B753" s="51"/>
      <c r="C753" s="51"/>
      <c r="D753" s="51"/>
      <c r="E753" s="51"/>
      <c r="F753" s="51"/>
      <c r="G753" s="51"/>
      <c r="H753" s="51"/>
      <c r="I753" s="51"/>
      <c r="J753" s="51"/>
      <c r="K753" s="51"/>
      <c r="L753" s="51"/>
      <c r="M753" s="51"/>
      <c r="N753" s="51"/>
    </row>
    <row r="754" spans="2:14" ht="12.75" customHeight="1" x14ac:dyDescent="0.15">
      <c r="B754" s="51"/>
      <c r="C754" s="51"/>
      <c r="D754" s="51"/>
      <c r="E754" s="51"/>
      <c r="F754" s="51"/>
      <c r="G754" s="51"/>
      <c r="H754" s="51"/>
      <c r="I754" s="51"/>
      <c r="J754" s="51"/>
      <c r="K754" s="51"/>
      <c r="L754" s="51"/>
      <c r="M754" s="51"/>
      <c r="N754" s="51"/>
    </row>
    <row r="755" spans="2:14" ht="12.75" customHeight="1" x14ac:dyDescent="0.15">
      <c r="B755" s="51"/>
      <c r="C755" s="51"/>
      <c r="D755" s="51"/>
      <c r="E755" s="51"/>
      <c r="F755" s="51"/>
      <c r="G755" s="51"/>
      <c r="H755" s="51"/>
      <c r="I755" s="51"/>
      <c r="J755" s="51"/>
      <c r="K755" s="51"/>
      <c r="L755" s="51"/>
      <c r="M755" s="51"/>
      <c r="N755" s="51"/>
    </row>
    <row r="756" spans="2:14" ht="12.75" customHeight="1" x14ac:dyDescent="0.15">
      <c r="B756" s="51"/>
      <c r="C756" s="51"/>
      <c r="D756" s="51"/>
      <c r="E756" s="51"/>
      <c r="F756" s="51"/>
      <c r="G756" s="51"/>
      <c r="H756" s="51"/>
      <c r="I756" s="51"/>
      <c r="J756" s="51"/>
      <c r="K756" s="51"/>
      <c r="L756" s="51"/>
      <c r="M756" s="51"/>
      <c r="N756" s="51"/>
    </row>
    <row r="757" spans="2:14" ht="12.75" customHeight="1" x14ac:dyDescent="0.15">
      <c r="B757" s="51"/>
      <c r="C757" s="51"/>
      <c r="D757" s="51"/>
      <c r="E757" s="51"/>
      <c r="F757" s="51"/>
      <c r="G757" s="51"/>
      <c r="H757" s="51"/>
      <c r="I757" s="51"/>
      <c r="J757" s="51"/>
      <c r="K757" s="51"/>
      <c r="L757" s="51"/>
      <c r="M757" s="51"/>
      <c r="N757" s="51"/>
    </row>
    <row r="758" spans="2:14" ht="12.75" customHeight="1" x14ac:dyDescent="0.15">
      <c r="B758" s="51"/>
      <c r="C758" s="51"/>
      <c r="D758" s="51"/>
      <c r="E758" s="51"/>
      <c r="F758" s="51"/>
      <c r="G758" s="51"/>
      <c r="H758" s="51"/>
      <c r="I758" s="51"/>
      <c r="J758" s="51"/>
      <c r="K758" s="51"/>
      <c r="L758" s="51"/>
      <c r="M758" s="51"/>
      <c r="N758" s="51"/>
    </row>
    <row r="759" spans="2:14" ht="12.75" customHeight="1" x14ac:dyDescent="0.15">
      <c r="B759" s="51"/>
      <c r="C759" s="51"/>
      <c r="D759" s="51"/>
      <c r="E759" s="51"/>
      <c r="F759" s="51"/>
      <c r="G759" s="51"/>
      <c r="H759" s="51"/>
      <c r="I759" s="51"/>
      <c r="J759" s="51"/>
      <c r="K759" s="51"/>
      <c r="L759" s="51"/>
      <c r="M759" s="51"/>
      <c r="N759" s="51"/>
    </row>
    <row r="760" spans="2:14" ht="12.75" customHeight="1" x14ac:dyDescent="0.15">
      <c r="B760" s="51"/>
      <c r="C760" s="51"/>
      <c r="D760" s="51"/>
      <c r="E760" s="51"/>
      <c r="F760" s="51"/>
      <c r="G760" s="51"/>
      <c r="H760" s="51"/>
      <c r="I760" s="51"/>
      <c r="J760" s="51"/>
      <c r="K760" s="51"/>
      <c r="L760" s="51"/>
      <c r="M760" s="51"/>
      <c r="N760" s="51"/>
    </row>
    <row r="761" spans="2:14" ht="12.75" customHeight="1" x14ac:dyDescent="0.15">
      <c r="B761" s="51"/>
      <c r="C761" s="51"/>
      <c r="D761" s="51"/>
      <c r="E761" s="51"/>
      <c r="F761" s="51"/>
      <c r="G761" s="51"/>
      <c r="H761" s="51"/>
      <c r="I761" s="51"/>
      <c r="J761" s="51"/>
      <c r="K761" s="51"/>
      <c r="L761" s="51"/>
      <c r="M761" s="51"/>
      <c r="N761" s="51"/>
    </row>
    <row r="762" spans="2:14" ht="12.75" customHeight="1" x14ac:dyDescent="0.15">
      <c r="B762" s="51"/>
      <c r="C762" s="51"/>
      <c r="D762" s="51"/>
      <c r="E762" s="51"/>
      <c r="F762" s="51"/>
      <c r="G762" s="51"/>
      <c r="H762" s="51"/>
      <c r="I762" s="51"/>
      <c r="J762" s="51"/>
      <c r="K762" s="51"/>
      <c r="L762" s="51"/>
      <c r="M762" s="51"/>
      <c r="N762" s="51"/>
    </row>
    <row r="763" spans="2:14" ht="12.75" customHeight="1" x14ac:dyDescent="0.15">
      <c r="B763" s="51"/>
      <c r="C763" s="51"/>
      <c r="D763" s="51"/>
      <c r="E763" s="51"/>
      <c r="F763" s="51"/>
      <c r="G763" s="51"/>
      <c r="H763" s="51"/>
      <c r="I763" s="51"/>
      <c r="J763" s="51"/>
      <c r="K763" s="51"/>
      <c r="L763" s="51"/>
      <c r="M763" s="51"/>
      <c r="N763" s="51"/>
    </row>
    <row r="764" spans="2:14" ht="12.75" customHeight="1" x14ac:dyDescent="0.15">
      <c r="B764" s="51"/>
      <c r="C764" s="51"/>
      <c r="D764" s="51"/>
      <c r="E764" s="51"/>
      <c r="F764" s="51"/>
      <c r="G764" s="51"/>
      <c r="H764" s="51"/>
      <c r="I764" s="51"/>
      <c r="J764" s="51"/>
      <c r="K764" s="51"/>
      <c r="L764" s="51"/>
      <c r="M764" s="51"/>
      <c r="N764" s="51"/>
    </row>
    <row r="765" spans="2:14" ht="12.75" customHeight="1" x14ac:dyDescent="0.15">
      <c r="B765" s="51"/>
      <c r="C765" s="51"/>
      <c r="D765" s="51"/>
      <c r="E765" s="51"/>
      <c r="F765" s="51"/>
      <c r="G765" s="51"/>
      <c r="H765" s="51"/>
      <c r="I765" s="51"/>
      <c r="J765" s="51"/>
      <c r="K765" s="51"/>
      <c r="L765" s="51"/>
      <c r="M765" s="51"/>
      <c r="N765" s="51"/>
    </row>
    <row r="766" spans="2:14" ht="12.75" customHeight="1" x14ac:dyDescent="0.15">
      <c r="B766" s="51"/>
      <c r="C766" s="51"/>
      <c r="D766" s="51"/>
      <c r="E766" s="51"/>
      <c r="F766" s="51"/>
      <c r="G766" s="51"/>
      <c r="H766" s="51"/>
      <c r="I766" s="51"/>
      <c r="J766" s="51"/>
      <c r="K766" s="51"/>
      <c r="L766" s="51"/>
      <c r="M766" s="51"/>
      <c r="N766" s="51"/>
    </row>
    <row r="767" spans="2:14" ht="12.75" customHeight="1" x14ac:dyDescent="0.15">
      <c r="B767" s="51"/>
      <c r="C767" s="51"/>
      <c r="D767" s="51"/>
      <c r="E767" s="51"/>
      <c r="F767" s="51"/>
      <c r="G767" s="51"/>
      <c r="H767" s="51"/>
      <c r="I767" s="51"/>
      <c r="J767" s="51"/>
      <c r="K767" s="51"/>
      <c r="L767" s="51"/>
      <c r="M767" s="51"/>
      <c r="N767" s="51"/>
    </row>
    <row r="768" spans="2:14" ht="12.75" customHeight="1" x14ac:dyDescent="0.15">
      <c r="B768" s="51"/>
      <c r="C768" s="51"/>
      <c r="D768" s="51"/>
      <c r="E768" s="51"/>
      <c r="F768" s="51"/>
      <c r="G768" s="51"/>
      <c r="H768" s="51"/>
      <c r="I768" s="51"/>
      <c r="J768" s="51"/>
      <c r="K768" s="51"/>
      <c r="L768" s="51"/>
      <c r="M768" s="51"/>
      <c r="N768" s="51"/>
    </row>
    <row r="769" spans="2:14" ht="12.75" customHeight="1" x14ac:dyDescent="0.15">
      <c r="B769" s="51"/>
      <c r="C769" s="51"/>
      <c r="D769" s="51"/>
      <c r="E769" s="51"/>
      <c r="F769" s="51"/>
      <c r="G769" s="51"/>
      <c r="H769" s="51"/>
      <c r="I769" s="51"/>
      <c r="J769" s="51"/>
      <c r="K769" s="51"/>
      <c r="L769" s="51"/>
      <c r="M769" s="51"/>
      <c r="N769" s="51"/>
    </row>
    <row r="770" spans="2:14" ht="12.75" customHeight="1" x14ac:dyDescent="0.15">
      <c r="B770" s="51"/>
      <c r="C770" s="51"/>
      <c r="D770" s="51"/>
      <c r="E770" s="51"/>
      <c r="F770" s="51"/>
      <c r="G770" s="51"/>
      <c r="H770" s="51"/>
      <c r="I770" s="51"/>
      <c r="J770" s="51"/>
      <c r="K770" s="51"/>
      <c r="L770" s="51"/>
      <c r="M770" s="51"/>
      <c r="N770" s="51"/>
    </row>
    <row r="771" spans="2:14" ht="12.75" customHeight="1" x14ac:dyDescent="0.15">
      <c r="B771" s="51"/>
      <c r="C771" s="51"/>
      <c r="D771" s="51"/>
      <c r="E771" s="51"/>
      <c r="F771" s="51"/>
      <c r="G771" s="51"/>
      <c r="H771" s="51"/>
      <c r="I771" s="51"/>
      <c r="J771" s="51"/>
      <c r="K771" s="51"/>
      <c r="L771" s="51"/>
      <c r="M771" s="51"/>
      <c r="N771" s="51"/>
    </row>
    <row r="772" spans="2:14" ht="12.75" customHeight="1" x14ac:dyDescent="0.15">
      <c r="B772" s="51"/>
      <c r="C772" s="51"/>
      <c r="D772" s="51"/>
      <c r="E772" s="51"/>
      <c r="F772" s="51"/>
      <c r="G772" s="51"/>
      <c r="H772" s="51"/>
      <c r="I772" s="51"/>
      <c r="J772" s="51"/>
      <c r="K772" s="51"/>
      <c r="L772" s="51"/>
      <c r="M772" s="51"/>
      <c r="N772" s="51"/>
    </row>
    <row r="773" spans="2:14" ht="12.75" customHeight="1" x14ac:dyDescent="0.15">
      <c r="B773" s="51"/>
      <c r="C773" s="51"/>
      <c r="D773" s="51"/>
      <c r="E773" s="51"/>
      <c r="F773" s="51"/>
      <c r="G773" s="51"/>
      <c r="H773" s="51"/>
      <c r="I773" s="51"/>
      <c r="J773" s="51"/>
      <c r="K773" s="51"/>
      <c r="L773" s="51"/>
      <c r="M773" s="51"/>
      <c r="N773" s="51"/>
    </row>
    <row r="774" spans="2:14" ht="12.75" customHeight="1" x14ac:dyDescent="0.15">
      <c r="B774" s="51"/>
      <c r="C774" s="51"/>
      <c r="D774" s="51"/>
      <c r="E774" s="51"/>
      <c r="F774" s="51"/>
      <c r="G774" s="51"/>
      <c r="H774" s="51"/>
      <c r="I774" s="51"/>
      <c r="J774" s="51"/>
      <c r="K774" s="51"/>
      <c r="L774" s="51"/>
      <c r="M774" s="51"/>
      <c r="N774" s="51"/>
    </row>
    <row r="775" spans="2:14" ht="12.75" customHeight="1" x14ac:dyDescent="0.15">
      <c r="B775" s="51"/>
      <c r="C775" s="51"/>
      <c r="D775" s="51"/>
      <c r="E775" s="51"/>
      <c r="F775" s="51"/>
      <c r="G775" s="51"/>
      <c r="H775" s="51"/>
      <c r="I775" s="51"/>
      <c r="J775" s="51"/>
      <c r="K775" s="51"/>
      <c r="L775" s="51"/>
      <c r="M775" s="51"/>
      <c r="N775" s="51"/>
    </row>
    <row r="776" spans="2:14" ht="12.75" customHeight="1" x14ac:dyDescent="0.15">
      <c r="B776" s="51"/>
      <c r="C776" s="51"/>
      <c r="D776" s="51"/>
      <c r="E776" s="51"/>
      <c r="F776" s="51"/>
      <c r="G776" s="51"/>
      <c r="H776" s="51"/>
      <c r="I776" s="51"/>
      <c r="J776" s="51"/>
      <c r="K776" s="51"/>
      <c r="L776" s="51"/>
      <c r="M776" s="51"/>
      <c r="N776" s="51"/>
    </row>
    <row r="777" spans="2:14" ht="12.75" customHeight="1" x14ac:dyDescent="0.15">
      <c r="B777" s="51"/>
      <c r="C777" s="51"/>
      <c r="D777" s="51"/>
      <c r="E777" s="51"/>
      <c r="F777" s="51"/>
      <c r="G777" s="51"/>
      <c r="H777" s="51"/>
      <c r="I777" s="51"/>
      <c r="J777" s="51"/>
      <c r="K777" s="51"/>
      <c r="L777" s="51"/>
      <c r="M777" s="51"/>
      <c r="N777" s="51"/>
    </row>
    <row r="778" spans="2:14" ht="12.75" customHeight="1" x14ac:dyDescent="0.15">
      <c r="B778" s="51"/>
      <c r="C778" s="51"/>
      <c r="D778" s="51"/>
      <c r="E778" s="51"/>
      <c r="F778" s="51"/>
      <c r="G778" s="51"/>
      <c r="H778" s="51"/>
      <c r="I778" s="51"/>
      <c r="J778" s="51"/>
      <c r="K778" s="51"/>
      <c r="L778" s="51"/>
      <c r="M778" s="51"/>
      <c r="N778" s="51"/>
    </row>
    <row r="779" spans="2:14" ht="12.75" customHeight="1" x14ac:dyDescent="0.15">
      <c r="B779" s="51"/>
      <c r="C779" s="51"/>
      <c r="D779" s="51"/>
      <c r="E779" s="51"/>
      <c r="F779" s="51"/>
      <c r="G779" s="51"/>
      <c r="H779" s="51"/>
      <c r="I779" s="51"/>
      <c r="J779" s="51"/>
      <c r="K779" s="51"/>
      <c r="L779" s="51"/>
      <c r="M779" s="51"/>
      <c r="N779" s="51"/>
    </row>
    <row r="780" spans="2:14" ht="12.75" customHeight="1" x14ac:dyDescent="0.15">
      <c r="B780" s="51"/>
      <c r="C780" s="51"/>
      <c r="D780" s="51"/>
      <c r="E780" s="51"/>
      <c r="F780" s="51"/>
      <c r="G780" s="51"/>
      <c r="H780" s="51"/>
      <c r="I780" s="51"/>
      <c r="J780" s="51"/>
      <c r="K780" s="51"/>
      <c r="L780" s="51"/>
      <c r="M780" s="51"/>
      <c r="N780" s="51"/>
    </row>
    <row r="781" spans="2:14" ht="12.75" customHeight="1" x14ac:dyDescent="0.15">
      <c r="B781" s="51"/>
      <c r="C781" s="51"/>
      <c r="D781" s="51"/>
      <c r="E781" s="51"/>
      <c r="F781" s="51"/>
      <c r="G781" s="51"/>
      <c r="H781" s="51"/>
      <c r="I781" s="51"/>
      <c r="J781" s="51"/>
      <c r="K781" s="51"/>
      <c r="L781" s="51"/>
      <c r="M781" s="51"/>
      <c r="N781" s="51"/>
    </row>
    <row r="782" spans="2:14" ht="12.75" customHeight="1" x14ac:dyDescent="0.15">
      <c r="B782" s="51"/>
      <c r="C782" s="51"/>
      <c r="D782" s="51"/>
      <c r="E782" s="51"/>
      <c r="F782" s="51"/>
      <c r="G782" s="51"/>
      <c r="H782" s="51"/>
      <c r="I782" s="51"/>
      <c r="J782" s="51"/>
      <c r="K782" s="51"/>
      <c r="L782" s="51"/>
      <c r="M782" s="51"/>
      <c r="N782" s="51"/>
    </row>
    <row r="783" spans="2:14" ht="12.75" customHeight="1" x14ac:dyDescent="0.15">
      <c r="B783" s="51"/>
      <c r="C783" s="51"/>
      <c r="D783" s="51"/>
      <c r="E783" s="51"/>
      <c r="F783" s="51"/>
      <c r="G783" s="51"/>
      <c r="H783" s="51"/>
      <c r="I783" s="51"/>
      <c r="J783" s="51"/>
      <c r="K783" s="51"/>
      <c r="L783" s="51"/>
      <c r="M783" s="51"/>
      <c r="N783" s="51"/>
    </row>
    <row r="784" spans="2:14" ht="12.75" customHeight="1" x14ac:dyDescent="0.15">
      <c r="B784" s="51"/>
      <c r="C784" s="51"/>
      <c r="D784" s="51"/>
      <c r="E784" s="51"/>
      <c r="F784" s="51"/>
      <c r="G784" s="51"/>
      <c r="H784" s="51"/>
      <c r="I784" s="51"/>
      <c r="J784" s="51"/>
      <c r="K784" s="51"/>
      <c r="L784" s="51"/>
      <c r="M784" s="51"/>
      <c r="N784" s="51"/>
    </row>
    <row r="785" spans="2:14" ht="12.75" customHeight="1" x14ac:dyDescent="0.15">
      <c r="B785" s="51"/>
      <c r="C785" s="51"/>
      <c r="D785" s="51"/>
      <c r="E785" s="51"/>
      <c r="F785" s="51"/>
      <c r="G785" s="51"/>
      <c r="H785" s="51"/>
      <c r="I785" s="51"/>
      <c r="J785" s="51"/>
      <c r="K785" s="51"/>
      <c r="L785" s="51"/>
      <c r="M785" s="51"/>
      <c r="N785" s="51"/>
    </row>
    <row r="786" spans="2:14" ht="12.75" customHeight="1" x14ac:dyDescent="0.15">
      <c r="B786" s="51"/>
      <c r="C786" s="51"/>
      <c r="D786" s="51"/>
      <c r="E786" s="51"/>
      <c r="F786" s="51"/>
      <c r="G786" s="51"/>
      <c r="H786" s="51"/>
      <c r="I786" s="51"/>
      <c r="J786" s="51"/>
      <c r="K786" s="51"/>
      <c r="L786" s="51"/>
      <c r="M786" s="51"/>
      <c r="N786" s="51"/>
    </row>
    <row r="787" spans="2:14" ht="12.75" customHeight="1" x14ac:dyDescent="0.15">
      <c r="B787" s="51"/>
      <c r="C787" s="51"/>
      <c r="D787" s="51"/>
      <c r="E787" s="51"/>
      <c r="F787" s="51"/>
      <c r="G787" s="51"/>
      <c r="H787" s="51"/>
      <c r="I787" s="51"/>
      <c r="J787" s="51"/>
      <c r="K787" s="51"/>
      <c r="L787" s="51"/>
      <c r="M787" s="51"/>
      <c r="N787" s="51"/>
    </row>
    <row r="788" spans="2:14" ht="12.75" customHeight="1" x14ac:dyDescent="0.15">
      <c r="B788" s="51"/>
      <c r="C788" s="51"/>
      <c r="D788" s="51"/>
      <c r="E788" s="51"/>
      <c r="F788" s="51"/>
      <c r="G788" s="51"/>
      <c r="H788" s="51"/>
      <c r="I788" s="51"/>
      <c r="J788" s="51"/>
      <c r="K788" s="51"/>
      <c r="L788" s="51"/>
      <c r="M788" s="51"/>
      <c r="N788" s="51"/>
    </row>
    <row r="789" spans="2:14" ht="12.75" customHeight="1" x14ac:dyDescent="0.15">
      <c r="B789" s="51"/>
      <c r="C789" s="51"/>
      <c r="D789" s="51"/>
      <c r="E789" s="51"/>
      <c r="F789" s="51"/>
      <c r="G789" s="51"/>
      <c r="H789" s="51"/>
      <c r="I789" s="51"/>
      <c r="J789" s="51"/>
      <c r="K789" s="51"/>
      <c r="L789" s="51"/>
      <c r="M789" s="51"/>
      <c r="N789" s="51"/>
    </row>
    <row r="790" spans="2:14" ht="12.75" customHeight="1" x14ac:dyDescent="0.15">
      <c r="B790" s="51"/>
      <c r="C790" s="51"/>
      <c r="D790" s="51"/>
      <c r="E790" s="51"/>
      <c r="F790" s="51"/>
      <c r="G790" s="51"/>
      <c r="H790" s="51"/>
      <c r="I790" s="51"/>
      <c r="J790" s="51"/>
      <c r="K790" s="51"/>
      <c r="L790" s="51"/>
      <c r="M790" s="51"/>
      <c r="N790" s="51"/>
    </row>
    <row r="791" spans="2:14" ht="12.75" customHeight="1" x14ac:dyDescent="0.15">
      <c r="B791" s="51"/>
      <c r="C791" s="51"/>
      <c r="D791" s="51"/>
      <c r="E791" s="51"/>
      <c r="F791" s="51"/>
      <c r="G791" s="51"/>
      <c r="H791" s="51"/>
      <c r="I791" s="51"/>
      <c r="J791" s="51"/>
      <c r="K791" s="51"/>
      <c r="L791" s="51"/>
      <c r="M791" s="51"/>
      <c r="N791" s="51"/>
    </row>
    <row r="792" spans="2:14" ht="12.75" customHeight="1" x14ac:dyDescent="0.15">
      <c r="B792" s="51"/>
      <c r="C792" s="51"/>
      <c r="D792" s="51"/>
      <c r="E792" s="51"/>
      <c r="F792" s="51"/>
      <c r="G792" s="51"/>
      <c r="H792" s="51"/>
      <c r="I792" s="51"/>
      <c r="J792" s="51"/>
      <c r="K792" s="51"/>
      <c r="L792" s="51"/>
      <c r="M792" s="51"/>
      <c r="N792" s="51"/>
    </row>
    <row r="793" spans="2:14" ht="12.75" customHeight="1" x14ac:dyDescent="0.15">
      <c r="B793" s="51"/>
      <c r="C793" s="51"/>
      <c r="D793" s="51"/>
      <c r="E793" s="51"/>
      <c r="F793" s="51"/>
      <c r="G793" s="51"/>
      <c r="H793" s="51"/>
      <c r="I793" s="51"/>
      <c r="J793" s="51"/>
      <c r="K793" s="51"/>
      <c r="L793" s="51"/>
      <c r="M793" s="51"/>
      <c r="N793" s="51"/>
    </row>
    <row r="794" spans="2:14" ht="12.75" customHeight="1" x14ac:dyDescent="0.15">
      <c r="B794" s="51"/>
      <c r="C794" s="51"/>
      <c r="D794" s="51"/>
      <c r="E794" s="51"/>
      <c r="F794" s="51"/>
      <c r="G794" s="51"/>
      <c r="H794" s="51"/>
      <c r="I794" s="51"/>
      <c r="J794" s="51"/>
      <c r="K794" s="51"/>
      <c r="L794" s="51"/>
      <c r="M794" s="51"/>
      <c r="N794" s="51"/>
    </row>
    <row r="795" spans="2:14" ht="12.75" customHeight="1" x14ac:dyDescent="0.15">
      <c r="B795" s="51"/>
      <c r="C795" s="51"/>
      <c r="D795" s="51"/>
      <c r="E795" s="51"/>
      <c r="F795" s="51"/>
      <c r="G795" s="51"/>
      <c r="H795" s="51"/>
      <c r="I795" s="51"/>
      <c r="J795" s="51"/>
      <c r="K795" s="51"/>
      <c r="L795" s="51"/>
      <c r="M795" s="51"/>
      <c r="N795" s="51"/>
    </row>
    <row r="796" spans="2:14" ht="12.75" customHeight="1" x14ac:dyDescent="0.15">
      <c r="B796" s="51"/>
      <c r="C796" s="51"/>
      <c r="D796" s="51"/>
      <c r="E796" s="51"/>
      <c r="F796" s="51"/>
      <c r="G796" s="51"/>
      <c r="H796" s="51"/>
      <c r="I796" s="51"/>
      <c r="J796" s="51"/>
      <c r="K796" s="51"/>
      <c r="L796" s="51"/>
      <c r="M796" s="51"/>
      <c r="N796" s="51"/>
    </row>
    <row r="797" spans="2:14" ht="12.75" customHeight="1" x14ac:dyDescent="0.15">
      <c r="B797" s="51"/>
      <c r="C797" s="51"/>
      <c r="D797" s="51"/>
      <c r="E797" s="51"/>
      <c r="F797" s="51"/>
      <c r="G797" s="51"/>
      <c r="H797" s="51"/>
      <c r="I797" s="51"/>
      <c r="J797" s="51"/>
      <c r="K797" s="51"/>
      <c r="L797" s="51"/>
      <c r="M797" s="51"/>
      <c r="N797" s="51"/>
    </row>
    <row r="798" spans="2:14" ht="12.75" customHeight="1" x14ac:dyDescent="0.15">
      <c r="B798" s="51"/>
      <c r="C798" s="51"/>
      <c r="D798" s="51"/>
      <c r="E798" s="51"/>
      <c r="F798" s="51"/>
      <c r="G798" s="51"/>
      <c r="H798" s="51"/>
      <c r="I798" s="51"/>
      <c r="J798" s="51"/>
      <c r="K798" s="51"/>
      <c r="L798" s="51"/>
      <c r="M798" s="51"/>
      <c r="N798" s="51"/>
    </row>
    <row r="799" spans="2:14" ht="12.75" customHeight="1" x14ac:dyDescent="0.15">
      <c r="B799" s="51"/>
      <c r="C799" s="51"/>
      <c r="D799" s="51"/>
      <c r="E799" s="51"/>
      <c r="F799" s="51"/>
      <c r="G799" s="51"/>
      <c r="H799" s="51"/>
      <c r="I799" s="51"/>
      <c r="J799" s="51"/>
      <c r="K799" s="51"/>
      <c r="L799" s="51"/>
      <c r="M799" s="51"/>
      <c r="N799" s="51"/>
    </row>
    <row r="800" spans="2:14" ht="12.75" customHeight="1" x14ac:dyDescent="0.15">
      <c r="B800" s="51"/>
      <c r="C800" s="51"/>
      <c r="D800" s="51"/>
      <c r="E800" s="51"/>
      <c r="F800" s="51"/>
      <c r="G800" s="51"/>
      <c r="H800" s="51"/>
      <c r="I800" s="51"/>
      <c r="J800" s="51"/>
      <c r="K800" s="51"/>
      <c r="L800" s="51"/>
      <c r="M800" s="51"/>
      <c r="N800" s="51"/>
    </row>
    <row r="801" spans="2:14" ht="12.75" customHeight="1" x14ac:dyDescent="0.15">
      <c r="B801" s="51"/>
      <c r="C801" s="51"/>
      <c r="D801" s="51"/>
      <c r="E801" s="51"/>
      <c r="F801" s="51"/>
      <c r="G801" s="51"/>
      <c r="H801" s="51"/>
      <c r="I801" s="51"/>
      <c r="J801" s="51"/>
      <c r="K801" s="51"/>
      <c r="L801" s="51"/>
      <c r="M801" s="51"/>
      <c r="N801" s="51"/>
    </row>
    <row r="802" spans="2:14" ht="12.75" customHeight="1" x14ac:dyDescent="0.15">
      <c r="B802" s="51"/>
      <c r="C802" s="51"/>
      <c r="D802" s="51"/>
      <c r="E802" s="51"/>
      <c r="F802" s="51"/>
      <c r="G802" s="51"/>
      <c r="H802" s="51"/>
      <c r="I802" s="51"/>
      <c r="J802" s="51"/>
      <c r="K802" s="51"/>
      <c r="L802" s="51"/>
      <c r="M802" s="51"/>
      <c r="N802" s="51"/>
    </row>
    <row r="803" spans="2:14" ht="12.75" customHeight="1" x14ac:dyDescent="0.15">
      <c r="B803" s="51"/>
      <c r="C803" s="51"/>
      <c r="D803" s="51"/>
      <c r="E803" s="51"/>
      <c r="F803" s="51"/>
      <c r="G803" s="51"/>
      <c r="H803" s="51"/>
      <c r="I803" s="51"/>
      <c r="J803" s="51"/>
      <c r="K803" s="51"/>
      <c r="L803" s="51"/>
      <c r="M803" s="51"/>
      <c r="N803" s="51"/>
    </row>
    <row r="804" spans="2:14" ht="12.75" customHeight="1" x14ac:dyDescent="0.15">
      <c r="B804" s="51"/>
      <c r="C804" s="51"/>
      <c r="D804" s="51"/>
      <c r="E804" s="51"/>
      <c r="F804" s="51"/>
      <c r="G804" s="51"/>
      <c r="H804" s="51"/>
      <c r="I804" s="51"/>
      <c r="J804" s="51"/>
      <c r="K804" s="51"/>
      <c r="L804" s="51"/>
      <c r="M804" s="51"/>
      <c r="N804" s="51"/>
    </row>
    <row r="805" spans="2:14" ht="12.75" customHeight="1" x14ac:dyDescent="0.15">
      <c r="B805" s="51"/>
      <c r="C805" s="51"/>
      <c r="D805" s="51"/>
      <c r="E805" s="51"/>
      <c r="F805" s="51"/>
      <c r="G805" s="51"/>
      <c r="H805" s="51"/>
      <c r="I805" s="51"/>
      <c r="J805" s="51"/>
      <c r="K805" s="51"/>
      <c r="L805" s="51"/>
      <c r="M805" s="51"/>
      <c r="N805" s="51"/>
    </row>
    <row r="806" spans="2:14" ht="12.75" customHeight="1" x14ac:dyDescent="0.15">
      <c r="B806" s="51"/>
      <c r="C806" s="51"/>
      <c r="D806" s="51"/>
      <c r="E806" s="51"/>
      <c r="F806" s="51"/>
      <c r="G806" s="51"/>
      <c r="H806" s="51"/>
      <c r="I806" s="51"/>
      <c r="J806" s="51"/>
      <c r="K806" s="51"/>
      <c r="L806" s="51"/>
      <c r="M806" s="51"/>
      <c r="N806" s="51"/>
    </row>
    <row r="807" spans="2:14" ht="12.75" customHeight="1" x14ac:dyDescent="0.15">
      <c r="B807" s="51"/>
      <c r="C807" s="51"/>
      <c r="D807" s="51"/>
      <c r="E807" s="51"/>
      <c r="F807" s="51"/>
      <c r="G807" s="51"/>
      <c r="H807" s="51"/>
      <c r="I807" s="51"/>
      <c r="J807" s="51"/>
      <c r="K807" s="51"/>
      <c r="L807" s="51"/>
      <c r="M807" s="51"/>
      <c r="N807" s="51"/>
    </row>
    <row r="808" spans="2:14" ht="12.75" customHeight="1" x14ac:dyDescent="0.15">
      <c r="B808" s="51"/>
      <c r="C808" s="51"/>
      <c r="D808" s="51"/>
      <c r="E808" s="51"/>
      <c r="F808" s="51"/>
      <c r="G808" s="51"/>
      <c r="H808" s="51"/>
      <c r="I808" s="51"/>
      <c r="J808" s="51"/>
      <c r="K808" s="51"/>
      <c r="L808" s="51"/>
      <c r="M808" s="51"/>
      <c r="N808" s="51"/>
    </row>
    <row r="809" spans="2:14" ht="12.75" customHeight="1" x14ac:dyDescent="0.15">
      <c r="B809" s="51"/>
      <c r="C809" s="51"/>
      <c r="D809" s="51"/>
      <c r="E809" s="51"/>
      <c r="F809" s="51"/>
      <c r="G809" s="51"/>
      <c r="H809" s="51"/>
      <c r="I809" s="51"/>
      <c r="J809" s="51"/>
      <c r="K809" s="51"/>
      <c r="L809" s="51"/>
      <c r="M809" s="51"/>
      <c r="N809" s="51"/>
    </row>
    <row r="810" spans="2:14" ht="12.75" customHeight="1" x14ac:dyDescent="0.15">
      <c r="B810" s="51"/>
      <c r="C810" s="51"/>
      <c r="D810" s="51"/>
      <c r="E810" s="51"/>
      <c r="F810" s="51"/>
      <c r="G810" s="51"/>
      <c r="H810" s="51"/>
      <c r="I810" s="51"/>
      <c r="J810" s="51"/>
      <c r="K810" s="51"/>
      <c r="L810" s="51"/>
      <c r="M810" s="51"/>
      <c r="N810" s="51"/>
    </row>
    <row r="811" spans="2:14" ht="12.75" customHeight="1" x14ac:dyDescent="0.15">
      <c r="B811" s="51"/>
      <c r="C811" s="51"/>
      <c r="D811" s="51"/>
      <c r="E811" s="51"/>
      <c r="F811" s="51"/>
      <c r="G811" s="51"/>
      <c r="H811" s="51"/>
      <c r="I811" s="51"/>
      <c r="J811" s="51"/>
      <c r="K811" s="51"/>
      <c r="L811" s="51"/>
      <c r="M811" s="51"/>
      <c r="N811" s="51"/>
    </row>
    <row r="812" spans="2:14" ht="12.75" customHeight="1" x14ac:dyDescent="0.15">
      <c r="B812" s="51"/>
      <c r="C812" s="51"/>
      <c r="D812" s="51"/>
      <c r="E812" s="51"/>
      <c r="F812" s="51"/>
      <c r="G812" s="51"/>
      <c r="H812" s="51"/>
      <c r="I812" s="51"/>
      <c r="J812" s="51"/>
      <c r="K812" s="51"/>
      <c r="L812" s="51"/>
      <c r="M812" s="51"/>
      <c r="N812" s="51"/>
    </row>
    <row r="813" spans="2:14" ht="12.75" customHeight="1" x14ac:dyDescent="0.15">
      <c r="B813" s="51"/>
      <c r="C813" s="51"/>
      <c r="D813" s="51"/>
      <c r="E813" s="51"/>
      <c r="F813" s="51"/>
      <c r="G813" s="51"/>
      <c r="H813" s="51"/>
      <c r="I813" s="51"/>
      <c r="J813" s="51"/>
      <c r="K813" s="51"/>
      <c r="L813" s="51"/>
      <c r="M813" s="51"/>
      <c r="N813" s="51"/>
    </row>
    <row r="814" spans="2:14" ht="12.75" customHeight="1" x14ac:dyDescent="0.15">
      <c r="B814" s="51"/>
      <c r="C814" s="51"/>
      <c r="D814" s="51"/>
      <c r="E814" s="51"/>
      <c r="F814" s="51"/>
      <c r="G814" s="51"/>
      <c r="H814" s="51"/>
      <c r="I814" s="51"/>
      <c r="J814" s="51"/>
      <c r="K814" s="51"/>
      <c r="L814" s="51"/>
      <c r="M814" s="51"/>
      <c r="N814" s="51"/>
    </row>
    <row r="815" spans="2:14" ht="12.75" customHeight="1" x14ac:dyDescent="0.15">
      <c r="B815" s="51"/>
      <c r="C815" s="51"/>
      <c r="D815" s="51"/>
      <c r="E815" s="51"/>
      <c r="F815" s="51"/>
      <c r="G815" s="51"/>
      <c r="H815" s="51"/>
      <c r="I815" s="51"/>
      <c r="J815" s="51"/>
      <c r="K815" s="51"/>
      <c r="L815" s="51"/>
      <c r="M815" s="51"/>
      <c r="N815" s="51"/>
    </row>
    <row r="816" spans="2:14" ht="12.75" customHeight="1" x14ac:dyDescent="0.15">
      <c r="B816" s="51"/>
      <c r="C816" s="51"/>
      <c r="D816" s="51"/>
      <c r="E816" s="51"/>
      <c r="F816" s="51"/>
      <c r="G816" s="51"/>
      <c r="H816" s="51"/>
      <c r="I816" s="51"/>
      <c r="J816" s="51"/>
      <c r="K816" s="51"/>
      <c r="L816" s="51"/>
      <c r="M816" s="51"/>
      <c r="N816" s="51"/>
    </row>
    <row r="817" spans="2:14" ht="12.75" customHeight="1" x14ac:dyDescent="0.15">
      <c r="B817" s="51"/>
      <c r="C817" s="51"/>
      <c r="D817" s="51"/>
      <c r="E817" s="51"/>
      <c r="F817" s="51"/>
      <c r="G817" s="51"/>
      <c r="H817" s="51"/>
      <c r="I817" s="51"/>
      <c r="J817" s="51"/>
      <c r="K817" s="51"/>
      <c r="L817" s="51"/>
      <c r="M817" s="51"/>
      <c r="N817" s="51"/>
    </row>
    <row r="818" spans="2:14" ht="12.75" customHeight="1" x14ac:dyDescent="0.15">
      <c r="B818" s="51"/>
      <c r="C818" s="51"/>
      <c r="D818" s="51"/>
      <c r="E818" s="51"/>
      <c r="F818" s="51"/>
      <c r="G818" s="51"/>
      <c r="H818" s="51"/>
      <c r="I818" s="51"/>
      <c r="J818" s="51"/>
      <c r="K818" s="51"/>
      <c r="L818" s="51"/>
      <c r="M818" s="51"/>
      <c r="N818" s="51"/>
    </row>
    <row r="819" spans="2:14" ht="12.75" customHeight="1" x14ac:dyDescent="0.15">
      <c r="B819" s="51"/>
      <c r="C819" s="51"/>
      <c r="D819" s="51"/>
      <c r="E819" s="51"/>
      <c r="F819" s="51"/>
      <c r="G819" s="51"/>
      <c r="H819" s="51"/>
      <c r="I819" s="51"/>
      <c r="J819" s="51"/>
      <c r="K819" s="51"/>
      <c r="L819" s="51"/>
      <c r="M819" s="51"/>
      <c r="N819" s="51"/>
    </row>
    <row r="820" spans="2:14" ht="12.75" customHeight="1" x14ac:dyDescent="0.15">
      <c r="B820" s="51"/>
      <c r="C820" s="51"/>
      <c r="D820" s="51"/>
      <c r="E820" s="51"/>
      <c r="F820" s="51"/>
      <c r="G820" s="51"/>
      <c r="H820" s="51"/>
      <c r="I820" s="51"/>
      <c r="J820" s="51"/>
      <c r="K820" s="51"/>
      <c r="L820" s="51"/>
      <c r="M820" s="51"/>
      <c r="N820" s="51"/>
    </row>
    <row r="821" spans="2:14" ht="12.75" customHeight="1" x14ac:dyDescent="0.15">
      <c r="B821" s="51"/>
      <c r="C821" s="51"/>
      <c r="D821" s="51"/>
      <c r="E821" s="51"/>
      <c r="F821" s="51"/>
      <c r="G821" s="51"/>
      <c r="H821" s="51"/>
      <c r="I821" s="51"/>
      <c r="J821" s="51"/>
      <c r="K821" s="51"/>
      <c r="L821" s="51"/>
      <c r="M821" s="51"/>
      <c r="N821" s="51"/>
    </row>
    <row r="822" spans="2:14" ht="12.75" customHeight="1" x14ac:dyDescent="0.15">
      <c r="B822" s="51"/>
      <c r="C822" s="51"/>
      <c r="D822" s="51"/>
      <c r="E822" s="51"/>
      <c r="F822" s="51"/>
      <c r="G822" s="51"/>
      <c r="H822" s="51"/>
      <c r="I822" s="51"/>
      <c r="J822" s="51"/>
      <c r="K822" s="51"/>
      <c r="L822" s="51"/>
      <c r="M822" s="51"/>
      <c r="N822" s="51"/>
    </row>
    <row r="823" spans="2:14" ht="12.75" customHeight="1" x14ac:dyDescent="0.15">
      <c r="B823" s="51"/>
      <c r="C823" s="51"/>
      <c r="D823" s="51"/>
      <c r="E823" s="51"/>
      <c r="F823" s="51"/>
      <c r="G823" s="51"/>
      <c r="H823" s="51"/>
      <c r="I823" s="51"/>
      <c r="J823" s="51"/>
      <c r="K823" s="51"/>
      <c r="L823" s="51"/>
      <c r="M823" s="51"/>
      <c r="N823" s="51"/>
    </row>
    <row r="824" spans="2:14" ht="12.75" customHeight="1" x14ac:dyDescent="0.15">
      <c r="B824" s="51"/>
      <c r="C824" s="51"/>
      <c r="D824" s="51"/>
      <c r="E824" s="51"/>
      <c r="F824" s="51"/>
      <c r="G824" s="51"/>
      <c r="H824" s="51"/>
      <c r="I824" s="51"/>
      <c r="J824" s="51"/>
      <c r="K824" s="51"/>
      <c r="L824" s="51"/>
      <c r="M824" s="51"/>
      <c r="N824" s="51"/>
    </row>
    <row r="825" spans="2:14" ht="12.75" customHeight="1" x14ac:dyDescent="0.15">
      <c r="B825" s="51"/>
      <c r="C825" s="51"/>
      <c r="D825" s="51"/>
      <c r="E825" s="51"/>
      <c r="F825" s="51"/>
      <c r="G825" s="51"/>
      <c r="H825" s="51"/>
      <c r="I825" s="51"/>
      <c r="J825" s="51"/>
      <c r="K825" s="51"/>
      <c r="L825" s="51"/>
      <c r="M825" s="51"/>
      <c r="N825" s="51"/>
    </row>
    <row r="826" spans="2:14" ht="12.75" customHeight="1" x14ac:dyDescent="0.15">
      <c r="B826" s="51"/>
      <c r="C826" s="51"/>
      <c r="D826" s="51"/>
      <c r="E826" s="51"/>
      <c r="F826" s="51"/>
      <c r="G826" s="51"/>
      <c r="H826" s="51"/>
      <c r="I826" s="51"/>
      <c r="J826" s="51"/>
      <c r="K826" s="51"/>
      <c r="L826" s="51"/>
      <c r="M826" s="51"/>
      <c r="N826" s="51"/>
    </row>
    <row r="827" spans="2:14" ht="12.75" customHeight="1" x14ac:dyDescent="0.15">
      <c r="B827" s="51"/>
      <c r="C827" s="51"/>
      <c r="D827" s="51"/>
      <c r="E827" s="51"/>
      <c r="F827" s="51"/>
      <c r="G827" s="51"/>
      <c r="H827" s="51"/>
      <c r="I827" s="51"/>
      <c r="J827" s="51"/>
      <c r="K827" s="51"/>
      <c r="L827" s="51"/>
      <c r="M827" s="51"/>
      <c r="N827" s="51"/>
    </row>
    <row r="828" spans="2:14" ht="12.75" customHeight="1" x14ac:dyDescent="0.15">
      <c r="B828" s="51"/>
      <c r="C828" s="51"/>
      <c r="D828" s="51"/>
      <c r="E828" s="51"/>
      <c r="F828" s="51"/>
      <c r="G828" s="51"/>
      <c r="H828" s="51"/>
      <c r="I828" s="51"/>
      <c r="J828" s="51"/>
      <c r="K828" s="51"/>
      <c r="L828" s="51"/>
      <c r="M828" s="51"/>
      <c r="N828" s="51"/>
    </row>
    <row r="829" spans="2:14" ht="12.75" customHeight="1" x14ac:dyDescent="0.15">
      <c r="B829" s="51"/>
      <c r="C829" s="51"/>
      <c r="D829" s="51"/>
      <c r="E829" s="51"/>
      <c r="F829" s="51"/>
      <c r="G829" s="51"/>
      <c r="H829" s="51"/>
      <c r="I829" s="51"/>
      <c r="J829" s="51"/>
      <c r="K829" s="51"/>
      <c r="L829" s="51"/>
      <c r="M829" s="51"/>
      <c r="N829" s="51"/>
    </row>
    <row r="830" spans="2:14" ht="12.75" customHeight="1" x14ac:dyDescent="0.15">
      <c r="B830" s="51"/>
      <c r="C830" s="51"/>
      <c r="D830" s="51"/>
      <c r="E830" s="51"/>
      <c r="F830" s="51"/>
      <c r="G830" s="51"/>
      <c r="H830" s="51"/>
      <c r="I830" s="51"/>
      <c r="J830" s="51"/>
      <c r="K830" s="51"/>
      <c r="L830" s="51"/>
      <c r="M830" s="51"/>
      <c r="N830" s="51"/>
    </row>
    <row r="831" spans="2:14" ht="12.75" customHeight="1" x14ac:dyDescent="0.15">
      <c r="B831" s="51"/>
      <c r="C831" s="51"/>
      <c r="D831" s="51"/>
      <c r="E831" s="51"/>
      <c r="F831" s="51"/>
      <c r="G831" s="51"/>
      <c r="H831" s="51"/>
      <c r="I831" s="51"/>
      <c r="J831" s="51"/>
      <c r="K831" s="51"/>
      <c r="L831" s="51"/>
      <c r="M831" s="51"/>
      <c r="N831" s="51"/>
    </row>
    <row r="832" spans="2:14" ht="12.75" customHeight="1" x14ac:dyDescent="0.15">
      <c r="B832" s="51"/>
      <c r="C832" s="51"/>
      <c r="D832" s="51"/>
      <c r="E832" s="51"/>
      <c r="F832" s="51"/>
      <c r="G832" s="51"/>
      <c r="H832" s="51"/>
      <c r="I832" s="51"/>
      <c r="J832" s="51"/>
      <c r="K832" s="51"/>
      <c r="L832" s="51"/>
      <c r="M832" s="51"/>
      <c r="N832" s="51"/>
    </row>
    <row r="833" spans="2:14" ht="12.75" customHeight="1" x14ac:dyDescent="0.15">
      <c r="B833" s="51"/>
      <c r="C833" s="51"/>
      <c r="D833" s="51"/>
      <c r="E833" s="51"/>
      <c r="F833" s="51"/>
      <c r="G833" s="51"/>
      <c r="H833" s="51"/>
      <c r="I833" s="51"/>
      <c r="J833" s="51"/>
      <c r="K833" s="51"/>
      <c r="L833" s="51"/>
      <c r="M833" s="51"/>
      <c r="N833" s="51"/>
    </row>
    <row r="834" spans="2:14" ht="12.75" customHeight="1" x14ac:dyDescent="0.15">
      <c r="B834" s="51"/>
      <c r="C834" s="51"/>
      <c r="D834" s="51"/>
      <c r="E834" s="51"/>
      <c r="F834" s="51"/>
      <c r="G834" s="51"/>
      <c r="H834" s="51"/>
      <c r="I834" s="51"/>
      <c r="J834" s="51"/>
      <c r="K834" s="51"/>
      <c r="L834" s="51"/>
      <c r="M834" s="51"/>
      <c r="N834" s="51"/>
    </row>
    <row r="835" spans="2:14" ht="12.75" customHeight="1" x14ac:dyDescent="0.15">
      <c r="B835" s="51"/>
      <c r="C835" s="51"/>
      <c r="D835" s="51"/>
      <c r="E835" s="51"/>
      <c r="F835" s="51"/>
      <c r="G835" s="51"/>
      <c r="H835" s="51"/>
      <c r="I835" s="51"/>
      <c r="J835" s="51"/>
      <c r="K835" s="51"/>
      <c r="L835" s="51"/>
      <c r="M835" s="51"/>
      <c r="N835" s="51"/>
    </row>
    <row r="836" spans="2:14" ht="12.75" customHeight="1" x14ac:dyDescent="0.15">
      <c r="B836" s="51"/>
      <c r="C836" s="51"/>
      <c r="D836" s="51"/>
      <c r="E836" s="51"/>
      <c r="F836" s="51"/>
      <c r="G836" s="51"/>
      <c r="H836" s="51"/>
      <c r="I836" s="51"/>
      <c r="J836" s="51"/>
      <c r="K836" s="51"/>
      <c r="L836" s="51"/>
      <c r="M836" s="51"/>
      <c r="N836" s="51"/>
    </row>
    <row r="837" spans="2:14" ht="12.75" customHeight="1" x14ac:dyDescent="0.15">
      <c r="B837" s="51"/>
      <c r="C837" s="51"/>
      <c r="D837" s="51"/>
      <c r="E837" s="51"/>
      <c r="F837" s="51"/>
      <c r="G837" s="51"/>
      <c r="H837" s="51"/>
      <c r="I837" s="51"/>
      <c r="J837" s="51"/>
      <c r="K837" s="51"/>
      <c r="L837" s="51"/>
      <c r="M837" s="51"/>
      <c r="N837" s="51"/>
    </row>
    <row r="838" spans="2:14" ht="12.75" customHeight="1" x14ac:dyDescent="0.15">
      <c r="B838" s="51"/>
      <c r="C838" s="51"/>
      <c r="D838" s="51"/>
      <c r="E838" s="51"/>
      <c r="F838" s="51"/>
      <c r="G838" s="51"/>
      <c r="H838" s="51"/>
      <c r="I838" s="51"/>
      <c r="J838" s="51"/>
      <c r="K838" s="51"/>
      <c r="L838" s="51"/>
      <c r="M838" s="51"/>
      <c r="N838" s="51"/>
    </row>
    <row r="839" spans="2:14" ht="12.75" customHeight="1" x14ac:dyDescent="0.15">
      <c r="B839" s="51"/>
      <c r="C839" s="51"/>
      <c r="D839" s="51"/>
      <c r="E839" s="51"/>
      <c r="F839" s="51"/>
      <c r="G839" s="51"/>
      <c r="H839" s="51"/>
      <c r="I839" s="51"/>
      <c r="J839" s="51"/>
      <c r="K839" s="51"/>
      <c r="L839" s="51"/>
      <c r="M839" s="51"/>
      <c r="N839" s="51"/>
    </row>
    <row r="840" spans="2:14" ht="12.75" customHeight="1" x14ac:dyDescent="0.15">
      <c r="B840" s="51"/>
      <c r="C840" s="51"/>
      <c r="D840" s="51"/>
      <c r="E840" s="51"/>
      <c r="F840" s="51"/>
      <c r="G840" s="51"/>
      <c r="H840" s="51"/>
      <c r="I840" s="51"/>
      <c r="J840" s="51"/>
      <c r="K840" s="51"/>
      <c r="L840" s="51"/>
      <c r="M840" s="51"/>
      <c r="N840" s="51"/>
    </row>
    <row r="841" spans="2:14" ht="12.75" customHeight="1" x14ac:dyDescent="0.15">
      <c r="B841" s="51"/>
      <c r="C841" s="51"/>
      <c r="D841" s="51"/>
      <c r="E841" s="51"/>
      <c r="F841" s="51"/>
      <c r="G841" s="51"/>
      <c r="H841" s="51"/>
      <c r="I841" s="51"/>
      <c r="J841" s="51"/>
      <c r="K841" s="51"/>
      <c r="L841" s="51"/>
      <c r="M841" s="51"/>
      <c r="N841" s="51"/>
    </row>
    <row r="842" spans="2:14" ht="12.75" customHeight="1" x14ac:dyDescent="0.15">
      <c r="B842" s="51"/>
      <c r="C842" s="51"/>
      <c r="D842" s="51"/>
      <c r="E842" s="51"/>
      <c r="F842" s="51"/>
      <c r="G842" s="51"/>
      <c r="H842" s="51"/>
      <c r="I842" s="51"/>
      <c r="J842" s="51"/>
      <c r="K842" s="51"/>
      <c r="L842" s="51"/>
      <c r="M842" s="51"/>
      <c r="N842" s="51"/>
    </row>
    <row r="843" spans="2:14" ht="12.75" customHeight="1" x14ac:dyDescent="0.15">
      <c r="B843" s="51"/>
      <c r="C843" s="51"/>
      <c r="D843" s="51"/>
      <c r="E843" s="51"/>
      <c r="F843" s="51"/>
      <c r="G843" s="51"/>
      <c r="H843" s="51"/>
      <c r="I843" s="51"/>
      <c r="J843" s="51"/>
      <c r="K843" s="51"/>
      <c r="L843" s="51"/>
      <c r="M843" s="51"/>
      <c r="N843" s="51"/>
    </row>
    <row r="844" spans="2:14" ht="12.75" customHeight="1" x14ac:dyDescent="0.15">
      <c r="B844" s="51"/>
      <c r="C844" s="51"/>
      <c r="D844" s="51"/>
      <c r="E844" s="51"/>
      <c r="F844" s="51"/>
      <c r="G844" s="51"/>
      <c r="H844" s="51"/>
      <c r="I844" s="51"/>
      <c r="J844" s="51"/>
      <c r="K844" s="51"/>
      <c r="L844" s="51"/>
      <c r="M844" s="51"/>
      <c r="N844" s="51"/>
    </row>
    <row r="845" spans="2:14" ht="12.75" customHeight="1" x14ac:dyDescent="0.15">
      <c r="B845" s="51"/>
      <c r="C845" s="51"/>
      <c r="D845" s="51"/>
      <c r="E845" s="51"/>
      <c r="F845" s="51"/>
      <c r="G845" s="51"/>
      <c r="H845" s="51"/>
      <c r="I845" s="51"/>
      <c r="J845" s="51"/>
      <c r="K845" s="51"/>
      <c r="L845" s="51"/>
      <c r="M845" s="51"/>
      <c r="N845" s="51"/>
    </row>
    <row r="846" spans="2:14" ht="12.75" customHeight="1" x14ac:dyDescent="0.15">
      <c r="B846" s="51"/>
      <c r="C846" s="51"/>
      <c r="D846" s="51"/>
      <c r="E846" s="51"/>
      <c r="F846" s="51"/>
      <c r="G846" s="51"/>
      <c r="H846" s="51"/>
      <c r="I846" s="51"/>
      <c r="J846" s="51"/>
      <c r="K846" s="51"/>
      <c r="L846" s="51"/>
      <c r="M846" s="51"/>
      <c r="N846" s="51"/>
    </row>
    <row r="847" spans="2:14" ht="12.75" customHeight="1" x14ac:dyDescent="0.15">
      <c r="B847" s="51"/>
      <c r="C847" s="51"/>
      <c r="D847" s="51"/>
      <c r="E847" s="51"/>
      <c r="F847" s="51"/>
      <c r="G847" s="51"/>
      <c r="H847" s="51"/>
      <c r="I847" s="51"/>
      <c r="J847" s="51"/>
      <c r="K847" s="51"/>
      <c r="L847" s="51"/>
      <c r="M847" s="51"/>
      <c r="N847" s="51"/>
    </row>
    <row r="848" spans="2:14" ht="12.75" customHeight="1" x14ac:dyDescent="0.15">
      <c r="B848" s="51"/>
      <c r="C848" s="51"/>
      <c r="D848" s="51"/>
      <c r="E848" s="51"/>
      <c r="F848" s="51"/>
      <c r="G848" s="51"/>
      <c r="H848" s="51"/>
      <c r="I848" s="51"/>
      <c r="J848" s="51"/>
      <c r="K848" s="51"/>
      <c r="L848" s="51"/>
      <c r="M848" s="51"/>
      <c r="N848" s="51"/>
    </row>
    <row r="849" spans="2:14" ht="12.75" customHeight="1" x14ac:dyDescent="0.15">
      <c r="B849" s="51"/>
      <c r="C849" s="51"/>
      <c r="D849" s="51"/>
      <c r="E849" s="51"/>
      <c r="F849" s="51"/>
      <c r="G849" s="51"/>
      <c r="H849" s="51"/>
      <c r="I849" s="51"/>
      <c r="J849" s="51"/>
      <c r="K849" s="51"/>
      <c r="L849" s="51"/>
      <c r="M849" s="51"/>
      <c r="N849" s="51"/>
    </row>
    <row r="850" spans="2:14" ht="12.75" customHeight="1" x14ac:dyDescent="0.15">
      <c r="B850" s="51"/>
      <c r="C850" s="51"/>
      <c r="D850" s="51"/>
      <c r="E850" s="51"/>
      <c r="F850" s="51"/>
      <c r="G850" s="51"/>
      <c r="H850" s="51"/>
      <c r="I850" s="51"/>
      <c r="J850" s="51"/>
      <c r="K850" s="51"/>
      <c r="L850" s="51"/>
      <c r="M850" s="51"/>
      <c r="N850" s="51"/>
    </row>
    <row r="851" spans="2:14" ht="12.75" customHeight="1" x14ac:dyDescent="0.15">
      <c r="B851" s="51"/>
      <c r="C851" s="51"/>
      <c r="D851" s="51"/>
      <c r="E851" s="51"/>
      <c r="F851" s="51"/>
      <c r="G851" s="51"/>
      <c r="H851" s="51"/>
      <c r="I851" s="51"/>
      <c r="J851" s="51"/>
      <c r="K851" s="51"/>
      <c r="L851" s="51"/>
      <c r="M851" s="51"/>
      <c r="N851" s="51"/>
    </row>
    <row r="852" spans="2:14" ht="12.75" customHeight="1" x14ac:dyDescent="0.15">
      <c r="B852" s="51"/>
      <c r="C852" s="51"/>
      <c r="D852" s="51"/>
      <c r="E852" s="51"/>
      <c r="F852" s="51"/>
      <c r="G852" s="51"/>
      <c r="H852" s="51"/>
      <c r="I852" s="51"/>
      <c r="J852" s="51"/>
      <c r="K852" s="51"/>
      <c r="L852" s="51"/>
      <c r="M852" s="51"/>
      <c r="N852" s="51"/>
    </row>
    <row r="853" spans="2:14" ht="12.75" customHeight="1" x14ac:dyDescent="0.15">
      <c r="B853" s="51"/>
      <c r="C853" s="51"/>
      <c r="D853" s="51"/>
      <c r="E853" s="51"/>
      <c r="F853" s="51"/>
      <c r="G853" s="51"/>
      <c r="H853" s="51"/>
      <c r="I853" s="51"/>
      <c r="J853" s="51"/>
      <c r="K853" s="51"/>
      <c r="L853" s="51"/>
      <c r="M853" s="51"/>
      <c r="N853" s="51"/>
    </row>
    <row r="854" spans="2:14" ht="12.75" customHeight="1" x14ac:dyDescent="0.15">
      <c r="B854" s="51"/>
      <c r="C854" s="51"/>
      <c r="D854" s="51"/>
      <c r="E854" s="51"/>
      <c r="F854" s="51"/>
      <c r="G854" s="51"/>
      <c r="H854" s="51"/>
      <c r="I854" s="51"/>
      <c r="J854" s="51"/>
      <c r="K854" s="51"/>
      <c r="L854" s="51"/>
      <c r="M854" s="51"/>
      <c r="N854" s="51"/>
    </row>
    <row r="855" spans="2:14" ht="12.75" customHeight="1" x14ac:dyDescent="0.15">
      <c r="B855" s="51"/>
      <c r="C855" s="51"/>
      <c r="D855" s="51"/>
      <c r="E855" s="51"/>
      <c r="F855" s="51"/>
      <c r="G855" s="51"/>
      <c r="H855" s="51"/>
      <c r="I855" s="51"/>
      <c r="J855" s="51"/>
      <c r="K855" s="51"/>
      <c r="L855" s="51"/>
      <c r="M855" s="51"/>
      <c r="N855" s="51"/>
    </row>
    <row r="856" spans="2:14" ht="12.75" customHeight="1" x14ac:dyDescent="0.15">
      <c r="B856" s="51"/>
      <c r="C856" s="51"/>
      <c r="D856" s="51"/>
      <c r="E856" s="51"/>
      <c r="F856" s="51"/>
      <c r="G856" s="51"/>
      <c r="H856" s="51"/>
      <c r="I856" s="51"/>
      <c r="J856" s="51"/>
      <c r="K856" s="51"/>
      <c r="L856" s="51"/>
      <c r="M856" s="51"/>
      <c r="N856" s="51"/>
    </row>
    <row r="857" spans="2:14" ht="12.75" customHeight="1" x14ac:dyDescent="0.15">
      <c r="B857" s="51"/>
      <c r="C857" s="51"/>
      <c r="D857" s="51"/>
      <c r="E857" s="51"/>
      <c r="F857" s="51"/>
      <c r="G857" s="51"/>
      <c r="H857" s="51"/>
      <c r="I857" s="51"/>
      <c r="J857" s="51"/>
      <c r="K857" s="51"/>
      <c r="L857" s="51"/>
      <c r="M857" s="51"/>
      <c r="N857" s="51"/>
    </row>
    <row r="858" spans="2:14" ht="12.75" customHeight="1" x14ac:dyDescent="0.15">
      <c r="B858" s="51"/>
      <c r="C858" s="51"/>
      <c r="D858" s="51"/>
      <c r="E858" s="51"/>
      <c r="F858" s="51"/>
      <c r="G858" s="51"/>
      <c r="H858" s="51"/>
      <c r="I858" s="51"/>
      <c r="J858" s="51"/>
      <c r="K858" s="51"/>
      <c r="L858" s="51"/>
      <c r="M858" s="51"/>
      <c r="N858" s="51"/>
    </row>
    <row r="859" spans="2:14" ht="12.75" customHeight="1" x14ac:dyDescent="0.15">
      <c r="B859" s="51"/>
      <c r="C859" s="51"/>
      <c r="D859" s="51"/>
      <c r="E859" s="51"/>
      <c r="F859" s="51"/>
      <c r="G859" s="51"/>
      <c r="H859" s="51"/>
      <c r="I859" s="51"/>
      <c r="J859" s="51"/>
      <c r="K859" s="51"/>
      <c r="L859" s="51"/>
      <c r="M859" s="51"/>
      <c r="N859" s="51"/>
    </row>
    <row r="860" spans="2:14" ht="12.75" customHeight="1" x14ac:dyDescent="0.15">
      <c r="B860" s="51"/>
      <c r="C860" s="51"/>
      <c r="D860" s="51"/>
      <c r="E860" s="51"/>
      <c r="F860" s="51"/>
      <c r="G860" s="51"/>
      <c r="H860" s="51"/>
      <c r="I860" s="51"/>
      <c r="J860" s="51"/>
      <c r="K860" s="51"/>
      <c r="L860" s="51"/>
      <c r="M860" s="51"/>
      <c r="N860" s="51"/>
    </row>
    <row r="861" spans="2:14" ht="12.75" customHeight="1" x14ac:dyDescent="0.15">
      <c r="B861" s="51"/>
      <c r="C861" s="51"/>
      <c r="D861" s="51"/>
      <c r="E861" s="51"/>
      <c r="F861" s="51"/>
      <c r="G861" s="51"/>
      <c r="H861" s="51"/>
      <c r="I861" s="51"/>
      <c r="J861" s="51"/>
      <c r="K861" s="51"/>
      <c r="L861" s="51"/>
      <c r="M861" s="51"/>
      <c r="N861" s="51"/>
    </row>
    <row r="862" spans="2:14" ht="12.75" customHeight="1" x14ac:dyDescent="0.15">
      <c r="B862" s="51"/>
      <c r="C862" s="51"/>
      <c r="D862" s="51"/>
      <c r="E862" s="51"/>
      <c r="F862" s="51"/>
      <c r="G862" s="51"/>
      <c r="H862" s="51"/>
      <c r="I862" s="51"/>
      <c r="J862" s="51"/>
      <c r="K862" s="51"/>
      <c r="L862" s="51"/>
      <c r="M862" s="51"/>
      <c r="N862" s="51"/>
    </row>
    <row r="863" spans="2:14" ht="12.75" customHeight="1" x14ac:dyDescent="0.15">
      <c r="B863" s="51"/>
      <c r="C863" s="51"/>
      <c r="D863" s="51"/>
      <c r="E863" s="51"/>
      <c r="F863" s="51"/>
      <c r="G863" s="51"/>
      <c r="H863" s="51"/>
      <c r="I863" s="51"/>
      <c r="J863" s="51"/>
      <c r="K863" s="51"/>
      <c r="L863" s="51"/>
      <c r="M863" s="51"/>
      <c r="N863" s="51"/>
    </row>
    <row r="864" spans="2:14" ht="12.75" customHeight="1" x14ac:dyDescent="0.15">
      <c r="B864" s="51"/>
      <c r="C864" s="51"/>
      <c r="D864" s="51"/>
      <c r="E864" s="51"/>
      <c r="F864" s="51"/>
      <c r="G864" s="51"/>
      <c r="H864" s="51"/>
      <c r="I864" s="51"/>
      <c r="J864" s="51"/>
      <c r="K864" s="51"/>
      <c r="L864" s="51"/>
      <c r="M864" s="51"/>
      <c r="N864" s="51"/>
    </row>
    <row r="865" spans="2:14" ht="12.75" customHeight="1" x14ac:dyDescent="0.15">
      <c r="B865" s="51"/>
      <c r="C865" s="51"/>
      <c r="D865" s="51"/>
      <c r="E865" s="51"/>
      <c r="F865" s="51"/>
      <c r="G865" s="51"/>
      <c r="H865" s="51"/>
      <c r="I865" s="51"/>
      <c r="J865" s="51"/>
      <c r="K865" s="51"/>
      <c r="L865" s="51"/>
      <c r="M865" s="51"/>
      <c r="N865" s="51"/>
    </row>
    <row r="866" spans="2:14" ht="12.75" customHeight="1" x14ac:dyDescent="0.15">
      <c r="B866" s="51"/>
      <c r="C866" s="51"/>
      <c r="D866" s="51"/>
      <c r="E866" s="51"/>
      <c r="F866" s="51"/>
      <c r="G866" s="51"/>
      <c r="H866" s="51"/>
      <c r="I866" s="51"/>
      <c r="J866" s="51"/>
      <c r="K866" s="51"/>
      <c r="L866" s="51"/>
      <c r="M866" s="51"/>
      <c r="N866" s="51"/>
    </row>
    <row r="867" spans="2:14" ht="12.75" customHeight="1" x14ac:dyDescent="0.15">
      <c r="B867" s="51"/>
      <c r="C867" s="51"/>
      <c r="D867" s="51"/>
      <c r="E867" s="51"/>
      <c r="F867" s="51"/>
      <c r="G867" s="51"/>
      <c r="H867" s="51"/>
      <c r="I867" s="51"/>
      <c r="J867" s="51"/>
      <c r="K867" s="51"/>
      <c r="L867" s="51"/>
      <c r="M867" s="51"/>
      <c r="N867" s="51"/>
    </row>
    <row r="868" spans="2:14" ht="12.75" customHeight="1" x14ac:dyDescent="0.15">
      <c r="B868" s="51"/>
      <c r="C868" s="51"/>
      <c r="D868" s="51"/>
      <c r="E868" s="51"/>
      <c r="F868" s="51"/>
      <c r="G868" s="51"/>
      <c r="H868" s="51"/>
      <c r="I868" s="51"/>
      <c r="J868" s="51"/>
      <c r="K868" s="51"/>
      <c r="L868" s="51"/>
      <c r="M868" s="51"/>
      <c r="N868" s="51"/>
    </row>
    <row r="869" spans="2:14" ht="12.75" customHeight="1" x14ac:dyDescent="0.15">
      <c r="B869" s="51"/>
      <c r="C869" s="51"/>
      <c r="D869" s="51"/>
      <c r="E869" s="51"/>
      <c r="F869" s="51"/>
      <c r="G869" s="51"/>
      <c r="H869" s="51"/>
      <c r="I869" s="51"/>
      <c r="J869" s="51"/>
      <c r="K869" s="51"/>
      <c r="L869" s="51"/>
      <c r="M869" s="51"/>
      <c r="N869" s="51"/>
    </row>
    <row r="870" spans="2:14" ht="12.75" customHeight="1" x14ac:dyDescent="0.15">
      <c r="B870" s="51"/>
      <c r="C870" s="51"/>
      <c r="D870" s="51"/>
      <c r="E870" s="51"/>
      <c r="F870" s="51"/>
      <c r="G870" s="51"/>
      <c r="H870" s="51"/>
      <c r="I870" s="51"/>
      <c r="J870" s="51"/>
      <c r="K870" s="51"/>
      <c r="L870" s="51"/>
      <c r="M870" s="51"/>
      <c r="N870" s="51"/>
    </row>
    <row r="871" spans="2:14" ht="12.75" customHeight="1" x14ac:dyDescent="0.15">
      <c r="B871" s="51"/>
      <c r="C871" s="51"/>
      <c r="D871" s="51"/>
      <c r="E871" s="51"/>
      <c r="F871" s="51"/>
      <c r="G871" s="51"/>
      <c r="H871" s="51"/>
      <c r="I871" s="51"/>
      <c r="J871" s="51"/>
      <c r="K871" s="51"/>
      <c r="L871" s="51"/>
      <c r="M871" s="51"/>
      <c r="N871" s="51"/>
    </row>
    <row r="872" spans="2:14" ht="12.75" customHeight="1" x14ac:dyDescent="0.15">
      <c r="B872" s="51"/>
      <c r="C872" s="51"/>
      <c r="D872" s="51"/>
      <c r="E872" s="51"/>
      <c r="F872" s="51"/>
      <c r="G872" s="51"/>
      <c r="H872" s="51"/>
      <c r="I872" s="51"/>
      <c r="J872" s="51"/>
      <c r="K872" s="51"/>
      <c r="L872" s="51"/>
      <c r="M872" s="51"/>
      <c r="N872" s="51"/>
    </row>
    <row r="873" spans="2:14" ht="12.75" customHeight="1" x14ac:dyDescent="0.15">
      <c r="B873" s="51"/>
      <c r="C873" s="51"/>
      <c r="D873" s="51"/>
      <c r="E873" s="51"/>
      <c r="F873" s="51"/>
      <c r="G873" s="51"/>
      <c r="H873" s="51"/>
      <c r="I873" s="51"/>
      <c r="J873" s="51"/>
      <c r="K873" s="51"/>
      <c r="L873" s="51"/>
      <c r="M873" s="51"/>
      <c r="N873" s="51"/>
    </row>
    <row r="874" spans="2:14" ht="12.75" customHeight="1" x14ac:dyDescent="0.15">
      <c r="B874" s="51"/>
      <c r="C874" s="51"/>
      <c r="D874" s="51"/>
      <c r="E874" s="51"/>
      <c r="F874" s="51"/>
      <c r="G874" s="51"/>
      <c r="H874" s="51"/>
      <c r="I874" s="51"/>
      <c r="J874" s="51"/>
      <c r="K874" s="51"/>
      <c r="L874" s="51"/>
      <c r="M874" s="51"/>
      <c r="N874" s="51"/>
    </row>
    <row r="875" spans="2:14" ht="12.75" customHeight="1" x14ac:dyDescent="0.15">
      <c r="B875" s="51"/>
      <c r="C875" s="51"/>
      <c r="D875" s="51"/>
      <c r="E875" s="51"/>
      <c r="F875" s="51"/>
      <c r="G875" s="51"/>
      <c r="H875" s="51"/>
      <c r="I875" s="51"/>
      <c r="J875" s="51"/>
      <c r="K875" s="51"/>
      <c r="L875" s="51"/>
      <c r="M875" s="51"/>
      <c r="N875" s="51"/>
    </row>
    <row r="876" spans="2:14" ht="12.75" customHeight="1" x14ac:dyDescent="0.15">
      <c r="B876" s="51"/>
      <c r="C876" s="51"/>
      <c r="D876" s="51"/>
      <c r="E876" s="51"/>
      <c r="F876" s="51"/>
      <c r="G876" s="51"/>
      <c r="H876" s="51"/>
      <c r="I876" s="51"/>
      <c r="J876" s="51"/>
      <c r="K876" s="51"/>
      <c r="L876" s="51"/>
      <c r="M876" s="51"/>
      <c r="N876" s="51"/>
    </row>
    <row r="877" spans="2:14" ht="12.75" customHeight="1" x14ac:dyDescent="0.15">
      <c r="B877" s="51"/>
      <c r="C877" s="51"/>
      <c r="D877" s="51"/>
      <c r="E877" s="51"/>
      <c r="F877" s="51"/>
      <c r="G877" s="51"/>
      <c r="H877" s="51"/>
      <c r="I877" s="51"/>
      <c r="J877" s="51"/>
      <c r="K877" s="51"/>
      <c r="L877" s="51"/>
      <c r="M877" s="51"/>
      <c r="N877" s="51"/>
    </row>
    <row r="878" spans="2:14" ht="12.75" customHeight="1" x14ac:dyDescent="0.15">
      <c r="B878" s="51"/>
      <c r="C878" s="51"/>
      <c r="D878" s="51"/>
      <c r="E878" s="51"/>
      <c r="F878" s="51"/>
      <c r="G878" s="51"/>
      <c r="H878" s="51"/>
      <c r="I878" s="51"/>
      <c r="J878" s="51"/>
      <c r="K878" s="51"/>
      <c r="L878" s="51"/>
      <c r="M878" s="51"/>
      <c r="N878" s="51"/>
    </row>
    <row r="879" spans="2:14" ht="12.75" customHeight="1" x14ac:dyDescent="0.15">
      <c r="B879" s="51"/>
      <c r="C879" s="51"/>
      <c r="D879" s="51"/>
      <c r="E879" s="51"/>
      <c r="F879" s="51"/>
      <c r="G879" s="51"/>
      <c r="H879" s="51"/>
      <c r="I879" s="51"/>
      <c r="J879" s="51"/>
      <c r="K879" s="51"/>
      <c r="L879" s="51"/>
      <c r="M879" s="51"/>
      <c r="N879" s="51"/>
    </row>
    <row r="880" spans="2:14" ht="12.75" customHeight="1" x14ac:dyDescent="0.15">
      <c r="B880" s="51"/>
      <c r="C880" s="51"/>
      <c r="D880" s="51"/>
      <c r="E880" s="51"/>
      <c r="F880" s="51"/>
      <c r="G880" s="51"/>
      <c r="H880" s="51"/>
      <c r="I880" s="51"/>
      <c r="J880" s="51"/>
      <c r="K880" s="51"/>
      <c r="L880" s="51"/>
      <c r="M880" s="51"/>
      <c r="N880" s="51"/>
    </row>
    <row r="881" spans="2:14" ht="12.75" customHeight="1" x14ac:dyDescent="0.15">
      <c r="B881" s="51"/>
      <c r="C881" s="51"/>
      <c r="D881" s="51"/>
      <c r="E881" s="51"/>
      <c r="F881" s="51"/>
      <c r="G881" s="51"/>
      <c r="H881" s="51"/>
      <c r="I881" s="51"/>
      <c r="J881" s="51"/>
      <c r="K881" s="51"/>
      <c r="L881" s="51"/>
      <c r="M881" s="51"/>
      <c r="N881" s="51"/>
    </row>
    <row r="882" spans="2:14" ht="12.75" customHeight="1" x14ac:dyDescent="0.15">
      <c r="B882" s="51"/>
      <c r="C882" s="51"/>
      <c r="D882" s="51"/>
      <c r="E882" s="51"/>
      <c r="F882" s="51"/>
      <c r="G882" s="51"/>
      <c r="H882" s="51"/>
      <c r="I882" s="51"/>
      <c r="J882" s="51"/>
      <c r="K882" s="51"/>
      <c r="L882" s="51"/>
      <c r="M882" s="51"/>
      <c r="N882" s="51"/>
    </row>
    <row r="883" spans="2:14" ht="12.75" customHeight="1" x14ac:dyDescent="0.15">
      <c r="B883" s="51"/>
      <c r="C883" s="51"/>
      <c r="D883" s="51"/>
      <c r="E883" s="51"/>
      <c r="F883" s="51"/>
      <c r="G883" s="51"/>
      <c r="H883" s="51"/>
      <c r="I883" s="51"/>
      <c r="J883" s="51"/>
      <c r="K883" s="51"/>
      <c r="L883" s="51"/>
      <c r="M883" s="51"/>
      <c r="N883" s="51"/>
    </row>
    <row r="884" spans="2:14" ht="12.75" customHeight="1" x14ac:dyDescent="0.15">
      <c r="B884" s="51"/>
      <c r="C884" s="51"/>
      <c r="D884" s="51"/>
      <c r="E884" s="51"/>
      <c r="F884" s="51"/>
      <c r="G884" s="51"/>
      <c r="H884" s="51"/>
      <c r="I884" s="51"/>
      <c r="J884" s="51"/>
      <c r="K884" s="51"/>
      <c r="L884" s="51"/>
      <c r="M884" s="51"/>
      <c r="N884" s="51"/>
    </row>
    <row r="885" spans="2:14" ht="12.75" customHeight="1" x14ac:dyDescent="0.15">
      <c r="B885" s="51"/>
      <c r="C885" s="51"/>
      <c r="D885" s="51"/>
      <c r="E885" s="51"/>
      <c r="F885" s="51"/>
      <c r="G885" s="51"/>
      <c r="H885" s="51"/>
      <c r="I885" s="51"/>
      <c r="J885" s="51"/>
      <c r="K885" s="51"/>
      <c r="L885" s="51"/>
      <c r="M885" s="51"/>
      <c r="N885" s="51"/>
    </row>
    <row r="886" spans="2:14" ht="12.75" customHeight="1" x14ac:dyDescent="0.15">
      <c r="B886" s="51"/>
      <c r="C886" s="51"/>
      <c r="D886" s="51"/>
      <c r="E886" s="51"/>
      <c r="F886" s="51"/>
      <c r="G886" s="51"/>
      <c r="H886" s="51"/>
      <c r="I886" s="51"/>
      <c r="J886" s="51"/>
      <c r="K886" s="51"/>
      <c r="L886" s="51"/>
      <c r="M886" s="51"/>
      <c r="N886" s="51"/>
    </row>
    <row r="887" spans="2:14" ht="12.75" customHeight="1" x14ac:dyDescent="0.15">
      <c r="B887" s="51"/>
      <c r="C887" s="51"/>
      <c r="D887" s="51"/>
      <c r="E887" s="51"/>
      <c r="F887" s="51"/>
      <c r="G887" s="51"/>
      <c r="H887" s="51"/>
      <c r="I887" s="51"/>
      <c r="J887" s="51"/>
      <c r="K887" s="51"/>
      <c r="L887" s="51"/>
      <c r="M887" s="51"/>
      <c r="N887" s="51"/>
    </row>
    <row r="888" spans="2:14" ht="12.75" customHeight="1" x14ac:dyDescent="0.15">
      <c r="B888" s="51"/>
      <c r="C888" s="51"/>
      <c r="D888" s="51"/>
      <c r="E888" s="51"/>
      <c r="F888" s="51"/>
      <c r="G888" s="51"/>
      <c r="H888" s="51"/>
      <c r="I888" s="51"/>
      <c r="J888" s="51"/>
      <c r="K888" s="51"/>
      <c r="L888" s="51"/>
      <c r="M888" s="51"/>
      <c r="N888" s="51"/>
    </row>
    <row r="889" spans="2:14" ht="12.75" customHeight="1" x14ac:dyDescent="0.15">
      <c r="B889" s="51"/>
      <c r="C889" s="51"/>
      <c r="D889" s="51"/>
      <c r="E889" s="51"/>
      <c r="F889" s="51"/>
      <c r="G889" s="51"/>
      <c r="H889" s="51"/>
      <c r="I889" s="51"/>
      <c r="J889" s="51"/>
      <c r="K889" s="51"/>
      <c r="L889" s="51"/>
      <c r="M889" s="51"/>
      <c r="N889" s="51"/>
    </row>
    <row r="890" spans="2:14" ht="12.75" customHeight="1" x14ac:dyDescent="0.15">
      <c r="B890" s="51"/>
      <c r="C890" s="51"/>
      <c r="D890" s="51"/>
      <c r="E890" s="51"/>
      <c r="F890" s="51"/>
      <c r="G890" s="51"/>
      <c r="H890" s="51"/>
      <c r="I890" s="51"/>
      <c r="J890" s="51"/>
      <c r="K890" s="51"/>
      <c r="L890" s="51"/>
      <c r="M890" s="51"/>
      <c r="N890" s="51"/>
    </row>
    <row r="891" spans="2:14" ht="12.75" customHeight="1" x14ac:dyDescent="0.15">
      <c r="B891" s="51"/>
      <c r="C891" s="51"/>
      <c r="D891" s="51"/>
      <c r="E891" s="51"/>
      <c r="F891" s="51"/>
      <c r="G891" s="51"/>
      <c r="H891" s="51"/>
      <c r="I891" s="51"/>
      <c r="J891" s="51"/>
      <c r="K891" s="51"/>
      <c r="L891" s="51"/>
      <c r="M891" s="51"/>
      <c r="N891" s="51"/>
    </row>
    <row r="892" spans="2:14" ht="12.75" customHeight="1" x14ac:dyDescent="0.15">
      <c r="B892" s="51"/>
      <c r="C892" s="51"/>
      <c r="D892" s="51"/>
      <c r="E892" s="51"/>
      <c r="F892" s="51"/>
      <c r="G892" s="51"/>
      <c r="H892" s="51"/>
      <c r="I892" s="51"/>
      <c r="J892" s="51"/>
      <c r="K892" s="51"/>
      <c r="L892" s="51"/>
      <c r="M892" s="51"/>
      <c r="N892" s="51"/>
    </row>
    <row r="893" spans="2:14" ht="12.75" customHeight="1" x14ac:dyDescent="0.15">
      <c r="B893" s="51"/>
      <c r="C893" s="51"/>
      <c r="D893" s="51"/>
      <c r="E893" s="51"/>
      <c r="F893" s="51"/>
      <c r="G893" s="51"/>
      <c r="H893" s="51"/>
      <c r="I893" s="51"/>
      <c r="J893" s="51"/>
      <c r="K893" s="51"/>
      <c r="L893" s="51"/>
      <c r="M893" s="51"/>
      <c r="N893" s="51"/>
    </row>
    <row r="894" spans="2:14" ht="12.75" customHeight="1" x14ac:dyDescent="0.15">
      <c r="B894" s="51"/>
      <c r="C894" s="51"/>
      <c r="D894" s="51"/>
      <c r="E894" s="51"/>
      <c r="F894" s="51"/>
      <c r="G894" s="51"/>
      <c r="H894" s="51"/>
      <c r="I894" s="51"/>
      <c r="J894" s="51"/>
      <c r="K894" s="51"/>
      <c r="L894" s="51"/>
      <c r="M894" s="51"/>
      <c r="N894" s="51"/>
    </row>
    <row r="895" spans="2:14" ht="12.75" customHeight="1" x14ac:dyDescent="0.15">
      <c r="B895" s="51"/>
      <c r="C895" s="51"/>
      <c r="D895" s="51"/>
      <c r="E895" s="51"/>
      <c r="F895" s="51"/>
      <c r="G895" s="51"/>
      <c r="H895" s="51"/>
      <c r="I895" s="51"/>
      <c r="J895" s="51"/>
      <c r="K895" s="51"/>
      <c r="L895" s="51"/>
      <c r="M895" s="51"/>
      <c r="N895" s="51"/>
    </row>
    <row r="896" spans="2:14" ht="12.75" customHeight="1" x14ac:dyDescent="0.15">
      <c r="B896" s="51"/>
      <c r="C896" s="51"/>
      <c r="D896" s="51"/>
      <c r="E896" s="51"/>
      <c r="F896" s="51"/>
      <c r="G896" s="51"/>
      <c r="H896" s="51"/>
      <c r="I896" s="51"/>
      <c r="J896" s="51"/>
      <c r="K896" s="51"/>
      <c r="L896" s="51"/>
      <c r="M896" s="51"/>
      <c r="N896" s="51"/>
    </row>
    <row r="897" spans="2:14" ht="12.75" customHeight="1" x14ac:dyDescent="0.15">
      <c r="B897" s="51"/>
      <c r="C897" s="51"/>
      <c r="D897" s="51"/>
      <c r="E897" s="51"/>
      <c r="F897" s="51"/>
      <c r="G897" s="51"/>
      <c r="H897" s="51"/>
      <c r="I897" s="51"/>
      <c r="J897" s="51"/>
      <c r="K897" s="51"/>
      <c r="L897" s="51"/>
      <c r="M897" s="51"/>
      <c r="N897" s="51"/>
    </row>
    <row r="898" spans="2:14" ht="12.75" customHeight="1" x14ac:dyDescent="0.15">
      <c r="B898" s="51"/>
      <c r="C898" s="51"/>
      <c r="D898" s="51"/>
      <c r="E898" s="51"/>
      <c r="F898" s="51"/>
      <c r="G898" s="51"/>
      <c r="H898" s="51"/>
      <c r="I898" s="51"/>
      <c r="J898" s="51"/>
      <c r="K898" s="51"/>
      <c r="L898" s="51"/>
      <c r="M898" s="51"/>
      <c r="N898" s="51"/>
    </row>
    <row r="899" spans="2:14" ht="12.75" customHeight="1" x14ac:dyDescent="0.15">
      <c r="B899" s="51"/>
      <c r="C899" s="51"/>
      <c r="D899" s="51"/>
      <c r="E899" s="51"/>
      <c r="F899" s="51"/>
      <c r="G899" s="51"/>
      <c r="H899" s="51"/>
      <c r="I899" s="51"/>
      <c r="J899" s="51"/>
      <c r="K899" s="51"/>
      <c r="L899" s="51"/>
      <c r="M899" s="51"/>
      <c r="N899" s="51"/>
    </row>
    <row r="900" spans="2:14" ht="12.75" customHeight="1" x14ac:dyDescent="0.15">
      <c r="B900" s="51"/>
      <c r="C900" s="51"/>
      <c r="D900" s="51"/>
      <c r="E900" s="51"/>
      <c r="F900" s="51"/>
      <c r="G900" s="51"/>
      <c r="H900" s="51"/>
      <c r="I900" s="51"/>
      <c r="J900" s="51"/>
      <c r="K900" s="51"/>
      <c r="L900" s="51"/>
      <c r="M900" s="51"/>
      <c r="N900" s="51"/>
    </row>
    <row r="901" spans="2:14" ht="12.75" customHeight="1" x14ac:dyDescent="0.15">
      <c r="B901" s="51"/>
      <c r="C901" s="51"/>
      <c r="D901" s="51"/>
      <c r="E901" s="51"/>
      <c r="F901" s="51"/>
      <c r="G901" s="51"/>
      <c r="H901" s="51"/>
      <c r="I901" s="51"/>
      <c r="J901" s="51"/>
      <c r="K901" s="51"/>
      <c r="L901" s="51"/>
      <c r="M901" s="51"/>
      <c r="N901" s="51"/>
    </row>
    <row r="902" spans="2:14" ht="12.75" customHeight="1" x14ac:dyDescent="0.15">
      <c r="B902" s="51"/>
      <c r="C902" s="51"/>
      <c r="D902" s="51"/>
      <c r="E902" s="51"/>
      <c r="F902" s="51"/>
      <c r="G902" s="51"/>
      <c r="H902" s="51"/>
      <c r="I902" s="51"/>
      <c r="J902" s="51"/>
      <c r="K902" s="51"/>
      <c r="L902" s="51"/>
      <c r="M902" s="51"/>
      <c r="N902" s="51"/>
    </row>
    <row r="903" spans="2:14" ht="12.75" customHeight="1" x14ac:dyDescent="0.15">
      <c r="B903" s="51"/>
      <c r="C903" s="51"/>
      <c r="D903" s="51"/>
      <c r="E903" s="51"/>
      <c r="F903" s="51"/>
      <c r="G903" s="51"/>
      <c r="H903" s="51"/>
      <c r="I903" s="51"/>
      <c r="J903" s="51"/>
      <c r="K903" s="51"/>
      <c r="L903" s="51"/>
      <c r="M903" s="51"/>
      <c r="N903" s="51"/>
    </row>
    <row r="904" spans="2:14" ht="12.75" customHeight="1" x14ac:dyDescent="0.15">
      <c r="B904" s="51"/>
      <c r="C904" s="51"/>
      <c r="D904" s="51"/>
      <c r="E904" s="51"/>
      <c r="F904" s="51"/>
      <c r="G904" s="51"/>
      <c r="H904" s="51"/>
      <c r="I904" s="51"/>
      <c r="J904" s="51"/>
      <c r="K904" s="51"/>
      <c r="L904" s="51"/>
      <c r="M904" s="51"/>
      <c r="N904" s="51"/>
    </row>
    <row r="905" spans="2:14" ht="12.75" customHeight="1" x14ac:dyDescent="0.15">
      <c r="B905" s="51"/>
      <c r="C905" s="51"/>
      <c r="D905" s="51"/>
      <c r="E905" s="51"/>
      <c r="F905" s="51"/>
      <c r="G905" s="51"/>
      <c r="H905" s="51"/>
      <c r="I905" s="51"/>
      <c r="J905" s="51"/>
      <c r="K905" s="51"/>
      <c r="L905" s="51"/>
      <c r="M905" s="51"/>
      <c r="N905" s="51"/>
    </row>
    <row r="906" spans="2:14" ht="12.75" customHeight="1" x14ac:dyDescent="0.15">
      <c r="B906" s="51"/>
      <c r="C906" s="51"/>
      <c r="D906" s="51"/>
      <c r="E906" s="51"/>
      <c r="F906" s="51"/>
      <c r="G906" s="51"/>
      <c r="H906" s="51"/>
      <c r="I906" s="51"/>
      <c r="J906" s="51"/>
      <c r="K906" s="51"/>
      <c r="L906" s="51"/>
      <c r="M906" s="51"/>
      <c r="N906" s="51"/>
    </row>
    <row r="907" spans="2:14" ht="12.75" customHeight="1" x14ac:dyDescent="0.15">
      <c r="B907" s="51"/>
      <c r="C907" s="51"/>
      <c r="D907" s="51"/>
      <c r="E907" s="51"/>
      <c r="F907" s="51"/>
      <c r="G907" s="51"/>
      <c r="H907" s="51"/>
      <c r="I907" s="51"/>
      <c r="J907" s="51"/>
      <c r="K907" s="51"/>
      <c r="L907" s="51"/>
      <c r="M907" s="51"/>
      <c r="N907" s="51"/>
    </row>
    <row r="908" spans="2:14" ht="12.75" customHeight="1" x14ac:dyDescent="0.15">
      <c r="B908" s="51"/>
      <c r="C908" s="51"/>
      <c r="D908" s="51"/>
      <c r="E908" s="51"/>
      <c r="F908" s="51"/>
      <c r="G908" s="51"/>
      <c r="H908" s="51"/>
      <c r="I908" s="51"/>
      <c r="J908" s="51"/>
      <c r="K908" s="51"/>
      <c r="L908" s="51"/>
      <c r="M908" s="51"/>
      <c r="N908" s="51"/>
    </row>
    <row r="909" spans="2:14" ht="12.75" customHeight="1" x14ac:dyDescent="0.15">
      <c r="B909" s="51"/>
      <c r="C909" s="51"/>
      <c r="D909" s="51"/>
      <c r="E909" s="51"/>
      <c r="F909" s="51"/>
      <c r="G909" s="51"/>
      <c r="H909" s="51"/>
      <c r="I909" s="51"/>
      <c r="J909" s="51"/>
      <c r="K909" s="51"/>
      <c r="L909" s="51"/>
      <c r="M909" s="51"/>
      <c r="N909" s="51"/>
    </row>
    <row r="910" spans="2:14" ht="12.75" customHeight="1" x14ac:dyDescent="0.15">
      <c r="B910" s="51"/>
      <c r="C910" s="51"/>
      <c r="D910" s="51"/>
      <c r="E910" s="51"/>
      <c r="F910" s="51"/>
      <c r="G910" s="51"/>
      <c r="H910" s="51"/>
      <c r="I910" s="51"/>
      <c r="J910" s="51"/>
      <c r="K910" s="51"/>
      <c r="L910" s="51"/>
      <c r="M910" s="51"/>
      <c r="N910" s="51"/>
    </row>
    <row r="911" spans="2:14" ht="12.75" customHeight="1" x14ac:dyDescent="0.15">
      <c r="B911" s="51"/>
      <c r="C911" s="51"/>
      <c r="D911" s="51"/>
      <c r="E911" s="51"/>
      <c r="F911" s="51"/>
      <c r="G911" s="51"/>
      <c r="H911" s="51"/>
      <c r="I911" s="51"/>
      <c r="J911" s="51"/>
      <c r="K911" s="51"/>
      <c r="L911" s="51"/>
      <c r="M911" s="51"/>
      <c r="N911" s="51"/>
    </row>
    <row r="912" spans="2:14" ht="12.75" customHeight="1" x14ac:dyDescent="0.15">
      <c r="B912" s="51"/>
      <c r="C912" s="51"/>
      <c r="D912" s="51"/>
      <c r="E912" s="51"/>
      <c r="F912" s="51"/>
      <c r="G912" s="51"/>
      <c r="H912" s="51"/>
      <c r="I912" s="51"/>
      <c r="J912" s="51"/>
      <c r="K912" s="51"/>
      <c r="L912" s="51"/>
      <c r="M912" s="51"/>
      <c r="N912" s="51"/>
    </row>
    <row r="913" spans="2:14" ht="12.75" customHeight="1" x14ac:dyDescent="0.15">
      <c r="B913" s="51"/>
      <c r="C913" s="51"/>
      <c r="D913" s="51"/>
      <c r="E913" s="51"/>
      <c r="F913" s="51"/>
      <c r="G913" s="51"/>
      <c r="H913" s="51"/>
      <c r="I913" s="51"/>
      <c r="J913" s="51"/>
      <c r="K913" s="51"/>
      <c r="L913" s="51"/>
      <c r="M913" s="51"/>
      <c r="N913" s="51"/>
    </row>
    <row r="914" spans="2:14" ht="12.75" customHeight="1" x14ac:dyDescent="0.15">
      <c r="B914" s="51"/>
      <c r="C914" s="51"/>
      <c r="D914" s="51"/>
      <c r="E914" s="51"/>
      <c r="F914" s="51"/>
      <c r="G914" s="51"/>
      <c r="H914" s="51"/>
      <c r="I914" s="51"/>
      <c r="J914" s="51"/>
      <c r="K914" s="51"/>
      <c r="L914" s="51"/>
      <c r="M914" s="51"/>
      <c r="N914" s="51"/>
    </row>
    <row r="915" spans="2:14" ht="12.75" customHeight="1" x14ac:dyDescent="0.15">
      <c r="B915" s="51"/>
      <c r="C915" s="51"/>
      <c r="D915" s="51"/>
      <c r="E915" s="51"/>
      <c r="F915" s="51"/>
      <c r="G915" s="51"/>
      <c r="H915" s="51"/>
      <c r="I915" s="51"/>
      <c r="J915" s="51"/>
      <c r="K915" s="51"/>
      <c r="L915" s="51"/>
      <c r="M915" s="51"/>
      <c r="N915" s="51"/>
    </row>
    <row r="916" spans="2:14" ht="12.75" customHeight="1" x14ac:dyDescent="0.15">
      <c r="B916" s="51"/>
      <c r="C916" s="51"/>
      <c r="D916" s="51"/>
      <c r="E916" s="51"/>
      <c r="F916" s="51"/>
      <c r="G916" s="51"/>
      <c r="H916" s="51"/>
      <c r="I916" s="51"/>
      <c r="J916" s="51"/>
      <c r="K916" s="51"/>
      <c r="L916" s="51"/>
      <c r="M916" s="51"/>
      <c r="N916" s="51"/>
    </row>
    <row r="917" spans="2:14" ht="12.75" customHeight="1" x14ac:dyDescent="0.15">
      <c r="B917" s="51"/>
      <c r="C917" s="51"/>
      <c r="D917" s="51"/>
      <c r="E917" s="51"/>
      <c r="F917" s="51"/>
      <c r="G917" s="51"/>
      <c r="H917" s="51"/>
      <c r="I917" s="51"/>
      <c r="J917" s="51"/>
      <c r="K917" s="51"/>
      <c r="L917" s="51"/>
      <c r="M917" s="51"/>
      <c r="N917" s="51"/>
    </row>
    <row r="918" spans="2:14" ht="12.75" customHeight="1" x14ac:dyDescent="0.15">
      <c r="B918" s="51"/>
      <c r="C918" s="51"/>
      <c r="D918" s="51"/>
      <c r="E918" s="51"/>
      <c r="F918" s="51"/>
      <c r="G918" s="51"/>
      <c r="H918" s="51"/>
      <c r="I918" s="51"/>
      <c r="J918" s="51"/>
      <c r="K918" s="51"/>
      <c r="L918" s="51"/>
      <c r="M918" s="51"/>
      <c r="N918" s="51"/>
    </row>
    <row r="919" spans="2:14" ht="12.75" customHeight="1" x14ac:dyDescent="0.15">
      <c r="B919" s="51"/>
      <c r="C919" s="51"/>
      <c r="D919" s="51"/>
      <c r="E919" s="51"/>
      <c r="F919" s="51"/>
      <c r="G919" s="51"/>
      <c r="H919" s="51"/>
      <c r="I919" s="51"/>
      <c r="J919" s="51"/>
      <c r="K919" s="51"/>
      <c r="L919" s="51"/>
      <c r="M919" s="51"/>
      <c r="N919" s="51"/>
    </row>
    <row r="920" spans="2:14" ht="12.75" customHeight="1" x14ac:dyDescent="0.15">
      <c r="B920" s="51"/>
      <c r="C920" s="51"/>
      <c r="D920" s="51"/>
      <c r="E920" s="51"/>
      <c r="F920" s="51"/>
      <c r="G920" s="51"/>
      <c r="H920" s="51"/>
      <c r="I920" s="51"/>
      <c r="J920" s="51"/>
      <c r="K920" s="51"/>
      <c r="L920" s="51"/>
      <c r="M920" s="51"/>
      <c r="N920" s="51"/>
    </row>
    <row r="921" spans="2:14" ht="12.75" customHeight="1" x14ac:dyDescent="0.15">
      <c r="B921" s="51"/>
      <c r="C921" s="51"/>
      <c r="D921" s="51"/>
      <c r="E921" s="51"/>
      <c r="F921" s="51"/>
      <c r="G921" s="51"/>
      <c r="H921" s="51"/>
      <c r="I921" s="51"/>
      <c r="J921" s="51"/>
      <c r="K921" s="51"/>
      <c r="L921" s="51"/>
      <c r="M921" s="51"/>
      <c r="N921" s="51"/>
    </row>
    <row r="922" spans="2:14" ht="12.75" customHeight="1" x14ac:dyDescent="0.15">
      <c r="B922" s="51"/>
      <c r="C922" s="51"/>
      <c r="D922" s="51"/>
      <c r="E922" s="51"/>
      <c r="F922" s="51"/>
      <c r="G922" s="51"/>
      <c r="H922" s="51"/>
      <c r="I922" s="51"/>
      <c r="J922" s="51"/>
      <c r="K922" s="51"/>
      <c r="L922" s="51"/>
      <c r="M922" s="51"/>
      <c r="N922" s="51"/>
    </row>
    <row r="923" spans="2:14" ht="12.75" customHeight="1" x14ac:dyDescent="0.15">
      <c r="B923" s="51"/>
      <c r="C923" s="51"/>
      <c r="D923" s="51"/>
      <c r="E923" s="51"/>
      <c r="F923" s="51"/>
      <c r="G923" s="51"/>
      <c r="H923" s="51"/>
      <c r="I923" s="51"/>
      <c r="J923" s="51"/>
      <c r="K923" s="51"/>
      <c r="L923" s="51"/>
      <c r="M923" s="51"/>
      <c r="N923" s="51"/>
    </row>
    <row r="924" spans="2:14" ht="12.75" customHeight="1" x14ac:dyDescent="0.15">
      <c r="B924" s="51"/>
      <c r="C924" s="51"/>
      <c r="D924" s="51"/>
      <c r="E924" s="51"/>
      <c r="F924" s="51"/>
      <c r="G924" s="51"/>
      <c r="H924" s="51"/>
      <c r="I924" s="51"/>
      <c r="J924" s="51"/>
      <c r="K924" s="51"/>
      <c r="L924" s="51"/>
      <c r="M924" s="51"/>
      <c r="N924" s="51"/>
    </row>
    <row r="925" spans="2:14" ht="12.75" customHeight="1" x14ac:dyDescent="0.15">
      <c r="B925" s="51"/>
      <c r="C925" s="51"/>
      <c r="D925" s="51"/>
      <c r="E925" s="51"/>
      <c r="F925" s="51"/>
      <c r="G925" s="51"/>
      <c r="H925" s="51"/>
      <c r="I925" s="51"/>
      <c r="J925" s="51"/>
      <c r="K925" s="51"/>
      <c r="L925" s="51"/>
      <c r="M925" s="51"/>
      <c r="N925" s="51"/>
    </row>
    <row r="926" spans="2:14" ht="12.75" customHeight="1" x14ac:dyDescent="0.15">
      <c r="B926" s="51"/>
      <c r="C926" s="51"/>
      <c r="D926" s="51"/>
      <c r="E926" s="51"/>
      <c r="F926" s="51"/>
      <c r="G926" s="51"/>
      <c r="H926" s="51"/>
      <c r="I926" s="51"/>
      <c r="J926" s="51"/>
      <c r="K926" s="51"/>
      <c r="L926" s="51"/>
      <c r="M926" s="51"/>
      <c r="N926" s="51"/>
    </row>
    <row r="927" spans="2:14" ht="12.75" customHeight="1" x14ac:dyDescent="0.15">
      <c r="B927" s="51"/>
      <c r="C927" s="51"/>
      <c r="D927" s="51"/>
      <c r="E927" s="51"/>
      <c r="F927" s="51"/>
      <c r="G927" s="51"/>
      <c r="H927" s="51"/>
      <c r="I927" s="51"/>
      <c r="J927" s="51"/>
      <c r="K927" s="51"/>
      <c r="L927" s="51"/>
      <c r="M927" s="51"/>
      <c r="N927" s="51"/>
    </row>
    <row r="928" spans="2:14" ht="12.75" customHeight="1" x14ac:dyDescent="0.15">
      <c r="B928" s="51"/>
      <c r="C928" s="51"/>
      <c r="D928" s="51"/>
      <c r="E928" s="51"/>
      <c r="F928" s="51"/>
      <c r="G928" s="51"/>
      <c r="H928" s="51"/>
      <c r="I928" s="51"/>
      <c r="J928" s="51"/>
      <c r="K928" s="51"/>
      <c r="L928" s="51"/>
      <c r="M928" s="51"/>
      <c r="N928" s="51"/>
    </row>
    <row r="929" spans="2:14" ht="12.75" customHeight="1" x14ac:dyDescent="0.15">
      <c r="B929" s="51"/>
      <c r="C929" s="51"/>
      <c r="D929" s="51"/>
      <c r="E929" s="51"/>
      <c r="F929" s="51"/>
      <c r="G929" s="51"/>
      <c r="H929" s="51"/>
      <c r="I929" s="51"/>
      <c r="J929" s="51"/>
      <c r="K929" s="51"/>
      <c r="L929" s="51"/>
      <c r="M929" s="51"/>
      <c r="N929" s="51"/>
    </row>
    <row r="930" spans="2:14" ht="12.75" customHeight="1" x14ac:dyDescent="0.15">
      <c r="B930" s="51"/>
      <c r="C930" s="51"/>
      <c r="D930" s="51"/>
      <c r="E930" s="51"/>
      <c r="F930" s="51"/>
      <c r="G930" s="51"/>
      <c r="H930" s="51"/>
      <c r="I930" s="51"/>
      <c r="J930" s="51"/>
      <c r="K930" s="51"/>
      <c r="L930" s="51"/>
      <c r="M930" s="51"/>
      <c r="N930" s="51"/>
    </row>
    <row r="931" spans="2:14" ht="12.75" customHeight="1" x14ac:dyDescent="0.15">
      <c r="B931" s="51"/>
      <c r="C931" s="51"/>
      <c r="D931" s="51"/>
      <c r="E931" s="51"/>
      <c r="F931" s="51"/>
      <c r="G931" s="51"/>
      <c r="H931" s="51"/>
      <c r="I931" s="51"/>
      <c r="J931" s="51"/>
      <c r="K931" s="51"/>
      <c r="L931" s="51"/>
      <c r="M931" s="51"/>
      <c r="N931" s="51"/>
    </row>
    <row r="932" spans="2:14" ht="12.75" customHeight="1" x14ac:dyDescent="0.15">
      <c r="B932" s="51"/>
      <c r="C932" s="51"/>
      <c r="D932" s="51"/>
      <c r="E932" s="51"/>
      <c r="F932" s="51"/>
      <c r="G932" s="51"/>
      <c r="H932" s="51"/>
      <c r="I932" s="51"/>
      <c r="J932" s="51"/>
      <c r="K932" s="51"/>
      <c r="L932" s="51"/>
      <c r="M932" s="51"/>
      <c r="N932" s="51"/>
    </row>
    <row r="933" spans="2:14" ht="12.75" customHeight="1" x14ac:dyDescent="0.15">
      <c r="B933" s="51"/>
      <c r="C933" s="51"/>
      <c r="D933" s="51"/>
      <c r="E933" s="51"/>
      <c r="F933" s="51"/>
      <c r="G933" s="51"/>
      <c r="H933" s="51"/>
      <c r="I933" s="51"/>
      <c r="J933" s="51"/>
      <c r="K933" s="51"/>
      <c r="L933" s="51"/>
      <c r="M933" s="51"/>
      <c r="N933" s="51"/>
    </row>
    <row r="934" spans="2:14" ht="12.75" customHeight="1" x14ac:dyDescent="0.15">
      <c r="B934" s="51"/>
      <c r="C934" s="51"/>
      <c r="D934" s="51"/>
      <c r="E934" s="51"/>
      <c r="F934" s="51"/>
      <c r="G934" s="51"/>
      <c r="H934" s="51"/>
      <c r="I934" s="51"/>
      <c r="J934" s="51"/>
      <c r="K934" s="51"/>
      <c r="L934" s="51"/>
      <c r="M934" s="51"/>
      <c r="N934" s="51"/>
    </row>
    <row r="935" spans="2:14" ht="12.75" customHeight="1" x14ac:dyDescent="0.15">
      <c r="B935" s="51"/>
      <c r="C935" s="51"/>
      <c r="D935" s="51"/>
      <c r="E935" s="51"/>
      <c r="F935" s="51"/>
      <c r="G935" s="51"/>
      <c r="H935" s="51"/>
      <c r="I935" s="51"/>
      <c r="J935" s="51"/>
      <c r="K935" s="51"/>
      <c r="L935" s="51"/>
      <c r="M935" s="51"/>
      <c r="N935" s="51"/>
    </row>
    <row r="936" spans="2:14" ht="12.75" customHeight="1" x14ac:dyDescent="0.15">
      <c r="B936" s="51"/>
      <c r="C936" s="51"/>
      <c r="D936" s="51"/>
      <c r="E936" s="51"/>
      <c r="F936" s="51"/>
      <c r="G936" s="51"/>
      <c r="H936" s="51"/>
      <c r="I936" s="51"/>
      <c r="J936" s="51"/>
      <c r="K936" s="51"/>
      <c r="L936" s="51"/>
      <c r="M936" s="51"/>
      <c r="N936" s="51"/>
    </row>
    <row r="937" spans="2:14" ht="12.75" customHeight="1" x14ac:dyDescent="0.15">
      <c r="B937" s="51"/>
      <c r="C937" s="51"/>
      <c r="D937" s="51"/>
      <c r="E937" s="51"/>
      <c r="F937" s="51"/>
      <c r="G937" s="51"/>
      <c r="H937" s="51"/>
      <c r="I937" s="51"/>
      <c r="J937" s="51"/>
      <c r="K937" s="51"/>
      <c r="L937" s="51"/>
      <c r="M937" s="51"/>
      <c r="N937" s="51"/>
    </row>
    <row r="938" spans="2:14" ht="12.75" customHeight="1" x14ac:dyDescent="0.15">
      <c r="B938" s="51"/>
      <c r="C938" s="51"/>
      <c r="D938" s="51"/>
      <c r="E938" s="51"/>
      <c r="F938" s="51"/>
      <c r="G938" s="51"/>
      <c r="H938" s="51"/>
      <c r="I938" s="51"/>
      <c r="J938" s="51"/>
      <c r="K938" s="51"/>
      <c r="L938" s="51"/>
      <c r="M938" s="51"/>
      <c r="N938" s="51"/>
    </row>
    <row r="939" spans="2:14" ht="12.75" customHeight="1" x14ac:dyDescent="0.15">
      <c r="B939" s="51"/>
      <c r="C939" s="51"/>
      <c r="D939" s="51"/>
      <c r="E939" s="51"/>
      <c r="F939" s="51"/>
      <c r="G939" s="51"/>
      <c r="H939" s="51"/>
      <c r="I939" s="51"/>
      <c r="J939" s="51"/>
      <c r="K939" s="51"/>
      <c r="L939" s="51"/>
      <c r="M939" s="51"/>
      <c r="N939" s="51"/>
    </row>
    <row r="940" spans="2:14" ht="12.75" customHeight="1" x14ac:dyDescent="0.15">
      <c r="B940" s="51"/>
      <c r="C940" s="51"/>
      <c r="D940" s="51"/>
      <c r="E940" s="51"/>
      <c r="F940" s="51"/>
      <c r="G940" s="51"/>
      <c r="H940" s="51"/>
      <c r="I940" s="51"/>
      <c r="J940" s="51"/>
      <c r="K940" s="51"/>
      <c r="L940" s="51"/>
      <c r="M940" s="51"/>
      <c r="N940" s="51"/>
    </row>
    <row r="941" spans="2:14" ht="12.75" customHeight="1" x14ac:dyDescent="0.15">
      <c r="B941" s="51"/>
      <c r="C941" s="51"/>
      <c r="D941" s="51"/>
      <c r="E941" s="51"/>
      <c r="F941" s="51"/>
      <c r="G941" s="51"/>
      <c r="H941" s="51"/>
      <c r="I941" s="51"/>
      <c r="J941" s="51"/>
      <c r="K941" s="51"/>
      <c r="L941" s="51"/>
      <c r="M941" s="51"/>
      <c r="N941" s="51"/>
    </row>
    <row r="942" spans="2:14" ht="12.75" customHeight="1" x14ac:dyDescent="0.15">
      <c r="B942" s="51"/>
      <c r="C942" s="51"/>
      <c r="D942" s="51"/>
      <c r="E942" s="51"/>
      <c r="F942" s="51"/>
      <c r="G942" s="51"/>
      <c r="H942" s="51"/>
      <c r="I942" s="51"/>
      <c r="J942" s="51"/>
      <c r="K942" s="51"/>
      <c r="L942" s="51"/>
      <c r="M942" s="51"/>
      <c r="N942" s="51"/>
    </row>
    <row r="943" spans="2:14" ht="12.75" customHeight="1" x14ac:dyDescent="0.15">
      <c r="B943" s="51"/>
      <c r="C943" s="51"/>
      <c r="D943" s="51"/>
      <c r="E943" s="51"/>
      <c r="F943" s="51"/>
      <c r="G943" s="51"/>
      <c r="H943" s="51"/>
      <c r="I943" s="51"/>
      <c r="J943" s="51"/>
      <c r="K943" s="51"/>
      <c r="L943" s="51"/>
      <c r="M943" s="51"/>
      <c r="N943" s="51"/>
    </row>
    <row r="944" spans="2:14" ht="12.75" customHeight="1" x14ac:dyDescent="0.15">
      <c r="B944" s="51"/>
      <c r="C944" s="51"/>
      <c r="D944" s="51"/>
      <c r="E944" s="51"/>
      <c r="F944" s="51"/>
      <c r="G944" s="51"/>
      <c r="H944" s="51"/>
      <c r="I944" s="51"/>
      <c r="J944" s="51"/>
      <c r="K944" s="51"/>
      <c r="L944" s="51"/>
      <c r="M944" s="51"/>
      <c r="N944" s="51"/>
    </row>
    <row r="945" spans="2:14" ht="12.75" customHeight="1" x14ac:dyDescent="0.15">
      <c r="B945" s="51"/>
      <c r="C945" s="51"/>
      <c r="D945" s="51"/>
      <c r="E945" s="51"/>
      <c r="F945" s="51"/>
      <c r="G945" s="51"/>
      <c r="H945" s="51"/>
      <c r="I945" s="51"/>
      <c r="J945" s="51"/>
      <c r="K945" s="51"/>
      <c r="L945" s="51"/>
      <c r="M945" s="51"/>
      <c r="N945" s="51"/>
    </row>
    <row r="946" spans="2:14" ht="12.75" customHeight="1" x14ac:dyDescent="0.15">
      <c r="B946" s="51"/>
      <c r="C946" s="51"/>
      <c r="D946" s="51"/>
      <c r="E946" s="51"/>
      <c r="F946" s="51"/>
      <c r="G946" s="51"/>
      <c r="H946" s="51"/>
      <c r="I946" s="51"/>
      <c r="J946" s="51"/>
      <c r="K946" s="51"/>
      <c r="L946" s="51"/>
      <c r="M946" s="51"/>
      <c r="N946" s="51"/>
    </row>
    <row r="947" spans="2:14" ht="12.75" customHeight="1" x14ac:dyDescent="0.15">
      <c r="B947" s="51"/>
      <c r="C947" s="51"/>
      <c r="D947" s="51"/>
      <c r="E947" s="51"/>
      <c r="F947" s="51"/>
      <c r="G947" s="51"/>
      <c r="H947" s="51"/>
      <c r="I947" s="51"/>
      <c r="J947" s="51"/>
      <c r="K947" s="51"/>
      <c r="L947" s="51"/>
      <c r="M947" s="51"/>
      <c r="N947" s="51"/>
    </row>
    <row r="948" spans="2:14" ht="12.75" customHeight="1" x14ac:dyDescent="0.15">
      <c r="B948" s="51"/>
      <c r="C948" s="51"/>
      <c r="D948" s="51"/>
      <c r="E948" s="51"/>
      <c r="F948" s="51"/>
      <c r="G948" s="51"/>
      <c r="H948" s="51"/>
      <c r="I948" s="51"/>
      <c r="J948" s="51"/>
      <c r="K948" s="51"/>
      <c r="L948" s="51"/>
      <c r="M948" s="51"/>
      <c r="N948" s="51"/>
    </row>
    <row r="949" spans="2:14" ht="12.75" customHeight="1" x14ac:dyDescent="0.15">
      <c r="B949" s="51"/>
      <c r="C949" s="51"/>
      <c r="D949" s="51"/>
      <c r="E949" s="51"/>
      <c r="F949" s="51"/>
      <c r="G949" s="51"/>
      <c r="H949" s="51"/>
      <c r="I949" s="51"/>
      <c r="J949" s="51"/>
      <c r="K949" s="51"/>
      <c r="L949" s="51"/>
      <c r="M949" s="51"/>
      <c r="N949" s="51"/>
    </row>
    <row r="950" spans="2:14" ht="12.75" customHeight="1" x14ac:dyDescent="0.15">
      <c r="B950" s="51"/>
      <c r="C950" s="51"/>
      <c r="D950" s="51"/>
      <c r="E950" s="51"/>
      <c r="F950" s="51"/>
      <c r="G950" s="51"/>
      <c r="H950" s="51"/>
      <c r="I950" s="51"/>
      <c r="J950" s="51"/>
      <c r="K950" s="51"/>
      <c r="L950" s="51"/>
      <c r="M950" s="51"/>
      <c r="N950" s="51"/>
    </row>
    <row r="951" spans="2:14" ht="12.75" customHeight="1" x14ac:dyDescent="0.15">
      <c r="B951" s="51"/>
      <c r="C951" s="51"/>
      <c r="D951" s="51"/>
      <c r="E951" s="51"/>
      <c r="F951" s="51"/>
      <c r="G951" s="51"/>
      <c r="H951" s="51"/>
      <c r="I951" s="51"/>
      <c r="J951" s="51"/>
      <c r="K951" s="51"/>
      <c r="L951" s="51"/>
      <c r="M951" s="51"/>
      <c r="N951" s="51"/>
    </row>
    <row r="952" spans="2:14" ht="12.75" customHeight="1" x14ac:dyDescent="0.15">
      <c r="B952" s="51"/>
      <c r="C952" s="51"/>
      <c r="D952" s="51"/>
      <c r="E952" s="51"/>
      <c r="F952" s="51"/>
      <c r="G952" s="51"/>
      <c r="H952" s="51"/>
      <c r="I952" s="51"/>
      <c r="J952" s="51"/>
      <c r="K952" s="51"/>
      <c r="L952" s="51"/>
      <c r="M952" s="51"/>
      <c r="N952" s="51"/>
    </row>
    <row r="953" spans="2:14" ht="12.75" customHeight="1" x14ac:dyDescent="0.15">
      <c r="B953" s="51"/>
      <c r="C953" s="51"/>
      <c r="D953" s="51"/>
      <c r="E953" s="51"/>
      <c r="F953" s="51"/>
      <c r="G953" s="51"/>
      <c r="H953" s="51"/>
      <c r="I953" s="51"/>
      <c r="J953" s="51"/>
      <c r="K953" s="51"/>
      <c r="L953" s="51"/>
      <c r="M953" s="51"/>
      <c r="N953" s="51"/>
    </row>
    <row r="954" spans="2:14" ht="12.75" customHeight="1" x14ac:dyDescent="0.15">
      <c r="B954" s="51"/>
      <c r="C954" s="51"/>
      <c r="D954" s="51"/>
      <c r="E954" s="51"/>
      <c r="F954" s="51"/>
      <c r="G954" s="51"/>
      <c r="H954" s="51"/>
      <c r="I954" s="51"/>
      <c r="J954" s="51"/>
      <c r="K954" s="51"/>
      <c r="L954" s="51"/>
      <c r="M954" s="51"/>
      <c r="N954" s="51"/>
    </row>
    <row r="955" spans="2:14" ht="12.75" customHeight="1" x14ac:dyDescent="0.15">
      <c r="B955" s="51"/>
      <c r="C955" s="51"/>
      <c r="D955" s="51"/>
      <c r="E955" s="51"/>
      <c r="F955" s="51"/>
      <c r="G955" s="51"/>
      <c r="H955" s="51"/>
      <c r="I955" s="51"/>
      <c r="J955" s="51"/>
      <c r="K955" s="51"/>
      <c r="L955" s="51"/>
      <c r="M955" s="51"/>
      <c r="N955" s="51"/>
    </row>
    <row r="956" spans="2:14" ht="12.75" customHeight="1" x14ac:dyDescent="0.15">
      <c r="B956" s="51"/>
      <c r="C956" s="51"/>
      <c r="D956" s="51"/>
      <c r="E956" s="51"/>
      <c r="F956" s="51"/>
      <c r="G956" s="51"/>
      <c r="H956" s="51"/>
      <c r="I956" s="51"/>
      <c r="J956" s="51"/>
      <c r="K956" s="51"/>
      <c r="L956" s="51"/>
      <c r="M956" s="51"/>
      <c r="N956" s="51"/>
    </row>
    <row r="957" spans="2:14" ht="12.75" customHeight="1" x14ac:dyDescent="0.15">
      <c r="B957" s="51"/>
      <c r="C957" s="51"/>
      <c r="D957" s="51"/>
      <c r="E957" s="51"/>
      <c r="F957" s="51"/>
      <c r="G957" s="51"/>
      <c r="H957" s="51"/>
      <c r="I957" s="51"/>
      <c r="J957" s="51"/>
      <c r="K957" s="51"/>
      <c r="L957" s="51"/>
      <c r="M957" s="51"/>
      <c r="N957" s="51"/>
    </row>
    <row r="958" spans="2:14" ht="12.75" customHeight="1" x14ac:dyDescent="0.15">
      <c r="B958" s="51"/>
      <c r="C958" s="51"/>
      <c r="D958" s="51"/>
      <c r="E958" s="51"/>
      <c r="F958" s="51"/>
      <c r="G958" s="51"/>
      <c r="H958" s="51"/>
      <c r="I958" s="51"/>
      <c r="J958" s="51"/>
      <c r="K958" s="51"/>
      <c r="L958" s="51"/>
      <c r="M958" s="51"/>
      <c r="N958" s="51"/>
    </row>
    <row r="959" spans="2:14" ht="12.75" customHeight="1" x14ac:dyDescent="0.15">
      <c r="B959" s="51"/>
      <c r="C959" s="51"/>
      <c r="D959" s="51"/>
      <c r="E959" s="51"/>
      <c r="F959" s="51"/>
      <c r="G959" s="51"/>
      <c r="H959" s="51"/>
      <c r="I959" s="51"/>
      <c r="J959" s="51"/>
      <c r="K959" s="51"/>
      <c r="L959" s="51"/>
      <c r="M959" s="51"/>
      <c r="N959" s="51"/>
    </row>
    <row r="960" spans="2:14" ht="12.75" customHeight="1" x14ac:dyDescent="0.15">
      <c r="B960" s="51"/>
      <c r="C960" s="51"/>
      <c r="D960" s="51"/>
      <c r="E960" s="51"/>
      <c r="F960" s="51"/>
      <c r="G960" s="51"/>
      <c r="H960" s="51"/>
      <c r="I960" s="51"/>
      <c r="J960" s="51"/>
      <c r="K960" s="51"/>
      <c r="L960" s="51"/>
      <c r="M960" s="51"/>
      <c r="N960" s="51"/>
    </row>
    <row r="961" spans="2:14" ht="12.75" customHeight="1" x14ac:dyDescent="0.15">
      <c r="B961" s="51"/>
      <c r="C961" s="51"/>
      <c r="D961" s="51"/>
      <c r="E961" s="51"/>
      <c r="F961" s="51"/>
      <c r="G961" s="51"/>
      <c r="H961" s="51"/>
      <c r="I961" s="51"/>
      <c r="J961" s="51"/>
      <c r="K961" s="51"/>
      <c r="L961" s="51"/>
      <c r="M961" s="51"/>
      <c r="N961" s="51"/>
    </row>
    <row r="962" spans="2:14" ht="12.75" customHeight="1" x14ac:dyDescent="0.15">
      <c r="B962" s="51"/>
      <c r="C962" s="51"/>
      <c r="D962" s="51"/>
      <c r="E962" s="51"/>
      <c r="F962" s="51"/>
      <c r="G962" s="51"/>
      <c r="H962" s="51"/>
      <c r="I962" s="51"/>
      <c r="J962" s="51"/>
      <c r="K962" s="51"/>
      <c r="L962" s="51"/>
      <c r="M962" s="51"/>
      <c r="N962" s="51"/>
    </row>
    <row r="963" spans="2:14" ht="12.75" customHeight="1" x14ac:dyDescent="0.15">
      <c r="B963" s="51"/>
      <c r="C963" s="51"/>
      <c r="D963" s="51"/>
      <c r="E963" s="51"/>
      <c r="F963" s="51"/>
      <c r="G963" s="51"/>
      <c r="H963" s="51"/>
      <c r="I963" s="51"/>
      <c r="J963" s="51"/>
      <c r="K963" s="51"/>
      <c r="L963" s="51"/>
      <c r="M963" s="51"/>
      <c r="N963" s="51"/>
    </row>
    <row r="964" spans="2:14" ht="12.75" customHeight="1" x14ac:dyDescent="0.15">
      <c r="B964" s="51"/>
      <c r="C964" s="51"/>
      <c r="D964" s="51"/>
      <c r="E964" s="51"/>
      <c r="F964" s="51"/>
      <c r="G964" s="51"/>
      <c r="H964" s="51"/>
      <c r="I964" s="51"/>
      <c r="J964" s="51"/>
      <c r="K964" s="51"/>
      <c r="L964" s="51"/>
      <c r="M964" s="51"/>
      <c r="N964" s="51"/>
    </row>
    <row r="965" spans="2:14" ht="12.75" customHeight="1" x14ac:dyDescent="0.15">
      <c r="B965" s="51"/>
      <c r="C965" s="51"/>
      <c r="D965" s="51"/>
      <c r="E965" s="51"/>
      <c r="F965" s="51"/>
      <c r="G965" s="51"/>
      <c r="H965" s="51"/>
      <c r="I965" s="51"/>
      <c r="J965" s="51"/>
      <c r="K965" s="51"/>
      <c r="L965" s="51"/>
      <c r="M965" s="51"/>
      <c r="N965" s="51"/>
    </row>
    <row r="966" spans="2:14" ht="12.75" customHeight="1" x14ac:dyDescent="0.15">
      <c r="B966" s="51"/>
      <c r="C966" s="51"/>
      <c r="D966" s="51"/>
      <c r="E966" s="51"/>
      <c r="F966" s="51"/>
      <c r="G966" s="51"/>
      <c r="H966" s="51"/>
      <c r="I966" s="51"/>
      <c r="J966" s="51"/>
      <c r="K966" s="51"/>
      <c r="L966" s="51"/>
      <c r="M966" s="51"/>
      <c r="N966" s="51"/>
    </row>
    <row r="967" spans="2:14" ht="12.75" customHeight="1" x14ac:dyDescent="0.15">
      <c r="B967" s="51"/>
      <c r="C967" s="51"/>
      <c r="D967" s="51"/>
      <c r="E967" s="51"/>
      <c r="F967" s="51"/>
      <c r="G967" s="51"/>
      <c r="H967" s="51"/>
      <c r="I967" s="51"/>
      <c r="J967" s="51"/>
      <c r="K967" s="51"/>
      <c r="L967" s="51"/>
      <c r="M967" s="51"/>
      <c r="N967" s="51"/>
    </row>
    <row r="968" spans="2:14" ht="12.75" customHeight="1" x14ac:dyDescent="0.15">
      <c r="B968" s="51"/>
      <c r="C968" s="51"/>
      <c r="D968" s="51"/>
      <c r="E968" s="51"/>
      <c r="F968" s="51"/>
      <c r="G968" s="51"/>
      <c r="H968" s="51"/>
      <c r="I968" s="51"/>
      <c r="J968" s="51"/>
      <c r="K968" s="51"/>
      <c r="L968" s="51"/>
      <c r="M968" s="51"/>
      <c r="N968" s="51"/>
    </row>
    <row r="969" spans="2:14" ht="12.75" customHeight="1" x14ac:dyDescent="0.15">
      <c r="B969" s="51"/>
      <c r="C969" s="51"/>
      <c r="D969" s="51"/>
      <c r="E969" s="51"/>
      <c r="F969" s="51"/>
      <c r="G969" s="51"/>
      <c r="H969" s="51"/>
      <c r="I969" s="51"/>
      <c r="J969" s="51"/>
      <c r="K969" s="51"/>
      <c r="L969" s="51"/>
      <c r="M969" s="51"/>
      <c r="N969" s="51"/>
    </row>
    <row r="970" spans="2:14" ht="12.75" customHeight="1" x14ac:dyDescent="0.15">
      <c r="B970" s="51"/>
      <c r="C970" s="51"/>
      <c r="D970" s="51"/>
      <c r="E970" s="51"/>
      <c r="F970" s="51"/>
      <c r="G970" s="51"/>
      <c r="H970" s="51"/>
      <c r="I970" s="51"/>
      <c r="J970" s="51"/>
      <c r="K970" s="51"/>
      <c r="L970" s="51"/>
      <c r="M970" s="51"/>
      <c r="N970" s="51"/>
    </row>
    <row r="971" spans="2:14" ht="12.75" customHeight="1" x14ac:dyDescent="0.15">
      <c r="B971" s="51"/>
      <c r="C971" s="51"/>
      <c r="D971" s="51"/>
      <c r="E971" s="51"/>
      <c r="F971" s="51"/>
      <c r="G971" s="51"/>
      <c r="H971" s="51"/>
      <c r="I971" s="51"/>
      <c r="J971" s="51"/>
      <c r="K971" s="51"/>
      <c r="L971" s="51"/>
      <c r="M971" s="51"/>
      <c r="N971" s="51"/>
    </row>
    <row r="972" spans="2:14" ht="12.75" customHeight="1" x14ac:dyDescent="0.15">
      <c r="B972" s="51"/>
      <c r="C972" s="51"/>
      <c r="D972" s="51"/>
      <c r="E972" s="51"/>
      <c r="F972" s="51"/>
      <c r="G972" s="51"/>
      <c r="H972" s="51"/>
      <c r="I972" s="51"/>
      <c r="J972" s="51"/>
      <c r="K972" s="51"/>
      <c r="L972" s="51"/>
      <c r="M972" s="51"/>
      <c r="N972" s="51"/>
    </row>
    <row r="973" spans="2:14" ht="12.75" customHeight="1" x14ac:dyDescent="0.15">
      <c r="B973" s="51"/>
      <c r="C973" s="51"/>
      <c r="D973" s="51"/>
      <c r="E973" s="51"/>
      <c r="F973" s="51"/>
      <c r="G973" s="51"/>
      <c r="H973" s="51"/>
      <c r="I973" s="51"/>
      <c r="J973" s="51"/>
      <c r="K973" s="51"/>
      <c r="L973" s="51"/>
      <c r="M973" s="51"/>
      <c r="N973" s="51"/>
    </row>
    <row r="974" spans="2:14" ht="12.75" customHeight="1" x14ac:dyDescent="0.15">
      <c r="B974" s="51"/>
      <c r="C974" s="51"/>
      <c r="D974" s="51"/>
      <c r="E974" s="51"/>
      <c r="F974" s="51"/>
      <c r="G974" s="51"/>
      <c r="H974" s="51"/>
      <c r="I974" s="51"/>
      <c r="J974" s="51"/>
      <c r="K974" s="51"/>
      <c r="L974" s="51"/>
      <c r="M974" s="51"/>
      <c r="N974" s="51"/>
    </row>
    <row r="975" spans="2:14" ht="12.75" customHeight="1" x14ac:dyDescent="0.15">
      <c r="B975" s="51"/>
      <c r="C975" s="51"/>
      <c r="D975" s="51"/>
      <c r="E975" s="51"/>
      <c r="F975" s="51"/>
      <c r="G975" s="51"/>
      <c r="H975" s="51"/>
      <c r="I975" s="51"/>
      <c r="J975" s="51"/>
      <c r="K975" s="51"/>
      <c r="L975" s="51"/>
      <c r="M975" s="51"/>
      <c r="N975" s="51"/>
    </row>
    <row r="976" spans="2:14" ht="12.75" customHeight="1" x14ac:dyDescent="0.15">
      <c r="B976" s="51"/>
      <c r="C976" s="51"/>
      <c r="D976" s="51"/>
      <c r="E976" s="51"/>
      <c r="F976" s="51"/>
      <c r="G976" s="51"/>
      <c r="H976" s="51"/>
      <c r="I976" s="51"/>
      <c r="J976" s="51"/>
      <c r="K976" s="51"/>
      <c r="L976" s="51"/>
      <c r="M976" s="51"/>
      <c r="N976" s="51"/>
    </row>
    <row r="977" spans="2:14" ht="12.75" customHeight="1" x14ac:dyDescent="0.15">
      <c r="B977" s="51"/>
      <c r="C977" s="51"/>
      <c r="D977" s="51"/>
      <c r="E977" s="51"/>
      <c r="F977" s="51"/>
      <c r="G977" s="51"/>
      <c r="H977" s="51"/>
      <c r="I977" s="51"/>
      <c r="J977" s="51"/>
      <c r="K977" s="51"/>
      <c r="L977" s="51"/>
      <c r="M977" s="51"/>
      <c r="N977" s="51"/>
    </row>
    <row r="978" spans="2:14" ht="12.75" customHeight="1" x14ac:dyDescent="0.15">
      <c r="B978" s="51"/>
      <c r="C978" s="51"/>
      <c r="D978" s="51"/>
      <c r="E978" s="51"/>
      <c r="F978" s="51"/>
      <c r="G978" s="51"/>
      <c r="H978" s="51"/>
      <c r="I978" s="51"/>
      <c r="J978" s="51"/>
      <c r="K978" s="51"/>
      <c r="L978" s="51"/>
      <c r="M978" s="51"/>
      <c r="N978" s="51"/>
    </row>
    <row r="979" spans="2:14" ht="12.75" customHeight="1" x14ac:dyDescent="0.15">
      <c r="B979" s="51"/>
      <c r="C979" s="51"/>
      <c r="D979" s="51"/>
      <c r="E979" s="51"/>
      <c r="F979" s="51"/>
      <c r="G979" s="51"/>
      <c r="H979" s="51"/>
      <c r="I979" s="51"/>
      <c r="J979" s="51"/>
      <c r="K979" s="51"/>
      <c r="L979" s="51"/>
      <c r="M979" s="51"/>
      <c r="N979" s="51"/>
    </row>
    <row r="980" spans="2:14" ht="12.75" customHeight="1" x14ac:dyDescent="0.15">
      <c r="B980" s="51"/>
      <c r="C980" s="51"/>
      <c r="D980" s="51"/>
      <c r="E980" s="51"/>
      <c r="F980" s="51"/>
      <c r="G980" s="51"/>
      <c r="H980" s="51"/>
      <c r="I980" s="51"/>
      <c r="J980" s="51"/>
      <c r="K980" s="51"/>
      <c r="L980" s="51"/>
      <c r="M980" s="51"/>
      <c r="N980" s="51"/>
    </row>
    <row r="981" spans="2:14" ht="12.75" customHeight="1" x14ac:dyDescent="0.15">
      <c r="B981" s="51"/>
      <c r="C981" s="51"/>
      <c r="D981" s="51"/>
      <c r="E981" s="51"/>
      <c r="F981" s="51"/>
      <c r="G981" s="51"/>
      <c r="H981" s="51"/>
      <c r="I981" s="51"/>
      <c r="J981" s="51"/>
      <c r="K981" s="51"/>
      <c r="L981" s="51"/>
      <c r="M981" s="51"/>
      <c r="N981" s="51"/>
    </row>
    <row r="982" spans="2:14" ht="12.75" customHeight="1" x14ac:dyDescent="0.15">
      <c r="B982" s="51"/>
      <c r="C982" s="51"/>
      <c r="D982" s="51"/>
      <c r="E982" s="51"/>
      <c r="F982" s="51"/>
      <c r="G982" s="51"/>
      <c r="H982" s="51"/>
      <c r="I982" s="51"/>
      <c r="J982" s="51"/>
      <c r="K982" s="51"/>
      <c r="L982" s="51"/>
      <c r="M982" s="51"/>
      <c r="N982" s="51"/>
    </row>
    <row r="983" spans="2:14" ht="12.75" customHeight="1" x14ac:dyDescent="0.15">
      <c r="B983" s="51"/>
      <c r="C983" s="51"/>
      <c r="D983" s="51"/>
      <c r="E983" s="51"/>
      <c r="F983" s="51"/>
      <c r="G983" s="51"/>
      <c r="H983" s="51"/>
      <c r="I983" s="51"/>
      <c r="J983" s="51"/>
      <c r="K983" s="51"/>
      <c r="L983" s="51"/>
      <c r="M983" s="51"/>
      <c r="N983" s="51"/>
    </row>
    <row r="984" spans="2:14" ht="12.75" customHeight="1" x14ac:dyDescent="0.15">
      <c r="B984" s="51"/>
      <c r="C984" s="51"/>
      <c r="D984" s="51"/>
      <c r="E984" s="51"/>
      <c r="F984" s="51"/>
      <c r="G984" s="51"/>
      <c r="H984" s="51"/>
      <c r="I984" s="51"/>
      <c r="J984" s="51"/>
      <c r="K984" s="51"/>
      <c r="L984" s="51"/>
      <c r="M984" s="51"/>
      <c r="N984" s="51"/>
    </row>
    <row r="985" spans="2:14" ht="12.75" customHeight="1" x14ac:dyDescent="0.15">
      <c r="B985" s="51"/>
      <c r="C985" s="51"/>
      <c r="D985" s="51"/>
      <c r="E985" s="51"/>
      <c r="F985" s="51"/>
      <c r="G985" s="51"/>
      <c r="H985" s="51"/>
      <c r="I985" s="51"/>
      <c r="J985" s="51"/>
      <c r="K985" s="51"/>
      <c r="L985" s="51"/>
      <c r="M985" s="51"/>
      <c r="N985" s="51"/>
    </row>
    <row r="986" spans="2:14" ht="12.75" customHeight="1" x14ac:dyDescent="0.15">
      <c r="B986" s="51"/>
      <c r="C986" s="51"/>
      <c r="D986" s="51"/>
      <c r="E986" s="51"/>
      <c r="F986" s="51"/>
      <c r="G986" s="51"/>
      <c r="H986" s="51"/>
      <c r="I986" s="51"/>
      <c r="J986" s="51"/>
      <c r="K986" s="51"/>
      <c r="L986" s="51"/>
      <c r="M986" s="51"/>
      <c r="N986" s="51"/>
    </row>
    <row r="987" spans="2:14" ht="12.75" customHeight="1" x14ac:dyDescent="0.15">
      <c r="B987" s="51"/>
      <c r="C987" s="51"/>
      <c r="D987" s="51"/>
      <c r="E987" s="51"/>
      <c r="F987" s="51"/>
      <c r="G987" s="51"/>
      <c r="H987" s="51"/>
      <c r="I987" s="51"/>
      <c r="J987" s="51"/>
      <c r="K987" s="51"/>
      <c r="L987" s="51"/>
      <c r="M987" s="51"/>
      <c r="N987" s="51"/>
    </row>
    <row r="988" spans="2:14" ht="12.75" customHeight="1" x14ac:dyDescent="0.15">
      <c r="B988" s="51"/>
      <c r="C988" s="51"/>
      <c r="D988" s="51"/>
      <c r="E988" s="51"/>
      <c r="F988" s="51"/>
      <c r="G988" s="51"/>
      <c r="H988" s="51"/>
      <c r="I988" s="51"/>
      <c r="J988" s="51"/>
      <c r="K988" s="51"/>
      <c r="L988" s="51"/>
      <c r="M988" s="51"/>
      <c r="N988" s="51"/>
    </row>
    <row r="989" spans="2:14" ht="12.75" customHeight="1" x14ac:dyDescent="0.15">
      <c r="B989" s="51"/>
      <c r="C989" s="51"/>
      <c r="D989" s="51"/>
      <c r="E989" s="51"/>
      <c r="F989" s="51"/>
      <c r="G989" s="51"/>
      <c r="H989" s="51"/>
      <c r="I989" s="51"/>
      <c r="J989" s="51"/>
      <c r="K989" s="51"/>
      <c r="L989" s="51"/>
      <c r="M989" s="51"/>
      <c r="N989" s="51"/>
    </row>
    <row r="990" spans="2:14" ht="12.75" customHeight="1" x14ac:dyDescent="0.15">
      <c r="B990" s="51"/>
      <c r="C990" s="51"/>
      <c r="D990" s="51"/>
      <c r="E990" s="51"/>
      <c r="F990" s="51"/>
      <c r="G990" s="51"/>
      <c r="H990" s="51"/>
      <c r="I990" s="51"/>
      <c r="J990" s="51"/>
      <c r="K990" s="51"/>
      <c r="L990" s="51"/>
      <c r="M990" s="51"/>
      <c r="N990" s="51"/>
    </row>
    <row r="991" spans="2:14" ht="12.75" customHeight="1" x14ac:dyDescent="0.15">
      <c r="B991" s="51"/>
      <c r="C991" s="51"/>
      <c r="D991" s="51"/>
      <c r="E991" s="51"/>
      <c r="F991" s="51"/>
      <c r="G991" s="51"/>
      <c r="H991" s="51"/>
      <c r="I991" s="51"/>
      <c r="J991" s="51"/>
      <c r="K991" s="51"/>
      <c r="L991" s="51"/>
      <c r="M991" s="51"/>
      <c r="N991" s="51"/>
    </row>
    <row r="992" spans="2:14" ht="12.75" customHeight="1" x14ac:dyDescent="0.15">
      <c r="B992" s="51"/>
      <c r="C992" s="51"/>
      <c r="D992" s="51"/>
      <c r="E992" s="51"/>
      <c r="F992" s="51"/>
      <c r="G992" s="51"/>
      <c r="H992" s="51"/>
      <c r="I992" s="51"/>
      <c r="J992" s="51"/>
      <c r="K992" s="51"/>
      <c r="L992" s="51"/>
      <c r="M992" s="51"/>
      <c r="N992" s="51"/>
    </row>
    <row r="993" spans="2:14" ht="12.75" customHeight="1" x14ac:dyDescent="0.15">
      <c r="B993" s="51"/>
      <c r="C993" s="51"/>
      <c r="D993" s="51"/>
      <c r="E993" s="51"/>
      <c r="F993" s="51"/>
      <c r="G993" s="51"/>
      <c r="H993" s="51"/>
      <c r="I993" s="51"/>
      <c r="J993" s="51"/>
      <c r="K993" s="51"/>
      <c r="L993" s="51"/>
      <c r="M993" s="51"/>
      <c r="N993" s="51"/>
    </row>
    <row r="994" spans="2:14" ht="12.75" customHeight="1" x14ac:dyDescent="0.15">
      <c r="B994" s="51"/>
      <c r="C994" s="51"/>
      <c r="D994" s="51"/>
      <c r="E994" s="51"/>
      <c r="F994" s="51"/>
      <c r="G994" s="51"/>
      <c r="H994" s="51"/>
      <c r="I994" s="51"/>
      <c r="J994" s="51"/>
      <c r="K994" s="51"/>
      <c r="L994" s="51"/>
      <c r="M994" s="51"/>
      <c r="N994" s="51"/>
    </row>
    <row r="995" spans="2:14" ht="12.75" customHeight="1" x14ac:dyDescent="0.15">
      <c r="B995" s="51"/>
      <c r="C995" s="51"/>
      <c r="D995" s="51"/>
      <c r="E995" s="51"/>
      <c r="F995" s="51"/>
      <c r="G995" s="51"/>
      <c r="H995" s="51"/>
      <c r="I995" s="51"/>
      <c r="J995" s="51"/>
      <c r="K995" s="51"/>
      <c r="L995" s="51"/>
      <c r="M995" s="51"/>
      <c r="N995" s="51"/>
    </row>
    <row r="996" spans="2:14" ht="12.75" customHeight="1" x14ac:dyDescent="0.15">
      <c r="B996" s="51"/>
      <c r="C996" s="51"/>
      <c r="D996" s="51"/>
      <c r="E996" s="51"/>
      <c r="F996" s="51"/>
      <c r="G996" s="51"/>
      <c r="H996" s="51"/>
      <c r="I996" s="51"/>
      <c r="J996" s="51"/>
      <c r="K996" s="51"/>
      <c r="L996" s="51"/>
      <c r="M996" s="51"/>
      <c r="N996" s="51"/>
    </row>
    <row r="997" spans="2:14" ht="12.75" customHeight="1" x14ac:dyDescent="0.15">
      <c r="B997" s="51"/>
      <c r="C997" s="51"/>
      <c r="D997" s="51"/>
      <c r="E997" s="51"/>
      <c r="F997" s="51"/>
      <c r="G997" s="51"/>
      <c r="H997" s="51"/>
      <c r="I997" s="51"/>
      <c r="J997" s="51"/>
      <c r="K997" s="51"/>
      <c r="L997" s="51"/>
      <c r="M997" s="51"/>
      <c r="N997" s="51"/>
    </row>
    <row r="998" spans="2:14" ht="12.75" customHeight="1" x14ac:dyDescent="0.15">
      <c r="B998" s="51"/>
      <c r="C998" s="51"/>
      <c r="D998" s="51"/>
      <c r="E998" s="51"/>
      <c r="F998" s="51"/>
      <c r="G998" s="51"/>
      <c r="H998" s="51"/>
      <c r="I998" s="51"/>
      <c r="J998" s="51"/>
      <c r="K998" s="51"/>
      <c r="L998" s="51"/>
      <c r="M998" s="51"/>
      <c r="N998" s="51"/>
    </row>
    <row r="999" spans="2:14" ht="12.75" customHeight="1" x14ac:dyDescent="0.15">
      <c r="B999" s="51"/>
      <c r="C999" s="51"/>
      <c r="D999" s="51"/>
      <c r="E999" s="51"/>
      <c r="F999" s="51"/>
      <c r="G999" s="51"/>
      <c r="H999" s="51"/>
      <c r="I999" s="51"/>
      <c r="J999" s="51"/>
      <c r="K999" s="51"/>
      <c r="L999" s="51"/>
      <c r="M999" s="51"/>
      <c r="N999" s="51"/>
    </row>
    <row r="1000" spans="2:14" ht="12.75" customHeight="1" x14ac:dyDescent="0.15">
      <c r="B1000" s="51"/>
      <c r="C1000" s="51"/>
      <c r="D1000" s="51"/>
      <c r="E1000" s="51"/>
      <c r="F1000" s="51"/>
      <c r="G1000" s="51"/>
      <c r="H1000" s="51"/>
      <c r="I1000" s="51"/>
      <c r="J1000" s="51"/>
      <c r="K1000" s="51"/>
      <c r="L1000" s="51"/>
      <c r="M1000" s="51"/>
      <c r="N1000" s="51"/>
    </row>
  </sheetData>
  <mergeCells count="5">
    <mergeCell ref="B1:C1"/>
    <mergeCell ref="E1:F1"/>
    <mergeCell ref="H1:I1"/>
    <mergeCell ref="J1:K1"/>
    <mergeCell ref="L1:M1"/>
  </mergeCell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6640625" defaultRowHeight="15" customHeight="1" x14ac:dyDescent="0.15"/>
  <cols>
    <col min="1" max="4" width="10.6640625" customWidth="1"/>
    <col min="5" max="5" width="3" customWidth="1"/>
    <col min="6" max="9" width="10.6640625" customWidth="1"/>
    <col min="10" max="10" width="3.33203125" customWidth="1"/>
    <col min="11" max="14" width="10.6640625" customWidth="1"/>
    <col min="15" max="26" width="10" customWidth="1"/>
  </cols>
  <sheetData>
    <row r="1" spans="1:26" ht="13" x14ac:dyDescent="0.15">
      <c r="A1" s="954">
        <v>2014</v>
      </c>
      <c r="B1" s="905"/>
      <c r="C1" s="905"/>
      <c r="D1" s="905"/>
      <c r="E1" s="51"/>
      <c r="F1" s="954">
        <v>2015</v>
      </c>
      <c r="G1" s="905"/>
      <c r="H1" s="905"/>
      <c r="I1" s="905"/>
      <c r="J1" s="51"/>
      <c r="K1" s="954">
        <v>2016</v>
      </c>
      <c r="L1" s="905"/>
      <c r="M1" s="905"/>
      <c r="N1" s="905"/>
      <c r="O1" s="51"/>
      <c r="P1" s="51"/>
      <c r="Q1" s="51"/>
      <c r="R1" s="51"/>
      <c r="S1" s="51"/>
      <c r="T1" s="51"/>
      <c r="U1" s="51"/>
      <c r="V1" s="51"/>
      <c r="W1" s="51"/>
      <c r="X1" s="51"/>
      <c r="Y1" s="51"/>
      <c r="Z1" s="51"/>
    </row>
    <row r="2" spans="1:26" ht="13" x14ac:dyDescent="0.15">
      <c r="A2" s="51"/>
      <c r="B2" s="51" t="s">
        <v>12</v>
      </c>
      <c r="C2" s="51" t="s">
        <v>135</v>
      </c>
      <c r="D2" s="51" t="s">
        <v>185</v>
      </c>
      <c r="E2" s="51"/>
      <c r="F2" s="51"/>
      <c r="G2" s="51" t="s">
        <v>12</v>
      </c>
      <c r="H2" s="51" t="s">
        <v>135</v>
      </c>
      <c r="I2" s="51" t="s">
        <v>185</v>
      </c>
      <c r="J2" s="51"/>
      <c r="K2" s="51"/>
      <c r="L2" s="51" t="s">
        <v>12</v>
      </c>
      <c r="M2" s="51" t="s">
        <v>135</v>
      </c>
      <c r="N2" s="51" t="s">
        <v>185</v>
      </c>
      <c r="O2" s="51"/>
      <c r="P2" s="51"/>
      <c r="Q2" s="51"/>
      <c r="R2" s="51"/>
      <c r="S2" s="51"/>
      <c r="T2" s="51"/>
      <c r="U2" s="51"/>
      <c r="V2" s="51"/>
      <c r="W2" s="51"/>
      <c r="X2" s="51"/>
      <c r="Y2" s="51"/>
      <c r="Z2" s="51"/>
    </row>
    <row r="3" spans="1:26" ht="13" x14ac:dyDescent="0.15">
      <c r="A3" s="51" t="s">
        <v>186</v>
      </c>
      <c r="B3" s="51"/>
      <c r="C3" s="51"/>
      <c r="D3" s="51"/>
      <c r="E3" s="51"/>
      <c r="F3" s="51" t="s">
        <v>186</v>
      </c>
      <c r="G3" s="75">
        <v>693487</v>
      </c>
      <c r="H3" s="509">
        <v>0.47</v>
      </c>
      <c r="I3" s="669">
        <v>691</v>
      </c>
      <c r="J3" s="51"/>
      <c r="K3" s="51" t="s">
        <v>186</v>
      </c>
      <c r="L3" s="75">
        <v>1039316</v>
      </c>
      <c r="M3" s="509">
        <v>0.47</v>
      </c>
      <c r="N3" s="670">
        <v>857</v>
      </c>
      <c r="O3" s="51"/>
      <c r="P3" s="51"/>
      <c r="Q3" s="51"/>
      <c r="R3" s="51"/>
      <c r="S3" s="51"/>
      <c r="T3" s="51"/>
      <c r="U3" s="51"/>
      <c r="V3" s="51"/>
      <c r="W3" s="51"/>
      <c r="X3" s="51"/>
      <c r="Y3" s="51"/>
      <c r="Z3" s="51"/>
    </row>
    <row r="4" spans="1:26" ht="13" x14ac:dyDescent="0.15">
      <c r="A4" s="51" t="s">
        <v>89</v>
      </c>
      <c r="B4" s="51"/>
      <c r="C4" s="51"/>
      <c r="D4" s="51"/>
      <c r="E4" s="51"/>
      <c r="F4" s="51" t="s">
        <v>89</v>
      </c>
      <c r="G4" s="75">
        <v>1445893</v>
      </c>
      <c r="H4" s="509">
        <v>0.68</v>
      </c>
      <c r="I4" s="669">
        <v>925</v>
      </c>
      <c r="J4" s="51"/>
      <c r="K4" s="51" t="s">
        <v>89</v>
      </c>
      <c r="L4" s="75">
        <v>2032270</v>
      </c>
      <c r="M4" s="509">
        <v>0.83</v>
      </c>
      <c r="N4" s="670">
        <v>991</v>
      </c>
      <c r="O4" s="51"/>
      <c r="P4" s="51"/>
      <c r="Q4" s="51"/>
      <c r="R4" s="51"/>
      <c r="S4" s="51"/>
      <c r="T4" s="51"/>
      <c r="U4" s="51"/>
      <c r="V4" s="51"/>
      <c r="W4" s="51"/>
      <c r="X4" s="51"/>
      <c r="Y4" s="51"/>
      <c r="Z4" s="51"/>
    </row>
    <row r="5" spans="1:26" ht="13" x14ac:dyDescent="0.15">
      <c r="A5" s="51" t="s">
        <v>90</v>
      </c>
      <c r="B5" s="51"/>
      <c r="C5" s="51"/>
      <c r="D5" s="51"/>
      <c r="E5" s="51"/>
      <c r="F5" s="51" t="s">
        <v>90</v>
      </c>
      <c r="G5" s="75">
        <v>1593289</v>
      </c>
      <c r="H5" s="509">
        <v>0.73</v>
      </c>
      <c r="I5" s="669">
        <v>840</v>
      </c>
      <c r="J5" s="51"/>
      <c r="K5" s="51" t="s">
        <v>90</v>
      </c>
      <c r="L5" s="75">
        <v>1805608</v>
      </c>
      <c r="M5" s="671">
        <v>0.72</v>
      </c>
      <c r="N5" s="51">
        <v>956</v>
      </c>
      <c r="O5" s="51"/>
      <c r="P5" s="51"/>
      <c r="Q5" s="51"/>
      <c r="R5" s="51"/>
      <c r="S5" s="51"/>
      <c r="T5" s="51"/>
      <c r="U5" s="51"/>
      <c r="V5" s="51"/>
      <c r="W5" s="51"/>
      <c r="X5" s="51"/>
      <c r="Y5" s="51"/>
      <c r="Z5" s="51"/>
    </row>
    <row r="6" spans="1:26" ht="13" x14ac:dyDescent="0.15">
      <c r="A6" s="51" t="s">
        <v>123</v>
      </c>
      <c r="B6" s="51"/>
      <c r="C6" s="51"/>
      <c r="D6" s="51"/>
      <c r="E6" s="51"/>
      <c r="F6" s="51" t="s">
        <v>123</v>
      </c>
      <c r="G6" s="75">
        <v>1182276</v>
      </c>
      <c r="H6" s="509">
        <v>0.66</v>
      </c>
      <c r="I6" s="669">
        <v>733</v>
      </c>
      <c r="J6" s="51"/>
      <c r="K6" s="51" t="s">
        <v>123</v>
      </c>
      <c r="L6" s="75">
        <v>1145562</v>
      </c>
      <c r="M6" s="671">
        <v>0.62</v>
      </c>
      <c r="N6" s="51">
        <v>735</v>
      </c>
      <c r="O6" s="51"/>
      <c r="P6" s="51"/>
      <c r="Q6" s="51"/>
      <c r="R6" s="51"/>
      <c r="S6" s="51"/>
      <c r="T6" s="51"/>
      <c r="U6" s="51"/>
      <c r="V6" s="51"/>
      <c r="W6" s="51"/>
      <c r="X6" s="51"/>
      <c r="Y6" s="51"/>
      <c r="Z6" s="51"/>
    </row>
    <row r="7" spans="1:26" ht="13" x14ac:dyDescent="0.15">
      <c r="A7" s="51" t="s">
        <v>124</v>
      </c>
      <c r="B7" s="51"/>
      <c r="C7" s="51"/>
      <c r="D7" s="51"/>
      <c r="E7" s="51"/>
      <c r="F7" s="51" t="s">
        <v>124</v>
      </c>
      <c r="G7" s="75">
        <v>461579</v>
      </c>
      <c r="H7" s="509">
        <v>0.63</v>
      </c>
      <c r="I7" s="669">
        <v>658</v>
      </c>
      <c r="J7" s="51"/>
      <c r="K7" s="51" t="s">
        <v>124</v>
      </c>
      <c r="L7" s="51"/>
      <c r="M7" s="51"/>
      <c r="N7" s="51"/>
      <c r="O7" s="51"/>
      <c r="P7" s="51"/>
      <c r="Q7" s="51"/>
      <c r="R7" s="51"/>
      <c r="S7" s="51"/>
      <c r="T7" s="51"/>
      <c r="U7" s="51"/>
      <c r="V7" s="51"/>
      <c r="W7" s="51"/>
      <c r="X7" s="51"/>
      <c r="Y7" s="51"/>
      <c r="Z7" s="51"/>
    </row>
    <row r="8" spans="1:26" ht="13" x14ac:dyDescent="0.15">
      <c r="A8" s="51" t="s">
        <v>125</v>
      </c>
      <c r="B8" s="51"/>
      <c r="C8" s="51"/>
      <c r="D8" s="51"/>
      <c r="E8" s="51"/>
      <c r="F8" s="51" t="s">
        <v>125</v>
      </c>
      <c r="G8" s="75">
        <v>417460</v>
      </c>
      <c r="H8" s="509">
        <v>0.57999999999999996</v>
      </c>
      <c r="I8" s="669">
        <v>580</v>
      </c>
      <c r="J8" s="51"/>
      <c r="K8" s="51" t="s">
        <v>125</v>
      </c>
      <c r="L8" s="51"/>
      <c r="M8" s="51"/>
      <c r="N8" s="51"/>
      <c r="O8" s="51"/>
      <c r="P8" s="51"/>
      <c r="Q8" s="51"/>
      <c r="R8" s="51"/>
      <c r="S8" s="51"/>
      <c r="T8" s="51"/>
      <c r="U8" s="51"/>
      <c r="V8" s="51"/>
      <c r="W8" s="51"/>
      <c r="X8" s="51"/>
      <c r="Y8" s="51"/>
      <c r="Z8" s="51"/>
    </row>
    <row r="9" spans="1:26" ht="13" x14ac:dyDescent="0.15">
      <c r="A9" s="51" t="s">
        <v>160</v>
      </c>
      <c r="B9" s="51"/>
      <c r="C9" s="51"/>
      <c r="D9" s="51"/>
      <c r="E9" s="51"/>
      <c r="F9" s="51" t="s">
        <v>160</v>
      </c>
      <c r="G9" s="75">
        <v>477485</v>
      </c>
      <c r="H9" s="509">
        <v>0.56999999999999995</v>
      </c>
      <c r="I9" s="669">
        <v>672</v>
      </c>
      <c r="J9" s="51"/>
      <c r="K9" s="51" t="s">
        <v>160</v>
      </c>
      <c r="L9" s="51"/>
      <c r="M9" s="51"/>
      <c r="N9" s="51"/>
      <c r="O9" s="51"/>
      <c r="P9" s="51"/>
      <c r="Q9" s="51"/>
      <c r="R9" s="51"/>
      <c r="S9" s="51"/>
      <c r="T9" s="51"/>
      <c r="U9" s="51"/>
      <c r="V9" s="51"/>
      <c r="W9" s="51"/>
      <c r="X9" s="51"/>
      <c r="Y9" s="51"/>
      <c r="Z9" s="51"/>
    </row>
    <row r="10" spans="1:26" ht="13" x14ac:dyDescent="0.15">
      <c r="A10" s="51" t="s">
        <v>127</v>
      </c>
      <c r="B10" s="51"/>
      <c r="C10" s="51"/>
      <c r="D10" s="51"/>
      <c r="E10" s="51"/>
      <c r="F10" s="51" t="s">
        <v>127</v>
      </c>
      <c r="G10" s="75">
        <v>674150</v>
      </c>
      <c r="H10" s="509">
        <v>0.68</v>
      </c>
      <c r="I10" s="669">
        <v>698</v>
      </c>
      <c r="J10" s="51"/>
      <c r="K10" s="51" t="s">
        <v>127</v>
      </c>
      <c r="L10" s="51"/>
      <c r="M10" s="51"/>
      <c r="N10" s="51"/>
      <c r="O10" s="51"/>
      <c r="P10" s="51"/>
      <c r="Q10" s="51"/>
      <c r="R10" s="51"/>
      <c r="S10" s="51"/>
      <c r="T10" s="51"/>
      <c r="U10" s="51"/>
      <c r="V10" s="51"/>
      <c r="W10" s="51"/>
      <c r="X10" s="51"/>
      <c r="Y10" s="51"/>
      <c r="Z10" s="51"/>
    </row>
    <row r="11" spans="1:26" ht="13" x14ac:dyDescent="0.15">
      <c r="A11" s="51" t="s">
        <v>128</v>
      </c>
      <c r="B11" s="51"/>
      <c r="C11" s="51"/>
      <c r="D11" s="51"/>
      <c r="E11" s="51"/>
      <c r="F11" s="51" t="s">
        <v>128</v>
      </c>
      <c r="G11" s="51">
        <v>722338</v>
      </c>
      <c r="H11" s="671">
        <v>0.52</v>
      </c>
      <c r="I11" s="51">
        <v>675</v>
      </c>
      <c r="J11" s="51"/>
      <c r="K11" s="51" t="s">
        <v>128</v>
      </c>
      <c r="L11" s="51"/>
      <c r="M11" s="51"/>
      <c r="N11" s="51"/>
      <c r="O11" s="51"/>
      <c r="P11" s="51"/>
      <c r="Q11" s="51"/>
      <c r="R11" s="51"/>
      <c r="S11" s="51"/>
      <c r="T11" s="51"/>
      <c r="U11" s="51"/>
      <c r="V11" s="51"/>
      <c r="W11" s="51"/>
      <c r="X11" s="51"/>
      <c r="Y11" s="51"/>
      <c r="Z11" s="51"/>
    </row>
    <row r="12" spans="1:26" ht="13" x14ac:dyDescent="0.15">
      <c r="A12" s="51" t="s">
        <v>129</v>
      </c>
      <c r="B12" s="75">
        <v>915852</v>
      </c>
      <c r="C12" s="509">
        <v>0.56999999999999995</v>
      </c>
      <c r="D12" s="669">
        <v>614</v>
      </c>
      <c r="E12" s="51"/>
      <c r="F12" s="51" t="s">
        <v>129</v>
      </c>
      <c r="G12" s="75">
        <v>1187356</v>
      </c>
      <c r="H12" s="509">
        <v>0.52</v>
      </c>
      <c r="I12" s="670">
        <v>675</v>
      </c>
      <c r="J12" s="51"/>
      <c r="K12" s="51" t="s">
        <v>129</v>
      </c>
      <c r="L12" s="75"/>
      <c r="M12" s="51"/>
      <c r="N12" s="51"/>
      <c r="O12" s="51"/>
      <c r="P12" s="51"/>
      <c r="Q12" s="51"/>
      <c r="R12" s="51"/>
      <c r="S12" s="51"/>
      <c r="T12" s="51"/>
      <c r="U12" s="51"/>
      <c r="V12" s="51"/>
      <c r="W12" s="51"/>
      <c r="X12" s="51"/>
      <c r="Y12" s="51"/>
      <c r="Z12" s="51"/>
    </row>
    <row r="13" spans="1:26" ht="13" x14ac:dyDescent="0.15">
      <c r="A13" s="51" t="s">
        <v>86</v>
      </c>
      <c r="B13" s="75">
        <v>1379962</v>
      </c>
      <c r="C13" s="509">
        <v>0.69</v>
      </c>
      <c r="D13" s="669">
        <v>791</v>
      </c>
      <c r="E13" s="51"/>
      <c r="F13" s="51" t="s">
        <v>86</v>
      </c>
      <c r="G13" s="75">
        <v>1465604</v>
      </c>
      <c r="H13" s="509">
        <v>0.72</v>
      </c>
      <c r="I13" s="670">
        <v>810</v>
      </c>
      <c r="J13" s="51"/>
      <c r="K13" s="51" t="s">
        <v>86</v>
      </c>
      <c r="L13" s="75"/>
      <c r="M13" s="51"/>
      <c r="N13" s="51"/>
      <c r="O13" s="51"/>
      <c r="P13" s="51"/>
      <c r="Q13" s="51"/>
      <c r="R13" s="51"/>
      <c r="S13" s="51"/>
      <c r="T13" s="51"/>
      <c r="U13" s="51"/>
      <c r="V13" s="51"/>
      <c r="W13" s="51"/>
      <c r="X13" s="51"/>
      <c r="Y13" s="51"/>
      <c r="Z13" s="51"/>
    </row>
    <row r="14" spans="1:26" ht="13" x14ac:dyDescent="0.15">
      <c r="A14" s="51" t="s">
        <v>87</v>
      </c>
      <c r="B14" s="75">
        <v>979969</v>
      </c>
      <c r="C14" s="509">
        <v>0.59</v>
      </c>
      <c r="D14" s="669">
        <v>722</v>
      </c>
      <c r="E14" s="51"/>
      <c r="F14" s="51" t="s">
        <v>87</v>
      </c>
      <c r="G14" s="75">
        <v>1353583</v>
      </c>
      <c r="H14" s="509">
        <v>0.53</v>
      </c>
      <c r="I14" s="670">
        <v>978</v>
      </c>
      <c r="J14" s="51"/>
      <c r="K14" s="51" t="s">
        <v>87</v>
      </c>
      <c r="L14" s="75"/>
      <c r="M14" s="51"/>
      <c r="N14" s="51"/>
      <c r="O14" s="51"/>
      <c r="P14" s="51"/>
      <c r="Q14" s="51"/>
      <c r="R14" s="51"/>
      <c r="S14" s="51"/>
      <c r="T14" s="51"/>
      <c r="U14" s="51"/>
      <c r="V14" s="51"/>
      <c r="W14" s="51"/>
      <c r="X14" s="51"/>
      <c r="Y14" s="51"/>
      <c r="Z14" s="51"/>
    </row>
    <row r="15" spans="1:26" ht="13" x14ac:dyDescent="0.15">
      <c r="A15" s="51"/>
      <c r="B15" s="51"/>
      <c r="C15" s="51"/>
      <c r="D15" s="51"/>
      <c r="E15" s="51"/>
      <c r="F15" s="51"/>
      <c r="G15" s="51"/>
      <c r="H15" s="51"/>
      <c r="I15" s="51"/>
      <c r="J15" s="51"/>
      <c r="K15" s="49"/>
      <c r="L15" s="49"/>
      <c r="M15" s="49"/>
      <c r="N15" s="49"/>
      <c r="O15" s="51"/>
      <c r="P15" s="51"/>
      <c r="Q15" s="51"/>
      <c r="R15" s="51"/>
      <c r="S15" s="51"/>
      <c r="T15" s="51"/>
      <c r="U15" s="51"/>
      <c r="V15" s="51"/>
      <c r="W15" s="51"/>
      <c r="X15" s="51"/>
      <c r="Y15" s="51"/>
      <c r="Z15" s="51"/>
    </row>
    <row r="16" spans="1:26" ht="13" x14ac:dyDescent="0.15">
      <c r="A16" s="51"/>
      <c r="B16" s="51"/>
      <c r="C16" s="51"/>
      <c r="D16" s="51"/>
      <c r="E16" s="51"/>
      <c r="F16" s="51"/>
      <c r="G16" s="671"/>
      <c r="H16" s="51"/>
      <c r="I16" s="51"/>
      <c r="J16" s="51"/>
      <c r="K16" s="51"/>
      <c r="L16" s="51"/>
      <c r="M16" s="51"/>
      <c r="N16" s="51"/>
      <c r="O16" s="51"/>
      <c r="P16" s="51"/>
      <c r="Q16" s="51"/>
      <c r="R16" s="51"/>
      <c r="S16" s="51"/>
      <c r="T16" s="51"/>
      <c r="U16" s="51"/>
      <c r="V16" s="51"/>
      <c r="W16" s="51"/>
      <c r="X16" s="51"/>
      <c r="Y16" s="51"/>
      <c r="Z16" s="51"/>
    </row>
    <row r="17" spans="1:26" ht="13" x14ac:dyDescent="0.15">
      <c r="A17" s="672" t="s">
        <v>187</v>
      </c>
      <c r="B17" s="51"/>
      <c r="C17" s="51"/>
      <c r="D17" s="51"/>
      <c r="E17" s="51"/>
      <c r="F17" s="51"/>
      <c r="G17" s="671"/>
      <c r="H17" s="51"/>
      <c r="I17" s="51"/>
      <c r="J17" s="51"/>
      <c r="K17" s="51"/>
      <c r="L17" s="51"/>
      <c r="M17" s="51"/>
      <c r="N17" s="51"/>
      <c r="O17" s="51"/>
      <c r="P17" s="51"/>
      <c r="Q17" s="51"/>
      <c r="R17" s="51"/>
      <c r="S17" s="51"/>
      <c r="T17" s="51"/>
      <c r="U17" s="51"/>
      <c r="V17" s="51"/>
      <c r="W17" s="51"/>
      <c r="X17" s="51"/>
      <c r="Y17" s="51"/>
      <c r="Z17" s="51"/>
    </row>
    <row r="18" spans="1:26" ht="13" x14ac:dyDescent="0.15">
      <c r="A18" s="51"/>
      <c r="B18" s="51" t="s">
        <v>188</v>
      </c>
      <c r="C18" s="51" t="s">
        <v>189</v>
      </c>
      <c r="D18" s="51" t="s">
        <v>190</v>
      </c>
      <c r="E18" s="51"/>
      <c r="F18" s="51" t="s">
        <v>185</v>
      </c>
      <c r="G18" s="671"/>
      <c r="H18" s="51" t="s">
        <v>191</v>
      </c>
      <c r="I18" s="51"/>
      <c r="J18" s="51"/>
      <c r="K18" s="51"/>
      <c r="L18" s="51"/>
      <c r="M18" s="51"/>
      <c r="N18" s="51"/>
      <c r="O18" s="51"/>
      <c r="P18" s="51"/>
      <c r="Q18" s="51"/>
      <c r="R18" s="51"/>
      <c r="S18" s="51"/>
      <c r="T18" s="51"/>
      <c r="U18" s="51"/>
      <c r="V18" s="51"/>
      <c r="W18" s="51"/>
      <c r="X18" s="51"/>
      <c r="Y18" s="51"/>
      <c r="Z18" s="51"/>
    </row>
    <row r="19" spans="1:26" ht="13" x14ac:dyDescent="0.15">
      <c r="A19" s="51">
        <v>2015</v>
      </c>
      <c r="B19" s="51">
        <v>2</v>
      </c>
      <c r="C19" s="51">
        <v>12</v>
      </c>
      <c r="D19" s="51">
        <v>32287</v>
      </c>
      <c r="E19" s="51"/>
      <c r="F19" s="673">
        <f t="shared" ref="F19:F20" si="0">D19/C19</f>
        <v>2690.5833333333335</v>
      </c>
      <c r="G19" s="671"/>
      <c r="H19" s="51">
        <v>6</v>
      </c>
      <c r="I19" s="51"/>
      <c r="J19" s="51"/>
      <c r="K19" s="51"/>
      <c r="L19" s="51"/>
      <c r="M19" s="51"/>
      <c r="N19" s="51"/>
      <c r="O19" s="51"/>
      <c r="P19" s="51"/>
      <c r="Q19" s="51"/>
      <c r="R19" s="51"/>
      <c r="S19" s="51"/>
      <c r="T19" s="51"/>
      <c r="U19" s="51"/>
      <c r="V19" s="51"/>
      <c r="W19" s="51"/>
      <c r="X19" s="51"/>
      <c r="Y19" s="51"/>
      <c r="Z19" s="51"/>
    </row>
    <row r="20" spans="1:26" ht="13" x14ac:dyDescent="0.15">
      <c r="A20" s="51">
        <v>2016</v>
      </c>
      <c r="B20" s="51">
        <v>53</v>
      </c>
      <c r="C20" s="51">
        <v>239</v>
      </c>
      <c r="D20" s="51">
        <v>288690</v>
      </c>
      <c r="E20" s="51"/>
      <c r="F20" s="673">
        <f t="shared" si="0"/>
        <v>1207.9079497907949</v>
      </c>
      <c r="G20" s="671"/>
      <c r="H20" s="51">
        <v>4.5</v>
      </c>
      <c r="I20" s="51"/>
      <c r="J20" s="51"/>
      <c r="K20" s="51"/>
      <c r="L20" s="51"/>
      <c r="M20" s="51"/>
      <c r="N20" s="51"/>
      <c r="O20" s="51"/>
      <c r="P20" s="51"/>
      <c r="Q20" s="51"/>
      <c r="R20" s="51"/>
      <c r="S20" s="51"/>
      <c r="T20" s="51"/>
      <c r="U20" s="51"/>
      <c r="V20" s="51"/>
      <c r="W20" s="51"/>
      <c r="X20" s="51"/>
      <c r="Y20" s="51"/>
      <c r="Z20" s="51"/>
    </row>
    <row r="21" spans="1:26" ht="15.75" customHeight="1" x14ac:dyDescent="0.15">
      <c r="A21" s="51"/>
      <c r="B21" s="51"/>
      <c r="C21" s="51"/>
      <c r="D21" s="51"/>
      <c r="E21" s="51"/>
      <c r="F21" s="51"/>
      <c r="G21" s="51"/>
      <c r="H21" s="51"/>
      <c r="I21" s="51"/>
      <c r="J21" s="51"/>
      <c r="K21" s="51"/>
      <c r="L21" s="51"/>
      <c r="M21" s="51"/>
      <c r="N21" s="51"/>
      <c r="O21" s="51"/>
      <c r="P21" s="51"/>
      <c r="Q21" s="51"/>
      <c r="R21" s="51"/>
      <c r="S21" s="51"/>
      <c r="T21" s="51"/>
      <c r="U21" s="51"/>
      <c r="V21" s="51"/>
      <c r="W21" s="51"/>
      <c r="X21" s="51"/>
      <c r="Y21" s="51"/>
      <c r="Z21" s="51"/>
    </row>
    <row r="22" spans="1:26" ht="15.75" customHeight="1" x14ac:dyDescent="0.15">
      <c r="A22" s="51"/>
      <c r="B22" s="51"/>
      <c r="C22" s="51"/>
      <c r="D22" s="51"/>
      <c r="E22" s="51"/>
      <c r="F22" s="51"/>
      <c r="G22" s="51"/>
      <c r="H22" s="51"/>
      <c r="I22" s="51"/>
      <c r="J22" s="51"/>
      <c r="K22" s="51"/>
      <c r="L22" s="51"/>
      <c r="M22" s="51"/>
      <c r="N22" s="51"/>
      <c r="O22" s="51"/>
      <c r="P22" s="51"/>
      <c r="Q22" s="51"/>
      <c r="R22" s="51"/>
      <c r="S22" s="51"/>
      <c r="T22" s="51"/>
      <c r="U22" s="51"/>
      <c r="V22" s="51"/>
      <c r="W22" s="51"/>
      <c r="X22" s="51"/>
      <c r="Y22" s="51"/>
      <c r="Z22" s="51"/>
    </row>
    <row r="23" spans="1:26" ht="15.75" customHeight="1" x14ac:dyDescent="0.15">
      <c r="A23" s="51"/>
      <c r="B23" s="51"/>
      <c r="C23" s="51"/>
      <c r="D23" s="51"/>
      <c r="E23" s="51"/>
      <c r="F23" s="51"/>
      <c r="G23" s="51"/>
      <c r="H23" s="51"/>
      <c r="I23" s="51"/>
      <c r="J23" s="51"/>
      <c r="K23" s="51"/>
      <c r="L23" s="51"/>
      <c r="M23" s="51"/>
      <c r="N23" s="51"/>
      <c r="O23" s="51"/>
      <c r="P23" s="51"/>
      <c r="Q23" s="51"/>
      <c r="R23" s="51"/>
      <c r="S23" s="51"/>
      <c r="T23" s="51"/>
      <c r="U23" s="51"/>
      <c r="V23" s="51"/>
      <c r="W23" s="51"/>
      <c r="X23" s="51"/>
      <c r="Y23" s="51"/>
      <c r="Z23" s="51"/>
    </row>
    <row r="24" spans="1:26" ht="15.75" customHeight="1" x14ac:dyDescent="0.15">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row>
    <row r="25" spans="1:26" ht="15.75" customHeight="1" x14ac:dyDescent="0.15">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row>
    <row r="26" spans="1:26" ht="15.75" customHeight="1" x14ac:dyDescent="0.15">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row>
    <row r="27" spans="1:26" ht="15.75" customHeight="1" x14ac:dyDescent="0.15">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row>
    <row r="28" spans="1:26" ht="15.75" customHeight="1" x14ac:dyDescent="0.15">
      <c r="A28" s="672"/>
      <c r="B28" s="51"/>
      <c r="C28" s="51"/>
      <c r="D28" s="51"/>
      <c r="E28" s="51"/>
      <c r="F28" s="51"/>
      <c r="G28" s="51"/>
      <c r="H28" s="51"/>
      <c r="I28" s="51"/>
      <c r="J28" s="51"/>
      <c r="K28" s="51"/>
      <c r="L28" s="51"/>
      <c r="M28" s="51"/>
      <c r="N28" s="51"/>
      <c r="O28" s="51"/>
      <c r="P28" s="51"/>
      <c r="Q28" s="51"/>
      <c r="R28" s="51"/>
      <c r="S28" s="51"/>
      <c r="T28" s="51"/>
      <c r="U28" s="51"/>
      <c r="V28" s="51"/>
      <c r="W28" s="51"/>
      <c r="X28" s="51"/>
      <c r="Y28" s="51"/>
      <c r="Z28" s="51"/>
    </row>
    <row r="29" spans="1:26" ht="15.75" customHeight="1" x14ac:dyDescent="0.15">
      <c r="A29" s="672"/>
      <c r="B29" s="51"/>
      <c r="C29" s="51"/>
      <c r="D29" s="51"/>
      <c r="E29" s="51"/>
      <c r="F29" s="51"/>
      <c r="G29" s="51"/>
      <c r="H29" s="51"/>
      <c r="I29" s="51"/>
      <c r="J29" s="51"/>
      <c r="K29" s="51"/>
      <c r="L29" s="51"/>
      <c r="M29" s="51"/>
      <c r="N29" s="51"/>
      <c r="O29" s="51"/>
      <c r="P29" s="51"/>
      <c r="Q29" s="51"/>
      <c r="R29" s="51"/>
      <c r="S29" s="51"/>
      <c r="T29" s="51"/>
      <c r="U29" s="51"/>
      <c r="V29" s="51"/>
      <c r="W29" s="51"/>
      <c r="X29" s="51"/>
      <c r="Y29" s="51"/>
      <c r="Z29" s="51"/>
    </row>
    <row r="30" spans="1:26" ht="15.75" customHeight="1" x14ac:dyDescent="0.15">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row>
    <row r="31" spans="1:26" ht="15.75" customHeight="1" x14ac:dyDescent="0.15">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row>
    <row r="32" spans="1:26" ht="15.75" customHeight="1" x14ac:dyDescent="0.15">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row>
    <row r="33" spans="1:26" ht="15.75" customHeight="1" x14ac:dyDescent="0.15">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row>
    <row r="34" spans="1:26" ht="15.75" customHeight="1" x14ac:dyDescent="0.15">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row>
    <row r="35" spans="1:26" ht="15.75" customHeight="1" x14ac:dyDescent="0.15">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row>
    <row r="36" spans="1:26" ht="15.75" customHeight="1" x14ac:dyDescent="0.15">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row>
    <row r="37" spans="1:26" ht="15.75" customHeight="1" x14ac:dyDescent="0.15">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row>
    <row r="38" spans="1:26" ht="15.75" customHeight="1" x14ac:dyDescent="0.15">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row>
    <row r="39" spans="1:26" ht="15.75" customHeight="1" x14ac:dyDescent="0.15">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row>
    <row r="40" spans="1:26" ht="15.75" customHeight="1" x14ac:dyDescent="0.15">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row>
    <row r="41" spans="1:26" ht="15.75" customHeight="1" x14ac:dyDescent="0.15">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row>
    <row r="42" spans="1:26" ht="15.75" customHeight="1" x14ac:dyDescent="0.15">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row>
    <row r="43" spans="1:26" ht="15.75" customHeight="1" x14ac:dyDescent="0.15">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row>
    <row r="44" spans="1:26" ht="15.75" customHeight="1" x14ac:dyDescent="0.15">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row>
    <row r="45" spans="1:26" ht="15.75" customHeight="1" x14ac:dyDescent="0.15">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row>
    <row r="46" spans="1:26" ht="15.75" customHeight="1" x14ac:dyDescent="0.15">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row>
    <row r="47" spans="1:26" ht="15.75" customHeight="1" x14ac:dyDescent="0.15">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row>
    <row r="48" spans="1:26" ht="15.75" customHeight="1" x14ac:dyDescent="0.15">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row>
    <row r="49" spans="1:26" ht="15.75" customHeight="1" x14ac:dyDescent="0.15">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row>
    <row r="50" spans="1:26" ht="15.75" customHeight="1" x14ac:dyDescent="0.15">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row>
    <row r="51" spans="1:26" ht="15.75" customHeight="1" x14ac:dyDescent="0.15">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row>
    <row r="52" spans="1:26" ht="15.75" customHeight="1" x14ac:dyDescent="0.15">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row>
    <row r="53" spans="1:26" ht="15.75" customHeight="1" x14ac:dyDescent="0.15">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row>
    <row r="54" spans="1:26" ht="15.75" customHeight="1" x14ac:dyDescent="0.15">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row>
    <row r="55" spans="1:26" ht="15.75" customHeight="1" x14ac:dyDescent="0.1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row>
    <row r="56" spans="1:26" ht="15.75" customHeight="1" x14ac:dyDescent="0.15">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row>
    <row r="57" spans="1:26" ht="15.75" customHeight="1" x14ac:dyDescent="0.15">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row>
    <row r="58" spans="1:26" ht="15.75" customHeight="1" x14ac:dyDescent="0.15">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row>
    <row r="59" spans="1:26" ht="15.75" customHeight="1" x14ac:dyDescent="0.15">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row>
    <row r="60" spans="1:26" ht="15.75" customHeight="1" x14ac:dyDescent="0.15">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row>
    <row r="61" spans="1:26" ht="15.75" customHeight="1" x14ac:dyDescent="0.15">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row>
    <row r="62" spans="1:26" ht="15.75" customHeight="1" x14ac:dyDescent="0.15">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row>
    <row r="63" spans="1:26" ht="15.75" customHeight="1" x14ac:dyDescent="0.15">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row>
    <row r="64" spans="1:26" ht="15.75" customHeight="1" x14ac:dyDescent="0.15">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row>
    <row r="65" spans="1:26" ht="15.75" customHeight="1" x14ac:dyDescent="0.1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row>
    <row r="66" spans="1:26" ht="15.75" customHeight="1" x14ac:dyDescent="0.15">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row>
    <row r="67" spans="1:26" ht="15.75" customHeight="1" x14ac:dyDescent="0.15">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row>
    <row r="68" spans="1:26" ht="15.75" customHeight="1" x14ac:dyDescent="0.15">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row>
    <row r="69" spans="1:26" ht="15.75" customHeight="1" x14ac:dyDescent="0.15">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row>
    <row r="70" spans="1:26" ht="15.75" customHeight="1" x14ac:dyDescent="0.15">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row>
    <row r="71" spans="1:26" ht="15.75" customHeight="1" x14ac:dyDescent="0.15">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row>
    <row r="72" spans="1:26" ht="15.75" customHeight="1" x14ac:dyDescent="0.15">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row>
    <row r="73" spans="1:26" ht="15.75" customHeight="1" x14ac:dyDescent="0.15">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row>
    <row r="74" spans="1:26" ht="15.75" customHeight="1" x14ac:dyDescent="0.15">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row>
    <row r="75" spans="1:26" ht="15.75" customHeight="1" x14ac:dyDescent="0.1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row>
    <row r="76" spans="1:26" ht="15.75" customHeight="1" x14ac:dyDescent="0.15">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row>
    <row r="77" spans="1:26" ht="15.75" customHeight="1" x14ac:dyDescent="0.15">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row>
    <row r="78" spans="1:26" ht="15.75" customHeight="1" x14ac:dyDescent="0.15">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row>
    <row r="79" spans="1:26" ht="15.75" customHeight="1" x14ac:dyDescent="0.15">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row>
    <row r="80" spans="1:26" ht="15.75" customHeight="1" x14ac:dyDescent="0.15">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row>
    <row r="81" spans="1:26" ht="15.75" customHeight="1" x14ac:dyDescent="0.15">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row>
    <row r="82" spans="1:26" ht="15.75" customHeight="1" x14ac:dyDescent="0.15">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row>
    <row r="83" spans="1:26" ht="15.75" customHeight="1" x14ac:dyDescent="0.15">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row>
    <row r="84" spans="1:26" ht="15.75" customHeight="1" x14ac:dyDescent="0.15">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row>
    <row r="85" spans="1:26" ht="15.75" customHeight="1" x14ac:dyDescent="0.1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row>
    <row r="86" spans="1:26" ht="15.75" customHeight="1" x14ac:dyDescent="0.15">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row>
    <row r="87" spans="1:26" ht="15.75" customHeight="1" x14ac:dyDescent="0.15">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row>
    <row r="88" spans="1:26" ht="15.75" customHeight="1" x14ac:dyDescent="0.15">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row>
    <row r="89" spans="1:26" ht="15.75" customHeight="1" x14ac:dyDescent="0.15">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row>
    <row r="90" spans="1:26" ht="15.75" customHeight="1" x14ac:dyDescent="0.15">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row>
    <row r="91" spans="1:26" ht="15.75" customHeight="1" x14ac:dyDescent="0.15">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row>
    <row r="92" spans="1:26" ht="15.75" customHeight="1" x14ac:dyDescent="0.15">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row>
    <row r="93" spans="1:26" ht="15.75" customHeight="1" x14ac:dyDescent="0.15">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row>
    <row r="94" spans="1:26" ht="15.75" customHeight="1" x14ac:dyDescent="0.15">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row>
    <row r="95" spans="1:26" ht="15.75" customHeight="1" x14ac:dyDescent="0.1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row>
    <row r="96" spans="1:26" ht="15.75" customHeight="1" x14ac:dyDescent="0.15">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row>
    <row r="97" spans="1:26" ht="15.75" customHeight="1" x14ac:dyDescent="0.15">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row>
    <row r="98" spans="1:26" ht="15.75" customHeight="1" x14ac:dyDescent="0.15">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row>
    <row r="99" spans="1:26" ht="15.75" customHeight="1" x14ac:dyDescent="0.15">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row>
    <row r="100" spans="1:26" ht="15.75" customHeight="1" x14ac:dyDescent="0.15">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row>
    <row r="101" spans="1:26" ht="15.75" customHeight="1" x14ac:dyDescent="0.15">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row>
    <row r="102" spans="1:26" ht="15.75" customHeight="1" x14ac:dyDescent="0.15">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row>
    <row r="103" spans="1:26" ht="15.75" customHeight="1" x14ac:dyDescent="0.15">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row>
    <row r="104" spans="1:26" ht="15.75" customHeight="1" x14ac:dyDescent="0.15">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row>
    <row r="105" spans="1:26" ht="15.75" customHeight="1" x14ac:dyDescent="0.1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row>
    <row r="106" spans="1:26" ht="15.75" customHeight="1" x14ac:dyDescent="0.15">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row>
    <row r="107" spans="1:26" ht="15.75" customHeight="1" x14ac:dyDescent="0.15">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row>
    <row r="108" spans="1:26" ht="15.75" customHeight="1" x14ac:dyDescent="0.15">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row>
    <row r="109" spans="1:26" ht="15.75" customHeight="1" x14ac:dyDescent="0.15">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row>
    <row r="110" spans="1:26" ht="15.75" customHeight="1" x14ac:dyDescent="0.15">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row>
    <row r="111" spans="1:26" ht="15.75" customHeight="1" x14ac:dyDescent="0.15">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row>
    <row r="112" spans="1:26" ht="15.75" customHeight="1" x14ac:dyDescent="0.15">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row>
    <row r="113" spans="1:26" ht="15.75" customHeight="1" x14ac:dyDescent="0.15">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row>
    <row r="114" spans="1:26" ht="15.75" customHeight="1" x14ac:dyDescent="0.15">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row>
    <row r="115" spans="1:26" ht="15.75" customHeight="1" x14ac:dyDescent="0.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row>
    <row r="116" spans="1:26" ht="15.75" customHeight="1" x14ac:dyDescent="0.15">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row>
    <row r="117" spans="1:26" ht="15.75" customHeight="1" x14ac:dyDescent="0.15">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row>
    <row r="118" spans="1:26" ht="15.75" customHeight="1" x14ac:dyDescent="0.15">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row>
    <row r="119" spans="1:26" ht="15.75" customHeight="1" x14ac:dyDescent="0.15">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row>
    <row r="120" spans="1:26" ht="15.75" customHeight="1" x14ac:dyDescent="0.15">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row>
    <row r="121" spans="1:26" ht="15.75" customHeight="1" x14ac:dyDescent="0.15">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row>
    <row r="122" spans="1:26" ht="15.75" customHeight="1" x14ac:dyDescent="0.15">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row>
    <row r="123" spans="1:26" ht="15.75" customHeight="1" x14ac:dyDescent="0.15">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row>
    <row r="124" spans="1:26" ht="15.75" customHeight="1" x14ac:dyDescent="0.15">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row>
    <row r="125" spans="1:26" ht="15.75" customHeight="1" x14ac:dyDescent="0.1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row>
    <row r="126" spans="1:26" ht="15.75" customHeight="1" x14ac:dyDescent="0.15">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row>
    <row r="127" spans="1:26" ht="15.75" customHeight="1" x14ac:dyDescent="0.15">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row>
    <row r="128" spans="1:26" ht="15.75" customHeight="1" x14ac:dyDescent="0.15">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row>
    <row r="129" spans="1:26" ht="15.75" customHeight="1" x14ac:dyDescent="0.15">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row>
    <row r="130" spans="1:26" ht="15.75" customHeight="1" x14ac:dyDescent="0.15">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row>
    <row r="131" spans="1:26" ht="15.75" customHeight="1" x14ac:dyDescent="0.15">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row>
    <row r="132" spans="1:26" ht="15.75" customHeight="1" x14ac:dyDescent="0.15">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row>
    <row r="133" spans="1:26" ht="15.75" customHeight="1" x14ac:dyDescent="0.15">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row>
    <row r="134" spans="1:26" ht="15.75" customHeight="1" x14ac:dyDescent="0.15">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row>
    <row r="135" spans="1:26" ht="15.75" customHeight="1" x14ac:dyDescent="0.1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row>
    <row r="136" spans="1:26" ht="15.75" customHeight="1" x14ac:dyDescent="0.15">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row>
    <row r="137" spans="1:26" ht="15.75" customHeight="1" x14ac:dyDescent="0.15">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row>
    <row r="138" spans="1:26" ht="15.75" customHeight="1" x14ac:dyDescent="0.15">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row>
    <row r="139" spans="1:26" ht="15.75" customHeight="1" x14ac:dyDescent="0.15">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row>
    <row r="140" spans="1:26" ht="15.75" customHeight="1" x14ac:dyDescent="0.15">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row>
    <row r="141" spans="1:26" ht="15.75" customHeight="1" x14ac:dyDescent="0.15">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row>
    <row r="142" spans="1:26" ht="15.75" customHeight="1" x14ac:dyDescent="0.15">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row>
    <row r="143" spans="1:26" ht="15.75" customHeight="1" x14ac:dyDescent="0.15">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row>
    <row r="144" spans="1:26" ht="15.75" customHeight="1" x14ac:dyDescent="0.15">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row>
    <row r="145" spans="1:26" ht="15.75" customHeight="1" x14ac:dyDescent="0.1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row>
    <row r="146" spans="1:26" ht="15.75" customHeight="1" x14ac:dyDescent="0.15">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row>
    <row r="147" spans="1:26" ht="15.75" customHeight="1" x14ac:dyDescent="0.15">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row>
    <row r="148" spans="1:26" ht="15.75" customHeight="1" x14ac:dyDescent="0.15">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row>
    <row r="149" spans="1:26" ht="15.75" customHeight="1" x14ac:dyDescent="0.15">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row>
    <row r="150" spans="1:26" ht="15.75" customHeight="1" x14ac:dyDescent="0.15">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row>
    <row r="151" spans="1:26" ht="15.75" customHeight="1" x14ac:dyDescent="0.15">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row>
    <row r="152" spans="1:26" ht="15.75" customHeight="1" x14ac:dyDescent="0.15">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spans="1:26" ht="15.75" customHeight="1" x14ac:dyDescent="0.15">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spans="1:26" ht="15.75" customHeight="1" x14ac:dyDescent="0.15">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spans="1:26" ht="15.75" customHeight="1" x14ac:dyDescent="0.1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spans="1:26" ht="15.75" customHeight="1" x14ac:dyDescent="0.15">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spans="1:26" ht="15.75" customHeight="1" x14ac:dyDescent="0.15">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spans="1:26" ht="15.75" customHeight="1" x14ac:dyDescent="0.15">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spans="1:26" ht="15.75" customHeight="1" x14ac:dyDescent="0.15">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spans="1:26" ht="15.75" customHeight="1" x14ac:dyDescent="0.15">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spans="1:26" ht="15.75" customHeight="1" x14ac:dyDescent="0.15">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spans="1:26" ht="15.75" customHeight="1" x14ac:dyDescent="0.15">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spans="1:26" ht="15.75" customHeight="1" x14ac:dyDescent="0.15">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spans="1:26" ht="15.75" customHeight="1" x14ac:dyDescent="0.15">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spans="1:26" ht="15.75" customHeight="1" x14ac:dyDescent="0.1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spans="1:26" ht="15.75" customHeight="1" x14ac:dyDescent="0.15">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spans="1:26" ht="15.75" customHeight="1" x14ac:dyDescent="0.15">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spans="1:26" ht="15.75" customHeight="1" x14ac:dyDescent="0.15">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spans="1:26" ht="15.75" customHeight="1" x14ac:dyDescent="0.15">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spans="1:26" ht="15.75" customHeight="1" x14ac:dyDescent="0.15">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spans="1:26" ht="15.75" customHeight="1" x14ac:dyDescent="0.15">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spans="1:26" ht="15.75" customHeight="1" x14ac:dyDescent="0.15">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spans="1:26" ht="15.75" customHeight="1" x14ac:dyDescent="0.15">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spans="1:26" ht="15.75" customHeight="1" x14ac:dyDescent="0.15">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spans="1:26" ht="15.75" customHeight="1" x14ac:dyDescent="0.1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spans="1:26" ht="15.75" customHeight="1" x14ac:dyDescent="0.15">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spans="1:26" ht="15.75" customHeight="1" x14ac:dyDescent="0.15">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spans="1:26" ht="15.75" customHeight="1" x14ac:dyDescent="0.15">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spans="1:26" ht="15.75" customHeight="1" x14ac:dyDescent="0.15">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spans="1:26" ht="15.75" customHeight="1" x14ac:dyDescent="0.15">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spans="1:26" ht="15.75" customHeight="1" x14ac:dyDescent="0.15">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spans="1:26" ht="15.75" customHeight="1" x14ac:dyDescent="0.15">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spans="1:26" ht="15.75" customHeight="1" x14ac:dyDescent="0.15">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spans="1:26" ht="15.75" customHeight="1" x14ac:dyDescent="0.15">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spans="1:26" ht="15.75" customHeight="1" x14ac:dyDescent="0.1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spans="1:26" ht="15.75" customHeight="1" x14ac:dyDescent="0.15">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spans="1:26" ht="15.75" customHeight="1" x14ac:dyDescent="0.15">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spans="1:26" ht="15.75" customHeight="1" x14ac:dyDescent="0.15">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spans="1:26" ht="15.75" customHeight="1" x14ac:dyDescent="0.15">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spans="1:26" ht="15.75" customHeight="1" x14ac:dyDescent="0.15">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spans="1:26" ht="15.75" customHeight="1" x14ac:dyDescent="0.15">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spans="1:26" ht="15.75" customHeight="1" x14ac:dyDescent="0.15">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spans="1:26" ht="15.75" customHeight="1" x14ac:dyDescent="0.15">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spans="1:26" ht="15.75" customHeight="1" x14ac:dyDescent="0.15">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spans="1:26" ht="15.75" customHeight="1" x14ac:dyDescent="0.1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spans="1:26" ht="15.75" customHeight="1" x14ac:dyDescent="0.15">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spans="1:26" ht="15.75" customHeight="1" x14ac:dyDescent="0.15">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spans="1:26" ht="15.75" customHeight="1" x14ac:dyDescent="0.15">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spans="1:26" ht="15.75" customHeight="1" x14ac:dyDescent="0.15">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spans="1:26" ht="15.75" customHeight="1" x14ac:dyDescent="0.15">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spans="1:26" ht="15.75" customHeight="1" x14ac:dyDescent="0.15">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spans="1:26" ht="15.75" customHeight="1" x14ac:dyDescent="0.15">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spans="1:26" ht="15.75" customHeight="1" x14ac:dyDescent="0.15">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spans="1:26" ht="15.75" customHeight="1" x14ac:dyDescent="0.15">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spans="1:26" ht="15.75" customHeight="1" x14ac:dyDescent="0.1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spans="1:26" ht="15.75" customHeight="1" x14ac:dyDescent="0.15">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spans="1:26" ht="15.75" customHeight="1" x14ac:dyDescent="0.15">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spans="1:26" ht="15.75" customHeight="1" x14ac:dyDescent="0.15">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spans="1:26" ht="15.75" customHeight="1" x14ac:dyDescent="0.15">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spans="1:26" ht="15.75" customHeight="1" x14ac:dyDescent="0.15">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spans="1:26" ht="15.75" customHeight="1" x14ac:dyDescent="0.15">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spans="1:26" ht="15.75" customHeight="1" x14ac:dyDescent="0.15">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spans="1:26" ht="15.75" customHeight="1" x14ac:dyDescent="0.15">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spans="1:26" ht="15.75" customHeight="1" x14ac:dyDescent="0.15">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spans="1:26" ht="15.75" customHeight="1" x14ac:dyDescent="0.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spans="1:26" ht="15.75" customHeight="1" x14ac:dyDescent="0.15">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spans="1:26" ht="15.75" customHeight="1" x14ac:dyDescent="0.15">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spans="1:26" ht="15.75" customHeight="1" x14ac:dyDescent="0.15">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spans="1:26" ht="15.75" customHeight="1" x14ac:dyDescent="0.15">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spans="1:26" ht="15.75" customHeight="1" x14ac:dyDescent="0.15">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spans="1:26" ht="15.75" customHeight="1" x14ac:dyDescent="0.15">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spans="1:26" ht="15.75" customHeight="1" x14ac:dyDescent="0.15">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spans="1:26" ht="15.75" customHeight="1" x14ac:dyDescent="0.15">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spans="1:26" ht="15.75" customHeight="1" x14ac:dyDescent="0.15">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row>
    <row r="225" spans="1:26" ht="15.75" customHeight="1" x14ac:dyDescent="0.1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row>
    <row r="226" spans="1:26" ht="15.75" customHeight="1" x14ac:dyDescent="0.15">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row>
    <row r="227" spans="1:26" ht="15.75" customHeight="1" x14ac:dyDescent="0.15">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row>
    <row r="228" spans="1:26" ht="15.75" customHeight="1" x14ac:dyDescent="0.15">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row>
    <row r="229" spans="1:26" ht="15.75" customHeight="1" x14ac:dyDescent="0.15">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row>
    <row r="230" spans="1:26" ht="15.75" customHeight="1" x14ac:dyDescent="0.15">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row>
    <row r="231" spans="1:26" ht="15.75" customHeight="1" x14ac:dyDescent="0.15">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row>
    <row r="232" spans="1:26" ht="15.75" customHeight="1" x14ac:dyDescent="0.15">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row>
    <row r="233" spans="1:26" ht="15.75" customHeight="1" x14ac:dyDescent="0.15">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row>
    <row r="234" spans="1:26" ht="15.75" customHeight="1" x14ac:dyDescent="0.15">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row>
    <row r="235" spans="1:26" ht="15.75" customHeight="1" x14ac:dyDescent="0.1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row>
    <row r="236" spans="1:26" ht="15.75" customHeight="1" x14ac:dyDescent="0.15">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row>
    <row r="237" spans="1:26" ht="15.75" customHeight="1" x14ac:dyDescent="0.15">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row>
    <row r="238" spans="1:26" ht="15.75" customHeight="1" x14ac:dyDescent="0.15">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row>
    <row r="239" spans="1:26" ht="15.75" customHeight="1" x14ac:dyDescent="0.15">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row>
    <row r="240" spans="1:26" ht="15.75" customHeight="1" x14ac:dyDescent="0.15">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row>
    <row r="241" spans="1:26" ht="15.75" customHeight="1" x14ac:dyDescent="0.15">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row>
    <row r="242" spans="1:26" ht="15.75" customHeight="1" x14ac:dyDescent="0.15">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row>
    <row r="243" spans="1:26" ht="15.75" customHeight="1" x14ac:dyDescent="0.15">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row>
    <row r="244" spans="1:26" ht="15.75" customHeight="1" x14ac:dyDescent="0.15">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row>
    <row r="245" spans="1:26" ht="15.75" customHeight="1" x14ac:dyDescent="0.1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row>
    <row r="246" spans="1:26" ht="15.75" customHeight="1" x14ac:dyDescent="0.15">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row>
    <row r="247" spans="1:26" ht="15.75" customHeight="1" x14ac:dyDescent="0.15">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row>
    <row r="248" spans="1:26" ht="15.75" customHeight="1" x14ac:dyDescent="0.15">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row>
    <row r="249" spans="1:26" ht="15.75" customHeight="1" x14ac:dyDescent="0.15">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row>
    <row r="250" spans="1:26" ht="15.75" customHeight="1" x14ac:dyDescent="0.15">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row>
    <row r="251" spans="1:26" ht="15.75" customHeight="1" x14ac:dyDescent="0.15">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row>
    <row r="252" spans="1:26" ht="15.75" customHeight="1" x14ac:dyDescent="0.15">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row>
    <row r="253" spans="1:26" ht="15.75" customHeight="1" x14ac:dyDescent="0.15">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row>
    <row r="254" spans="1:26" ht="15.75" customHeight="1" x14ac:dyDescent="0.15">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row>
    <row r="255" spans="1:26" ht="15.75" customHeight="1" x14ac:dyDescent="0.1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spans="1:26" ht="15.75" customHeight="1" x14ac:dyDescent="0.15">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row>
    <row r="257" spans="1:26" ht="15.75" customHeight="1" x14ac:dyDescent="0.15">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row>
    <row r="258" spans="1:26" ht="15.75" customHeight="1" x14ac:dyDescent="0.15">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row>
    <row r="259" spans="1:26" ht="15.75" customHeight="1" x14ac:dyDescent="0.15">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row>
    <row r="260" spans="1:26" ht="15.75" customHeight="1" x14ac:dyDescent="0.15">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row>
    <row r="261" spans="1:26" ht="15.75" customHeight="1" x14ac:dyDescent="0.15">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spans="1:26" ht="15.75" customHeight="1" x14ac:dyDescent="0.15">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spans="1:26" ht="15.75" customHeight="1" x14ac:dyDescent="0.15">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spans="1:26" ht="15.75" customHeight="1" x14ac:dyDescent="0.15">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row>
    <row r="265" spans="1:26" ht="15.75" customHeight="1" x14ac:dyDescent="0.1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spans="1:26" ht="15.75" customHeight="1" x14ac:dyDescent="0.15">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spans="1:26" ht="15.75" customHeight="1" x14ac:dyDescent="0.15">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spans="1:26" ht="15.75" customHeight="1" x14ac:dyDescent="0.15">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spans="1:26" ht="15.75" customHeight="1" x14ac:dyDescent="0.15">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spans="1:26" ht="15.75" customHeight="1" x14ac:dyDescent="0.15">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spans="1:26" ht="15.75" customHeight="1" x14ac:dyDescent="0.15">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spans="1:26" ht="15.75" customHeight="1" x14ac:dyDescent="0.15">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spans="1:26" ht="15.75" customHeight="1" x14ac:dyDescent="0.15">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spans="1:26" ht="15.75" customHeight="1" x14ac:dyDescent="0.15">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spans="1:26" ht="15.75" customHeight="1" x14ac:dyDescent="0.1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spans="1:26" ht="15.75" customHeight="1" x14ac:dyDescent="0.15">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spans="1:26" ht="15.75" customHeight="1" x14ac:dyDescent="0.15">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spans="1:26" ht="15.75" customHeight="1" x14ac:dyDescent="0.15">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spans="1:26" ht="15.75" customHeight="1" x14ac:dyDescent="0.15">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spans="1:26" ht="15.75" customHeight="1" x14ac:dyDescent="0.15">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spans="1:26" ht="15.75" customHeight="1" x14ac:dyDescent="0.15">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spans="1:26" ht="15.75" customHeight="1" x14ac:dyDescent="0.15">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spans="1:26" ht="15.75" customHeight="1" x14ac:dyDescent="0.15">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spans="1:26" ht="15.75" customHeight="1" x14ac:dyDescent="0.15">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spans="1:26" ht="15.75" customHeight="1" x14ac:dyDescent="0.1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spans="1:26" ht="15.75" customHeight="1" x14ac:dyDescent="0.15">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spans="1:26" ht="15.75" customHeight="1" x14ac:dyDescent="0.15">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spans="1:26" ht="15.75" customHeight="1" x14ac:dyDescent="0.15">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spans="1:26" ht="15.75" customHeight="1" x14ac:dyDescent="0.15">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spans="1:26" ht="15.75" customHeight="1" x14ac:dyDescent="0.15">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spans="1:26" ht="15.75" customHeight="1" x14ac:dyDescent="0.15">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spans="1:26" ht="15.75" customHeight="1" x14ac:dyDescent="0.15">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spans="1:26" ht="15.75" customHeight="1" x14ac:dyDescent="0.15">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spans="1:26" ht="15.75" customHeight="1" x14ac:dyDescent="0.15">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spans="1:26" ht="15.75" customHeight="1" x14ac:dyDescent="0.1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spans="1:26" ht="15.75" customHeight="1" x14ac:dyDescent="0.15">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spans="1:26" ht="15.75" customHeight="1" x14ac:dyDescent="0.15">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spans="1:26" ht="15.75" customHeight="1" x14ac:dyDescent="0.15">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spans="1:26" ht="15.75" customHeight="1" x14ac:dyDescent="0.15">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spans="1:26" ht="15.75" customHeight="1" x14ac:dyDescent="0.15">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spans="1:26" ht="15.75" customHeight="1" x14ac:dyDescent="0.15">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spans="1:26" ht="15.75" customHeight="1" x14ac:dyDescent="0.15">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spans="1:26" ht="15.75" customHeight="1" x14ac:dyDescent="0.15">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spans="1:26" ht="15.75" customHeight="1" x14ac:dyDescent="0.15">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spans="1:26" ht="15.75" customHeight="1" x14ac:dyDescent="0.1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spans="1:26" ht="15.75" customHeight="1" x14ac:dyDescent="0.15">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spans="1:26" ht="15.75" customHeight="1" x14ac:dyDescent="0.15">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spans="1:26" ht="15.75" customHeight="1" x14ac:dyDescent="0.15">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spans="1:26" ht="15.75" customHeight="1" x14ac:dyDescent="0.15">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spans="1:26" ht="15.75" customHeight="1" x14ac:dyDescent="0.15">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spans="1:26" ht="15.75" customHeight="1" x14ac:dyDescent="0.15">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spans="1:26" ht="15.75" customHeight="1" x14ac:dyDescent="0.15">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spans="1:26" ht="15.75" customHeight="1" x14ac:dyDescent="0.15">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spans="1:26" ht="15.75" customHeight="1" x14ac:dyDescent="0.15">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spans="1:26" ht="15.75" customHeight="1" x14ac:dyDescent="0.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spans="1:26" ht="15.75" customHeight="1" x14ac:dyDescent="0.15">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spans="1:26" ht="15.75" customHeight="1" x14ac:dyDescent="0.15">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spans="1:26" ht="15.75" customHeight="1" x14ac:dyDescent="0.15">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spans="1:26" ht="15.75" customHeight="1" x14ac:dyDescent="0.15">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spans="1:26" ht="15.75" customHeight="1" x14ac:dyDescent="0.15">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spans="1:26" ht="15.75" customHeight="1" x14ac:dyDescent="0.15">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spans="1:26" ht="15.75" customHeight="1" x14ac:dyDescent="0.15">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spans="1:26" ht="15.75" customHeight="1" x14ac:dyDescent="0.15">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spans="1:26" ht="15.75" customHeight="1" x14ac:dyDescent="0.15">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spans="1:26" ht="15.75" customHeight="1" x14ac:dyDescent="0.1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spans="1:26" ht="15.75" customHeight="1" x14ac:dyDescent="0.15">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spans="1:26" ht="15.75" customHeight="1" x14ac:dyDescent="0.15">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spans="1:26" ht="15.75" customHeight="1" x14ac:dyDescent="0.15">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spans="1:26" ht="15.75" customHeight="1" x14ac:dyDescent="0.15">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spans="1:26" ht="15.75" customHeight="1" x14ac:dyDescent="0.15">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spans="1:26" ht="15.75" customHeight="1" x14ac:dyDescent="0.15">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spans="1:26" ht="15.75" customHeight="1" x14ac:dyDescent="0.15">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spans="1:26" ht="15.75" customHeight="1" x14ac:dyDescent="0.15">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spans="1:26" ht="15.75" customHeight="1" x14ac:dyDescent="0.15">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spans="1:26" ht="15.75" customHeight="1" x14ac:dyDescent="0.1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spans="1:26" ht="15.75" customHeight="1" x14ac:dyDescent="0.15">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spans="1:26" ht="15.75" customHeight="1" x14ac:dyDescent="0.15">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spans="1:26" ht="15.75" customHeight="1" x14ac:dyDescent="0.15">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spans="1:26" ht="15.75" customHeight="1" x14ac:dyDescent="0.15">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spans="1:26" ht="15.75" customHeight="1" x14ac:dyDescent="0.15">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spans="1:26" ht="15.75" customHeight="1" x14ac:dyDescent="0.15">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spans="1:26" ht="15.75" customHeight="1" x14ac:dyDescent="0.15">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spans="1:26" ht="15.75" customHeight="1" x14ac:dyDescent="0.15">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spans="1:26" ht="15.75" customHeight="1" x14ac:dyDescent="0.15">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spans="1:26" ht="15.75" customHeight="1" x14ac:dyDescent="0.1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spans="1:26" ht="15.75" customHeight="1" x14ac:dyDescent="0.15">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spans="1:26" ht="15.75" customHeight="1" x14ac:dyDescent="0.15">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spans="1:26" ht="15.75" customHeight="1" x14ac:dyDescent="0.15">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spans="1:26" ht="15.75" customHeight="1" x14ac:dyDescent="0.15">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spans="1:26" ht="15.75" customHeight="1" x14ac:dyDescent="0.15">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spans="1:26" ht="15.75" customHeight="1" x14ac:dyDescent="0.15">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spans="1:26" ht="15.75" customHeight="1" x14ac:dyDescent="0.15">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spans="1:26" ht="15.75" customHeight="1" x14ac:dyDescent="0.15">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spans="1:26" ht="15.75" customHeight="1" x14ac:dyDescent="0.15">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spans="1:26" ht="15.75" customHeight="1" x14ac:dyDescent="0.1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spans="1:26" ht="15.75" customHeight="1" x14ac:dyDescent="0.15">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spans="1:26" ht="15.75" customHeight="1" x14ac:dyDescent="0.15">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spans="1:26" ht="15.75" customHeight="1" x14ac:dyDescent="0.15">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spans="1:26" ht="15.75" customHeight="1" x14ac:dyDescent="0.15">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spans="1:26" ht="15.75" customHeight="1" x14ac:dyDescent="0.15">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spans="1:26" ht="15.75" customHeight="1" x14ac:dyDescent="0.15">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spans="1:26" ht="15.75" customHeight="1" x14ac:dyDescent="0.15">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spans="1:26" ht="15.75" customHeight="1" x14ac:dyDescent="0.15">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spans="1:26" ht="15.75" customHeight="1" x14ac:dyDescent="0.15">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spans="1:26" ht="15.75" customHeight="1" x14ac:dyDescent="0.1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spans="1:26" ht="15.75" customHeight="1" x14ac:dyDescent="0.15">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spans="1:26" ht="15.75" customHeight="1" x14ac:dyDescent="0.15">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spans="1:26" ht="15.75" customHeight="1" x14ac:dyDescent="0.15">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spans="1:26" ht="15.75" customHeight="1" x14ac:dyDescent="0.15">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spans="1:26" ht="15.75" customHeight="1" x14ac:dyDescent="0.15">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spans="1:26" ht="15.75" customHeight="1" x14ac:dyDescent="0.15">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spans="1:26" ht="15.75" customHeight="1" x14ac:dyDescent="0.15">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spans="1:26" ht="15.75" customHeight="1" x14ac:dyDescent="0.15">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spans="1:26" ht="15.75" customHeight="1" x14ac:dyDescent="0.15">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spans="1:26" ht="15.75" customHeight="1" x14ac:dyDescent="0.1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spans="1:26" ht="15.75" customHeight="1" x14ac:dyDescent="0.15">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spans="1:26" ht="15.75" customHeight="1" x14ac:dyDescent="0.15">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spans="1:26" ht="15.75" customHeight="1" x14ac:dyDescent="0.15">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spans="1:26" ht="15.75" customHeight="1" x14ac:dyDescent="0.15">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spans="1:26" ht="15.75" customHeight="1" x14ac:dyDescent="0.15">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spans="1:26" ht="15.75" customHeight="1" x14ac:dyDescent="0.15">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spans="1:26" ht="15.75" customHeight="1" x14ac:dyDescent="0.15">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spans="1:26" ht="15.75" customHeight="1" x14ac:dyDescent="0.15">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spans="1:26" ht="15.75" customHeight="1" x14ac:dyDescent="0.15">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spans="1:26" ht="15.75" customHeight="1" x14ac:dyDescent="0.1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spans="1:26" ht="15.75" customHeight="1" x14ac:dyDescent="0.15">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spans="1:26" ht="15.75" customHeight="1" x14ac:dyDescent="0.15">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spans="1:26" ht="15.75" customHeight="1" x14ac:dyDescent="0.15">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spans="1:26" ht="15.75" customHeight="1" x14ac:dyDescent="0.15">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spans="1:26" ht="15.75" customHeight="1" x14ac:dyDescent="0.15">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spans="1:26" ht="15.75" customHeight="1" x14ac:dyDescent="0.15">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spans="1:26" ht="15.75" customHeight="1" x14ac:dyDescent="0.15">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spans="1:26" ht="15.75" customHeight="1" x14ac:dyDescent="0.15">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spans="1:26" ht="15.75" customHeight="1" x14ac:dyDescent="0.15">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spans="1:26" ht="15.75" customHeight="1" x14ac:dyDescent="0.1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spans="1:26" ht="15.75" customHeight="1" x14ac:dyDescent="0.15">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spans="1:26" ht="15.75" customHeight="1" x14ac:dyDescent="0.15">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spans="1:26" ht="15.75" customHeight="1" x14ac:dyDescent="0.15">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spans="1:26" ht="15.75" customHeight="1" x14ac:dyDescent="0.15">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spans="1:26" ht="15.75" customHeight="1" x14ac:dyDescent="0.15">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spans="1:26" ht="15.75" customHeight="1" x14ac:dyDescent="0.15">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spans="1:26" ht="15.75" customHeight="1" x14ac:dyDescent="0.15">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spans="1:26" ht="15.75" customHeight="1" x14ac:dyDescent="0.15">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spans="1:26" ht="15.75" customHeight="1" x14ac:dyDescent="0.15">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spans="1:26" ht="15.75" customHeight="1" x14ac:dyDescent="0.1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spans="1:26" ht="15.75" customHeight="1" x14ac:dyDescent="0.15">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spans="1:26" ht="15.75" customHeight="1" x14ac:dyDescent="0.15">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spans="1:26" ht="15.75" customHeight="1" x14ac:dyDescent="0.15">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spans="1:26" ht="15.75" customHeight="1" x14ac:dyDescent="0.15">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spans="1:26" ht="15.75" customHeight="1" x14ac:dyDescent="0.15">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spans="1:26" ht="15.75" customHeight="1" x14ac:dyDescent="0.15">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spans="1:26" ht="15.75" customHeight="1" x14ac:dyDescent="0.15">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spans="1:26" ht="15.75" customHeight="1" x14ac:dyDescent="0.15">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spans="1:26" ht="15.75" customHeight="1" x14ac:dyDescent="0.15">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spans="1:26" ht="15.75" customHeight="1" x14ac:dyDescent="0.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spans="1:26" ht="15.75" customHeight="1" x14ac:dyDescent="0.15">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spans="1:26" ht="15.75" customHeight="1" x14ac:dyDescent="0.15">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spans="1:26" ht="15.75" customHeight="1" x14ac:dyDescent="0.15">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spans="1:26" ht="15.75" customHeight="1" x14ac:dyDescent="0.15">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spans="1:26" ht="15.75" customHeight="1" x14ac:dyDescent="0.15">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spans="1:26" ht="15.75" customHeight="1" x14ac:dyDescent="0.15">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spans="1:26" ht="15.75" customHeight="1" x14ac:dyDescent="0.15">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spans="1:26" ht="15.75" customHeight="1" x14ac:dyDescent="0.15">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spans="1:26" ht="15.75" customHeight="1" x14ac:dyDescent="0.15">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spans="1:26" ht="15.75" customHeight="1" x14ac:dyDescent="0.1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spans="1:26" ht="15.75" customHeight="1" x14ac:dyDescent="0.15">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spans="1:26" ht="15.75" customHeight="1" x14ac:dyDescent="0.15">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spans="1:26" ht="15.75" customHeight="1" x14ac:dyDescent="0.15">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spans="1:26" ht="15.75" customHeight="1" x14ac:dyDescent="0.15">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spans="1:26" ht="15.75" customHeight="1" x14ac:dyDescent="0.15">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spans="1:26" ht="15.75" customHeight="1" x14ac:dyDescent="0.15">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spans="1:26" ht="15.75" customHeight="1" x14ac:dyDescent="0.15">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spans="1:26" ht="15.75" customHeight="1" x14ac:dyDescent="0.15">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spans="1:26" ht="15.75" customHeight="1" x14ac:dyDescent="0.15">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spans="1:26" ht="15.75" customHeight="1" x14ac:dyDescent="0.1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spans="1:26" ht="15.75" customHeight="1" x14ac:dyDescent="0.15">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spans="1:26" ht="15.75" customHeight="1" x14ac:dyDescent="0.15">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spans="1:26" ht="15.75" customHeight="1" x14ac:dyDescent="0.15">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spans="1:26" ht="15.75" customHeight="1" x14ac:dyDescent="0.15">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spans="1:26" ht="15.75" customHeight="1" x14ac:dyDescent="0.15">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spans="1:26" ht="15.75" customHeight="1" x14ac:dyDescent="0.15">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spans="1:26" ht="15.75" customHeight="1" x14ac:dyDescent="0.15">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spans="1:26" ht="15.75" customHeight="1" x14ac:dyDescent="0.15">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spans="1:26" ht="15.75" customHeight="1" x14ac:dyDescent="0.15">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spans="1:26" ht="15.75" customHeight="1" x14ac:dyDescent="0.1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spans="1:26" ht="15.75" customHeight="1" x14ac:dyDescent="0.15">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spans="1:26" ht="15.75" customHeight="1" x14ac:dyDescent="0.15">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spans="1:26" ht="15.75" customHeight="1" x14ac:dyDescent="0.15">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spans="1:26" ht="15.75" customHeight="1" x14ac:dyDescent="0.15">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spans="1:26" ht="15.75" customHeight="1" x14ac:dyDescent="0.15">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spans="1:26" ht="15.75" customHeight="1" x14ac:dyDescent="0.15">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spans="1:26" ht="15.75" customHeight="1" x14ac:dyDescent="0.15">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spans="1:26" ht="15.75" customHeight="1" x14ac:dyDescent="0.15">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spans="1:26" ht="15.75" customHeight="1" x14ac:dyDescent="0.15">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spans="1:26" ht="15.75" customHeight="1" x14ac:dyDescent="0.1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spans="1:26" ht="15.75" customHeight="1" x14ac:dyDescent="0.15">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spans="1:26" ht="15.75" customHeight="1" x14ac:dyDescent="0.15">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spans="1:26" ht="15.75" customHeight="1" x14ac:dyDescent="0.15">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spans="1:26" ht="15.75" customHeight="1" x14ac:dyDescent="0.15">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spans="1:26" ht="15.75" customHeight="1" x14ac:dyDescent="0.15">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spans="1:26" ht="15.75" customHeight="1" x14ac:dyDescent="0.15">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spans="1:26" ht="15.75" customHeight="1" x14ac:dyDescent="0.15">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spans="1:26" ht="15.75" customHeight="1" x14ac:dyDescent="0.15">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spans="1:26" ht="15.75" customHeight="1" x14ac:dyDescent="0.15">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spans="1:26" ht="15.75" customHeight="1" x14ac:dyDescent="0.1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spans="1:26" ht="15.75" customHeight="1" x14ac:dyDescent="0.15">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spans="1:26" ht="15.75" customHeight="1" x14ac:dyDescent="0.15">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spans="1:26" ht="15.75" customHeight="1" x14ac:dyDescent="0.15">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spans="1:26" ht="15.75" customHeight="1" x14ac:dyDescent="0.15">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spans="1:26" ht="15.75" customHeight="1" x14ac:dyDescent="0.15">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spans="1:26" ht="15.75" customHeight="1" x14ac:dyDescent="0.15">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spans="1:26" ht="15.75" customHeight="1" x14ac:dyDescent="0.15">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spans="1:26" ht="15.75" customHeight="1" x14ac:dyDescent="0.15">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spans="1:26" ht="15.75" customHeight="1" x14ac:dyDescent="0.15">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spans="1:26" ht="15.75" customHeight="1" x14ac:dyDescent="0.1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spans="1:26" ht="15.75" customHeight="1" x14ac:dyDescent="0.15">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spans="1:26" ht="15.75" customHeight="1" x14ac:dyDescent="0.15">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spans="1:26" ht="15.75" customHeight="1" x14ac:dyDescent="0.15">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spans="1:26" ht="15.75" customHeight="1" x14ac:dyDescent="0.15">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spans="1:26" ht="15.75" customHeight="1" x14ac:dyDescent="0.15">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spans="1:26" ht="15.75" customHeight="1" x14ac:dyDescent="0.15">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spans="1:26" ht="15.75" customHeight="1" x14ac:dyDescent="0.15">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spans="1:26" ht="15.75" customHeight="1" x14ac:dyDescent="0.15">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spans="1:26" ht="15.75" customHeight="1" x14ac:dyDescent="0.15">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spans="1:26" ht="15.75" customHeight="1" x14ac:dyDescent="0.1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spans="1:26" ht="15.75" customHeight="1" x14ac:dyDescent="0.15">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spans="1:26" ht="15.75" customHeight="1" x14ac:dyDescent="0.15">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spans="1:26" ht="15.75" customHeight="1" x14ac:dyDescent="0.15">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spans="1:26" ht="15.75" customHeight="1" x14ac:dyDescent="0.15">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spans="1:26" ht="15.75" customHeight="1" x14ac:dyDescent="0.15">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spans="1:26" ht="15.75" customHeight="1" x14ac:dyDescent="0.15">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spans="1:26" ht="15.75" customHeight="1" x14ac:dyDescent="0.15">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spans="1:26" ht="15.75" customHeight="1" x14ac:dyDescent="0.15">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spans="1:26" ht="15.75" customHeight="1" x14ac:dyDescent="0.15">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spans="1:26" ht="15.75" customHeight="1" x14ac:dyDescent="0.1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spans="1:26" ht="15.75" customHeight="1" x14ac:dyDescent="0.15">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spans="1:26" ht="15.75" customHeight="1" x14ac:dyDescent="0.15">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spans="1:26" ht="15.75" customHeight="1" x14ac:dyDescent="0.15">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spans="1:26" ht="15.75" customHeight="1" x14ac:dyDescent="0.15">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spans="1:26" ht="15.75" customHeight="1" x14ac:dyDescent="0.15">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spans="1:26" ht="15.75" customHeight="1" x14ac:dyDescent="0.15">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spans="1:26" ht="15.75" customHeight="1" x14ac:dyDescent="0.15">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spans="1:26" ht="15.75" customHeight="1" x14ac:dyDescent="0.15">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spans="1:26" ht="15.75" customHeight="1" x14ac:dyDescent="0.15">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spans="1:26" ht="15.75" customHeight="1" x14ac:dyDescent="0.1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spans="1:26" ht="15.75" customHeight="1" x14ac:dyDescent="0.15">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spans="1:26" ht="15.75" customHeight="1" x14ac:dyDescent="0.15">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spans="1:26" ht="15.75" customHeight="1" x14ac:dyDescent="0.15">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spans="1:26" ht="15.75" customHeight="1" x14ac:dyDescent="0.15">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spans="1:26" ht="15.75" customHeight="1" x14ac:dyDescent="0.15">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spans="1:26" ht="15.75" customHeight="1" x14ac:dyDescent="0.15">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spans="1:26" ht="15.75" customHeight="1" x14ac:dyDescent="0.15">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spans="1:26" ht="15.75" customHeight="1" x14ac:dyDescent="0.15">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spans="1:26" ht="15.75" customHeight="1" x14ac:dyDescent="0.15">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spans="1:26" ht="15.75" customHeight="1" x14ac:dyDescent="0.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spans="1:26" ht="15.75" customHeight="1" x14ac:dyDescent="0.15">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spans="1:26" ht="15.75" customHeight="1" x14ac:dyDescent="0.15">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spans="1:26" ht="15.75" customHeight="1" x14ac:dyDescent="0.15">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spans="1:26" ht="15.75" customHeight="1" x14ac:dyDescent="0.15">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spans="1:26" ht="15.75" customHeight="1" x14ac:dyDescent="0.15">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spans="1:26" ht="15.75" customHeight="1" x14ac:dyDescent="0.15">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spans="1:26" ht="15.75" customHeight="1" x14ac:dyDescent="0.15">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spans="1:26" ht="15.75" customHeight="1" x14ac:dyDescent="0.15">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spans="1:26" ht="15.75" customHeight="1" x14ac:dyDescent="0.15">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spans="1:26" ht="15.75" customHeight="1" x14ac:dyDescent="0.1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spans="1:26" ht="15.75" customHeight="1" x14ac:dyDescent="0.15">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spans="1:26" ht="15.75" customHeight="1" x14ac:dyDescent="0.15">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spans="1:26" ht="15.75" customHeight="1" x14ac:dyDescent="0.15">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spans="1:26" ht="15.75" customHeight="1" x14ac:dyDescent="0.15">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spans="1:26" ht="15.75" customHeight="1" x14ac:dyDescent="0.15">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spans="1:26" ht="15.75" customHeight="1" x14ac:dyDescent="0.15">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spans="1:26" ht="15.75" customHeight="1" x14ac:dyDescent="0.15">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spans="1:26" ht="15.75" customHeight="1" x14ac:dyDescent="0.15">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spans="1:26" ht="15.75" customHeight="1" x14ac:dyDescent="0.15">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spans="1:26" ht="15.75" customHeight="1" x14ac:dyDescent="0.1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spans="1:26" ht="15.75" customHeight="1" x14ac:dyDescent="0.15">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spans="1:26" ht="15.75" customHeight="1" x14ac:dyDescent="0.15">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spans="1:26" ht="15.75" customHeight="1" x14ac:dyDescent="0.15">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spans="1:26" ht="15.75" customHeight="1" x14ac:dyDescent="0.15">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spans="1:26" ht="15.75" customHeight="1" x14ac:dyDescent="0.15">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spans="1:26" ht="15.75" customHeight="1" x14ac:dyDescent="0.15">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spans="1:26" ht="15.75" customHeight="1" x14ac:dyDescent="0.15">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spans="1:26" ht="15.75" customHeight="1" x14ac:dyDescent="0.15">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spans="1:26" ht="15.75" customHeight="1" x14ac:dyDescent="0.15">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spans="1:26" ht="15.75" customHeight="1" x14ac:dyDescent="0.1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spans="1:26" ht="15.75" customHeight="1" x14ac:dyDescent="0.15">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spans="1:26" ht="15.75" customHeight="1" x14ac:dyDescent="0.15">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spans="1:26" ht="15.75" customHeight="1" x14ac:dyDescent="0.15">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spans="1:26" ht="15.75" customHeight="1" x14ac:dyDescent="0.15">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spans="1:26" ht="15.75" customHeight="1" x14ac:dyDescent="0.15">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spans="1:26" ht="15.75" customHeight="1" x14ac:dyDescent="0.15">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spans="1:26" ht="15.75" customHeight="1" x14ac:dyDescent="0.15">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spans="1:26" ht="15.75" customHeight="1" x14ac:dyDescent="0.15">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spans="1:26" ht="15.75" customHeight="1" x14ac:dyDescent="0.15">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spans="1:26" ht="15.75" customHeight="1" x14ac:dyDescent="0.1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spans="1:26" ht="15.75" customHeight="1" x14ac:dyDescent="0.15">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spans="1:26" ht="15.75" customHeight="1" x14ac:dyDescent="0.15">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spans="1:26" ht="15.75" customHeight="1" x14ac:dyDescent="0.15">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spans="1:26" ht="15.75" customHeight="1" x14ac:dyDescent="0.15">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spans="1:26" ht="15.75" customHeight="1" x14ac:dyDescent="0.15">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spans="1:26" ht="15.75" customHeight="1" x14ac:dyDescent="0.15">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spans="1:26" ht="15.75" customHeight="1" x14ac:dyDescent="0.15">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spans="1:26" ht="15.75" customHeight="1" x14ac:dyDescent="0.15">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spans="1:26" ht="15.75" customHeight="1" x14ac:dyDescent="0.15">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spans="1:26" ht="15.75" customHeight="1" x14ac:dyDescent="0.1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spans="1:26" ht="15.75" customHeight="1" x14ac:dyDescent="0.15">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spans="1:26" ht="15.75" customHeight="1" x14ac:dyDescent="0.15">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spans="1:26" ht="15.75" customHeight="1" x14ac:dyDescent="0.15">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spans="1:26" ht="15.75" customHeight="1" x14ac:dyDescent="0.15">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spans="1:26" ht="15.75" customHeight="1" x14ac:dyDescent="0.15">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spans="1:26" ht="15.75" customHeight="1" x14ac:dyDescent="0.15">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spans="1:26" ht="15.75" customHeight="1" x14ac:dyDescent="0.15">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spans="1:26" ht="15.75" customHeight="1" x14ac:dyDescent="0.15">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spans="1:26" ht="15.75" customHeight="1" x14ac:dyDescent="0.15">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spans="1:26" ht="15.75" customHeight="1" x14ac:dyDescent="0.1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spans="1:26" ht="15.75" customHeight="1" x14ac:dyDescent="0.15">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spans="1:26" ht="15.75" customHeight="1" x14ac:dyDescent="0.15">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spans="1:26" ht="15.75" customHeight="1" x14ac:dyDescent="0.15">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spans="1:26" ht="15.75" customHeight="1" x14ac:dyDescent="0.15">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spans="1:26" ht="15.75" customHeight="1" x14ac:dyDescent="0.15">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spans="1:26" ht="15.75" customHeight="1" x14ac:dyDescent="0.15">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spans="1:26" ht="15.75" customHeight="1" x14ac:dyDescent="0.15">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spans="1:26" ht="15.75" customHeight="1" x14ac:dyDescent="0.15">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spans="1:26" ht="15.75" customHeight="1" x14ac:dyDescent="0.15">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spans="1:26" ht="15.75" customHeight="1" x14ac:dyDescent="0.1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spans="1:26" ht="15.75" customHeight="1" x14ac:dyDescent="0.15">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spans="1:26" ht="15.75" customHeight="1" x14ac:dyDescent="0.15">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spans="1:26" ht="15.75" customHeight="1" x14ac:dyDescent="0.15">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spans="1:26" ht="15.75" customHeight="1" x14ac:dyDescent="0.15">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spans="1:26" ht="15.75" customHeight="1" x14ac:dyDescent="0.15">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spans="1:26" ht="15.75" customHeight="1" x14ac:dyDescent="0.15">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spans="1:26" ht="15.75" customHeight="1" x14ac:dyDescent="0.15">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spans="1:26" ht="15.75" customHeight="1" x14ac:dyDescent="0.15">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spans="1:26" ht="15.75" customHeight="1" x14ac:dyDescent="0.15">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spans="1:26" ht="15.75" customHeight="1" x14ac:dyDescent="0.1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spans="1:26" ht="15.75" customHeight="1" x14ac:dyDescent="0.15">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spans="1:26" ht="15.75" customHeight="1" x14ac:dyDescent="0.15">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spans="1:26" ht="15.75" customHeight="1" x14ac:dyDescent="0.15">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spans="1:26" ht="15.75" customHeight="1" x14ac:dyDescent="0.15">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spans="1:26" ht="15.75" customHeight="1" x14ac:dyDescent="0.15">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spans="1:26" ht="15.75" customHeight="1" x14ac:dyDescent="0.15">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spans="1:26" ht="15.75" customHeight="1" x14ac:dyDescent="0.15">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spans="1:26" ht="15.75" customHeight="1" x14ac:dyDescent="0.15">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spans="1:26" ht="15.75" customHeight="1" x14ac:dyDescent="0.15">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spans="1:26" ht="15.75" customHeight="1" x14ac:dyDescent="0.1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spans="1:26" ht="15.75" customHeight="1" x14ac:dyDescent="0.15">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spans="1:26" ht="15.75" customHeight="1" x14ac:dyDescent="0.15">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spans="1:26" ht="15.75" customHeight="1" x14ac:dyDescent="0.15">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spans="1:26" ht="15.75" customHeight="1" x14ac:dyDescent="0.15">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spans="1:26" ht="15.75" customHeight="1" x14ac:dyDescent="0.15">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spans="1:26" ht="15.75" customHeight="1" x14ac:dyDescent="0.15">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spans="1:26" ht="15.75" customHeight="1" x14ac:dyDescent="0.15">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spans="1:26" ht="15.75" customHeight="1" x14ac:dyDescent="0.15">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spans="1:26" ht="15.75" customHeight="1" x14ac:dyDescent="0.15">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spans="1:26" ht="15.75" customHeight="1" x14ac:dyDescent="0.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spans="1:26" ht="15.75" customHeight="1" x14ac:dyDescent="0.15">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spans="1:26" ht="15.75" customHeight="1" x14ac:dyDescent="0.15">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spans="1:26" ht="15.75" customHeight="1" x14ac:dyDescent="0.15">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spans="1:26" ht="15.75" customHeight="1" x14ac:dyDescent="0.15">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spans="1:26" ht="15.75" customHeight="1" x14ac:dyDescent="0.15">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spans="1:26" ht="15.75" customHeight="1" x14ac:dyDescent="0.15">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spans="1:26" ht="15.75" customHeight="1" x14ac:dyDescent="0.15">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spans="1:26" ht="15.75" customHeight="1" x14ac:dyDescent="0.15">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spans="1:26" ht="15.75" customHeight="1" x14ac:dyDescent="0.15">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spans="1:26" ht="15.75" customHeight="1" x14ac:dyDescent="0.1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spans="1:26" ht="15.75" customHeight="1" x14ac:dyDescent="0.15">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spans="1:26" ht="15.75" customHeight="1" x14ac:dyDescent="0.15">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spans="1:26" ht="15.75" customHeight="1" x14ac:dyDescent="0.15">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spans="1:26" ht="15.75" customHeight="1" x14ac:dyDescent="0.15">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spans="1:26" ht="15.75" customHeight="1" x14ac:dyDescent="0.15">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spans="1:26" ht="15.75" customHeight="1" x14ac:dyDescent="0.15">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spans="1:26" ht="15.75" customHeight="1" x14ac:dyDescent="0.15">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spans="1:26" ht="15.75" customHeight="1" x14ac:dyDescent="0.15">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spans="1:26" ht="15.75" customHeight="1" x14ac:dyDescent="0.15">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spans="1:26" ht="15.75" customHeight="1" x14ac:dyDescent="0.1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spans="1:26" ht="15.75" customHeight="1" x14ac:dyDescent="0.15">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spans="1:26" ht="15.75" customHeight="1" x14ac:dyDescent="0.15">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spans="1:26" ht="15.75" customHeight="1" x14ac:dyDescent="0.15">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spans="1:26" ht="15.75" customHeight="1" x14ac:dyDescent="0.15">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spans="1:26" ht="15.75" customHeight="1" x14ac:dyDescent="0.15">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spans="1:26" ht="15.75" customHeight="1" x14ac:dyDescent="0.15">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spans="1:26" ht="15.75" customHeight="1" x14ac:dyDescent="0.15">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spans="1:26" ht="15.75" customHeight="1" x14ac:dyDescent="0.15">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spans="1:26" ht="15.75" customHeight="1" x14ac:dyDescent="0.15">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spans="1:26" ht="15.75" customHeight="1" x14ac:dyDescent="0.1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spans="1:26" ht="15.75" customHeight="1" x14ac:dyDescent="0.15">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spans="1:26" ht="15.75" customHeight="1" x14ac:dyDescent="0.15">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spans="1:26" ht="15.75" customHeight="1" x14ac:dyDescent="0.15">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spans="1:26" ht="15.75" customHeight="1" x14ac:dyDescent="0.15">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spans="1:26" ht="15.75" customHeight="1" x14ac:dyDescent="0.15">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spans="1:26" ht="15.75" customHeight="1" x14ac:dyDescent="0.15">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spans="1:26" ht="15.75" customHeight="1" x14ac:dyDescent="0.15">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spans="1:26" ht="15.75" customHeight="1" x14ac:dyDescent="0.15">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spans="1:26" ht="15.75" customHeight="1" x14ac:dyDescent="0.15">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spans="1:26" ht="15.75" customHeight="1" x14ac:dyDescent="0.1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spans="1:26" ht="15.75" customHeight="1" x14ac:dyDescent="0.15">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spans="1:26" ht="15.75" customHeight="1" x14ac:dyDescent="0.15">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spans="1:26" ht="15.75" customHeight="1" x14ac:dyDescent="0.15">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spans="1:26" ht="15.75" customHeight="1" x14ac:dyDescent="0.15">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spans="1:26" ht="15.75" customHeight="1" x14ac:dyDescent="0.15">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spans="1:26" ht="15.75" customHeight="1" x14ac:dyDescent="0.15">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spans="1:26" ht="15.75" customHeight="1" x14ac:dyDescent="0.15">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spans="1:26" ht="15.75" customHeight="1" x14ac:dyDescent="0.15">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spans="1:26" ht="15.75" customHeight="1" x14ac:dyDescent="0.15">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spans="1:26" ht="15.75" customHeight="1" x14ac:dyDescent="0.1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spans="1:26" ht="15.75" customHeight="1" x14ac:dyDescent="0.15">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spans="1:26" ht="15.75" customHeight="1" x14ac:dyDescent="0.15">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spans="1:26" ht="15.75" customHeight="1" x14ac:dyDescent="0.15">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spans="1:26" ht="15.75" customHeight="1" x14ac:dyDescent="0.15">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spans="1:26" ht="15.75" customHeight="1" x14ac:dyDescent="0.15">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spans="1:26" ht="15.75" customHeight="1" x14ac:dyDescent="0.15">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spans="1:26" ht="15.75" customHeight="1" x14ac:dyDescent="0.15">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spans="1:26" ht="15.75" customHeight="1" x14ac:dyDescent="0.15">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spans="1:26" ht="15.75" customHeight="1" x14ac:dyDescent="0.15">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spans="1:26" ht="15.75" customHeight="1" x14ac:dyDescent="0.1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spans="1:26" ht="15.75" customHeight="1" x14ac:dyDescent="0.15">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spans="1:26" ht="15.75" customHeight="1" x14ac:dyDescent="0.15">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spans="1:26" ht="15.75" customHeight="1" x14ac:dyDescent="0.15">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spans="1:26" ht="15.75" customHeight="1" x14ac:dyDescent="0.15">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spans="1:26" ht="15.75" customHeight="1" x14ac:dyDescent="0.15">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spans="1:26" ht="15.75" customHeight="1" x14ac:dyDescent="0.15">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spans="1:26" ht="15.75" customHeight="1" x14ac:dyDescent="0.15">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spans="1:26" ht="15.75" customHeight="1" x14ac:dyDescent="0.15">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spans="1:26" ht="15.75" customHeight="1" x14ac:dyDescent="0.15">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spans="1:26" ht="15.75" customHeight="1" x14ac:dyDescent="0.1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spans="1:26" ht="15.75" customHeight="1" x14ac:dyDescent="0.15">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spans="1:26" ht="15.75" customHeight="1" x14ac:dyDescent="0.15">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spans="1:26" ht="15.75" customHeight="1" x14ac:dyDescent="0.15">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spans="1:26" ht="15.75" customHeight="1" x14ac:dyDescent="0.15">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spans="1:26" ht="15.75" customHeight="1" x14ac:dyDescent="0.15">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spans="1:26" ht="15.75" customHeight="1" x14ac:dyDescent="0.15">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spans="1:26" ht="15.75" customHeight="1" x14ac:dyDescent="0.15">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spans="1:26" ht="15.75" customHeight="1" x14ac:dyDescent="0.15">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spans="1:26" ht="15.75" customHeight="1" x14ac:dyDescent="0.15">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spans="1:26" ht="15.75" customHeight="1" x14ac:dyDescent="0.1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spans="1:26" ht="15.75" customHeight="1" x14ac:dyDescent="0.15">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spans="1:26" ht="15.75" customHeight="1" x14ac:dyDescent="0.15">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spans="1:26" ht="15.75" customHeight="1" x14ac:dyDescent="0.15">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spans="1:26" ht="15.75" customHeight="1" x14ac:dyDescent="0.15">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spans="1:26" ht="15.75" customHeight="1" x14ac:dyDescent="0.15">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spans="1:26" ht="15.75" customHeight="1" x14ac:dyDescent="0.15">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spans="1:26" ht="15.75" customHeight="1" x14ac:dyDescent="0.15">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spans="1:26" ht="15.75" customHeight="1" x14ac:dyDescent="0.15">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spans="1:26" ht="15.75" customHeight="1" x14ac:dyDescent="0.15">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spans="1:26" ht="15.75" customHeight="1" x14ac:dyDescent="0.1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spans="1:26" ht="15.75" customHeight="1" x14ac:dyDescent="0.15">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spans="1:26" ht="15.75" customHeight="1" x14ac:dyDescent="0.15">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spans="1:26" ht="15.75" customHeight="1" x14ac:dyDescent="0.15">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spans="1:26" ht="15.75" customHeight="1" x14ac:dyDescent="0.15">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spans="1:26" ht="15.75" customHeight="1" x14ac:dyDescent="0.15">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spans="1:26" ht="15.75" customHeight="1" x14ac:dyDescent="0.15">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spans="1:26" ht="15.75" customHeight="1" x14ac:dyDescent="0.15">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spans="1:26" ht="15.75" customHeight="1" x14ac:dyDescent="0.15">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spans="1:26" ht="15.75" customHeight="1" x14ac:dyDescent="0.15">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spans="1:26" ht="15.75" customHeight="1" x14ac:dyDescent="0.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spans="1:26" ht="15.75" customHeight="1" x14ac:dyDescent="0.15">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spans="1:26" ht="15.75" customHeight="1" x14ac:dyDescent="0.15">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spans="1:26" ht="15.75" customHeight="1" x14ac:dyDescent="0.15">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spans="1:26" ht="15.75" customHeight="1" x14ac:dyDescent="0.15">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spans="1:26" ht="15.75" customHeight="1" x14ac:dyDescent="0.15">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spans="1:26" ht="15.75" customHeight="1" x14ac:dyDescent="0.15">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spans="1:26" ht="15.75" customHeight="1" x14ac:dyDescent="0.15">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spans="1:26" ht="15.75" customHeight="1" x14ac:dyDescent="0.15">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spans="1:26" ht="15.75" customHeight="1" x14ac:dyDescent="0.15">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spans="1:26" ht="15.75" customHeight="1" x14ac:dyDescent="0.1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spans="1:26" ht="15.75" customHeight="1" x14ac:dyDescent="0.15">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spans="1:26" ht="15.75" customHeight="1" x14ac:dyDescent="0.15">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spans="1:26" ht="15.75" customHeight="1" x14ac:dyDescent="0.15">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spans="1:26" ht="15.75" customHeight="1" x14ac:dyDescent="0.15">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spans="1:26" ht="15.75" customHeight="1" x14ac:dyDescent="0.15">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spans="1:26" ht="15.75" customHeight="1" x14ac:dyDescent="0.15">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spans="1:26" ht="15.75" customHeight="1" x14ac:dyDescent="0.15">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spans="1:26" ht="15.75" customHeight="1" x14ac:dyDescent="0.15">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spans="1:26" ht="15.75" customHeight="1" x14ac:dyDescent="0.15">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spans="1:26" ht="15.75" customHeight="1" x14ac:dyDescent="0.1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spans="1:26" ht="15.75" customHeight="1" x14ac:dyDescent="0.15">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spans="1:26" ht="15.75" customHeight="1" x14ac:dyDescent="0.15">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spans="1:26" ht="15.75" customHeight="1" x14ac:dyDescent="0.15">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spans="1:26" ht="15.75" customHeight="1" x14ac:dyDescent="0.15">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spans="1:26" ht="15.75" customHeight="1" x14ac:dyDescent="0.15">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spans="1:26" ht="15.75" customHeight="1" x14ac:dyDescent="0.15">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spans="1:26" ht="15.75" customHeight="1" x14ac:dyDescent="0.15">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spans="1:26" ht="15.75" customHeight="1" x14ac:dyDescent="0.15">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spans="1:26" ht="15.75" customHeight="1" x14ac:dyDescent="0.15">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spans="1:26" ht="15.75" customHeight="1" x14ac:dyDescent="0.1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spans="1:26" ht="15.75" customHeight="1" x14ac:dyDescent="0.15">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spans="1:26" ht="15.75" customHeight="1" x14ac:dyDescent="0.15">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spans="1:26" ht="15.75" customHeight="1" x14ac:dyDescent="0.15">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spans="1:26" ht="15.75" customHeight="1" x14ac:dyDescent="0.15">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spans="1:26" ht="15.75" customHeight="1" x14ac:dyDescent="0.15">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spans="1:26" ht="15.75" customHeight="1" x14ac:dyDescent="0.15">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spans="1:26" ht="15.75" customHeight="1" x14ac:dyDescent="0.15">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spans="1:26" ht="15.75" customHeight="1" x14ac:dyDescent="0.15">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spans="1:26" ht="15.75" customHeight="1" x14ac:dyDescent="0.15">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spans="1:26" ht="15.75" customHeight="1" x14ac:dyDescent="0.1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spans="1:26" ht="15.75" customHeight="1" x14ac:dyDescent="0.15">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spans="1:26" ht="15.75" customHeight="1" x14ac:dyDescent="0.15">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spans="1:26" ht="15.75" customHeight="1" x14ac:dyDescent="0.15">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spans="1:26" ht="15.75" customHeight="1" x14ac:dyDescent="0.15">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spans="1:26" ht="15.75" customHeight="1" x14ac:dyDescent="0.15">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spans="1:26" ht="15.75" customHeight="1" x14ac:dyDescent="0.15">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spans="1:26" ht="15.75" customHeight="1" x14ac:dyDescent="0.15">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spans="1:26" ht="15.75" customHeight="1" x14ac:dyDescent="0.15">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spans="1:26" ht="15.75" customHeight="1" x14ac:dyDescent="0.15">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spans="1:26" ht="15.75" customHeight="1" x14ac:dyDescent="0.1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spans="1:26" ht="15.75" customHeight="1" x14ac:dyDescent="0.15">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spans="1:26" ht="15.75" customHeight="1" x14ac:dyDescent="0.15">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spans="1:26" ht="15.75" customHeight="1" x14ac:dyDescent="0.15">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spans="1:26" ht="15.75" customHeight="1" x14ac:dyDescent="0.15">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spans="1:26" ht="15.75" customHeight="1" x14ac:dyDescent="0.15">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spans="1:26" ht="15.75" customHeight="1" x14ac:dyDescent="0.15">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spans="1:26" ht="15.75" customHeight="1" x14ac:dyDescent="0.15">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spans="1:26" ht="15.75" customHeight="1" x14ac:dyDescent="0.15">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spans="1:26" ht="15.75" customHeight="1" x14ac:dyDescent="0.15">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spans="1:26" ht="15.75" customHeight="1" x14ac:dyDescent="0.1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spans="1:26" ht="15.75" customHeight="1" x14ac:dyDescent="0.15">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spans="1:26" ht="15.75" customHeight="1" x14ac:dyDescent="0.15">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spans="1:26" ht="15.75" customHeight="1" x14ac:dyDescent="0.15">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spans="1:26" ht="15.75" customHeight="1" x14ac:dyDescent="0.15">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spans="1:26" ht="15.75" customHeight="1" x14ac:dyDescent="0.15">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spans="1:26" ht="15.75" customHeight="1" x14ac:dyDescent="0.15">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spans="1:26" ht="15.75" customHeight="1" x14ac:dyDescent="0.15">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spans="1:26" ht="15.75" customHeight="1" x14ac:dyDescent="0.15">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spans="1:26" ht="15.75" customHeight="1" x14ac:dyDescent="0.15">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spans="1:26" ht="15.75" customHeight="1" x14ac:dyDescent="0.1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spans="1:26" ht="15.75" customHeight="1" x14ac:dyDescent="0.15">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spans="1:26" ht="15.75" customHeight="1" x14ac:dyDescent="0.15">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spans="1:26" ht="15.75" customHeight="1" x14ac:dyDescent="0.15">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spans="1:26" ht="15.75" customHeight="1" x14ac:dyDescent="0.15">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spans="1:26" ht="15.75" customHeight="1" x14ac:dyDescent="0.15">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spans="1:26" ht="15.75" customHeight="1" x14ac:dyDescent="0.15">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spans="1:26" ht="15.75" customHeight="1" x14ac:dyDescent="0.15">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spans="1:26" ht="15.75" customHeight="1" x14ac:dyDescent="0.15">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spans="1:26" ht="15.75" customHeight="1" x14ac:dyDescent="0.15">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spans="1:26" ht="15.75" customHeight="1" x14ac:dyDescent="0.1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spans="1:26" ht="15.75" customHeight="1" x14ac:dyDescent="0.15">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spans="1:26" ht="15.75" customHeight="1" x14ac:dyDescent="0.15">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spans="1:26" ht="15.75" customHeight="1" x14ac:dyDescent="0.15">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spans="1:26" ht="15.75" customHeight="1" x14ac:dyDescent="0.15">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spans="1:26" ht="15.75" customHeight="1" x14ac:dyDescent="0.15">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spans="1:26" ht="15.75" customHeight="1" x14ac:dyDescent="0.15">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spans="1:26" ht="15.75" customHeight="1" x14ac:dyDescent="0.15">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spans="1:26" ht="15.75" customHeight="1" x14ac:dyDescent="0.15">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spans="1:26" ht="15.75" customHeight="1" x14ac:dyDescent="0.15">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spans="1:26" ht="15.75" customHeight="1" x14ac:dyDescent="0.1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spans="1:26" ht="15.75" customHeight="1" x14ac:dyDescent="0.15">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spans="1:26" ht="15.75" customHeight="1" x14ac:dyDescent="0.15">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spans="1:26" ht="15.75" customHeight="1" x14ac:dyDescent="0.15">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spans="1:26" ht="15.75" customHeight="1" x14ac:dyDescent="0.15">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spans="1:26" ht="15.75" customHeight="1" x14ac:dyDescent="0.15">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spans="1:26" ht="15.75" customHeight="1" x14ac:dyDescent="0.15">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spans="1:26" ht="15.75" customHeight="1" x14ac:dyDescent="0.15">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spans="1:26" ht="15.75" customHeight="1" x14ac:dyDescent="0.15">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spans="1:26" ht="15.75" customHeight="1" x14ac:dyDescent="0.15">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spans="1:26" ht="15.75" customHeight="1" x14ac:dyDescent="0.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spans="1:26" ht="15.75" customHeight="1" x14ac:dyDescent="0.15">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spans="1:26" ht="15.75" customHeight="1" x14ac:dyDescent="0.15">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spans="1:26" ht="15.75" customHeight="1" x14ac:dyDescent="0.15">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spans="1:26" ht="15.75" customHeight="1" x14ac:dyDescent="0.15">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spans="1:26" ht="15.75" customHeight="1" x14ac:dyDescent="0.15">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spans="1:26" ht="15.75" customHeight="1" x14ac:dyDescent="0.15">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spans="1:26" ht="15.75" customHeight="1" x14ac:dyDescent="0.15">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spans="1:26" ht="15.75" customHeight="1" x14ac:dyDescent="0.15">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spans="1:26" ht="15.75" customHeight="1" x14ac:dyDescent="0.15">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spans="1:26" ht="15.75" customHeight="1" x14ac:dyDescent="0.1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spans="1:26" ht="15.75" customHeight="1" x14ac:dyDescent="0.15">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spans="1:26" ht="15.75" customHeight="1" x14ac:dyDescent="0.15">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spans="1:26" ht="15.75" customHeight="1" x14ac:dyDescent="0.15">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spans="1:26" ht="15.75" customHeight="1" x14ac:dyDescent="0.15">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spans="1:26" ht="15.75" customHeight="1" x14ac:dyDescent="0.15">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spans="1:26" ht="15.75" customHeight="1" x14ac:dyDescent="0.15">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spans="1:26" ht="15.75" customHeight="1" x14ac:dyDescent="0.15">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spans="1:26" ht="15.75" customHeight="1" x14ac:dyDescent="0.15">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spans="1:26" ht="15.75" customHeight="1" x14ac:dyDescent="0.15">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spans="1:26" ht="15.75" customHeight="1" x14ac:dyDescent="0.1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spans="1:26" ht="15.75" customHeight="1" x14ac:dyDescent="0.15">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spans="1:26" ht="15.75" customHeight="1" x14ac:dyDescent="0.15">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spans="1:26" ht="15.75" customHeight="1" x14ac:dyDescent="0.15">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spans="1:26" ht="15.75" customHeight="1" x14ac:dyDescent="0.15">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spans="1:26" ht="15.75" customHeight="1" x14ac:dyDescent="0.15">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spans="1:26" ht="15.75" customHeight="1" x14ac:dyDescent="0.15">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spans="1:26" ht="15.75" customHeight="1" x14ac:dyDescent="0.15">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spans="1:26" ht="15.75" customHeight="1" x14ac:dyDescent="0.15">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spans="1:26" ht="15.75" customHeight="1" x14ac:dyDescent="0.15">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spans="1:26" ht="15.75" customHeight="1" x14ac:dyDescent="0.1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spans="1:26" ht="15.75" customHeight="1" x14ac:dyDescent="0.15">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spans="1:26" ht="15.75" customHeight="1" x14ac:dyDescent="0.15">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spans="1:26" ht="15.75" customHeight="1" x14ac:dyDescent="0.15">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spans="1:26" ht="15.75" customHeight="1" x14ac:dyDescent="0.15">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spans="1:26" ht="15.75" customHeight="1" x14ac:dyDescent="0.15">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spans="1:26" ht="15.75" customHeight="1" x14ac:dyDescent="0.15">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spans="1:26" ht="15.75" customHeight="1" x14ac:dyDescent="0.15">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spans="1:26" ht="15.75" customHeight="1" x14ac:dyDescent="0.15">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spans="1:26" ht="15.75" customHeight="1" x14ac:dyDescent="0.15">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spans="1:26" ht="15.75" customHeight="1" x14ac:dyDescent="0.1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spans="1:26" ht="15.75" customHeight="1" x14ac:dyDescent="0.15">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spans="1:26" ht="15.75" customHeight="1" x14ac:dyDescent="0.15">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spans="1:26" ht="15.75" customHeight="1" x14ac:dyDescent="0.15">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spans="1:26" ht="15.75" customHeight="1" x14ac:dyDescent="0.15">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spans="1:26" ht="15.75" customHeight="1" x14ac:dyDescent="0.15">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spans="1:26" ht="15.75" customHeight="1" x14ac:dyDescent="0.15">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spans="1:26" ht="15.75" customHeight="1" x14ac:dyDescent="0.15">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spans="1:26" ht="15.75" customHeight="1" x14ac:dyDescent="0.15">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spans="1:26" ht="15.75" customHeight="1" x14ac:dyDescent="0.15">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spans="1:26" ht="15.75" customHeight="1" x14ac:dyDescent="0.1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spans="1:26" ht="15.75" customHeight="1" x14ac:dyDescent="0.15">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spans="1:26" ht="15.75" customHeight="1" x14ac:dyDescent="0.15">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spans="1:26" ht="15.75" customHeight="1" x14ac:dyDescent="0.15">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spans="1:26" ht="15.75" customHeight="1" x14ac:dyDescent="0.15">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spans="1:26" ht="15.75" customHeight="1" x14ac:dyDescent="0.15">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spans="1:26" ht="15.75" customHeight="1" x14ac:dyDescent="0.15">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spans="1:26" ht="15.75" customHeight="1" x14ac:dyDescent="0.15">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spans="1:26" ht="15.75" customHeight="1" x14ac:dyDescent="0.15">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spans="1:26" ht="15.75" customHeight="1" x14ac:dyDescent="0.15">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spans="1:26" ht="15.75" customHeight="1" x14ac:dyDescent="0.1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spans="1:26" ht="15.75" customHeight="1" x14ac:dyDescent="0.15">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spans="1:26" ht="15.75" customHeight="1" x14ac:dyDescent="0.15">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spans="1:26" ht="15.75" customHeight="1" x14ac:dyDescent="0.15">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spans="1:26" ht="15.75" customHeight="1" x14ac:dyDescent="0.15">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spans="1:26" ht="15.75" customHeight="1" x14ac:dyDescent="0.15">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spans="1:26" ht="15.75" customHeight="1" x14ac:dyDescent="0.15">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spans="1:26" ht="15.75" customHeight="1" x14ac:dyDescent="0.15">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spans="1:26" ht="15.75" customHeight="1" x14ac:dyDescent="0.15">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spans="1:26" ht="15.75" customHeight="1" x14ac:dyDescent="0.15">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spans="1:26" ht="15.75" customHeight="1" x14ac:dyDescent="0.1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spans="1:26" ht="15.75" customHeight="1" x14ac:dyDescent="0.15">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spans="1:26" ht="15.75" customHeight="1" x14ac:dyDescent="0.15">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spans="1:26" ht="15.75" customHeight="1" x14ac:dyDescent="0.15">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spans="1:26" ht="15.75" customHeight="1" x14ac:dyDescent="0.15">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spans="1:26" ht="15.75" customHeight="1" x14ac:dyDescent="0.15">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spans="1:26" ht="15.75" customHeight="1" x14ac:dyDescent="0.15">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spans="1:26" ht="15.75" customHeight="1" x14ac:dyDescent="0.15">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spans="1:26" ht="15.75" customHeight="1" x14ac:dyDescent="0.15">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spans="1:26" ht="15.75" customHeight="1" x14ac:dyDescent="0.15">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spans="1:26" ht="15.75" customHeight="1" x14ac:dyDescent="0.1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spans="1:26" ht="15.75" customHeight="1" x14ac:dyDescent="0.15">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spans="1:26" ht="15.75" customHeight="1" x14ac:dyDescent="0.15">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spans="1:26" ht="15.75" customHeight="1" x14ac:dyDescent="0.15">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spans="1:26" ht="15.75" customHeight="1" x14ac:dyDescent="0.15">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spans="1:26" ht="15.75" customHeight="1" x14ac:dyDescent="0.15">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spans="1:26" ht="15.75" customHeight="1" x14ac:dyDescent="0.15">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spans="1:26" ht="15.75" customHeight="1" x14ac:dyDescent="0.15">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spans="1:26" ht="15.75" customHeight="1" x14ac:dyDescent="0.15">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spans="1:26" ht="15.75" customHeight="1" x14ac:dyDescent="0.15">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spans="1:26" ht="15.75" customHeight="1" x14ac:dyDescent="0.1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spans="1:26" ht="15.75" customHeight="1" x14ac:dyDescent="0.15">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spans="1:26" ht="15.75" customHeight="1" x14ac:dyDescent="0.15">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spans="1:26" ht="15.75" customHeight="1" x14ac:dyDescent="0.15">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row r="909" spans="1:26" ht="15.75" customHeight="1" x14ac:dyDescent="0.15">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row>
    <row r="910" spans="1:26" ht="15.75" customHeight="1" x14ac:dyDescent="0.15">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row>
    <row r="911" spans="1:26" ht="15.75" customHeight="1" x14ac:dyDescent="0.15">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row>
    <row r="912" spans="1:26" ht="15.75" customHeight="1" x14ac:dyDescent="0.15">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row>
    <row r="913" spans="1:26" ht="15.75" customHeight="1" x14ac:dyDescent="0.15">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row>
    <row r="914" spans="1:26" ht="15.75" customHeight="1" x14ac:dyDescent="0.15">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row>
    <row r="915" spans="1:26" ht="15.75" customHeight="1" x14ac:dyDescent="0.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row>
    <row r="916" spans="1:26" ht="15.75" customHeight="1" x14ac:dyDescent="0.15">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row>
    <row r="917" spans="1:26" ht="15.75" customHeight="1" x14ac:dyDescent="0.15">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row>
    <row r="918" spans="1:26" ht="15.75" customHeight="1" x14ac:dyDescent="0.15">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row>
    <row r="919" spans="1:26" ht="15.75" customHeight="1" x14ac:dyDescent="0.15">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row>
    <row r="920" spans="1:26" ht="15.75" customHeight="1" x14ac:dyDescent="0.15">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row>
    <row r="921" spans="1:26" ht="15.75" customHeight="1" x14ac:dyDescent="0.15">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row>
    <row r="922" spans="1:26" ht="15.75" customHeight="1" x14ac:dyDescent="0.15">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row>
    <row r="923" spans="1:26" ht="15.75" customHeight="1" x14ac:dyDescent="0.15">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row>
    <row r="924" spans="1:26" ht="15.75" customHeight="1" x14ac:dyDescent="0.15">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row>
    <row r="925" spans="1:26" ht="15.75" customHeight="1" x14ac:dyDescent="0.1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row>
    <row r="926" spans="1:26" ht="15.75" customHeight="1" x14ac:dyDescent="0.15">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row>
    <row r="927" spans="1:26" ht="15.75" customHeight="1" x14ac:dyDescent="0.15">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row>
    <row r="928" spans="1:26" ht="15.75" customHeight="1" x14ac:dyDescent="0.15">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row>
    <row r="929" spans="1:26" ht="15.75" customHeight="1" x14ac:dyDescent="0.15">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row>
    <row r="930" spans="1:26" ht="15.75" customHeight="1" x14ac:dyDescent="0.15">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row>
    <row r="931" spans="1:26" ht="15.75" customHeight="1" x14ac:dyDescent="0.15">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row>
    <row r="932" spans="1:26" ht="15.75" customHeight="1" x14ac:dyDescent="0.15">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row>
    <row r="933" spans="1:26" ht="15.75" customHeight="1" x14ac:dyDescent="0.15">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row>
    <row r="934" spans="1:26" ht="15.75" customHeight="1" x14ac:dyDescent="0.15">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row>
    <row r="935" spans="1:26" ht="15.75" customHeight="1" x14ac:dyDescent="0.1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row>
    <row r="936" spans="1:26" ht="15.75" customHeight="1" x14ac:dyDescent="0.15">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row>
    <row r="937" spans="1:26" ht="15.75" customHeight="1" x14ac:dyDescent="0.15">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row>
    <row r="938" spans="1:26" ht="15.75" customHeight="1" x14ac:dyDescent="0.15">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row>
    <row r="939" spans="1:26" ht="15.75" customHeight="1" x14ac:dyDescent="0.15">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row>
    <row r="940" spans="1:26" ht="15.75" customHeight="1" x14ac:dyDescent="0.15">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row>
    <row r="941" spans="1:26" ht="15.75" customHeight="1" x14ac:dyDescent="0.15">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row>
    <row r="942" spans="1:26" ht="15.75" customHeight="1" x14ac:dyDescent="0.15">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row>
    <row r="943" spans="1:26" ht="15.75" customHeight="1" x14ac:dyDescent="0.15">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row>
    <row r="944" spans="1:26" ht="15.75" customHeight="1" x14ac:dyDescent="0.15">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row>
    <row r="945" spans="1:26" ht="15.75" customHeight="1" x14ac:dyDescent="0.1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row>
    <row r="946" spans="1:26" ht="15.75" customHeight="1" x14ac:dyDescent="0.15">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row>
    <row r="947" spans="1:26" ht="15.75" customHeight="1" x14ac:dyDescent="0.15">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row>
    <row r="948" spans="1:26" ht="15.75" customHeight="1" x14ac:dyDescent="0.15">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row>
    <row r="949" spans="1:26" ht="15.75" customHeight="1" x14ac:dyDescent="0.15">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row>
    <row r="950" spans="1:26" ht="15.75" customHeight="1" x14ac:dyDescent="0.15">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row>
    <row r="951" spans="1:26" ht="15.75" customHeight="1" x14ac:dyDescent="0.15">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row>
    <row r="952" spans="1:26" ht="15.75" customHeight="1" x14ac:dyDescent="0.15">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row>
    <row r="953" spans="1:26" ht="15.75" customHeight="1" x14ac:dyDescent="0.15">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row>
    <row r="954" spans="1:26" ht="15.75" customHeight="1" x14ac:dyDescent="0.15">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row>
    <row r="955" spans="1:26" ht="15.75" customHeight="1" x14ac:dyDescent="0.1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row>
    <row r="956" spans="1:26" ht="15.75" customHeight="1" x14ac:dyDescent="0.15">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row>
    <row r="957" spans="1:26" ht="15.75" customHeight="1" x14ac:dyDescent="0.15">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row>
    <row r="958" spans="1:26" ht="15.75" customHeight="1" x14ac:dyDescent="0.15">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row>
    <row r="959" spans="1:26" ht="15.75" customHeight="1" x14ac:dyDescent="0.15">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row>
    <row r="960" spans="1:26" ht="15.75" customHeight="1" x14ac:dyDescent="0.15">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row>
    <row r="961" spans="1:26" ht="15.75" customHeight="1" x14ac:dyDescent="0.15">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row>
    <row r="962" spans="1:26" ht="15.75" customHeight="1" x14ac:dyDescent="0.15">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row>
    <row r="963" spans="1:26" ht="15.75" customHeight="1" x14ac:dyDescent="0.15">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row>
    <row r="964" spans="1:26" ht="15.75" customHeight="1" x14ac:dyDescent="0.15">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row>
    <row r="965" spans="1:26" ht="15.75" customHeight="1" x14ac:dyDescent="0.1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row>
    <row r="966" spans="1:26" ht="15.75" customHeight="1" x14ac:dyDescent="0.15">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row>
    <row r="967" spans="1:26" ht="15.75" customHeight="1" x14ac:dyDescent="0.15">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row>
    <row r="968" spans="1:26" ht="15.75" customHeight="1" x14ac:dyDescent="0.15">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row>
    <row r="969" spans="1:26" ht="15.75" customHeight="1" x14ac:dyDescent="0.15">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row>
    <row r="970" spans="1:26" ht="15.75" customHeight="1" x14ac:dyDescent="0.15">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row>
    <row r="971" spans="1:26" ht="15.75" customHeight="1" x14ac:dyDescent="0.15">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row>
    <row r="972" spans="1:26" ht="15.75" customHeight="1" x14ac:dyDescent="0.15">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row>
    <row r="973" spans="1:26" ht="15.75" customHeight="1" x14ac:dyDescent="0.15">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row>
    <row r="974" spans="1:26" ht="15.75" customHeight="1" x14ac:dyDescent="0.15">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row>
    <row r="975" spans="1:26" ht="15.75" customHeight="1" x14ac:dyDescent="0.1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row>
    <row r="976" spans="1:26" ht="15.75" customHeight="1" x14ac:dyDescent="0.15">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row>
    <row r="977" spans="1:26" ht="15.75" customHeight="1" x14ac:dyDescent="0.15">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row>
    <row r="978" spans="1:26" ht="15.75" customHeight="1" x14ac:dyDescent="0.15">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row>
    <row r="979" spans="1:26" ht="15.75" customHeight="1" x14ac:dyDescent="0.15">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row>
    <row r="980" spans="1:26" ht="15.75" customHeight="1" x14ac:dyDescent="0.15">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row>
    <row r="981" spans="1:26" ht="15.75" customHeight="1" x14ac:dyDescent="0.15">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row>
    <row r="982" spans="1:26" ht="15.75" customHeight="1" x14ac:dyDescent="0.15">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row>
    <row r="983" spans="1:26" ht="15.75" customHeight="1" x14ac:dyDescent="0.15">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row>
    <row r="984" spans="1:26" ht="15.75" customHeight="1" x14ac:dyDescent="0.15">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row>
    <row r="985" spans="1:26" ht="15.75" customHeight="1" x14ac:dyDescent="0.1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row>
    <row r="986" spans="1:26" ht="15.75" customHeight="1" x14ac:dyDescent="0.15">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row>
    <row r="987" spans="1:26" ht="15.75" customHeight="1" x14ac:dyDescent="0.15">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row>
    <row r="988" spans="1:26" ht="15.75" customHeight="1" x14ac:dyDescent="0.15">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row>
    <row r="989" spans="1:26" ht="15.75" customHeight="1" x14ac:dyDescent="0.15">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row>
    <row r="990" spans="1:26" ht="15.75" customHeight="1" x14ac:dyDescent="0.15">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row>
    <row r="991" spans="1:26" ht="15.75" customHeight="1" x14ac:dyDescent="0.15">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row>
    <row r="992" spans="1:26" ht="15.75" customHeight="1" x14ac:dyDescent="0.15">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row>
    <row r="993" spans="1:26" ht="15.75" customHeight="1" x14ac:dyDescent="0.15">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row>
    <row r="994" spans="1:26" ht="15.75" customHeight="1" x14ac:dyDescent="0.15">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row>
    <row r="995" spans="1:26" ht="15.75" customHeight="1" x14ac:dyDescent="0.1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row>
    <row r="996" spans="1:26" ht="15.75" customHeight="1" x14ac:dyDescent="0.15">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row>
    <row r="997" spans="1:26" ht="15.75" customHeight="1" x14ac:dyDescent="0.15">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row>
    <row r="998" spans="1:26" ht="15.75" customHeight="1" x14ac:dyDescent="0.15">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row>
    <row r="999" spans="1:26" ht="15.75" customHeight="1" x14ac:dyDescent="0.15">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row>
    <row r="1000" spans="1:26" ht="15.75" customHeight="1" x14ac:dyDescent="0.15">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row>
  </sheetData>
  <mergeCells count="3">
    <mergeCell ref="A1:D1"/>
    <mergeCell ref="F1:I1"/>
    <mergeCell ref="K1:N1"/>
  </mergeCell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workbookViewId="0"/>
  </sheetViews>
  <sheetFormatPr baseColWidth="10" defaultColWidth="12.6640625" defaultRowHeight="15" customHeight="1" x14ac:dyDescent="0.15"/>
  <cols>
    <col min="1" max="1" width="8.1640625" customWidth="1"/>
    <col min="2" max="3" width="12.1640625" customWidth="1"/>
    <col min="4" max="4" width="10.83203125" customWidth="1"/>
    <col min="5" max="5" width="9.5" customWidth="1"/>
    <col min="6" max="6" width="8.5" customWidth="1"/>
    <col min="7" max="7" width="9.6640625" customWidth="1"/>
    <col min="8" max="8" width="6.5" customWidth="1"/>
    <col min="9" max="9" width="14.83203125" hidden="1" customWidth="1"/>
    <col min="10" max="10" width="13.83203125" hidden="1" customWidth="1"/>
    <col min="11" max="11" width="11.6640625" customWidth="1"/>
    <col min="12" max="12" width="11.33203125" customWidth="1"/>
    <col min="13" max="15" width="8.83203125" customWidth="1"/>
    <col min="16" max="26" width="10" customWidth="1"/>
  </cols>
  <sheetData>
    <row r="1" spans="1:26" ht="14.25" customHeight="1" x14ac:dyDescent="0.2">
      <c r="A1" s="961" t="s">
        <v>12</v>
      </c>
      <c r="B1" s="905"/>
      <c r="C1" s="905"/>
      <c r="D1" s="905"/>
      <c r="E1" s="905"/>
      <c r="F1" s="905"/>
      <c r="G1" s="905"/>
      <c r="H1" s="905"/>
      <c r="I1" s="905"/>
      <c r="J1" s="905"/>
      <c r="K1" s="905"/>
      <c r="L1" s="905"/>
    </row>
    <row r="2" spans="1:26" ht="21" customHeight="1" x14ac:dyDescent="0.15">
      <c r="A2" s="100"/>
      <c r="B2" s="674" t="s">
        <v>192</v>
      </c>
      <c r="C2" s="675" t="s">
        <v>108</v>
      </c>
      <c r="D2" s="676" t="s">
        <v>109</v>
      </c>
      <c r="E2" s="962" t="s">
        <v>193</v>
      </c>
      <c r="F2" s="920"/>
      <c r="G2" s="962" t="s">
        <v>111</v>
      </c>
      <c r="H2" s="920"/>
      <c r="I2" s="675" t="s">
        <v>112</v>
      </c>
      <c r="J2" s="675" t="s">
        <v>113</v>
      </c>
      <c r="K2" s="677" t="s">
        <v>112</v>
      </c>
      <c r="L2" s="674" t="s">
        <v>194</v>
      </c>
      <c r="M2" s="963" t="s">
        <v>116</v>
      </c>
      <c r="N2" s="920"/>
      <c r="O2" s="100"/>
      <c r="P2" s="100"/>
      <c r="Q2" s="100"/>
      <c r="R2" s="100"/>
      <c r="S2" s="100"/>
      <c r="T2" s="100"/>
      <c r="U2" s="100"/>
      <c r="V2" s="100"/>
      <c r="W2" s="100"/>
      <c r="X2" s="100"/>
      <c r="Y2" s="100"/>
      <c r="Z2" s="100"/>
    </row>
    <row r="3" spans="1:26" ht="12.75" hidden="1" customHeight="1" x14ac:dyDescent="0.15">
      <c r="A3" s="14" t="s">
        <v>90</v>
      </c>
      <c r="B3" s="111">
        <v>976369</v>
      </c>
      <c r="C3" s="111">
        <f t="shared" ref="C3:C14" si="0">(D3*1.175)</f>
        <v>940156.27500000002</v>
      </c>
      <c r="D3" s="111">
        <v>800133</v>
      </c>
      <c r="E3" s="112">
        <f t="shared" ref="E3:E14" si="1">B3-C3</f>
        <v>36212.724999999977</v>
      </c>
      <c r="F3" s="678">
        <f t="shared" ref="F3:F14" si="2">(B3-C3)/C3</f>
        <v>3.8517771952327792E-2</v>
      </c>
      <c r="G3" s="112">
        <f t="shared" ref="G3:G14" si="3">(C3-D3)</f>
        <v>140023.27500000002</v>
      </c>
      <c r="H3" s="114">
        <f t="shared" ref="H3:H23" si="4">(C3-D3)/D3</f>
        <v>0.17500000000000002</v>
      </c>
      <c r="I3" s="115">
        <f t="shared" ref="I3:I11" si="5">B3-J3</f>
        <v>815149</v>
      </c>
      <c r="J3" s="112">
        <v>161220</v>
      </c>
      <c r="K3" s="679"/>
      <c r="L3" s="112"/>
      <c r="M3" s="112">
        <f t="shared" ref="M3:M16" si="6">B3-D3</f>
        <v>176236</v>
      </c>
      <c r="N3" s="113">
        <f t="shared" ref="N3:N16" si="7">(B3-D3)/D3</f>
        <v>0.22025838204398518</v>
      </c>
      <c r="O3" s="680"/>
      <c r="P3" s="100"/>
      <c r="Q3" s="100"/>
      <c r="R3" s="100"/>
      <c r="S3" s="100"/>
      <c r="T3" s="100"/>
      <c r="U3" s="100"/>
      <c r="V3" s="100"/>
      <c r="W3" s="100"/>
      <c r="X3" s="100"/>
      <c r="Y3" s="100"/>
      <c r="Z3" s="100"/>
    </row>
    <row r="4" spans="1:26" ht="12.75" hidden="1" customHeight="1" x14ac:dyDescent="0.15">
      <c r="A4" s="14" t="s">
        <v>123</v>
      </c>
      <c r="B4" s="111">
        <v>766954</v>
      </c>
      <c r="C4" s="111">
        <f t="shared" si="0"/>
        <v>589504.55000000005</v>
      </c>
      <c r="D4" s="111">
        <v>501706</v>
      </c>
      <c r="E4" s="112">
        <f t="shared" si="1"/>
        <v>177449.44999999995</v>
      </c>
      <c r="F4" s="678">
        <f t="shared" si="2"/>
        <v>0.30101455535839367</v>
      </c>
      <c r="G4" s="112">
        <f t="shared" si="3"/>
        <v>87798.550000000047</v>
      </c>
      <c r="H4" s="114">
        <f t="shared" si="4"/>
        <v>0.1750000000000001</v>
      </c>
      <c r="I4" s="115">
        <f t="shared" si="5"/>
        <v>605734</v>
      </c>
      <c r="J4" s="112">
        <v>161220</v>
      </c>
      <c r="K4" s="679"/>
      <c r="L4" s="112"/>
      <c r="M4" s="112">
        <f t="shared" si="6"/>
        <v>265248</v>
      </c>
      <c r="N4" s="113">
        <f t="shared" si="7"/>
        <v>0.52869210254611265</v>
      </c>
      <c r="O4" s="100"/>
      <c r="P4" s="100"/>
      <c r="Q4" s="100"/>
      <c r="R4" s="100"/>
      <c r="S4" s="100"/>
      <c r="T4" s="100"/>
      <c r="U4" s="100"/>
      <c r="V4" s="100"/>
      <c r="W4" s="100"/>
      <c r="X4" s="100"/>
      <c r="Y4" s="100"/>
      <c r="Z4" s="100"/>
    </row>
    <row r="5" spans="1:26" ht="12.75" hidden="1" customHeight="1" x14ac:dyDescent="0.15">
      <c r="A5" s="14" t="s">
        <v>124</v>
      </c>
      <c r="B5" s="111">
        <v>644339</v>
      </c>
      <c r="C5" s="111">
        <f t="shared" si="0"/>
        <v>621985.07500000007</v>
      </c>
      <c r="D5" s="111">
        <v>529349</v>
      </c>
      <c r="E5" s="112">
        <f t="shared" si="1"/>
        <v>22353.92499999993</v>
      </c>
      <c r="F5" s="678">
        <f t="shared" si="2"/>
        <v>3.5939648551856211E-2</v>
      </c>
      <c r="G5" s="112">
        <f t="shared" si="3"/>
        <v>92636.07500000007</v>
      </c>
      <c r="H5" s="114">
        <f t="shared" si="4"/>
        <v>0.17500000000000013</v>
      </c>
      <c r="I5" s="115">
        <f t="shared" si="5"/>
        <v>483119</v>
      </c>
      <c r="J5" s="112">
        <v>161220</v>
      </c>
      <c r="K5" s="679"/>
      <c r="L5" s="112"/>
      <c r="M5" s="112">
        <f t="shared" si="6"/>
        <v>114990</v>
      </c>
      <c r="N5" s="113">
        <f t="shared" si="7"/>
        <v>0.21722908704843119</v>
      </c>
      <c r="O5" s="100"/>
      <c r="P5" s="100"/>
      <c r="Q5" s="100"/>
      <c r="R5" s="100"/>
      <c r="S5" s="100"/>
      <c r="T5" s="100"/>
      <c r="U5" s="100"/>
      <c r="V5" s="100"/>
      <c r="W5" s="100"/>
      <c r="X5" s="100"/>
      <c r="Y5" s="100"/>
      <c r="Z5" s="100"/>
    </row>
    <row r="6" spans="1:26" ht="12.75" hidden="1" customHeight="1" x14ac:dyDescent="0.15">
      <c r="A6" s="14" t="s">
        <v>125</v>
      </c>
      <c r="B6" s="111">
        <v>530924</v>
      </c>
      <c r="C6" s="111">
        <f t="shared" si="0"/>
        <v>427825.72500000003</v>
      </c>
      <c r="D6" s="111">
        <v>364107</v>
      </c>
      <c r="E6" s="112">
        <f t="shared" si="1"/>
        <v>103098.27499999997</v>
      </c>
      <c r="F6" s="678">
        <f t="shared" si="2"/>
        <v>0.24098194422506958</v>
      </c>
      <c r="G6" s="112">
        <f t="shared" si="3"/>
        <v>63718.725000000035</v>
      </c>
      <c r="H6" s="114">
        <f t="shared" si="4"/>
        <v>0.1750000000000001</v>
      </c>
      <c r="I6" s="115">
        <f t="shared" si="5"/>
        <v>369704</v>
      </c>
      <c r="J6" s="112">
        <v>161220</v>
      </c>
      <c r="K6" s="679"/>
      <c r="L6" s="112"/>
      <c r="M6" s="112">
        <f t="shared" si="6"/>
        <v>166817</v>
      </c>
      <c r="N6" s="113">
        <f t="shared" si="7"/>
        <v>0.45815378446445687</v>
      </c>
      <c r="O6" s="100"/>
      <c r="P6" s="100"/>
      <c r="Q6" s="100"/>
      <c r="R6" s="100"/>
      <c r="S6" s="100"/>
      <c r="T6" s="100"/>
      <c r="U6" s="100"/>
      <c r="V6" s="100"/>
      <c r="W6" s="100"/>
      <c r="X6" s="100"/>
      <c r="Y6" s="100"/>
      <c r="Z6" s="100"/>
    </row>
    <row r="7" spans="1:26" ht="12.75" hidden="1" customHeight="1" x14ac:dyDescent="0.15">
      <c r="A7" s="14" t="s">
        <v>126</v>
      </c>
      <c r="B7" s="111">
        <v>658052</v>
      </c>
      <c r="C7" s="111">
        <f t="shared" si="0"/>
        <v>519911.65</v>
      </c>
      <c r="D7" s="111">
        <v>442478</v>
      </c>
      <c r="E7" s="112">
        <f t="shared" si="1"/>
        <v>138140.34999999998</v>
      </c>
      <c r="F7" s="678">
        <f t="shared" si="2"/>
        <v>0.26569966262537098</v>
      </c>
      <c r="G7" s="112">
        <f t="shared" si="3"/>
        <v>77433.650000000023</v>
      </c>
      <c r="H7" s="114">
        <f t="shared" si="4"/>
        <v>0.17500000000000004</v>
      </c>
      <c r="I7" s="115">
        <f t="shared" si="5"/>
        <v>496832</v>
      </c>
      <c r="J7" s="112">
        <v>161220</v>
      </c>
      <c r="K7" s="679"/>
      <c r="L7" s="112"/>
      <c r="M7" s="112">
        <f t="shared" si="6"/>
        <v>215574</v>
      </c>
      <c r="N7" s="113">
        <f t="shared" si="7"/>
        <v>0.487197103584811</v>
      </c>
    </row>
    <row r="8" spans="1:26" ht="12.75" hidden="1" customHeight="1" x14ac:dyDescent="0.15">
      <c r="A8" s="14" t="s">
        <v>127</v>
      </c>
      <c r="B8" s="111">
        <v>648180</v>
      </c>
      <c r="C8" s="111">
        <f t="shared" si="0"/>
        <v>513073.15</v>
      </c>
      <c r="D8" s="111">
        <v>436658</v>
      </c>
      <c r="E8" s="112">
        <f t="shared" si="1"/>
        <v>135106.84999999998</v>
      </c>
      <c r="F8" s="678">
        <f t="shared" si="2"/>
        <v>0.26332863062508721</v>
      </c>
      <c r="G8" s="112">
        <f t="shared" si="3"/>
        <v>76415.150000000023</v>
      </c>
      <c r="H8" s="114">
        <f t="shared" si="4"/>
        <v>0.17500000000000004</v>
      </c>
      <c r="I8" s="115">
        <f t="shared" si="5"/>
        <v>438056</v>
      </c>
      <c r="J8" s="112">
        <v>210124</v>
      </c>
      <c r="K8" s="679"/>
      <c r="L8" s="112"/>
      <c r="M8" s="112">
        <f t="shared" si="6"/>
        <v>211522</v>
      </c>
      <c r="N8" s="113">
        <f t="shared" si="7"/>
        <v>0.48441114098447757</v>
      </c>
    </row>
    <row r="9" spans="1:26" ht="12.75" hidden="1" customHeight="1" x14ac:dyDescent="0.15">
      <c r="A9" s="14" t="s">
        <v>128</v>
      </c>
      <c r="B9" s="111">
        <f>310920.68+365482.43</f>
        <v>676403.11</v>
      </c>
      <c r="C9" s="111">
        <f t="shared" si="0"/>
        <v>639303.4</v>
      </c>
      <c r="D9" s="111">
        <v>544088</v>
      </c>
      <c r="E9" s="112">
        <f t="shared" si="1"/>
        <v>37099.709999999963</v>
      </c>
      <c r="F9" s="678">
        <f t="shared" si="2"/>
        <v>5.8031460492780053E-2</v>
      </c>
      <c r="G9" s="112">
        <f t="shared" si="3"/>
        <v>95215.400000000023</v>
      </c>
      <c r="H9" s="114">
        <f t="shared" si="4"/>
        <v>0.17500000000000004</v>
      </c>
      <c r="I9" s="115">
        <f t="shared" si="5"/>
        <v>387627.11</v>
      </c>
      <c r="J9" s="112">
        <v>288776</v>
      </c>
      <c r="K9" s="679"/>
      <c r="L9" s="112"/>
      <c r="M9" s="112">
        <f t="shared" si="6"/>
        <v>132315.10999999999</v>
      </c>
      <c r="N9" s="113">
        <f t="shared" si="7"/>
        <v>0.2431869660790166</v>
      </c>
    </row>
    <row r="10" spans="1:26" ht="12.75" hidden="1" customHeight="1" x14ac:dyDescent="0.15">
      <c r="A10" s="14" t="s">
        <v>129</v>
      </c>
      <c r="B10" s="111">
        <v>910865</v>
      </c>
      <c r="C10" s="111">
        <f t="shared" si="0"/>
        <v>747056.77500000002</v>
      </c>
      <c r="D10" s="111">
        <v>635793</v>
      </c>
      <c r="E10" s="112">
        <f t="shared" si="1"/>
        <v>163808.22499999998</v>
      </c>
      <c r="F10" s="678">
        <f t="shared" si="2"/>
        <v>0.21927145363215531</v>
      </c>
      <c r="G10" s="112">
        <f t="shared" si="3"/>
        <v>111263.77500000002</v>
      </c>
      <c r="H10" s="114">
        <f t="shared" si="4"/>
        <v>0.17500000000000004</v>
      </c>
      <c r="I10" s="115">
        <f t="shared" si="5"/>
        <v>697139</v>
      </c>
      <c r="J10" s="112">
        <v>213726</v>
      </c>
      <c r="K10" s="679"/>
      <c r="L10" s="111"/>
      <c r="M10" s="112">
        <f t="shared" si="6"/>
        <v>275072</v>
      </c>
      <c r="N10" s="113">
        <f t="shared" si="7"/>
        <v>0.43264395801778249</v>
      </c>
    </row>
    <row r="11" spans="1:26" ht="12.75" hidden="1" customHeight="1" x14ac:dyDescent="0.15">
      <c r="A11" s="14" t="s">
        <v>86</v>
      </c>
      <c r="B11" s="111">
        <v>1045436</v>
      </c>
      <c r="C11" s="111">
        <f t="shared" si="0"/>
        <v>905782.82500000007</v>
      </c>
      <c r="D11" s="111">
        <v>770879</v>
      </c>
      <c r="E11" s="112">
        <f t="shared" si="1"/>
        <v>139653.17499999993</v>
      </c>
      <c r="F11" s="678">
        <f t="shared" si="2"/>
        <v>0.15417953525449096</v>
      </c>
      <c r="G11" s="112">
        <f t="shared" si="3"/>
        <v>134903.82500000007</v>
      </c>
      <c r="H11" s="114">
        <f t="shared" si="4"/>
        <v>0.1750000000000001</v>
      </c>
      <c r="I11" s="124">
        <f t="shared" si="5"/>
        <v>884526</v>
      </c>
      <c r="J11" s="124">
        <v>160910</v>
      </c>
      <c r="K11" s="679"/>
      <c r="L11" s="111"/>
      <c r="M11" s="112">
        <f t="shared" si="6"/>
        <v>274557</v>
      </c>
      <c r="N11" s="113">
        <f t="shared" si="7"/>
        <v>0.35616095392402697</v>
      </c>
    </row>
    <row r="12" spans="1:26" ht="12.75" hidden="1" customHeight="1" x14ac:dyDescent="0.15">
      <c r="A12" s="14" t="s">
        <v>87</v>
      </c>
      <c r="B12" s="111">
        <v>1178518</v>
      </c>
      <c r="C12" s="111">
        <f t="shared" si="0"/>
        <v>1112324.325</v>
      </c>
      <c r="D12" s="111">
        <v>946659</v>
      </c>
      <c r="E12" s="112">
        <f t="shared" si="1"/>
        <v>66193.675000000047</v>
      </c>
      <c r="F12" s="678">
        <f t="shared" si="2"/>
        <v>5.950932970921053E-2</v>
      </c>
      <c r="G12" s="112">
        <f t="shared" si="3"/>
        <v>165665.32499999995</v>
      </c>
      <c r="H12" s="114">
        <f t="shared" si="4"/>
        <v>0.17499999999999996</v>
      </c>
      <c r="I12" s="124"/>
      <c r="J12" s="124"/>
      <c r="K12" s="679"/>
      <c r="L12" s="111"/>
      <c r="M12" s="112">
        <f t="shared" si="6"/>
        <v>231859</v>
      </c>
      <c r="N12" s="113">
        <f t="shared" si="7"/>
        <v>0.24492346240832233</v>
      </c>
    </row>
    <row r="13" spans="1:26" ht="12.75" hidden="1" customHeight="1" x14ac:dyDescent="0.15">
      <c r="A13" s="14" t="s">
        <v>88</v>
      </c>
      <c r="B13" s="111">
        <v>1117894</v>
      </c>
      <c r="C13" s="111">
        <f t="shared" si="0"/>
        <v>1100221.825</v>
      </c>
      <c r="D13" s="111">
        <v>936359</v>
      </c>
      <c r="E13" s="112">
        <f t="shared" si="1"/>
        <v>17672.175000000047</v>
      </c>
      <c r="F13" s="678">
        <f t="shared" si="2"/>
        <v>1.6062374512521644E-2</v>
      </c>
      <c r="G13" s="112">
        <f t="shared" si="3"/>
        <v>163862.82499999995</v>
      </c>
      <c r="H13" s="114">
        <f t="shared" si="4"/>
        <v>0.17499999999999996</v>
      </c>
      <c r="I13" s="124"/>
      <c r="J13" s="124"/>
      <c r="K13" s="679"/>
      <c r="L13" s="111"/>
      <c r="M13" s="112">
        <f t="shared" si="6"/>
        <v>181535</v>
      </c>
      <c r="N13" s="113">
        <f t="shared" si="7"/>
        <v>0.19387329005221288</v>
      </c>
    </row>
    <row r="14" spans="1:26" ht="12.75" hidden="1" customHeight="1" x14ac:dyDescent="0.15">
      <c r="A14" s="14" t="s">
        <v>89</v>
      </c>
      <c r="B14" s="111">
        <v>1103333</v>
      </c>
      <c r="C14" s="111">
        <f t="shared" si="0"/>
        <v>1065344.3</v>
      </c>
      <c r="D14" s="111">
        <v>906676</v>
      </c>
      <c r="E14" s="112">
        <f t="shared" si="1"/>
        <v>37988.699999999953</v>
      </c>
      <c r="F14" s="678">
        <f t="shared" si="2"/>
        <v>3.5658612901012333E-2</v>
      </c>
      <c r="G14" s="112">
        <f t="shared" si="3"/>
        <v>158668.30000000005</v>
      </c>
      <c r="H14" s="114">
        <f t="shared" si="4"/>
        <v>0.17500000000000004</v>
      </c>
      <c r="I14" s="124"/>
      <c r="J14" s="124"/>
      <c r="K14" s="679"/>
      <c r="L14" s="111"/>
      <c r="M14" s="112">
        <f t="shared" si="6"/>
        <v>196657</v>
      </c>
      <c r="N14" s="113">
        <f t="shared" si="7"/>
        <v>0.21689887015868956</v>
      </c>
    </row>
    <row r="15" spans="1:26" ht="12.75" hidden="1" customHeight="1" x14ac:dyDescent="0.15">
      <c r="A15" s="125" t="s">
        <v>130</v>
      </c>
      <c r="B15" s="126">
        <f t="shared" ref="B15:E15" si="8">SUM(B3:B14)</f>
        <v>10257267.109999999</v>
      </c>
      <c r="C15" s="126">
        <f t="shared" si="8"/>
        <v>9182489.8750000019</v>
      </c>
      <c r="D15" s="126">
        <f t="shared" si="8"/>
        <v>7814885</v>
      </c>
      <c r="E15" s="126">
        <f t="shared" si="8"/>
        <v>1074777.2349999996</v>
      </c>
      <c r="F15" s="681"/>
      <c r="G15" s="126">
        <f>SUM(G3:G14)</f>
        <v>1367604.8750000002</v>
      </c>
      <c r="H15" s="128">
        <f t="shared" si="4"/>
        <v>0.17500000000000024</v>
      </c>
      <c r="I15" s="129"/>
      <c r="J15" s="129"/>
      <c r="K15" s="682">
        <f>SUM(K12:K14)</f>
        <v>0</v>
      </c>
      <c r="L15" s="129"/>
      <c r="M15" s="683">
        <f t="shared" si="6"/>
        <v>2442382.1099999994</v>
      </c>
      <c r="N15" s="131">
        <f t="shared" si="7"/>
        <v>0.31252950107391209</v>
      </c>
      <c r="O15" s="1"/>
      <c r="P15" s="1"/>
      <c r="Q15" s="1"/>
      <c r="R15" s="1"/>
      <c r="S15" s="1"/>
      <c r="T15" s="1"/>
      <c r="U15" s="1"/>
      <c r="V15" s="1"/>
      <c r="W15" s="1"/>
      <c r="X15" s="1"/>
      <c r="Y15" s="1"/>
      <c r="Z15" s="1"/>
    </row>
    <row r="16" spans="1:26" ht="12.75" customHeight="1" x14ac:dyDescent="0.15">
      <c r="A16" s="14" t="s">
        <v>90</v>
      </c>
      <c r="B16" s="684"/>
      <c r="C16" s="684"/>
      <c r="D16" s="684"/>
      <c r="E16" s="685">
        <f t="shared" ref="E16:E22" si="9">B16-C16</f>
        <v>0</v>
      </c>
      <c r="F16" s="686" t="e">
        <f t="shared" ref="F16:F22" si="10">(B16-C16)/C16</f>
        <v>#DIV/0!</v>
      </c>
      <c r="G16" s="685">
        <f t="shared" ref="G16:G23" si="11">(C16-D16)</f>
        <v>0</v>
      </c>
      <c r="H16" s="687" t="e">
        <f t="shared" si="4"/>
        <v>#DIV/0!</v>
      </c>
      <c r="I16" s="688"/>
      <c r="J16" s="688"/>
      <c r="K16" s="689"/>
      <c r="L16" s="684"/>
      <c r="M16" s="690">
        <f t="shared" si="6"/>
        <v>0</v>
      </c>
      <c r="N16" s="691" t="e">
        <f t="shared" si="7"/>
        <v>#DIV/0!</v>
      </c>
    </row>
    <row r="17" spans="1:26" ht="12.75" customHeight="1" x14ac:dyDescent="0.15">
      <c r="A17" s="14" t="s">
        <v>91</v>
      </c>
      <c r="B17" s="88"/>
      <c r="C17" s="88"/>
      <c r="D17" s="88"/>
      <c r="E17" s="73">
        <f t="shared" si="9"/>
        <v>0</v>
      </c>
      <c r="F17" s="692" t="e">
        <f t="shared" si="10"/>
        <v>#DIV/0!</v>
      </c>
      <c r="G17" s="73">
        <f t="shared" si="11"/>
        <v>0</v>
      </c>
      <c r="H17" s="156" t="e">
        <f t="shared" si="4"/>
        <v>#DIV/0!</v>
      </c>
      <c r="I17" s="75"/>
      <c r="J17" s="75"/>
      <c r="K17" s="693"/>
      <c r="L17" s="88"/>
      <c r="M17" s="51"/>
      <c r="N17" s="155"/>
    </row>
    <row r="18" spans="1:26" ht="12.75" customHeight="1" x14ac:dyDescent="0.15">
      <c r="A18" s="14" t="s">
        <v>124</v>
      </c>
      <c r="B18" s="88"/>
      <c r="C18" s="88"/>
      <c r="D18" s="88"/>
      <c r="E18" s="73">
        <f t="shared" si="9"/>
        <v>0</v>
      </c>
      <c r="F18" s="692" t="e">
        <f t="shared" si="10"/>
        <v>#DIV/0!</v>
      </c>
      <c r="G18" s="73">
        <f t="shared" si="11"/>
        <v>0</v>
      </c>
      <c r="H18" s="156" t="e">
        <f t="shared" si="4"/>
        <v>#DIV/0!</v>
      </c>
      <c r="I18" s="75"/>
      <c r="J18" s="75"/>
      <c r="K18" s="693"/>
      <c r="L18" s="88"/>
      <c r="M18" s="51"/>
      <c r="N18" s="155"/>
    </row>
    <row r="19" spans="1:26" ht="12.75" customHeight="1" x14ac:dyDescent="0.15">
      <c r="A19" s="14" t="s">
        <v>131</v>
      </c>
      <c r="B19" s="88"/>
      <c r="C19" s="88"/>
      <c r="D19" s="88"/>
      <c r="E19" s="73">
        <f t="shared" si="9"/>
        <v>0</v>
      </c>
      <c r="F19" s="692" t="e">
        <f t="shared" si="10"/>
        <v>#DIV/0!</v>
      </c>
      <c r="G19" s="73">
        <f t="shared" si="11"/>
        <v>0</v>
      </c>
      <c r="H19" s="156" t="e">
        <f t="shared" si="4"/>
        <v>#DIV/0!</v>
      </c>
      <c r="I19" s="75"/>
      <c r="J19" s="75"/>
      <c r="K19" s="693"/>
      <c r="L19" s="88"/>
      <c r="M19" s="51"/>
      <c r="N19" s="155"/>
    </row>
    <row r="20" spans="1:26" ht="13.5" customHeight="1" x14ac:dyDescent="0.15">
      <c r="A20" s="14" t="s">
        <v>126</v>
      </c>
      <c r="B20" s="88"/>
      <c r="C20" s="88"/>
      <c r="D20" s="88"/>
      <c r="E20" s="73">
        <f t="shared" si="9"/>
        <v>0</v>
      </c>
      <c r="F20" s="692" t="e">
        <f t="shared" si="10"/>
        <v>#DIV/0!</v>
      </c>
      <c r="G20" s="73">
        <f t="shared" si="11"/>
        <v>0</v>
      </c>
      <c r="H20" s="156" t="e">
        <f t="shared" si="4"/>
        <v>#DIV/0!</v>
      </c>
      <c r="I20" s="75"/>
      <c r="J20" s="75"/>
      <c r="K20" s="693"/>
      <c r="L20" s="88"/>
      <c r="M20" s="51"/>
      <c r="N20" s="155"/>
    </row>
    <row r="21" spans="1:26" ht="12.75" customHeight="1" x14ac:dyDescent="0.15">
      <c r="A21" s="14" t="s">
        <v>17</v>
      </c>
      <c r="B21" s="88"/>
      <c r="C21" s="88"/>
      <c r="D21" s="88"/>
      <c r="E21" s="73">
        <f t="shared" si="9"/>
        <v>0</v>
      </c>
      <c r="F21" s="692" t="e">
        <f t="shared" si="10"/>
        <v>#DIV/0!</v>
      </c>
      <c r="G21" s="73">
        <f t="shared" si="11"/>
        <v>0</v>
      </c>
      <c r="H21" s="156" t="e">
        <f t="shared" si="4"/>
        <v>#DIV/0!</v>
      </c>
      <c r="I21" s="75"/>
      <c r="J21" s="75"/>
      <c r="K21" s="693"/>
      <c r="L21" s="88"/>
      <c r="M21" s="51"/>
      <c r="N21" s="155"/>
    </row>
    <row r="22" spans="1:26" ht="12.75" customHeight="1" x14ac:dyDescent="0.15">
      <c r="A22" s="14" t="s">
        <v>128</v>
      </c>
      <c r="B22" s="88"/>
      <c r="C22" s="88"/>
      <c r="D22" s="88"/>
      <c r="E22" s="73">
        <f t="shared" si="9"/>
        <v>0</v>
      </c>
      <c r="F22" s="692" t="e">
        <f t="shared" si="10"/>
        <v>#DIV/0!</v>
      </c>
      <c r="G22" s="73">
        <f t="shared" si="11"/>
        <v>0</v>
      </c>
      <c r="H22" s="156" t="e">
        <f t="shared" si="4"/>
        <v>#DIV/0!</v>
      </c>
      <c r="I22" s="75"/>
      <c r="J22" s="75"/>
      <c r="K22" s="693"/>
      <c r="L22" s="88"/>
      <c r="M22" s="51"/>
      <c r="N22" s="432"/>
    </row>
    <row r="23" spans="1:26" ht="12.75" customHeight="1" x14ac:dyDescent="0.15">
      <c r="A23" s="1" t="s">
        <v>195</v>
      </c>
      <c r="B23" s="263">
        <f>SUM(B16:B22)</f>
        <v>0</v>
      </c>
      <c r="C23" s="263">
        <f>(D23*1.175)</f>
        <v>9182489.875</v>
      </c>
      <c r="D23" s="263">
        <f>SUM(D15+D16+D17+D18+D22)</f>
        <v>7814885</v>
      </c>
      <c r="E23" s="263">
        <f>SUM(E7:E22)</f>
        <v>1810440.0949999995</v>
      </c>
      <c r="F23" s="694"/>
      <c r="G23" s="263">
        <f t="shared" si="11"/>
        <v>1367604.875</v>
      </c>
      <c r="H23" s="265">
        <f t="shared" si="4"/>
        <v>0.17499999999999999</v>
      </c>
      <c r="I23" s="263"/>
      <c r="J23" s="263"/>
      <c r="K23" s="695">
        <f>SUM(K12+K13+K14+K16+K17+K22)</f>
        <v>0</v>
      </c>
      <c r="L23" s="263">
        <f>SUM(L10:L22)</f>
        <v>0</v>
      </c>
      <c r="M23" s="695"/>
      <c r="N23" s="655"/>
    </row>
    <row r="24" spans="1:26" ht="14.25" customHeight="1" x14ac:dyDescent="0.2">
      <c r="A24" s="961" t="s">
        <v>135</v>
      </c>
      <c r="B24" s="905"/>
      <c r="C24" s="905"/>
      <c r="D24" s="905"/>
      <c r="E24" s="905"/>
      <c r="F24" s="905"/>
      <c r="G24" s="905"/>
      <c r="H24" s="905"/>
      <c r="I24" s="905"/>
      <c r="J24" s="905"/>
      <c r="K24" s="905"/>
      <c r="L24" s="905"/>
    </row>
    <row r="25" spans="1:26" ht="19.5" customHeight="1" x14ac:dyDescent="0.15">
      <c r="A25" s="100"/>
      <c r="B25" s="674" t="s">
        <v>192</v>
      </c>
      <c r="C25" s="677"/>
      <c r="D25" s="676" t="s">
        <v>109</v>
      </c>
      <c r="E25" s="962"/>
      <c r="F25" s="920"/>
      <c r="G25" s="962" t="s">
        <v>196</v>
      </c>
      <c r="H25" s="920"/>
      <c r="I25" s="696" t="s">
        <v>112</v>
      </c>
      <c r="J25" s="676" t="s">
        <v>113</v>
      </c>
      <c r="K25" s="677" t="s">
        <v>112</v>
      </c>
      <c r="L25" s="677" t="s">
        <v>194</v>
      </c>
      <c r="M25" s="100"/>
      <c r="N25" s="100"/>
      <c r="O25" s="100"/>
      <c r="P25" s="100"/>
      <c r="Q25" s="100"/>
      <c r="R25" s="100"/>
      <c r="S25" s="100"/>
      <c r="T25" s="100"/>
      <c r="U25" s="100"/>
      <c r="V25" s="100"/>
      <c r="W25" s="100"/>
      <c r="X25" s="100"/>
      <c r="Y25" s="100"/>
      <c r="Z25" s="100"/>
    </row>
    <row r="26" spans="1:26" ht="13.5" hidden="1" customHeight="1" x14ac:dyDescent="0.15">
      <c r="A26" s="14" t="s">
        <v>90</v>
      </c>
      <c r="B26" s="278">
        <v>0.88</v>
      </c>
      <c r="C26" s="697">
        <v>2852</v>
      </c>
      <c r="D26" s="280">
        <v>0.92</v>
      </c>
      <c r="E26" s="281">
        <v>2905</v>
      </c>
      <c r="F26" s="678"/>
      <c r="G26" s="964">
        <v>-0.04</v>
      </c>
      <c r="H26" s="928"/>
      <c r="I26" s="115">
        <f t="shared" ref="I26:I34" si="12">B26-J26</f>
        <v>-365.12</v>
      </c>
      <c r="J26" s="112">
        <v>366</v>
      </c>
      <c r="K26" s="698"/>
      <c r="L26" s="699"/>
    </row>
    <row r="27" spans="1:26" ht="13.5" hidden="1" customHeight="1" x14ac:dyDescent="0.15">
      <c r="A27" s="14" t="s">
        <v>123</v>
      </c>
      <c r="B27" s="278">
        <v>0.71</v>
      </c>
      <c r="C27" s="697">
        <v>2202</v>
      </c>
      <c r="D27" s="280">
        <v>0.6</v>
      </c>
      <c r="E27" s="281">
        <v>1827</v>
      </c>
      <c r="F27" s="678"/>
      <c r="G27" s="956">
        <v>0.11</v>
      </c>
      <c r="H27" s="930"/>
      <c r="I27" s="115">
        <f t="shared" si="12"/>
        <v>-365.29</v>
      </c>
      <c r="J27" s="112">
        <v>366</v>
      </c>
      <c r="K27" s="698"/>
      <c r="L27" s="699"/>
    </row>
    <row r="28" spans="1:26" ht="13.5" hidden="1" customHeight="1" x14ac:dyDescent="0.15">
      <c r="A28" s="14" t="s">
        <v>124</v>
      </c>
      <c r="B28" s="278">
        <v>0.63</v>
      </c>
      <c r="C28" s="697">
        <v>2050</v>
      </c>
      <c r="D28" s="280">
        <v>0.63</v>
      </c>
      <c r="E28" s="281">
        <v>1956</v>
      </c>
      <c r="F28" s="678"/>
      <c r="G28" s="956">
        <v>0</v>
      </c>
      <c r="H28" s="930"/>
      <c r="I28" s="115">
        <f t="shared" si="12"/>
        <v>-365.37</v>
      </c>
      <c r="J28" s="112">
        <v>366</v>
      </c>
      <c r="K28" s="698"/>
      <c r="L28" s="699"/>
    </row>
    <row r="29" spans="1:26" ht="13.5" hidden="1" customHeight="1" x14ac:dyDescent="0.15">
      <c r="A29" s="14" t="s">
        <v>125</v>
      </c>
      <c r="B29" s="278">
        <v>0.56999999999999995</v>
      </c>
      <c r="C29" s="697">
        <v>1827</v>
      </c>
      <c r="D29" s="280">
        <v>0.52</v>
      </c>
      <c r="E29" s="281">
        <v>1558</v>
      </c>
      <c r="F29" s="678"/>
      <c r="G29" s="956">
        <v>0.05</v>
      </c>
      <c r="H29" s="930"/>
      <c r="I29" s="115">
        <f t="shared" si="12"/>
        <v>-365.43</v>
      </c>
      <c r="J29" s="112">
        <v>366</v>
      </c>
      <c r="K29" s="698"/>
      <c r="L29" s="699"/>
    </row>
    <row r="30" spans="1:26" ht="13.5" hidden="1" customHeight="1" x14ac:dyDescent="0.15">
      <c r="A30" s="14" t="s">
        <v>126</v>
      </c>
      <c r="B30" s="278">
        <v>0.69</v>
      </c>
      <c r="C30" s="697">
        <v>2227</v>
      </c>
      <c r="D30" s="280">
        <v>0.55000000000000004</v>
      </c>
      <c r="E30" s="281">
        <v>1714</v>
      </c>
      <c r="F30" s="678"/>
      <c r="G30" s="956">
        <v>0.14000000000000001</v>
      </c>
      <c r="H30" s="930"/>
      <c r="I30" s="115">
        <f t="shared" si="12"/>
        <v>-365.31</v>
      </c>
      <c r="J30" s="112">
        <v>366</v>
      </c>
      <c r="K30" s="698"/>
      <c r="L30" s="699"/>
    </row>
    <row r="31" spans="1:26" ht="13.5" hidden="1" customHeight="1" x14ac:dyDescent="0.15">
      <c r="A31" s="14" t="s">
        <v>127</v>
      </c>
      <c r="B31" s="278">
        <v>0.67</v>
      </c>
      <c r="C31" s="697">
        <v>2153</v>
      </c>
      <c r="D31" s="280">
        <v>0.56000000000000005</v>
      </c>
      <c r="E31" s="281">
        <v>1761</v>
      </c>
      <c r="F31" s="678"/>
      <c r="G31" s="956">
        <v>0.11</v>
      </c>
      <c r="H31" s="930"/>
      <c r="I31" s="115">
        <f t="shared" si="12"/>
        <v>-479.33</v>
      </c>
      <c r="J31" s="112">
        <v>480</v>
      </c>
      <c r="K31" s="698"/>
      <c r="L31" s="699"/>
    </row>
    <row r="32" spans="1:26" ht="13.5" hidden="1" customHeight="1" x14ac:dyDescent="0.15">
      <c r="A32" s="14" t="s">
        <v>128</v>
      </c>
      <c r="B32" s="278">
        <v>0.67</v>
      </c>
      <c r="C32" s="699"/>
      <c r="D32" s="280">
        <v>0.64</v>
      </c>
      <c r="E32" s="281">
        <v>1945</v>
      </c>
      <c r="F32" s="678"/>
      <c r="G32" s="956">
        <v>0.03</v>
      </c>
      <c r="H32" s="930"/>
      <c r="I32" s="115">
        <f t="shared" si="12"/>
        <v>-793.33</v>
      </c>
      <c r="J32" s="112">
        <v>794</v>
      </c>
      <c r="K32" s="698"/>
      <c r="L32" s="699"/>
    </row>
    <row r="33" spans="1:26" ht="13.5" hidden="1" customHeight="1" x14ac:dyDescent="0.15">
      <c r="A33" s="14" t="s">
        <v>129</v>
      </c>
      <c r="B33" s="278">
        <v>0.84</v>
      </c>
      <c r="C33" s="699"/>
      <c r="D33" s="280">
        <v>0.75</v>
      </c>
      <c r="E33" s="281">
        <v>2304</v>
      </c>
      <c r="F33" s="678"/>
      <c r="G33" s="956">
        <v>0.09</v>
      </c>
      <c r="H33" s="930"/>
      <c r="I33" s="115">
        <f t="shared" si="12"/>
        <v>-386.16</v>
      </c>
      <c r="J33" s="112">
        <v>387</v>
      </c>
      <c r="K33" s="700"/>
      <c r="L33" s="278"/>
    </row>
    <row r="34" spans="1:26" ht="13.5" hidden="1" customHeight="1" x14ac:dyDescent="0.15">
      <c r="A34" s="14" t="s">
        <v>86</v>
      </c>
      <c r="B34" s="278">
        <v>0.87</v>
      </c>
      <c r="C34" s="699"/>
      <c r="D34" s="280">
        <v>0.91</v>
      </c>
      <c r="E34" s="281">
        <v>2736</v>
      </c>
      <c r="F34" s="678"/>
      <c r="G34" s="956">
        <v>-0.04</v>
      </c>
      <c r="H34" s="930"/>
      <c r="I34" s="124">
        <f t="shared" si="12"/>
        <v>-357.13</v>
      </c>
      <c r="J34" s="124">
        <v>358</v>
      </c>
      <c r="K34" s="700"/>
      <c r="L34" s="278"/>
    </row>
    <row r="35" spans="1:26" ht="12.75" hidden="1" customHeight="1" x14ac:dyDescent="0.15">
      <c r="A35" s="14" t="s">
        <v>87</v>
      </c>
      <c r="B35" s="278">
        <v>0.89</v>
      </c>
      <c r="C35" s="701"/>
      <c r="D35" s="280">
        <v>0.88</v>
      </c>
      <c r="E35" s="702">
        <v>2820</v>
      </c>
      <c r="F35" s="703"/>
      <c r="G35" s="965">
        <v>0.01</v>
      </c>
      <c r="H35" s="930"/>
      <c r="I35" s="704"/>
      <c r="J35" s="704"/>
      <c r="K35" s="700"/>
      <c r="L35" s="278"/>
    </row>
    <row r="36" spans="1:26" ht="12.75" hidden="1" customHeight="1" x14ac:dyDescent="0.15">
      <c r="A36" s="14" t="s">
        <v>88</v>
      </c>
      <c r="B36" s="278">
        <v>0.82</v>
      </c>
      <c r="C36" s="701"/>
      <c r="D36" s="280">
        <v>0.85</v>
      </c>
      <c r="E36" s="702">
        <v>2747</v>
      </c>
      <c r="F36" s="703"/>
      <c r="G36" s="965">
        <v>0.28000000000000003</v>
      </c>
      <c r="H36" s="930"/>
      <c r="I36" s="704"/>
      <c r="J36" s="704"/>
      <c r="K36" s="700"/>
      <c r="L36" s="278"/>
    </row>
    <row r="37" spans="1:26" ht="12.75" hidden="1" customHeight="1" x14ac:dyDescent="0.15">
      <c r="A37" s="14" t="s">
        <v>89</v>
      </c>
      <c r="B37" s="278">
        <v>0.94</v>
      </c>
      <c r="C37" s="701"/>
      <c r="D37" s="280">
        <v>0.92</v>
      </c>
      <c r="E37" s="702">
        <v>2717</v>
      </c>
      <c r="F37" s="703"/>
      <c r="G37" s="965">
        <v>0.02</v>
      </c>
      <c r="H37" s="930"/>
      <c r="I37" s="704"/>
      <c r="J37" s="704"/>
      <c r="K37" s="700"/>
      <c r="L37" s="278"/>
    </row>
    <row r="38" spans="1:26" ht="12.75" customHeight="1" x14ac:dyDescent="0.15">
      <c r="A38" s="14" t="s">
        <v>90</v>
      </c>
      <c r="B38" s="705"/>
      <c r="C38" s="706"/>
      <c r="D38" s="707"/>
      <c r="E38" s="708"/>
      <c r="F38" s="709"/>
      <c r="G38" s="966"/>
      <c r="H38" s="930"/>
      <c r="I38" s="710"/>
      <c r="J38" s="710"/>
      <c r="K38" s="711"/>
      <c r="L38" s="705"/>
    </row>
    <row r="39" spans="1:26" ht="12.75" customHeight="1" x14ac:dyDescent="0.15">
      <c r="A39" s="14" t="s">
        <v>91</v>
      </c>
      <c r="B39" s="237"/>
      <c r="C39" s="56"/>
      <c r="D39" s="344"/>
      <c r="E39" s="712"/>
      <c r="F39" s="713"/>
      <c r="G39" s="967"/>
      <c r="H39" s="910"/>
      <c r="K39" s="714"/>
      <c r="L39" s="237"/>
    </row>
    <row r="40" spans="1:26" ht="12.75" customHeight="1" x14ac:dyDescent="0.15">
      <c r="A40" s="14" t="s">
        <v>124</v>
      </c>
      <c r="B40" s="237"/>
      <c r="C40" s="56"/>
      <c r="D40" s="344"/>
      <c r="E40" s="712"/>
      <c r="F40" s="713"/>
      <c r="G40" s="967"/>
      <c r="H40" s="910"/>
      <c r="K40" s="714"/>
      <c r="L40" s="237"/>
    </row>
    <row r="41" spans="1:26" ht="12.75" customHeight="1" x14ac:dyDescent="0.15">
      <c r="A41" s="14" t="s">
        <v>131</v>
      </c>
      <c r="B41" s="237"/>
      <c r="C41" s="56"/>
      <c r="D41" s="344"/>
      <c r="E41" s="712"/>
      <c r="F41" s="713"/>
      <c r="G41" s="967"/>
      <c r="H41" s="910"/>
      <c r="K41" s="714"/>
      <c r="L41" s="237"/>
    </row>
    <row r="42" spans="1:26" ht="12.75" customHeight="1" x14ac:dyDescent="0.15">
      <c r="A42" s="14" t="s">
        <v>126</v>
      </c>
      <c r="B42" s="237"/>
      <c r="C42" s="56"/>
      <c r="D42" s="344"/>
      <c r="E42" s="712"/>
      <c r="F42" s="713"/>
      <c r="G42" s="967"/>
      <c r="H42" s="910"/>
      <c r="K42" s="714"/>
      <c r="L42" s="237"/>
    </row>
    <row r="43" spans="1:26" ht="12.75" customHeight="1" x14ac:dyDescent="0.15">
      <c r="A43" s="14" t="s">
        <v>17</v>
      </c>
      <c r="B43" s="237"/>
      <c r="C43" s="56"/>
      <c r="D43" s="344"/>
      <c r="E43" s="712"/>
      <c r="F43" s="713"/>
      <c r="G43" s="967"/>
      <c r="H43" s="910"/>
      <c r="K43" s="714"/>
      <c r="L43" s="237"/>
    </row>
    <row r="44" spans="1:26" ht="12.75" customHeight="1" x14ac:dyDescent="0.15">
      <c r="A44" s="14" t="s">
        <v>128</v>
      </c>
      <c r="B44" s="715"/>
      <c r="C44" s="58"/>
      <c r="D44" s="716"/>
      <c r="E44" s="717"/>
      <c r="F44" s="718"/>
      <c r="G44" s="968"/>
      <c r="H44" s="922"/>
      <c r="K44" s="719"/>
      <c r="L44" s="715"/>
    </row>
    <row r="45" spans="1:26" ht="14.25" customHeight="1" x14ac:dyDescent="0.2">
      <c r="B45" s="969" t="s">
        <v>139</v>
      </c>
      <c r="C45" s="924"/>
      <c r="D45" s="924"/>
      <c r="E45" s="924"/>
      <c r="F45" s="924"/>
      <c r="G45" s="924"/>
      <c r="H45" s="924"/>
      <c r="I45" s="924"/>
      <c r="J45" s="924"/>
      <c r="K45" s="924"/>
      <c r="L45" s="924"/>
    </row>
    <row r="46" spans="1:26" ht="18" customHeight="1" x14ac:dyDescent="0.15">
      <c r="A46" s="100"/>
      <c r="B46" s="674" t="s">
        <v>192</v>
      </c>
      <c r="C46" s="675"/>
      <c r="D46" s="676" t="s">
        <v>109</v>
      </c>
      <c r="E46" s="962" t="s">
        <v>197</v>
      </c>
      <c r="F46" s="919"/>
      <c r="G46" s="919"/>
      <c r="H46" s="920"/>
      <c r="I46" s="675" t="s">
        <v>112</v>
      </c>
      <c r="J46" s="675" t="s">
        <v>113</v>
      </c>
      <c r="K46" s="677" t="s">
        <v>112</v>
      </c>
      <c r="L46" s="677" t="s">
        <v>194</v>
      </c>
      <c r="M46" s="100"/>
      <c r="N46" s="100"/>
      <c r="O46" s="100"/>
      <c r="P46" s="100"/>
      <c r="Q46" s="100"/>
      <c r="R46" s="100"/>
      <c r="S46" s="100"/>
      <c r="T46" s="100"/>
      <c r="U46" s="100"/>
      <c r="V46" s="100"/>
      <c r="W46" s="100"/>
      <c r="X46" s="100"/>
      <c r="Y46" s="100"/>
      <c r="Z46" s="100"/>
    </row>
    <row r="47" spans="1:26" ht="12.75" hidden="1" customHeight="1" x14ac:dyDescent="0.15">
      <c r="A47" s="14" t="s">
        <v>90</v>
      </c>
      <c r="B47" s="720">
        <f t="shared" ref="B47:B52" si="13">B3/C26</f>
        <v>342.34537166900418</v>
      </c>
      <c r="C47" s="111"/>
      <c r="D47" s="721">
        <f t="shared" ref="D47:D52" si="14">D3/E26</f>
        <v>275.43304647160068</v>
      </c>
      <c r="E47" s="970">
        <f t="shared" ref="E47:E55" si="15">B47-D47</f>
        <v>66.912325197403504</v>
      </c>
      <c r="F47" s="928"/>
      <c r="G47" s="956">
        <f t="shared" ref="G47:G58" si="16">(B47-D47)/B47</f>
        <v>0.19545269407672183</v>
      </c>
      <c r="H47" s="930"/>
      <c r="I47" s="115">
        <f t="shared" ref="I47:I55" si="17">B47-J47</f>
        <v>-160877.65462833099</v>
      </c>
      <c r="J47" s="112">
        <v>161220</v>
      </c>
      <c r="K47" s="722"/>
      <c r="L47" s="723">
        <v>342</v>
      </c>
    </row>
    <row r="48" spans="1:26" ht="12.75" hidden="1" customHeight="1" x14ac:dyDescent="0.15">
      <c r="A48" s="14" t="s">
        <v>123</v>
      </c>
      <c r="B48" s="720">
        <f t="shared" si="13"/>
        <v>348.2988192552225</v>
      </c>
      <c r="C48" s="111"/>
      <c r="D48" s="721">
        <f t="shared" si="14"/>
        <v>274.60645867542416</v>
      </c>
      <c r="E48" s="971">
        <f t="shared" si="15"/>
        <v>73.692360579798333</v>
      </c>
      <c r="F48" s="930"/>
      <c r="G48" s="956">
        <f t="shared" si="16"/>
        <v>0.21157797990064064</v>
      </c>
      <c r="H48" s="930"/>
      <c r="I48" s="115">
        <f t="shared" si="17"/>
        <v>-160871.70118074477</v>
      </c>
      <c r="J48" s="112">
        <v>161220</v>
      </c>
      <c r="K48" s="679"/>
      <c r="L48" s="698">
        <v>348</v>
      </c>
    </row>
    <row r="49" spans="1:12" ht="12.75" hidden="1" customHeight="1" x14ac:dyDescent="0.15">
      <c r="A49" s="14" t="s">
        <v>124</v>
      </c>
      <c r="B49" s="720">
        <f t="shared" si="13"/>
        <v>314.31170731707317</v>
      </c>
      <c r="C49" s="111"/>
      <c r="D49" s="721">
        <f t="shared" si="14"/>
        <v>270.62832310838445</v>
      </c>
      <c r="E49" s="971">
        <f t="shared" si="15"/>
        <v>43.683384208688722</v>
      </c>
      <c r="F49" s="930"/>
      <c r="G49" s="956">
        <f t="shared" si="16"/>
        <v>0.13898109167350087</v>
      </c>
      <c r="H49" s="930"/>
      <c r="I49" s="115">
        <f t="shared" si="17"/>
        <v>-160905.68829268293</v>
      </c>
      <c r="J49" s="112">
        <v>161220</v>
      </c>
      <c r="K49" s="679"/>
      <c r="L49" s="698">
        <v>314</v>
      </c>
    </row>
    <row r="50" spans="1:12" ht="12.75" hidden="1" customHeight="1" x14ac:dyDescent="0.15">
      <c r="A50" s="14" t="s">
        <v>125</v>
      </c>
      <c r="B50" s="720">
        <f t="shared" si="13"/>
        <v>290.59879584017517</v>
      </c>
      <c r="C50" s="111"/>
      <c r="D50" s="721">
        <f t="shared" si="14"/>
        <v>233.70154043645701</v>
      </c>
      <c r="E50" s="971">
        <f t="shared" si="15"/>
        <v>56.897255403718162</v>
      </c>
      <c r="F50" s="930"/>
      <c r="G50" s="956">
        <f t="shared" si="16"/>
        <v>0.19579315612515741</v>
      </c>
      <c r="H50" s="930"/>
      <c r="I50" s="115">
        <f t="shared" si="17"/>
        <v>-160929.40120415983</v>
      </c>
      <c r="J50" s="112">
        <v>161220</v>
      </c>
      <c r="K50" s="679"/>
      <c r="L50" s="698">
        <v>291</v>
      </c>
    </row>
    <row r="51" spans="1:12" ht="12.75" hidden="1" customHeight="1" x14ac:dyDescent="0.15">
      <c r="A51" s="14" t="s">
        <v>126</v>
      </c>
      <c r="B51" s="720">
        <f t="shared" si="13"/>
        <v>295.48810058374494</v>
      </c>
      <c r="C51" s="111"/>
      <c r="D51" s="721">
        <f t="shared" si="14"/>
        <v>258.15519253208868</v>
      </c>
      <c r="E51" s="971">
        <f t="shared" si="15"/>
        <v>37.332908051656261</v>
      </c>
      <c r="F51" s="930"/>
      <c r="G51" s="956">
        <f t="shared" si="16"/>
        <v>0.12634318599599803</v>
      </c>
      <c r="H51" s="930"/>
      <c r="I51" s="115">
        <f t="shared" si="17"/>
        <v>-160924.51189941625</v>
      </c>
      <c r="J51" s="112">
        <v>161220</v>
      </c>
      <c r="K51" s="679"/>
      <c r="L51" s="698">
        <v>295</v>
      </c>
    </row>
    <row r="52" spans="1:12" ht="12.75" hidden="1" customHeight="1" x14ac:dyDescent="0.15">
      <c r="A52" s="14" t="s">
        <v>127</v>
      </c>
      <c r="B52" s="720">
        <f t="shared" si="13"/>
        <v>301.05898745935906</v>
      </c>
      <c r="C52" s="111"/>
      <c r="D52" s="721">
        <f t="shared" si="14"/>
        <v>247.96024985803521</v>
      </c>
      <c r="E52" s="971">
        <f t="shared" si="15"/>
        <v>53.098737601323847</v>
      </c>
      <c r="F52" s="930"/>
      <c r="G52" s="956">
        <f t="shared" si="16"/>
        <v>0.17637320197422049</v>
      </c>
      <c r="H52" s="930"/>
      <c r="I52" s="115">
        <f t="shared" si="17"/>
        <v>-209822.94101254063</v>
      </c>
      <c r="J52" s="112">
        <v>210124</v>
      </c>
      <c r="K52" s="679"/>
      <c r="L52" s="698">
        <v>301</v>
      </c>
    </row>
    <row r="53" spans="1:12" ht="12.75" hidden="1" customHeight="1" x14ac:dyDescent="0.15">
      <c r="A53" s="14" t="s">
        <v>128</v>
      </c>
      <c r="B53" s="720">
        <f>(398+331)/2</f>
        <v>364.5</v>
      </c>
      <c r="C53" s="111"/>
      <c r="D53" s="721">
        <v>280</v>
      </c>
      <c r="E53" s="971">
        <f t="shared" si="15"/>
        <v>84.5</v>
      </c>
      <c r="F53" s="930"/>
      <c r="G53" s="956">
        <f t="shared" si="16"/>
        <v>0.23182441700960219</v>
      </c>
      <c r="H53" s="930"/>
      <c r="I53" s="115">
        <f t="shared" si="17"/>
        <v>-288411.5</v>
      </c>
      <c r="J53" s="112">
        <v>288776</v>
      </c>
      <c r="K53" s="679"/>
      <c r="L53" s="698">
        <v>365</v>
      </c>
    </row>
    <row r="54" spans="1:12" ht="12.75" hidden="1" customHeight="1" x14ac:dyDescent="0.15">
      <c r="A54" s="14" t="s">
        <v>129</v>
      </c>
      <c r="B54" s="720">
        <f>910865/1838</f>
        <v>495.57399347116433</v>
      </c>
      <c r="C54" s="111"/>
      <c r="D54" s="721">
        <f t="shared" ref="D54:D57" si="18">D10/E33</f>
        <v>275.95182291666669</v>
      </c>
      <c r="E54" s="971">
        <f t="shared" si="15"/>
        <v>219.62217055449764</v>
      </c>
      <c r="F54" s="930"/>
      <c r="G54" s="956">
        <f t="shared" si="16"/>
        <v>0.44316726351233898</v>
      </c>
      <c r="H54" s="930"/>
      <c r="I54" s="115">
        <f t="shared" si="17"/>
        <v>-213230.42600652884</v>
      </c>
      <c r="J54" s="112">
        <v>213726</v>
      </c>
      <c r="K54" s="679"/>
      <c r="L54" s="698">
        <v>496</v>
      </c>
    </row>
    <row r="55" spans="1:12" ht="12.75" hidden="1" customHeight="1" x14ac:dyDescent="0.15">
      <c r="A55" s="14" t="s">
        <v>86</v>
      </c>
      <c r="B55" s="720">
        <f>1045436/1860</f>
        <v>562.06236559139779</v>
      </c>
      <c r="C55" s="111"/>
      <c r="D55" s="721">
        <f t="shared" si="18"/>
        <v>281.75402046783626</v>
      </c>
      <c r="E55" s="971">
        <f t="shared" si="15"/>
        <v>280.30834512356154</v>
      </c>
      <c r="F55" s="930"/>
      <c r="G55" s="956">
        <f t="shared" si="16"/>
        <v>0.49871395468476742</v>
      </c>
      <c r="H55" s="930"/>
      <c r="I55" s="124">
        <f t="shared" si="17"/>
        <v>-160347.93763440859</v>
      </c>
      <c r="J55" s="124">
        <v>160910</v>
      </c>
      <c r="K55" s="679"/>
      <c r="L55" s="698">
        <f>1038455/1821</f>
        <v>570.26633717737502</v>
      </c>
    </row>
    <row r="56" spans="1:12" ht="12.75" hidden="1" customHeight="1" x14ac:dyDescent="0.15">
      <c r="A56" s="14" t="s">
        <v>87</v>
      </c>
      <c r="B56" s="720">
        <f>1178518/1966</f>
        <v>599.44964394710075</v>
      </c>
      <c r="C56" s="111"/>
      <c r="D56" s="721">
        <f t="shared" si="18"/>
        <v>335.69468085106382</v>
      </c>
      <c r="E56" s="971">
        <f>604-336</f>
        <v>268</v>
      </c>
      <c r="F56" s="930"/>
      <c r="G56" s="956">
        <f t="shared" si="16"/>
        <v>0.43999519519159536</v>
      </c>
      <c r="H56" s="930"/>
      <c r="I56" s="124"/>
      <c r="J56" s="124"/>
      <c r="K56" s="679"/>
      <c r="L56" s="698">
        <f>1187159/1966</f>
        <v>603.8448626653103</v>
      </c>
    </row>
    <row r="57" spans="1:12" ht="12.75" hidden="1" customHeight="1" x14ac:dyDescent="0.15">
      <c r="A57" s="14" t="s">
        <v>88</v>
      </c>
      <c r="B57" s="720">
        <f>989940/1657</f>
        <v>597.42908871454438</v>
      </c>
      <c r="C57" s="111"/>
      <c r="D57" s="721">
        <f t="shared" si="18"/>
        <v>340.86603567528215</v>
      </c>
      <c r="E57" s="971">
        <f>652-341</f>
        <v>311</v>
      </c>
      <c r="F57" s="930"/>
      <c r="G57" s="956">
        <f t="shared" si="16"/>
        <v>0.42944519757364841</v>
      </c>
      <c r="H57" s="930"/>
      <c r="I57" s="124"/>
      <c r="J57" s="124"/>
      <c r="K57" s="679"/>
      <c r="L57" s="698">
        <f>1117894/1826</f>
        <v>612.20920043811611</v>
      </c>
    </row>
    <row r="58" spans="1:12" ht="12.75" hidden="1" customHeight="1" x14ac:dyDescent="0.15">
      <c r="A58" s="14" t="s">
        <v>89</v>
      </c>
      <c r="B58" s="720">
        <f>1103333/1889</f>
        <v>584.08311275807307</v>
      </c>
      <c r="C58" s="111"/>
      <c r="D58" s="721">
        <f>D13/E37</f>
        <v>344.62973868237026</v>
      </c>
      <c r="E58" s="971">
        <f>B58-D58</f>
        <v>239.45337407570281</v>
      </c>
      <c r="F58" s="930"/>
      <c r="G58" s="956">
        <f t="shared" si="16"/>
        <v>0.40996455614850874</v>
      </c>
      <c r="H58" s="930"/>
      <c r="I58" s="124"/>
      <c r="J58" s="124"/>
      <c r="K58" s="679"/>
      <c r="L58" s="698">
        <f>1094297/1863</f>
        <v>587.38432635534082</v>
      </c>
    </row>
    <row r="59" spans="1:12" ht="12.75" customHeight="1" x14ac:dyDescent="0.15">
      <c r="A59" s="14" t="s">
        <v>90</v>
      </c>
      <c r="B59" s="724"/>
      <c r="C59" s="684"/>
      <c r="D59" s="725"/>
      <c r="E59" s="972"/>
      <c r="F59" s="930"/>
      <c r="G59" s="973"/>
      <c r="H59" s="930"/>
      <c r="I59" s="688"/>
      <c r="J59" s="688"/>
      <c r="K59" s="689"/>
      <c r="L59" s="726"/>
    </row>
    <row r="60" spans="1:12" ht="12.75" customHeight="1" x14ac:dyDescent="0.15">
      <c r="A60" s="14" t="s">
        <v>91</v>
      </c>
      <c r="B60" s="727"/>
      <c r="C60" s="88"/>
      <c r="D60" s="728"/>
      <c r="E60" s="957"/>
      <c r="F60" s="910"/>
      <c r="G60" s="959"/>
      <c r="H60" s="910"/>
      <c r="I60" s="75"/>
      <c r="J60" s="75"/>
      <c r="K60" s="693"/>
      <c r="L60" s="729"/>
    </row>
    <row r="61" spans="1:12" ht="12.75" customHeight="1" x14ac:dyDescent="0.15">
      <c r="A61" s="14" t="s">
        <v>124</v>
      </c>
      <c r="B61" s="727"/>
      <c r="C61" s="88"/>
      <c r="D61" s="728"/>
      <c r="E61" s="957"/>
      <c r="F61" s="910"/>
      <c r="G61" s="959"/>
      <c r="H61" s="910"/>
      <c r="I61" s="75"/>
      <c r="J61" s="75"/>
      <c r="K61" s="693"/>
      <c r="L61" s="729"/>
    </row>
    <row r="62" spans="1:12" ht="12.75" customHeight="1" x14ac:dyDescent="0.15">
      <c r="A62" s="14" t="s">
        <v>131</v>
      </c>
      <c r="B62" s="727"/>
      <c r="C62" s="88"/>
      <c r="D62" s="728"/>
      <c r="E62" s="957"/>
      <c r="F62" s="910"/>
      <c r="G62" s="959"/>
      <c r="H62" s="910"/>
      <c r="I62" s="75"/>
      <c r="J62" s="75"/>
      <c r="K62" s="693"/>
      <c r="L62" s="729"/>
    </row>
    <row r="63" spans="1:12" ht="12.75" customHeight="1" x14ac:dyDescent="0.15">
      <c r="A63" s="14" t="s">
        <v>126</v>
      </c>
      <c r="B63" s="727"/>
      <c r="C63" s="88"/>
      <c r="D63" s="728"/>
      <c r="E63" s="957"/>
      <c r="F63" s="910"/>
      <c r="G63" s="959"/>
      <c r="H63" s="910"/>
      <c r="I63" s="75"/>
      <c r="J63" s="75"/>
      <c r="K63" s="693"/>
      <c r="L63" s="729"/>
    </row>
    <row r="64" spans="1:12" ht="12.75" customHeight="1" x14ac:dyDescent="0.15">
      <c r="A64" s="14" t="s">
        <v>17</v>
      </c>
      <c r="B64" s="727"/>
      <c r="C64" s="88"/>
      <c r="D64" s="728"/>
      <c r="E64" s="957"/>
      <c r="F64" s="910"/>
      <c r="G64" s="959"/>
      <c r="H64" s="910"/>
      <c r="I64" s="75"/>
      <c r="J64" s="75"/>
      <c r="K64" s="693"/>
      <c r="L64" s="729"/>
    </row>
    <row r="65" spans="1:14" ht="12.75" customHeight="1" x14ac:dyDescent="0.15">
      <c r="A65" s="14" t="s">
        <v>128</v>
      </c>
      <c r="B65" s="727"/>
      <c r="C65" s="88"/>
      <c r="D65" s="728"/>
      <c r="E65" s="957"/>
      <c r="F65" s="910"/>
      <c r="G65" s="960"/>
      <c r="H65" s="922"/>
      <c r="I65" s="75"/>
      <c r="J65" s="75"/>
      <c r="K65" s="730"/>
      <c r="L65" s="731"/>
    </row>
    <row r="66" spans="1:14" ht="12.75" customHeight="1" x14ac:dyDescent="0.15">
      <c r="A66" s="14"/>
      <c r="B66" s="263">
        <f>SUM(B59:B65)/6</f>
        <v>0</v>
      </c>
      <c r="C66" s="263"/>
      <c r="D66" s="695">
        <f>SUM(D47:D65)/14</f>
        <v>244.24150783394353</v>
      </c>
      <c r="E66" s="958">
        <f>B66-D66</f>
        <v>-244.24150783394353</v>
      </c>
      <c r="F66" s="920"/>
      <c r="G66" s="960" t="e">
        <f>(B66-D66)/B66</f>
        <v>#DIV/0!</v>
      </c>
      <c r="H66" s="922"/>
      <c r="I66" s="732"/>
      <c r="J66" s="732"/>
      <c r="K66" s="730"/>
      <c r="L66" s="263">
        <f>SUM(L59:L65)/6</f>
        <v>0</v>
      </c>
      <c r="N66" s="733"/>
    </row>
    <row r="67" spans="1:14" ht="12.75" customHeight="1" x14ac:dyDescent="0.15"/>
    <row r="68" spans="1:14" ht="12.75" customHeight="1" x14ac:dyDescent="0.15"/>
    <row r="69" spans="1:14" ht="12.75" customHeight="1" x14ac:dyDescent="0.15"/>
    <row r="70" spans="1:14" ht="12.75" customHeight="1" x14ac:dyDescent="0.15"/>
    <row r="71" spans="1:14" ht="12.75" customHeight="1" x14ac:dyDescent="0.15"/>
    <row r="72" spans="1:14" ht="12.75" customHeight="1" x14ac:dyDescent="0.15"/>
    <row r="73" spans="1:14" ht="12.75" customHeight="1" x14ac:dyDescent="0.15"/>
    <row r="74" spans="1:14" ht="12.75" customHeight="1" x14ac:dyDescent="0.15"/>
    <row r="75" spans="1:14" ht="12.75" customHeight="1" x14ac:dyDescent="0.15"/>
    <row r="76" spans="1:14" ht="12.75" customHeight="1" x14ac:dyDescent="0.15"/>
    <row r="77" spans="1:14" ht="12.75" customHeight="1" x14ac:dyDescent="0.15"/>
    <row r="78" spans="1:14" ht="12.75" customHeight="1" x14ac:dyDescent="0.15"/>
    <row r="79" spans="1:14" ht="12.75" customHeight="1" x14ac:dyDescent="0.15"/>
    <row r="80" spans="1:14"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mergeCells count="68">
    <mergeCell ref="G60:H60"/>
    <mergeCell ref="E61:F61"/>
    <mergeCell ref="G61:H61"/>
    <mergeCell ref="E56:F56"/>
    <mergeCell ref="E57:F57"/>
    <mergeCell ref="E58:F58"/>
    <mergeCell ref="E59:F59"/>
    <mergeCell ref="E60:F60"/>
    <mergeCell ref="G58:H58"/>
    <mergeCell ref="G59:H59"/>
    <mergeCell ref="G56:H56"/>
    <mergeCell ref="G57:H57"/>
    <mergeCell ref="E51:F51"/>
    <mergeCell ref="E52:F52"/>
    <mergeCell ref="E53:F53"/>
    <mergeCell ref="E54:F54"/>
    <mergeCell ref="E55:F55"/>
    <mergeCell ref="E48:F48"/>
    <mergeCell ref="G48:H48"/>
    <mergeCell ref="E49:F49"/>
    <mergeCell ref="G49:H49"/>
    <mergeCell ref="G50:H50"/>
    <mergeCell ref="E50:F50"/>
    <mergeCell ref="G44:H44"/>
    <mergeCell ref="B45:L45"/>
    <mergeCell ref="E46:H46"/>
    <mergeCell ref="E47:F47"/>
    <mergeCell ref="G47:H47"/>
    <mergeCell ref="G39:H39"/>
    <mergeCell ref="G40:H40"/>
    <mergeCell ref="G41:H41"/>
    <mergeCell ref="G42:H42"/>
    <mergeCell ref="G43:H43"/>
    <mergeCell ref="G34:H34"/>
    <mergeCell ref="G35:H35"/>
    <mergeCell ref="G36:H36"/>
    <mergeCell ref="G37:H37"/>
    <mergeCell ref="G38:H38"/>
    <mergeCell ref="G29:H29"/>
    <mergeCell ref="G30:H30"/>
    <mergeCell ref="G31:H31"/>
    <mergeCell ref="G32:H32"/>
    <mergeCell ref="G33:H33"/>
    <mergeCell ref="E25:F25"/>
    <mergeCell ref="G25:H25"/>
    <mergeCell ref="G26:H26"/>
    <mergeCell ref="G27:H27"/>
    <mergeCell ref="G28:H28"/>
    <mergeCell ref="A1:L1"/>
    <mergeCell ref="E2:F2"/>
    <mergeCell ref="G2:H2"/>
    <mergeCell ref="M2:N2"/>
    <mergeCell ref="A24:L24"/>
    <mergeCell ref="E65:F65"/>
    <mergeCell ref="E66:F66"/>
    <mergeCell ref="E62:F62"/>
    <mergeCell ref="G62:H62"/>
    <mergeCell ref="E63:F63"/>
    <mergeCell ref="G63:H63"/>
    <mergeCell ref="E64:F64"/>
    <mergeCell ref="G64:H64"/>
    <mergeCell ref="G65:H65"/>
    <mergeCell ref="G66:H66"/>
    <mergeCell ref="G51:H51"/>
    <mergeCell ref="G52:H52"/>
    <mergeCell ref="G53:H53"/>
    <mergeCell ref="G54:H54"/>
    <mergeCell ref="G55:H55"/>
  </mergeCell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0"/>
  <sheetViews>
    <sheetView workbookViewId="0"/>
  </sheetViews>
  <sheetFormatPr baseColWidth="10" defaultColWidth="12.6640625" defaultRowHeight="15" customHeight="1" x14ac:dyDescent="0.15"/>
  <cols>
    <col min="1" max="1" width="105" customWidth="1"/>
    <col min="2" max="6" width="8.83203125" customWidth="1"/>
    <col min="7" max="26" width="10" customWidth="1"/>
  </cols>
  <sheetData>
    <row r="1" spans="1:26" ht="61.5" customHeight="1" x14ac:dyDescent="0.15">
      <c r="A1" s="734" t="s">
        <v>198</v>
      </c>
      <c r="B1" s="735"/>
      <c r="C1" s="735"/>
      <c r="D1" s="735"/>
      <c r="E1" s="735"/>
      <c r="F1" s="735"/>
      <c r="G1" s="735"/>
      <c r="H1" s="735"/>
      <c r="I1" s="735"/>
      <c r="J1" s="735"/>
      <c r="K1" s="735"/>
      <c r="L1" s="735"/>
      <c r="M1" s="735"/>
      <c r="N1" s="735"/>
      <c r="O1" s="735"/>
      <c r="P1" s="735"/>
      <c r="Q1" s="735"/>
      <c r="R1" s="735"/>
      <c r="S1" s="735"/>
      <c r="T1" s="735"/>
      <c r="U1" s="735"/>
      <c r="V1" s="735"/>
      <c r="W1" s="735"/>
      <c r="X1" s="735"/>
      <c r="Y1" s="735"/>
      <c r="Z1" s="735"/>
    </row>
    <row r="2" spans="1:26" ht="61.5" customHeight="1" x14ac:dyDescent="0.15">
      <c r="A2" s="734" t="s">
        <v>199</v>
      </c>
      <c r="B2" s="735"/>
      <c r="C2" s="735"/>
      <c r="D2" s="735"/>
      <c r="E2" s="735"/>
      <c r="F2" s="735"/>
      <c r="G2" s="735"/>
      <c r="H2" s="735"/>
      <c r="I2" s="735"/>
      <c r="J2" s="735"/>
      <c r="K2" s="735"/>
      <c r="L2" s="735"/>
      <c r="M2" s="735"/>
      <c r="N2" s="735"/>
      <c r="O2" s="735"/>
      <c r="P2" s="735"/>
      <c r="Q2" s="735"/>
      <c r="R2" s="735"/>
      <c r="S2" s="735"/>
      <c r="T2" s="735"/>
      <c r="U2" s="735"/>
      <c r="V2" s="735"/>
      <c r="W2" s="735"/>
      <c r="X2" s="735"/>
      <c r="Y2" s="735"/>
      <c r="Z2" s="735"/>
    </row>
    <row r="3" spans="1:26" ht="61.5" customHeight="1" x14ac:dyDescent="0.15">
      <c r="A3" s="734" t="s">
        <v>200</v>
      </c>
      <c r="B3" s="735"/>
      <c r="C3" s="735"/>
      <c r="D3" s="735"/>
      <c r="E3" s="735"/>
      <c r="F3" s="735"/>
      <c r="G3" s="735"/>
      <c r="H3" s="735"/>
      <c r="I3" s="735"/>
      <c r="J3" s="735"/>
      <c r="K3" s="735"/>
      <c r="L3" s="735"/>
      <c r="M3" s="735"/>
      <c r="N3" s="735"/>
      <c r="O3" s="735"/>
      <c r="P3" s="735"/>
      <c r="Q3" s="735"/>
      <c r="R3" s="735"/>
      <c r="S3" s="735"/>
      <c r="T3" s="735"/>
      <c r="U3" s="735"/>
      <c r="V3" s="735"/>
      <c r="W3" s="735"/>
      <c r="X3" s="735"/>
      <c r="Y3" s="735"/>
      <c r="Z3" s="735"/>
    </row>
    <row r="4" spans="1:26" ht="45" customHeight="1" x14ac:dyDescent="0.15"/>
    <row r="5" spans="1:26" ht="45" customHeight="1" x14ac:dyDescent="0.15"/>
    <row r="6" spans="1:26" ht="45" customHeight="1" x14ac:dyDescent="0.15"/>
    <row r="7" spans="1:26" ht="45" customHeight="1" x14ac:dyDescent="0.15"/>
    <row r="8" spans="1:26" ht="45" customHeight="1" x14ac:dyDescent="0.15"/>
    <row r="9" spans="1:26" ht="45" customHeight="1" x14ac:dyDescent="0.15"/>
    <row r="10" spans="1:26" ht="45" customHeight="1" x14ac:dyDescent="0.15"/>
    <row r="11" spans="1:26" ht="45" customHeight="1" x14ac:dyDescent="0.15"/>
    <row r="12" spans="1:26" ht="45" customHeight="1" x14ac:dyDescent="0.15"/>
    <row r="13" spans="1:26" ht="45" customHeight="1" x14ac:dyDescent="0.15"/>
    <row r="14" spans="1:26" ht="45" customHeight="1" x14ac:dyDescent="0.15"/>
    <row r="15" spans="1:26" ht="45" customHeight="1" x14ac:dyDescent="0.15"/>
    <row r="16" spans="1:26" ht="45" customHeight="1" x14ac:dyDescent="0.15"/>
    <row r="17" ht="45" customHeight="1" x14ac:dyDescent="0.15"/>
    <row r="18" ht="45" customHeight="1" x14ac:dyDescent="0.15"/>
    <row r="19" ht="45" customHeight="1" x14ac:dyDescent="0.15"/>
    <row r="20" ht="45" customHeight="1" x14ac:dyDescent="0.15"/>
    <row r="21" ht="45" customHeight="1" x14ac:dyDescent="0.15"/>
    <row r="22" ht="45" customHeight="1" x14ac:dyDescent="0.15"/>
    <row r="23" ht="45" customHeight="1" x14ac:dyDescent="0.15"/>
    <row r="24" ht="45" customHeight="1" x14ac:dyDescent="0.15"/>
    <row r="25" ht="45" customHeight="1" x14ac:dyDescent="0.15"/>
    <row r="26" ht="45" customHeight="1" x14ac:dyDescent="0.15"/>
    <row r="27" ht="45" customHeight="1" x14ac:dyDescent="0.15"/>
    <row r="28" ht="12.75" customHeight="1" x14ac:dyDescent="0.15"/>
    <row r="29" ht="12.75" customHeight="1" x14ac:dyDescent="0.15"/>
    <row r="30" ht="12.75" customHeight="1" x14ac:dyDescent="0.15"/>
    <row r="31" ht="12.75" customHeight="1" x14ac:dyDescent="0.15"/>
    <row r="32"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1000"/>
  <sheetViews>
    <sheetView workbookViewId="0"/>
  </sheetViews>
  <sheetFormatPr baseColWidth="10" defaultColWidth="12.6640625" defaultRowHeight="15" customHeight="1" x14ac:dyDescent="0.15"/>
  <cols>
    <col min="1" max="1" width="9.1640625" customWidth="1"/>
    <col min="2" max="2" width="11.5" customWidth="1"/>
    <col min="3" max="14" width="8.83203125" customWidth="1"/>
    <col min="15" max="26" width="10" customWidth="1"/>
  </cols>
  <sheetData>
    <row r="1" spans="1:14" ht="12.75" customHeight="1" x14ac:dyDescent="0.15">
      <c r="A1" s="975" t="s">
        <v>12</v>
      </c>
      <c r="B1" s="905"/>
      <c r="C1" s="905"/>
      <c r="D1" s="905"/>
      <c r="E1" s="905"/>
      <c r="F1" s="905"/>
      <c r="G1" s="905"/>
      <c r="H1" s="905"/>
      <c r="I1" s="905"/>
      <c r="J1" s="905"/>
      <c r="K1" s="905"/>
      <c r="L1" s="905"/>
      <c r="M1" s="905"/>
      <c r="N1" s="905"/>
    </row>
    <row r="2" spans="1:14" ht="36" customHeight="1" x14ac:dyDescent="0.15">
      <c r="A2" s="100"/>
      <c r="B2" s="674" t="s">
        <v>201</v>
      </c>
      <c r="C2" s="675" t="s">
        <v>108</v>
      </c>
      <c r="D2" s="736" t="s">
        <v>202</v>
      </c>
      <c r="E2" s="676" t="s">
        <v>109</v>
      </c>
      <c r="F2" s="962" t="s">
        <v>203</v>
      </c>
      <c r="G2" s="920"/>
      <c r="H2" s="962" t="s">
        <v>204</v>
      </c>
      <c r="I2" s="920"/>
      <c r="J2" s="974" t="s">
        <v>205</v>
      </c>
      <c r="K2" s="920"/>
      <c r="L2" s="677" t="s">
        <v>206</v>
      </c>
      <c r="M2" s="737" t="s">
        <v>207</v>
      </c>
      <c r="N2" s="675" t="s">
        <v>208</v>
      </c>
    </row>
    <row r="3" spans="1:14" ht="12.75" customHeight="1" x14ac:dyDescent="0.15">
      <c r="A3" s="14" t="s">
        <v>126</v>
      </c>
      <c r="B3" s="88">
        <v>844690</v>
      </c>
      <c r="C3" s="88">
        <f t="shared" ref="C3:C8" si="0">(E3*1.1)</f>
        <v>883006.3</v>
      </c>
      <c r="D3" s="738">
        <v>684439</v>
      </c>
      <c r="E3" s="73">
        <v>802733</v>
      </c>
      <c r="F3" s="73">
        <f t="shared" ref="F3:F8" si="1">B3-C3</f>
        <v>-38316.300000000047</v>
      </c>
      <c r="G3" s="692">
        <f t="shared" ref="G3:G8" si="2">(B3-C3)/B3</f>
        <v>-4.5361375179059832E-2</v>
      </c>
      <c r="H3" s="73">
        <f t="shared" ref="H3:H8" si="3">(C3-E3)</f>
        <v>80273.300000000047</v>
      </c>
      <c r="I3" s="155">
        <f t="shared" ref="I3:I8" si="4">(C3-E3)/E3</f>
        <v>0.10000000000000006</v>
      </c>
      <c r="J3" s="739">
        <f t="shared" ref="J3:J8" si="5">B3-D3</f>
        <v>160251</v>
      </c>
      <c r="K3" s="740">
        <f t="shared" ref="K3:K8" si="6">(B3-D3)/B3</f>
        <v>0.18971575370846108</v>
      </c>
      <c r="L3" s="88">
        <f t="shared" ref="L3:L8" si="7">B3-N3</f>
        <v>83768</v>
      </c>
      <c r="M3" s="739">
        <v>113035</v>
      </c>
      <c r="N3" s="88">
        <v>760922</v>
      </c>
    </row>
    <row r="4" spans="1:14" ht="12.75" customHeight="1" x14ac:dyDescent="0.15">
      <c r="A4" s="14" t="s">
        <v>127</v>
      </c>
      <c r="B4" s="88">
        <v>462833</v>
      </c>
      <c r="C4" s="88">
        <f t="shared" si="0"/>
        <v>1351227.9000000001</v>
      </c>
      <c r="D4" s="738">
        <v>440454</v>
      </c>
      <c r="E4" s="73">
        <v>1228389</v>
      </c>
      <c r="F4" s="73">
        <f t="shared" si="1"/>
        <v>-888394.90000000014</v>
      </c>
      <c r="G4" s="692">
        <f t="shared" si="2"/>
        <v>-1.9194718181287853</v>
      </c>
      <c r="H4" s="73">
        <f t="shared" si="3"/>
        <v>122838.90000000014</v>
      </c>
      <c r="I4" s="155">
        <f t="shared" si="4"/>
        <v>0.10000000000000012</v>
      </c>
      <c r="J4" s="739">
        <f t="shared" si="5"/>
        <v>22379</v>
      </c>
      <c r="K4" s="740">
        <f t="shared" si="6"/>
        <v>4.835221343335501E-2</v>
      </c>
      <c r="L4" s="88">
        <f t="shared" si="7"/>
        <v>102498</v>
      </c>
      <c r="M4" s="739">
        <v>102843</v>
      </c>
      <c r="N4" s="88">
        <v>360335</v>
      </c>
    </row>
    <row r="5" spans="1:14" ht="12.75" customHeight="1" x14ac:dyDescent="0.15">
      <c r="A5" s="14" t="s">
        <v>128</v>
      </c>
      <c r="B5" s="88">
        <v>433577</v>
      </c>
      <c r="C5" s="88">
        <f t="shared" si="0"/>
        <v>1461288.4000000001</v>
      </c>
      <c r="D5" s="738">
        <v>347674</v>
      </c>
      <c r="E5" s="73">
        <v>1328444</v>
      </c>
      <c r="F5" s="73">
        <f t="shared" si="1"/>
        <v>-1027711.4000000001</v>
      </c>
      <c r="G5" s="692">
        <f t="shared" si="2"/>
        <v>-2.3703088494085254</v>
      </c>
      <c r="H5" s="73">
        <f t="shared" si="3"/>
        <v>132844.40000000014</v>
      </c>
      <c r="I5" s="155">
        <f t="shared" si="4"/>
        <v>0.1000000000000001</v>
      </c>
      <c r="J5" s="739">
        <f t="shared" si="5"/>
        <v>85903</v>
      </c>
      <c r="K5" s="740">
        <f t="shared" si="6"/>
        <v>0.1981262843739405</v>
      </c>
      <c r="L5" s="88">
        <f t="shared" si="7"/>
        <v>5183</v>
      </c>
      <c r="M5" s="739">
        <v>117280</v>
      </c>
      <c r="N5" s="88">
        <v>428394</v>
      </c>
    </row>
    <row r="6" spans="1:14" ht="12.75" customHeight="1" x14ac:dyDescent="0.15">
      <c r="A6" s="14" t="s">
        <v>129</v>
      </c>
      <c r="B6" s="88">
        <v>339556</v>
      </c>
      <c r="C6" s="88">
        <f t="shared" si="0"/>
        <v>1992527.9000000001</v>
      </c>
      <c r="D6" s="738">
        <v>358447</v>
      </c>
      <c r="E6" s="73">
        <v>1811389</v>
      </c>
      <c r="F6" s="73">
        <f t="shared" si="1"/>
        <v>-1652971.9000000001</v>
      </c>
      <c r="G6" s="692">
        <f t="shared" si="2"/>
        <v>-4.8680391452367209</v>
      </c>
      <c r="H6" s="73">
        <f t="shared" si="3"/>
        <v>181138.90000000014</v>
      </c>
      <c r="I6" s="155">
        <f t="shared" si="4"/>
        <v>0.10000000000000007</v>
      </c>
      <c r="J6" s="739">
        <f t="shared" si="5"/>
        <v>-18891</v>
      </c>
      <c r="K6" s="740">
        <f t="shared" si="6"/>
        <v>-5.5634416708878656E-2</v>
      </c>
      <c r="L6" s="88">
        <f t="shared" si="7"/>
        <v>30284</v>
      </c>
      <c r="M6" s="739">
        <v>187031</v>
      </c>
      <c r="N6" s="88">
        <v>309272</v>
      </c>
    </row>
    <row r="7" spans="1:14" ht="12.75" customHeight="1" x14ac:dyDescent="0.15">
      <c r="A7" s="14" t="s">
        <v>86</v>
      </c>
      <c r="B7" s="88">
        <v>282250</v>
      </c>
      <c r="C7" s="88">
        <f t="shared" si="0"/>
        <v>2807965.6</v>
      </c>
      <c r="D7" s="738">
        <v>471607</v>
      </c>
      <c r="E7" s="73">
        <v>2552696</v>
      </c>
      <c r="F7" s="73">
        <f t="shared" si="1"/>
        <v>-2525715.6</v>
      </c>
      <c r="G7" s="692">
        <f t="shared" si="2"/>
        <v>-8.9485052258635971</v>
      </c>
      <c r="H7" s="73">
        <f t="shared" si="3"/>
        <v>255269.60000000009</v>
      </c>
      <c r="I7" s="155">
        <f t="shared" si="4"/>
        <v>0.10000000000000003</v>
      </c>
      <c r="J7" s="739">
        <f t="shared" si="5"/>
        <v>-189357</v>
      </c>
      <c r="K7" s="740">
        <f t="shared" si="6"/>
        <v>-0.6708839681133747</v>
      </c>
      <c r="L7" s="88">
        <f t="shared" si="7"/>
        <v>16220</v>
      </c>
      <c r="M7" s="739">
        <v>162635</v>
      </c>
      <c r="N7" s="88">
        <v>266030</v>
      </c>
    </row>
    <row r="8" spans="1:14" ht="12.75" customHeight="1" x14ac:dyDescent="0.15">
      <c r="A8" s="14" t="s">
        <v>87</v>
      </c>
      <c r="B8" s="91">
        <v>981863</v>
      </c>
      <c r="C8" s="91">
        <f t="shared" si="0"/>
        <v>3041010.5000000005</v>
      </c>
      <c r="D8" s="741">
        <v>941195</v>
      </c>
      <c r="E8" s="81">
        <v>2764555</v>
      </c>
      <c r="F8" s="81">
        <f t="shared" si="1"/>
        <v>-2059147.5000000005</v>
      </c>
      <c r="G8" s="742">
        <f t="shared" si="2"/>
        <v>-2.0971841285393182</v>
      </c>
      <c r="H8" s="81">
        <f t="shared" si="3"/>
        <v>276455.50000000047</v>
      </c>
      <c r="I8" s="432">
        <f t="shared" si="4"/>
        <v>0.10000000000000017</v>
      </c>
      <c r="J8" s="743">
        <f t="shared" si="5"/>
        <v>40668</v>
      </c>
      <c r="K8" s="744">
        <f t="shared" si="6"/>
        <v>4.1419220400402093E-2</v>
      </c>
      <c r="L8" s="91">
        <f t="shared" si="7"/>
        <v>-176282</v>
      </c>
      <c r="M8" s="743">
        <v>119930</v>
      </c>
      <c r="N8" s="91">
        <v>1158145</v>
      </c>
    </row>
    <row r="9" spans="1:14" ht="12.75" customHeight="1" x14ac:dyDescent="0.15">
      <c r="A9" s="975" t="s">
        <v>13</v>
      </c>
      <c r="B9" s="905"/>
      <c r="C9" s="905"/>
      <c r="D9" s="905"/>
      <c r="E9" s="905"/>
      <c r="F9" s="905"/>
      <c r="G9" s="905"/>
      <c r="H9" s="905"/>
      <c r="I9" s="905"/>
      <c r="J9" s="905"/>
      <c r="K9" s="905"/>
      <c r="L9" s="905"/>
      <c r="M9" s="905"/>
      <c r="N9" s="905"/>
    </row>
    <row r="10" spans="1:14" ht="36" customHeight="1" x14ac:dyDescent="0.15">
      <c r="A10" s="100"/>
      <c r="B10" s="674" t="s">
        <v>201</v>
      </c>
      <c r="C10" s="677" t="s">
        <v>209</v>
      </c>
      <c r="D10" s="736" t="s">
        <v>202</v>
      </c>
      <c r="E10" s="745" t="s">
        <v>109</v>
      </c>
      <c r="F10" s="962"/>
      <c r="G10" s="920"/>
      <c r="H10" s="962"/>
      <c r="I10" s="920"/>
      <c r="J10" s="974" t="s">
        <v>205</v>
      </c>
      <c r="K10" s="920"/>
      <c r="L10" s="677" t="s">
        <v>206</v>
      </c>
      <c r="M10" s="737" t="s">
        <v>207</v>
      </c>
      <c r="N10" s="675" t="s">
        <v>208</v>
      </c>
    </row>
    <row r="11" spans="1:14" ht="12.75" customHeight="1" x14ac:dyDescent="0.15">
      <c r="A11" s="14" t="s">
        <v>126</v>
      </c>
      <c r="B11" s="88">
        <v>1218</v>
      </c>
      <c r="C11" s="155">
        <v>0.43</v>
      </c>
      <c r="D11" s="738">
        <v>1082</v>
      </c>
      <c r="E11" s="75">
        <v>1290</v>
      </c>
      <c r="F11" s="73"/>
      <c r="G11" s="155"/>
      <c r="H11" s="75"/>
      <c r="I11" s="155"/>
      <c r="J11" s="739">
        <f t="shared" ref="J11:J16" si="8">B11-D11</f>
        <v>136</v>
      </c>
      <c r="K11" s="740">
        <f t="shared" ref="K11:K16" si="9">(B11-D11)/B11</f>
        <v>0.1116584564860427</v>
      </c>
      <c r="L11" s="88">
        <f t="shared" ref="L11:L16" si="10">B11-N11</f>
        <v>62</v>
      </c>
      <c r="M11" s="739">
        <v>96</v>
      </c>
      <c r="N11" s="88">
        <v>1156</v>
      </c>
    </row>
    <row r="12" spans="1:14" ht="12.75" customHeight="1" x14ac:dyDescent="0.15">
      <c r="A12" s="14" t="s">
        <v>127</v>
      </c>
      <c r="B12" s="88">
        <v>970</v>
      </c>
      <c r="C12" s="155">
        <v>0.33</v>
      </c>
      <c r="D12" s="738">
        <v>720</v>
      </c>
      <c r="E12" s="75">
        <v>1801</v>
      </c>
      <c r="F12" s="73"/>
      <c r="G12" s="155"/>
      <c r="H12" s="75"/>
      <c r="I12" s="155"/>
      <c r="J12" s="739">
        <f t="shared" si="8"/>
        <v>250</v>
      </c>
      <c r="K12" s="740">
        <f t="shared" si="9"/>
        <v>0.25773195876288657</v>
      </c>
      <c r="L12" s="88">
        <f t="shared" si="10"/>
        <v>-8</v>
      </c>
      <c r="M12" s="739">
        <v>21</v>
      </c>
      <c r="N12" s="88">
        <v>978</v>
      </c>
    </row>
    <row r="13" spans="1:14" ht="12.75" customHeight="1" x14ac:dyDescent="0.15">
      <c r="A13" s="14" t="s">
        <v>128</v>
      </c>
      <c r="B13" s="88">
        <v>1187</v>
      </c>
      <c r="C13" s="155">
        <v>0.42</v>
      </c>
      <c r="D13" s="738">
        <v>517</v>
      </c>
      <c r="E13" s="75">
        <v>1840</v>
      </c>
      <c r="F13" s="73"/>
      <c r="G13" s="155"/>
      <c r="H13" s="75"/>
      <c r="I13" s="155"/>
      <c r="J13" s="739">
        <f t="shared" si="8"/>
        <v>670</v>
      </c>
      <c r="K13" s="740">
        <f t="shared" si="9"/>
        <v>0.56444818871103619</v>
      </c>
      <c r="L13" s="88">
        <f t="shared" si="10"/>
        <v>-1</v>
      </c>
      <c r="M13" s="739">
        <v>49</v>
      </c>
      <c r="N13" s="88">
        <v>1188</v>
      </c>
    </row>
    <row r="14" spans="1:14" ht="12.75" customHeight="1" x14ac:dyDescent="0.15">
      <c r="A14" s="14" t="s">
        <v>129</v>
      </c>
      <c r="B14" s="88">
        <v>546</v>
      </c>
      <c r="C14" s="155">
        <v>0.18</v>
      </c>
      <c r="D14" s="738">
        <v>554</v>
      </c>
      <c r="E14" s="75">
        <v>1922</v>
      </c>
      <c r="F14" s="73"/>
      <c r="G14" s="155"/>
      <c r="H14" s="75"/>
      <c r="I14" s="155"/>
      <c r="J14" s="739">
        <f t="shared" si="8"/>
        <v>-8</v>
      </c>
      <c r="K14" s="740">
        <f t="shared" si="9"/>
        <v>-1.4652014652014652E-2</v>
      </c>
      <c r="L14" s="88">
        <f t="shared" si="10"/>
        <v>19</v>
      </c>
      <c r="M14" s="739">
        <v>99</v>
      </c>
      <c r="N14" s="88">
        <v>527</v>
      </c>
    </row>
    <row r="15" spans="1:14" ht="12.75" customHeight="1" x14ac:dyDescent="0.15">
      <c r="A15" s="14" t="s">
        <v>86</v>
      </c>
      <c r="B15" s="88">
        <v>602</v>
      </c>
      <c r="C15" s="155">
        <v>0.21</v>
      </c>
      <c r="D15" s="738">
        <v>554</v>
      </c>
      <c r="E15" s="75">
        <v>2508</v>
      </c>
      <c r="F15" s="73"/>
      <c r="G15" s="155"/>
      <c r="H15" s="75"/>
      <c r="I15" s="155"/>
      <c r="J15" s="739">
        <f t="shared" si="8"/>
        <v>48</v>
      </c>
      <c r="K15" s="740">
        <f t="shared" si="9"/>
        <v>7.9734219269102985E-2</v>
      </c>
      <c r="L15" s="88">
        <f t="shared" si="10"/>
        <v>19</v>
      </c>
      <c r="M15" s="739">
        <v>3</v>
      </c>
      <c r="N15" s="88">
        <v>583</v>
      </c>
    </row>
    <row r="16" spans="1:14" ht="12.75" customHeight="1" x14ac:dyDescent="0.15">
      <c r="A16" s="14" t="s">
        <v>87</v>
      </c>
      <c r="B16" s="91">
        <v>1284</v>
      </c>
      <c r="C16" s="432">
        <v>0.44</v>
      </c>
      <c r="D16" s="741">
        <v>941</v>
      </c>
      <c r="E16" s="746">
        <v>2254</v>
      </c>
      <c r="F16" s="81"/>
      <c r="G16" s="432"/>
      <c r="H16" s="746"/>
      <c r="I16" s="432"/>
      <c r="J16" s="743">
        <f t="shared" si="8"/>
        <v>343</v>
      </c>
      <c r="K16" s="744">
        <f t="shared" si="9"/>
        <v>0.26713395638629284</v>
      </c>
      <c r="L16" s="91">
        <f t="shared" si="10"/>
        <v>-126</v>
      </c>
      <c r="M16" s="743">
        <v>-5</v>
      </c>
      <c r="N16" s="91">
        <v>1410</v>
      </c>
    </row>
    <row r="17" spans="1:14" ht="12.75" customHeight="1" x14ac:dyDescent="0.15">
      <c r="A17" s="975" t="s">
        <v>185</v>
      </c>
      <c r="B17" s="905"/>
      <c r="C17" s="905"/>
      <c r="D17" s="905"/>
      <c r="E17" s="905"/>
      <c r="F17" s="905"/>
      <c r="G17" s="905"/>
      <c r="H17" s="905"/>
      <c r="I17" s="905"/>
      <c r="J17" s="905"/>
      <c r="K17" s="905"/>
      <c r="L17" s="905"/>
      <c r="M17" s="905"/>
      <c r="N17" s="905"/>
    </row>
    <row r="18" spans="1:14" ht="36" customHeight="1" x14ac:dyDescent="0.15">
      <c r="A18" s="100"/>
      <c r="B18" s="674" t="s">
        <v>201</v>
      </c>
      <c r="C18" s="675"/>
      <c r="D18" s="736" t="s">
        <v>210</v>
      </c>
      <c r="E18" s="675" t="s">
        <v>109</v>
      </c>
      <c r="F18" s="962"/>
      <c r="G18" s="920"/>
      <c r="H18" s="962" t="s">
        <v>204</v>
      </c>
      <c r="I18" s="920"/>
      <c r="J18" s="974" t="s">
        <v>205</v>
      </c>
      <c r="K18" s="920"/>
      <c r="L18" s="677" t="s">
        <v>206</v>
      </c>
      <c r="M18" s="737" t="s">
        <v>207</v>
      </c>
      <c r="N18" s="675" t="s">
        <v>208</v>
      </c>
    </row>
    <row r="19" spans="1:14" ht="12.75" customHeight="1" x14ac:dyDescent="0.15">
      <c r="A19" s="14" t="s">
        <v>126</v>
      </c>
      <c r="B19" s="88">
        <v>693</v>
      </c>
      <c r="C19" s="88"/>
      <c r="D19" s="738">
        <v>632.56839186691309</v>
      </c>
      <c r="E19" s="88">
        <f t="shared" ref="E19:E20" si="11">E3/E11</f>
        <v>622.27364341085274</v>
      </c>
      <c r="F19" s="73"/>
      <c r="G19" s="155"/>
      <c r="H19" s="73"/>
      <c r="I19" s="155"/>
      <c r="J19" s="739">
        <f t="shared" ref="J19:J24" si="12">B19-D19</f>
        <v>60.431608133086911</v>
      </c>
      <c r="K19" s="747">
        <f t="shared" ref="K19:K24" si="13">(B19-D19)/B19</f>
        <v>8.7202897738942145E-2</v>
      </c>
      <c r="L19" s="88">
        <f t="shared" ref="L19:L24" si="14">B19-N19</f>
        <v>34.762975778546661</v>
      </c>
      <c r="M19" s="739">
        <v>53.05115048760274</v>
      </c>
      <c r="N19" s="88">
        <f t="shared" ref="N19:N24" si="15">N3/N11</f>
        <v>658.23702422145334</v>
      </c>
    </row>
    <row r="20" spans="1:14" ht="12.75" customHeight="1" x14ac:dyDescent="0.15">
      <c r="A20" s="14" t="s">
        <v>127</v>
      </c>
      <c r="B20" s="88">
        <v>477</v>
      </c>
      <c r="C20" s="88"/>
      <c r="D20" s="738">
        <v>611.74166666666667</v>
      </c>
      <c r="E20" s="88">
        <f t="shared" si="11"/>
        <v>682.05941143808991</v>
      </c>
      <c r="F20" s="73"/>
      <c r="G20" s="155"/>
      <c r="H20" s="73"/>
      <c r="I20" s="155"/>
      <c r="J20" s="739">
        <f t="shared" si="12"/>
        <v>-134.74166666666667</v>
      </c>
      <c r="K20" s="747">
        <f t="shared" si="13"/>
        <v>-0.28247728860936411</v>
      </c>
      <c r="L20" s="88">
        <f t="shared" si="14"/>
        <v>108.55930470347647</v>
      </c>
      <c r="M20" s="739">
        <v>128.75025035765378</v>
      </c>
      <c r="N20" s="88">
        <f t="shared" si="15"/>
        <v>368.44069529652353</v>
      </c>
    </row>
    <row r="21" spans="1:14" ht="12.75" customHeight="1" x14ac:dyDescent="0.15">
      <c r="A21" s="14" t="s">
        <v>128</v>
      </c>
      <c r="B21" s="88">
        <v>365</v>
      </c>
      <c r="C21" s="88"/>
      <c r="D21" s="738">
        <v>672.48355899419732</v>
      </c>
      <c r="E21" s="88">
        <f>E4/E12</f>
        <v>682.05941143808991</v>
      </c>
      <c r="F21" s="73"/>
      <c r="G21" s="155"/>
      <c r="H21" s="73"/>
      <c r="I21" s="155"/>
      <c r="J21" s="739">
        <f t="shared" si="12"/>
        <v>-307.48355899419732</v>
      </c>
      <c r="K21" s="747">
        <f t="shared" si="13"/>
        <v>-0.8424207095731433</v>
      </c>
      <c r="L21" s="88">
        <f t="shared" si="14"/>
        <v>4.3989898989898961</v>
      </c>
      <c r="M21" s="739">
        <v>180.18868719932556</v>
      </c>
      <c r="N21" s="88">
        <f t="shared" si="15"/>
        <v>360.6010101010101</v>
      </c>
    </row>
    <row r="22" spans="1:14" ht="12.75" customHeight="1" x14ac:dyDescent="0.15">
      <c r="A22" s="14" t="s">
        <v>129</v>
      </c>
      <c r="B22" s="88">
        <v>622</v>
      </c>
      <c r="C22" s="88"/>
      <c r="D22" s="738">
        <v>647.01624548736459</v>
      </c>
      <c r="E22" s="88">
        <f t="shared" ref="E22:E24" si="16">E6/E14</f>
        <v>942.45005202913637</v>
      </c>
      <c r="F22" s="73"/>
      <c r="G22" s="155"/>
      <c r="H22" s="73"/>
      <c r="I22" s="155"/>
      <c r="J22" s="739">
        <f t="shared" si="12"/>
        <v>-25.016245487364586</v>
      </c>
      <c r="K22" s="747">
        <f t="shared" si="13"/>
        <v>-4.0219044191904481E-2</v>
      </c>
      <c r="L22" s="88">
        <f t="shared" si="14"/>
        <v>35.146110056925977</v>
      </c>
      <c r="M22" s="739">
        <v>270.27778394890305</v>
      </c>
      <c r="N22" s="88">
        <f t="shared" si="15"/>
        <v>586.85388994307402</v>
      </c>
    </row>
    <row r="23" spans="1:14" ht="12.75" customHeight="1" x14ac:dyDescent="0.15">
      <c r="A23" s="14" t="s">
        <v>86</v>
      </c>
      <c r="B23" s="88">
        <v>468</v>
      </c>
      <c r="C23" s="88"/>
      <c r="D23" s="738">
        <v>851.27617328519852</v>
      </c>
      <c r="E23" s="88">
        <f t="shared" si="16"/>
        <v>1017.8213716108453</v>
      </c>
      <c r="F23" s="73"/>
      <c r="G23" s="155"/>
      <c r="H23" s="73"/>
      <c r="I23" s="155"/>
      <c r="J23" s="739">
        <f t="shared" si="12"/>
        <v>-383.27617328519852</v>
      </c>
      <c r="K23" s="747">
        <f t="shared" si="13"/>
        <v>-0.81896618223333018</v>
      </c>
      <c r="L23" s="88">
        <f t="shared" si="14"/>
        <v>11.687821612349921</v>
      </c>
      <c r="M23" s="739">
        <v>290.5284418877394</v>
      </c>
      <c r="N23" s="88">
        <f t="shared" si="15"/>
        <v>456.31217838765008</v>
      </c>
    </row>
    <row r="24" spans="1:14" ht="12.75" customHeight="1" x14ac:dyDescent="0.15">
      <c r="A24" s="14" t="s">
        <v>87</v>
      </c>
      <c r="B24" s="91">
        <v>764</v>
      </c>
      <c r="C24" s="91"/>
      <c r="D24" s="741">
        <v>1000.2072263549416</v>
      </c>
      <c r="E24" s="91">
        <f t="shared" si="16"/>
        <v>1226.5106477373558</v>
      </c>
      <c r="F24" s="81"/>
      <c r="G24" s="432"/>
      <c r="H24" s="81"/>
      <c r="I24" s="432"/>
      <c r="J24" s="743">
        <f t="shared" si="12"/>
        <v>-236.20722635494155</v>
      </c>
      <c r="K24" s="748">
        <f t="shared" si="13"/>
        <v>-0.3091717622446879</v>
      </c>
      <c r="L24" s="91">
        <f t="shared" si="14"/>
        <v>-57.37943262411352</v>
      </c>
      <c r="M24" s="743">
        <v>132.06240605895846</v>
      </c>
      <c r="N24" s="91">
        <f t="shared" si="15"/>
        <v>821.37943262411352</v>
      </c>
    </row>
    <row r="25" spans="1:14" ht="12.75" customHeight="1" x14ac:dyDescent="0.15"/>
    <row r="26" spans="1:14" ht="12.75" customHeight="1" x14ac:dyDescent="0.15"/>
    <row r="27" spans="1:14" ht="12.75" customHeight="1" x14ac:dyDescent="0.15"/>
    <row r="28" spans="1:14" ht="12.75" customHeight="1" x14ac:dyDescent="0.15"/>
    <row r="29" spans="1:14" ht="12.75" customHeight="1" x14ac:dyDescent="0.15"/>
    <row r="30" spans="1:14" ht="12.75" customHeight="1" x14ac:dyDescent="0.15"/>
    <row r="31" spans="1:14" ht="12.75" customHeight="1" x14ac:dyDescent="0.15"/>
    <row r="32" spans="1:14"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mergeCells count="12">
    <mergeCell ref="A1:N1"/>
    <mergeCell ref="F2:G2"/>
    <mergeCell ref="H2:I2"/>
    <mergeCell ref="J2:K2"/>
    <mergeCell ref="A9:N9"/>
    <mergeCell ref="J10:K10"/>
    <mergeCell ref="A17:N17"/>
    <mergeCell ref="F18:G18"/>
    <mergeCell ref="H18:I18"/>
    <mergeCell ref="J18:K18"/>
    <mergeCell ref="F10:G10"/>
    <mergeCell ref="H10:I10"/>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18</vt:i4>
      </vt:variant>
      <vt:variant>
        <vt:lpstr>Named Ranges</vt:lpstr>
      </vt:variant>
      <vt:variant>
        <vt:i4>2</vt:i4>
      </vt:variant>
    </vt:vector>
  </HeadingPairs>
  <TitlesOfParts>
    <vt:vector size="20" baseType="lpstr">
      <vt:lpstr>VA</vt:lpstr>
      <vt:lpstr>QV</vt:lpstr>
      <vt:lpstr>DH</vt:lpstr>
      <vt:lpstr>Online Res</vt:lpstr>
      <vt:lpstr>Web Comparison</vt:lpstr>
      <vt:lpstr>All</vt:lpstr>
      <vt:lpstr>09.12.19</vt:lpstr>
      <vt:lpstr>Revenue</vt:lpstr>
      <vt:lpstr>Historical Stats</vt:lpstr>
      <vt:lpstr>Sheet4</vt:lpstr>
      <vt:lpstr>24.08.2020</vt:lpstr>
      <vt:lpstr>Revenue 2017 - 2020</vt:lpstr>
      <vt:lpstr>Sheet2</vt:lpstr>
      <vt:lpstr>SM Dec 2019 vs 2018</vt:lpstr>
      <vt:lpstr>Stats</vt:lpstr>
      <vt:lpstr>Studio Revenue</vt:lpstr>
      <vt:lpstr>Marketing</vt:lpstr>
      <vt:lpstr>Sheet1</vt:lpstr>
      <vt:lpstr>'SM Dec 2019 vs 2018'!channel_analysis</vt:lpstr>
      <vt:lpstr>Sheet4!reservations_summary_report__15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revenue</dc:creator>
  <cp:lastModifiedBy>Carike Ligthelm</cp:lastModifiedBy>
  <cp:lastPrinted>2025-01-28T08:48:14Z</cp:lastPrinted>
  <dcterms:created xsi:type="dcterms:W3CDTF">2009-05-19T09:26:11Z</dcterms:created>
  <dcterms:modified xsi:type="dcterms:W3CDTF">2026-08-14T09:07:04Z</dcterms:modified>
</cp:coreProperties>
</file>