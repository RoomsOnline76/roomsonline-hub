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1/Library/CloudStorage/Dropbox-CHEETAHPLAINS/Carike Ligthelm/Roomsonline 2024:6/Hotel Krige/Revenue | HK/Bi Monthly 2026/Aug/"/>
    </mc:Choice>
  </mc:AlternateContent>
  <xr:revisionPtr revIDLastSave="0" documentId="13_ncr:1_{CFE0DD51-C35C-5B4B-8FFF-C617A390ECF9}" xr6:coauthVersionLast="47" xr6:coauthVersionMax="47" xr10:uidLastSave="{00000000-0000-0000-0000-000000000000}"/>
  <bookViews>
    <workbookView xWindow="0" yWindow="0" windowWidth="27320" windowHeight="15360" xr2:uid="{529B9ECD-34EE-5444-862A-AF4A04B83C61}"/>
  </bookViews>
  <sheets>
    <sheet name="FY" sheetId="1" r:id="rId1"/>
    <sheet name="Histor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P42" i="1"/>
  <c r="N42" i="1"/>
  <c r="N35" i="1"/>
  <c r="N34" i="1"/>
  <c r="N33" i="1"/>
  <c r="N32" i="1"/>
  <c r="N36" i="1"/>
  <c r="N37" i="1"/>
  <c r="N38" i="1"/>
  <c r="N39" i="1"/>
  <c r="N40" i="1"/>
  <c r="N41" i="1"/>
  <c r="N43" i="1"/>
  <c r="N29" i="1"/>
  <c r="N28" i="1"/>
  <c r="N27" i="1"/>
  <c r="N26" i="1"/>
  <c r="N25" i="1"/>
  <c r="N24" i="1"/>
  <c r="N23" i="1"/>
  <c r="N22" i="1"/>
  <c r="N21" i="1"/>
  <c r="N20" i="1"/>
  <c r="N19" i="1"/>
  <c r="N18" i="1"/>
  <c r="M18" i="1"/>
  <c r="C43" i="1"/>
  <c r="C42" i="1"/>
  <c r="C41" i="1"/>
  <c r="C40" i="1"/>
  <c r="C39" i="1"/>
  <c r="C38" i="1"/>
  <c r="C37" i="1"/>
  <c r="C36" i="1"/>
  <c r="C35" i="1"/>
  <c r="C34" i="1"/>
  <c r="C33" i="1"/>
  <c r="C32" i="1"/>
  <c r="C15" i="1"/>
  <c r="J29" i="1"/>
  <c r="J28" i="1"/>
  <c r="J27" i="1"/>
  <c r="J26" i="1"/>
  <c r="J25" i="1"/>
  <c r="J24" i="1"/>
  <c r="J23" i="1"/>
  <c r="J22" i="1"/>
  <c r="J14" i="1"/>
  <c r="J13" i="1"/>
  <c r="J12" i="1"/>
  <c r="J11" i="1"/>
  <c r="J10" i="1"/>
  <c r="J9" i="1"/>
  <c r="J8" i="1"/>
  <c r="J7" i="1"/>
  <c r="J15" i="1" l="1"/>
  <c r="H13" i="1"/>
  <c r="H10" i="1"/>
  <c r="H8" i="1"/>
  <c r="H35" i="1"/>
  <c r="H34" i="1"/>
  <c r="H33" i="1"/>
  <c r="H32" i="1"/>
  <c r="H29" i="1"/>
  <c r="H28" i="1"/>
  <c r="H27" i="1"/>
  <c r="H26" i="1"/>
  <c r="H25" i="1"/>
  <c r="H24" i="1"/>
  <c r="H23" i="1"/>
  <c r="H22" i="1"/>
  <c r="H21" i="1"/>
  <c r="H20" i="1"/>
  <c r="H19" i="1"/>
  <c r="H18" i="1"/>
  <c r="H14" i="1"/>
  <c r="H12" i="1"/>
  <c r="H11" i="1"/>
  <c r="H9" i="1"/>
  <c r="H7" i="1"/>
  <c r="H6" i="1"/>
  <c r="H5" i="1"/>
  <c r="H4" i="1"/>
  <c r="H3" i="1"/>
  <c r="J32" i="1"/>
  <c r="I43" i="1"/>
  <c r="I42" i="1"/>
  <c r="I41" i="1"/>
  <c r="I40" i="1"/>
  <c r="I39" i="1"/>
  <c r="I38" i="1"/>
  <c r="I37" i="1"/>
  <c r="I35" i="1"/>
  <c r="J35" i="1" s="1"/>
  <c r="I34" i="1"/>
  <c r="J34" i="1" s="1"/>
  <c r="I33" i="1"/>
  <c r="J33" i="1" s="1"/>
  <c r="I32" i="1"/>
  <c r="D29" i="1"/>
  <c r="D28" i="1"/>
  <c r="D14" i="1"/>
  <c r="D13" i="1"/>
  <c r="G43" i="1"/>
  <c r="G42" i="1"/>
  <c r="G41" i="1"/>
  <c r="G40" i="1"/>
  <c r="G39" i="1"/>
  <c r="G38" i="1"/>
  <c r="G37" i="1"/>
  <c r="G36" i="1"/>
  <c r="G35" i="1"/>
  <c r="G34" i="1"/>
  <c r="G33" i="1"/>
  <c r="G32" i="1"/>
  <c r="G15" i="1"/>
  <c r="D7" i="1"/>
  <c r="D12" i="1"/>
  <c r="M22" i="1" l="1"/>
  <c r="M23" i="1"/>
  <c r="M24" i="1"/>
  <c r="M25" i="1"/>
  <c r="M26" i="1"/>
  <c r="M27" i="1"/>
  <c r="M28" i="1"/>
  <c r="O28" i="1" s="1"/>
  <c r="M29" i="1"/>
  <c r="O29" i="1" s="1"/>
  <c r="M43" i="1"/>
  <c r="M41" i="1"/>
  <c r="M35" i="1"/>
  <c r="M34" i="1"/>
  <c r="M33" i="1"/>
  <c r="M32" i="1"/>
  <c r="P43" i="1"/>
  <c r="P41" i="1"/>
  <c r="P35" i="1"/>
  <c r="P34" i="1"/>
  <c r="P33" i="1"/>
  <c r="P32" i="1"/>
  <c r="D27" i="1"/>
  <c r="E15" i="1"/>
  <c r="R43" i="1"/>
  <c r="R42" i="1"/>
  <c r="R41" i="1"/>
  <c r="R40" i="1"/>
  <c r="R39" i="1"/>
  <c r="R38" i="1"/>
  <c r="R37" i="1"/>
  <c r="R36" i="1"/>
  <c r="R35" i="1"/>
  <c r="R34" i="1"/>
  <c r="R33" i="1"/>
  <c r="R32" i="1"/>
  <c r="S35" i="1" l="1"/>
  <c r="S33" i="1"/>
  <c r="S34" i="1"/>
  <c r="S32" i="1"/>
  <c r="S41" i="1"/>
  <c r="S43" i="1"/>
  <c r="P29" i="1"/>
  <c r="P28" i="1"/>
  <c r="P27" i="1"/>
  <c r="P26" i="1"/>
  <c r="P25" i="1"/>
  <c r="P24" i="1"/>
  <c r="P23" i="1"/>
  <c r="P22" i="1"/>
  <c r="P21" i="1"/>
  <c r="P20" i="1"/>
  <c r="P19" i="1"/>
  <c r="P18" i="1"/>
  <c r="M21" i="1"/>
  <c r="M20" i="1"/>
  <c r="M19" i="1"/>
  <c r="R29" i="1"/>
  <c r="S29" i="1" s="1"/>
  <c r="R28" i="1"/>
  <c r="S28" i="1" s="1"/>
  <c r="R27" i="1"/>
  <c r="S27" i="1" s="1"/>
  <c r="R26" i="1"/>
  <c r="S26" i="1" s="1"/>
  <c r="R25" i="1"/>
  <c r="S25" i="1" s="1"/>
  <c r="R24" i="1"/>
  <c r="S24" i="1" s="1"/>
  <c r="R23" i="1"/>
  <c r="S23" i="1" s="1"/>
  <c r="R22" i="1"/>
  <c r="S22" i="1" s="1"/>
  <c r="R21" i="1"/>
  <c r="R20" i="1"/>
  <c r="R19" i="1"/>
  <c r="R18" i="1"/>
  <c r="M5" i="1"/>
  <c r="M4" i="1"/>
  <c r="M3" i="1"/>
  <c r="M14" i="1"/>
  <c r="M13" i="1"/>
  <c r="M12" i="1"/>
  <c r="M11" i="1"/>
  <c r="M10" i="1"/>
  <c r="M9" i="1"/>
  <c r="M8" i="1"/>
  <c r="M7" i="1"/>
  <c r="M6" i="1"/>
  <c r="K43" i="1"/>
  <c r="K42" i="1"/>
  <c r="K41" i="1"/>
  <c r="K40" i="1"/>
  <c r="K39" i="1"/>
  <c r="K38" i="1"/>
  <c r="K37" i="1"/>
  <c r="K36" i="1"/>
  <c r="K35" i="1"/>
  <c r="K34" i="1"/>
  <c r="K33" i="1"/>
  <c r="K32" i="1"/>
  <c r="L29" i="1"/>
  <c r="L28" i="1"/>
  <c r="L27" i="1"/>
  <c r="B15" i="1"/>
  <c r="K15" i="1"/>
  <c r="M15" i="1" s="1"/>
  <c r="L8" i="1"/>
  <c r="N8" i="1"/>
  <c r="O8" i="1"/>
  <c r="M42" i="1"/>
  <c r="S42" i="1" s="1"/>
  <c r="E42" i="1"/>
  <c r="B42" i="1"/>
  <c r="E41" i="1"/>
  <c r="B41" i="1"/>
  <c r="E34" i="1"/>
  <c r="B34" i="1"/>
  <c r="E33" i="1"/>
  <c r="B33" i="1"/>
  <c r="E32" i="1"/>
  <c r="B32" i="1"/>
  <c r="F28" i="1"/>
  <c r="F27" i="1"/>
  <c r="N13" i="1"/>
  <c r="O13" i="1"/>
  <c r="F13" i="1"/>
  <c r="N12" i="1"/>
  <c r="O12" i="1"/>
  <c r="F12" i="1"/>
  <c r="F20" i="1"/>
  <c r="L20" i="1"/>
  <c r="F19" i="1"/>
  <c r="L19" i="1"/>
  <c r="F18" i="1"/>
  <c r="L18" i="1"/>
  <c r="N5" i="1"/>
  <c r="L5" i="1"/>
  <c r="F5" i="1"/>
  <c r="N4" i="1"/>
  <c r="O4" i="1"/>
  <c r="F4" i="1"/>
  <c r="N3" i="1"/>
  <c r="L3" i="1"/>
  <c r="F3" i="1"/>
  <c r="P40" i="1"/>
  <c r="P36" i="1"/>
  <c r="M40" i="1"/>
  <c r="S40" i="1" s="1"/>
  <c r="M36" i="1"/>
  <c r="S36" i="1" s="1"/>
  <c r="M37" i="1"/>
  <c r="S37" i="1" s="1"/>
  <c r="M38" i="1"/>
  <c r="S38" i="1" s="1"/>
  <c r="M39" i="1"/>
  <c r="S39" i="1" s="1"/>
  <c r="E43" i="1"/>
  <c r="B43" i="1"/>
  <c r="D26" i="1"/>
  <c r="F26" i="1"/>
  <c r="F29" i="1"/>
  <c r="D11" i="1"/>
  <c r="N14" i="1"/>
  <c r="O14" i="1"/>
  <c r="F14" i="1"/>
  <c r="P39" i="1"/>
  <c r="P38" i="1"/>
  <c r="P37" i="1"/>
  <c r="E39" i="1"/>
  <c r="B39" i="1"/>
  <c r="F25" i="1"/>
  <c r="D25" i="1"/>
  <c r="N10" i="1"/>
  <c r="O10" i="1"/>
  <c r="F10" i="1"/>
  <c r="D10" i="1"/>
  <c r="D42" i="1" l="1"/>
  <c r="L42" i="1" s="1"/>
  <c r="J42" i="1"/>
  <c r="H42" i="1"/>
  <c r="D41" i="1"/>
  <c r="L41" i="1" s="1"/>
  <c r="J41" i="1"/>
  <c r="H41" i="1"/>
  <c r="D43" i="1"/>
  <c r="L43" i="1" s="1"/>
  <c r="J43" i="1"/>
  <c r="H43" i="1"/>
  <c r="J39" i="1"/>
  <c r="H39" i="1"/>
  <c r="L25" i="1"/>
  <c r="L26" i="1"/>
  <c r="S21" i="1"/>
  <c r="S20" i="1"/>
  <c r="L34" i="1"/>
  <c r="S19" i="1"/>
  <c r="S18" i="1"/>
  <c r="Q41" i="1"/>
  <c r="F42" i="1"/>
  <c r="Q42" i="1"/>
  <c r="O27" i="1"/>
  <c r="F41" i="1"/>
  <c r="O41" i="1"/>
  <c r="Q34" i="1"/>
  <c r="F32" i="1"/>
  <c r="O42" i="1"/>
  <c r="F33" i="1"/>
  <c r="Q33" i="1"/>
  <c r="Q32" i="1"/>
  <c r="F34" i="1"/>
  <c r="L33" i="1"/>
  <c r="L32" i="1"/>
  <c r="Q28" i="1"/>
  <c r="Q27" i="1"/>
  <c r="L12" i="1"/>
  <c r="L13" i="1"/>
  <c r="Q20" i="1"/>
  <c r="O26" i="1"/>
  <c r="Q19" i="1"/>
  <c r="Q18" i="1"/>
  <c r="Q43" i="1"/>
  <c r="O5" i="1"/>
  <c r="L4" i="1"/>
  <c r="O3" i="1"/>
  <c r="Q26" i="1"/>
  <c r="F43" i="1"/>
  <c r="O43" i="1"/>
  <c r="Q29" i="1"/>
  <c r="L14" i="1"/>
  <c r="Q25" i="1"/>
  <c r="D39" i="1"/>
  <c r="F39" i="1"/>
  <c r="Q39" i="1"/>
  <c r="O39" i="1"/>
  <c r="O25" i="1"/>
  <c r="L10" i="1"/>
  <c r="L39" i="1" l="1"/>
  <c r="O40" i="1"/>
  <c r="N6" i="1" l="1"/>
  <c r="N7" i="1"/>
  <c r="N9" i="1"/>
  <c r="N11" i="1"/>
  <c r="E40" i="1"/>
  <c r="B40" i="1"/>
  <c r="D24" i="1"/>
  <c r="D9" i="1"/>
  <c r="O11" i="1"/>
  <c r="L9" i="1"/>
  <c r="O7" i="1"/>
  <c r="O6" i="1"/>
  <c r="E38" i="1"/>
  <c r="B38" i="1"/>
  <c r="F24" i="1"/>
  <c r="F9" i="1"/>
  <c r="E37" i="1"/>
  <c r="B37" i="1"/>
  <c r="F23" i="1"/>
  <c r="D23" i="1"/>
  <c r="F8" i="1"/>
  <c r="D8" i="1"/>
  <c r="F22" i="1"/>
  <c r="F21" i="1"/>
  <c r="E36" i="1"/>
  <c r="B36" i="1"/>
  <c r="D22" i="1"/>
  <c r="F7" i="1"/>
  <c r="J40" i="1" l="1"/>
  <c r="H40" i="1"/>
  <c r="J38" i="1"/>
  <c r="H38" i="1"/>
  <c r="J37" i="1"/>
  <c r="H37" i="1"/>
  <c r="J36" i="1"/>
  <c r="H36" i="1"/>
  <c r="L24" i="1"/>
  <c r="L23" i="1"/>
  <c r="L22" i="1"/>
  <c r="D40" i="1"/>
  <c r="L6" i="1"/>
  <c r="Q23" i="1"/>
  <c r="L11" i="1"/>
  <c r="Q38" i="1"/>
  <c r="O9" i="1"/>
  <c r="O24" i="1"/>
  <c r="L7" i="1"/>
  <c r="F38" i="1"/>
  <c r="D38" i="1"/>
  <c r="O38" i="1"/>
  <c r="Q24" i="1"/>
  <c r="Q37" i="1"/>
  <c r="O23" i="1"/>
  <c r="D37" i="1"/>
  <c r="O37" i="1"/>
  <c r="F37" i="1"/>
  <c r="Q40" i="1"/>
  <c r="Q35" i="1"/>
  <c r="Q21" i="1"/>
  <c r="Q36" i="1"/>
  <c r="O22" i="1"/>
  <c r="Q22" i="1"/>
  <c r="F36" i="1"/>
  <c r="O36" i="1"/>
  <c r="D36" i="1"/>
  <c r="L36" i="1" l="1"/>
  <c r="L38" i="1"/>
  <c r="L40" i="1"/>
  <c r="L37" i="1"/>
  <c r="J13" i="2"/>
  <c r="J27" i="2"/>
  <c r="J26" i="2"/>
  <c r="J25" i="2"/>
  <c r="J24" i="2"/>
  <c r="J23" i="2"/>
  <c r="J22" i="2"/>
  <c r="J21" i="2"/>
  <c r="J20" i="2"/>
  <c r="J19" i="2"/>
  <c r="J18" i="2"/>
  <c r="J17" i="2"/>
  <c r="J16" i="2"/>
  <c r="J3" i="2"/>
  <c r="J4" i="2"/>
  <c r="J5" i="2"/>
  <c r="J6" i="2"/>
  <c r="J7" i="2"/>
  <c r="J8" i="2"/>
  <c r="J9" i="2"/>
  <c r="J10" i="2"/>
  <c r="J11" i="2"/>
  <c r="J12" i="2"/>
  <c r="J2" i="2"/>
  <c r="I17" i="2"/>
  <c r="I18" i="2"/>
  <c r="I19" i="2"/>
  <c r="I20" i="2"/>
  <c r="I21" i="2"/>
  <c r="I22" i="2"/>
  <c r="I23" i="2"/>
  <c r="I24" i="2"/>
  <c r="I25" i="2"/>
  <c r="I26" i="2"/>
  <c r="I27" i="2"/>
  <c r="I16" i="2"/>
  <c r="I3" i="2"/>
  <c r="I4" i="2"/>
  <c r="I5" i="2"/>
  <c r="I6" i="2"/>
  <c r="I7" i="2"/>
  <c r="I8" i="2"/>
  <c r="I9" i="2"/>
  <c r="I10" i="2"/>
  <c r="I11" i="2"/>
  <c r="I12" i="2"/>
  <c r="I13" i="2"/>
  <c r="I2" i="2"/>
  <c r="H55" i="2"/>
  <c r="H54" i="2"/>
  <c r="H53" i="2"/>
  <c r="H52" i="2"/>
  <c r="H51" i="2"/>
  <c r="H50" i="2"/>
  <c r="H49" i="2"/>
  <c r="H48" i="2"/>
  <c r="H47" i="2"/>
  <c r="H46" i="2"/>
  <c r="H45" i="2"/>
  <c r="H44" i="2"/>
  <c r="H28" i="2"/>
  <c r="H14" i="2"/>
  <c r="E35" i="1"/>
  <c r="B35" i="1"/>
  <c r="L21" i="1"/>
  <c r="F6" i="1"/>
  <c r="D15" i="1"/>
  <c r="H15" i="1" s="1"/>
  <c r="F35" i="1" l="1"/>
  <c r="J37" i="2"/>
  <c r="J31" i="2"/>
  <c r="J28" i="2"/>
  <c r="I37" i="2"/>
  <c r="J34" i="2"/>
  <c r="I49" i="2"/>
  <c r="H42" i="2"/>
  <c r="H56" i="2"/>
  <c r="L35" i="1"/>
  <c r="B14" i="2"/>
  <c r="C14" i="2"/>
  <c r="D14" i="2"/>
  <c r="E14" i="2"/>
  <c r="F14" i="2"/>
  <c r="G14" i="2"/>
  <c r="I14" i="2" s="1"/>
  <c r="B28" i="2"/>
  <c r="C28" i="2"/>
  <c r="D28" i="2"/>
  <c r="E28" i="2"/>
  <c r="F28" i="2"/>
  <c r="G28" i="2"/>
  <c r="J30" i="2"/>
  <c r="I31" i="2"/>
  <c r="I32" i="2"/>
  <c r="J33" i="2"/>
  <c r="I34" i="2"/>
  <c r="J35" i="2"/>
  <c r="J36" i="2"/>
  <c r="I39" i="2"/>
  <c r="I40" i="2"/>
  <c r="I41" i="2"/>
  <c r="B42" i="2"/>
  <c r="C44" i="2"/>
  <c r="D44" i="2"/>
  <c r="E44" i="2"/>
  <c r="F44" i="2"/>
  <c r="G44" i="2"/>
  <c r="I44" i="2" s="1"/>
  <c r="C45" i="2"/>
  <c r="D45" i="2"/>
  <c r="E45" i="2"/>
  <c r="F45" i="2"/>
  <c r="G45" i="2"/>
  <c r="I45" i="2" s="1"/>
  <c r="C46" i="2"/>
  <c r="D46" i="2"/>
  <c r="E46" i="2"/>
  <c r="F46" i="2"/>
  <c r="G46" i="2"/>
  <c r="J46" i="2" s="1"/>
  <c r="D47" i="2"/>
  <c r="E47" i="2"/>
  <c r="F47" i="2"/>
  <c r="G47" i="2"/>
  <c r="D48" i="2"/>
  <c r="E48" i="2"/>
  <c r="F48" i="2"/>
  <c r="G48" i="2"/>
  <c r="J48" i="2" s="1"/>
  <c r="D49" i="2"/>
  <c r="E49" i="2"/>
  <c r="F49" i="2"/>
  <c r="G49" i="2"/>
  <c r="J49" i="2" s="1"/>
  <c r="D50" i="2"/>
  <c r="E50" i="2"/>
  <c r="F50" i="2"/>
  <c r="G50" i="2"/>
  <c r="I50" i="2" s="1"/>
  <c r="C51" i="2"/>
  <c r="D51" i="2"/>
  <c r="E51" i="2"/>
  <c r="F51" i="2"/>
  <c r="G51" i="2"/>
  <c r="I51" i="2" s="1"/>
  <c r="C52" i="2"/>
  <c r="D52" i="2"/>
  <c r="E52" i="2"/>
  <c r="F52" i="2"/>
  <c r="G52" i="2"/>
  <c r="J52" i="2" s="1"/>
  <c r="C53" i="2"/>
  <c r="D53" i="2"/>
  <c r="E53" i="2"/>
  <c r="F53" i="2"/>
  <c r="G53" i="2"/>
  <c r="J53" i="2" s="1"/>
  <c r="C54" i="2"/>
  <c r="D54" i="2"/>
  <c r="E54" i="2"/>
  <c r="F54" i="2"/>
  <c r="G54" i="2"/>
  <c r="J54" i="2" s="1"/>
  <c r="B55" i="2"/>
  <c r="B56" i="2" s="1"/>
  <c r="C55" i="2"/>
  <c r="D55" i="2"/>
  <c r="E55" i="2"/>
  <c r="F55" i="2"/>
  <c r="G55" i="2"/>
  <c r="I55" i="2" s="1"/>
  <c r="J55" i="2" l="1"/>
  <c r="J32" i="2"/>
  <c r="I30" i="2"/>
  <c r="J38" i="2"/>
  <c r="I38" i="2"/>
  <c r="J44" i="2"/>
  <c r="I35" i="2"/>
  <c r="J40" i="2"/>
  <c r="J39" i="2"/>
  <c r="I33" i="2"/>
  <c r="I52" i="2"/>
  <c r="J41" i="2"/>
  <c r="I53" i="2"/>
  <c r="I28" i="2"/>
  <c r="I48" i="2"/>
  <c r="I36" i="2"/>
  <c r="J45" i="2"/>
  <c r="J47" i="2"/>
  <c r="I47" i="2"/>
  <c r="F56" i="2"/>
  <c r="I54" i="2"/>
  <c r="J51" i="2"/>
  <c r="J56" i="2"/>
  <c r="I46" i="2"/>
  <c r="J14" i="2"/>
  <c r="J50" i="2"/>
  <c r="C56" i="2"/>
  <c r="G42" i="2"/>
  <c r="C42" i="2"/>
  <c r="D42" i="2"/>
  <c r="D56" i="2"/>
  <c r="E42" i="2"/>
  <c r="E56" i="2"/>
  <c r="G56" i="2"/>
  <c r="F42" i="2"/>
  <c r="I42" i="2" l="1"/>
  <c r="J42" i="2"/>
  <c r="I56" i="2"/>
  <c r="F40" i="1"/>
  <c r="F11" i="1" l="1"/>
  <c r="N15" i="1" l="1"/>
  <c r="O15" i="1"/>
  <c r="L15" i="1"/>
  <c r="F15" i="1"/>
</calcChain>
</file>

<file path=xl/sharedStrings.xml><?xml version="1.0" encoding="utf-8"?>
<sst xmlns="http://schemas.openxmlformats.org/spreadsheetml/2006/main" count="153" uniqueCount="39">
  <si>
    <t>Variance</t>
  </si>
  <si>
    <t>Last Year Actual</t>
  </si>
  <si>
    <t>Aug</t>
  </si>
  <si>
    <t>Sept</t>
  </si>
  <si>
    <t>Room Nights</t>
  </si>
  <si>
    <t>ADR</t>
  </si>
  <si>
    <t>Occupancy</t>
  </si>
  <si>
    <t>OTB vs LY</t>
  </si>
  <si>
    <t>TOTAL</t>
  </si>
  <si>
    <t>TOTAL Average</t>
  </si>
  <si>
    <t>Dec</t>
  </si>
  <si>
    <t>Nov</t>
  </si>
  <si>
    <t>Oct</t>
  </si>
  <si>
    <t>Jul</t>
  </si>
  <si>
    <t>Jun</t>
  </si>
  <si>
    <t>May</t>
  </si>
  <si>
    <t>Apr</t>
  </si>
  <si>
    <t>Mar</t>
  </si>
  <si>
    <t>Feb</t>
  </si>
  <si>
    <t>Jan</t>
  </si>
  <si>
    <t>Revenue</t>
  </si>
  <si>
    <t>2025</t>
  </si>
  <si>
    <t>2024 vs 2025</t>
  </si>
  <si>
    <t>Sep</t>
  </si>
  <si>
    <t>RevPar</t>
  </si>
  <si>
    <t xml:space="preserve">Jan </t>
  </si>
  <si>
    <t>Budget</t>
  </si>
  <si>
    <t>OTB vs Budget</t>
  </si>
  <si>
    <t>Budget vs LY Actual</t>
  </si>
  <si>
    <t xml:space="preserve">OTB vs Budget </t>
  </si>
  <si>
    <t>2025 ACTUAL</t>
  </si>
  <si>
    <t>2024 ACTUAL</t>
  </si>
  <si>
    <t>OTB vs 2025</t>
  </si>
  <si>
    <t>OTB vs 2024</t>
  </si>
  <si>
    <t>STLY</t>
  </si>
  <si>
    <t>Variance OTB vs STLY</t>
  </si>
  <si>
    <t>OTB @ 30 July 2026</t>
  </si>
  <si>
    <t>Hotel Krige | 14 August 2026</t>
  </si>
  <si>
    <t>OTB @ 14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</si>
</sst>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D9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C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1" fontId="9" fillId="0" borderId="12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2" fontId="7" fillId="0" borderId="18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4" borderId="10" xfId="0" applyFont="1" applyFill="1" applyBorder="1" applyAlignment="1">
      <alignment horizontal="center" vertical="center"/>
    </xf>
    <xf numFmtId="2" fontId="7" fillId="4" borderId="10" xfId="0" applyNumberFormat="1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vertical="center"/>
    </xf>
    <xf numFmtId="9" fontId="9" fillId="0" borderId="12" xfId="1" applyFont="1" applyFill="1" applyBorder="1" applyAlignment="1">
      <alignment horizontal="center" vertical="center"/>
    </xf>
    <xf numFmtId="9" fontId="9" fillId="0" borderId="13" xfId="1" applyFont="1" applyFill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10" fontId="7" fillId="0" borderId="10" xfId="0" applyNumberFormat="1" applyFont="1" applyBorder="1" applyAlignment="1">
      <alignment horizontal="center" vertical="center"/>
    </xf>
    <xf numFmtId="10" fontId="7" fillId="4" borderId="10" xfId="0" applyNumberFormat="1" applyFont="1" applyFill="1" applyBorder="1" applyAlignment="1">
      <alignment horizontal="center" vertical="center"/>
    </xf>
    <xf numFmtId="1" fontId="9" fillId="0" borderId="12" xfId="1" applyNumberFormat="1" applyFont="1" applyFill="1" applyBorder="1" applyAlignment="1">
      <alignment horizontal="center" vertical="center"/>
    </xf>
    <xf numFmtId="1" fontId="9" fillId="0" borderId="13" xfId="1" applyNumberFormat="1" applyFont="1" applyFill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4" borderId="10" xfId="0" applyNumberFormat="1" applyFont="1" applyFill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49" fontId="9" fillId="5" borderId="18" xfId="0" applyNumberFormat="1" applyFont="1" applyFill="1" applyBorder="1" applyAlignment="1">
      <alignment horizontal="center" vertical="center"/>
    </xf>
    <xf numFmtId="49" fontId="9" fillId="5" borderId="10" xfId="0" applyNumberFormat="1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vertical="center"/>
    </xf>
    <xf numFmtId="17" fontId="10" fillId="0" borderId="1" xfId="0" applyNumberFormat="1" applyFont="1" applyBorder="1" applyAlignment="1">
      <alignment horizontal="left" vertical="center"/>
    </xf>
    <xf numFmtId="17" fontId="10" fillId="0" borderId="2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/>
    </xf>
    <xf numFmtId="3" fontId="11" fillId="0" borderId="4" xfId="0" applyNumberFormat="1" applyFont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10" fillId="0" borderId="0" xfId="0" applyFont="1" applyAlignment="1">
      <alignment vertical="center"/>
    </xf>
    <xf numFmtId="3" fontId="10" fillId="2" borderId="1" xfId="0" applyNumberFormat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3" fontId="14" fillId="6" borderId="17" xfId="0" applyNumberFormat="1" applyFont="1" applyFill="1" applyBorder="1" applyAlignment="1">
      <alignment horizontal="center" vertical="center"/>
    </xf>
    <xf numFmtId="3" fontId="9" fillId="6" borderId="11" xfId="0" applyNumberFormat="1" applyFont="1" applyFill="1" applyBorder="1" applyAlignment="1">
      <alignment horizontal="center" vertical="center"/>
    </xf>
    <xf numFmtId="1" fontId="14" fillId="6" borderId="17" xfId="0" applyNumberFormat="1" applyFont="1" applyFill="1" applyBorder="1" applyAlignment="1">
      <alignment horizontal="center" vertical="center"/>
    </xf>
    <xf numFmtId="1" fontId="9" fillId="6" borderId="11" xfId="0" applyNumberFormat="1" applyFont="1" applyFill="1" applyBorder="1" applyAlignment="1">
      <alignment horizontal="center" vertical="center"/>
    </xf>
    <xf numFmtId="10" fontId="14" fillId="6" borderId="17" xfId="0" applyNumberFormat="1" applyFont="1" applyFill="1" applyBorder="1" applyAlignment="1">
      <alignment horizontal="center" vertical="center"/>
    </xf>
    <xf numFmtId="10" fontId="9" fillId="6" borderId="11" xfId="0" applyNumberFormat="1" applyFont="1" applyFill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9" fontId="14" fillId="6" borderId="17" xfId="1" applyFont="1" applyFill="1" applyBorder="1" applyAlignment="1">
      <alignment horizontal="center" vertical="center"/>
    </xf>
    <xf numFmtId="9" fontId="9" fillId="6" borderId="11" xfId="1" applyFont="1" applyFill="1" applyBorder="1" applyAlignment="1">
      <alignment horizontal="center" vertical="center"/>
    </xf>
    <xf numFmtId="17" fontId="10" fillId="0" borderId="4" xfId="0" applyNumberFormat="1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0" fontId="15" fillId="0" borderId="0" xfId="0" applyFont="1"/>
    <xf numFmtId="164" fontId="10" fillId="0" borderId="1" xfId="0" applyNumberFormat="1" applyFont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  <xf numFmtId="17" fontId="10" fillId="0" borderId="25" xfId="0" applyNumberFormat="1" applyFont="1" applyBorder="1" applyAlignment="1">
      <alignment horizontal="left" vertical="center"/>
    </xf>
    <xf numFmtId="3" fontId="10" fillId="0" borderId="25" xfId="0" applyNumberFormat="1" applyFont="1" applyBorder="1" applyAlignment="1">
      <alignment horizontal="center" vertical="center"/>
    </xf>
    <xf numFmtId="164" fontId="10" fillId="0" borderId="25" xfId="0" applyNumberFormat="1" applyFont="1" applyBorder="1" applyAlignment="1">
      <alignment horizontal="center" vertical="center"/>
    </xf>
    <xf numFmtId="1" fontId="10" fillId="2" borderId="4" xfId="0" applyNumberFormat="1" applyFont="1" applyFill="1" applyBorder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10" fillId="0" borderId="25" xfId="0" applyNumberFormat="1" applyFont="1" applyBorder="1" applyAlignment="1">
      <alignment horizontal="center" vertical="center"/>
    </xf>
    <xf numFmtId="164" fontId="10" fillId="0" borderId="25" xfId="1" applyNumberFormat="1" applyFont="1" applyBorder="1" applyAlignment="1">
      <alignment horizontal="center" vertical="center"/>
    </xf>
    <xf numFmtId="164" fontId="10" fillId="2" borderId="25" xfId="0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0" fillId="2" borderId="25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164" fontId="10" fillId="7" borderId="0" xfId="0" applyNumberFormat="1" applyFont="1" applyFill="1" applyAlignment="1">
      <alignment horizontal="center" vertical="center"/>
    </xf>
    <xf numFmtId="164" fontId="10" fillId="7" borderId="25" xfId="0" applyNumberFormat="1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3" fontId="10" fillId="7" borderId="25" xfId="0" applyNumberFormat="1" applyFont="1" applyFill="1" applyBorder="1" applyAlignment="1">
      <alignment horizontal="center" vertical="center"/>
    </xf>
    <xf numFmtId="3" fontId="10" fillId="7" borderId="1" xfId="0" applyNumberFormat="1" applyFont="1" applyFill="1" applyBorder="1" applyAlignment="1">
      <alignment horizontal="center" vertical="center"/>
    </xf>
    <xf numFmtId="3" fontId="10" fillId="7" borderId="2" xfId="0" applyNumberFormat="1" applyFont="1" applyFill="1" applyBorder="1" applyAlignment="1">
      <alignment horizontal="center" vertical="center"/>
    </xf>
    <xf numFmtId="3" fontId="11" fillId="7" borderId="0" xfId="0" applyNumberFormat="1" applyFont="1" applyFill="1" applyAlignment="1">
      <alignment horizontal="center" vertical="center"/>
    </xf>
    <xf numFmtId="1" fontId="10" fillId="7" borderId="0" xfId="0" applyNumberFormat="1" applyFont="1" applyFill="1" applyAlignment="1">
      <alignment horizontal="center" vertical="center"/>
    </xf>
    <xf numFmtId="1" fontId="10" fillId="7" borderId="1" xfId="0" applyNumberFormat="1" applyFont="1" applyFill="1" applyBorder="1" applyAlignment="1">
      <alignment horizontal="center" vertical="center"/>
    </xf>
    <xf numFmtId="1" fontId="10" fillId="7" borderId="2" xfId="0" applyNumberFormat="1" applyFont="1" applyFill="1" applyBorder="1" applyAlignment="1">
      <alignment horizontal="center" vertical="center"/>
    </xf>
    <xf numFmtId="1" fontId="10" fillId="7" borderId="4" xfId="0" applyNumberFormat="1" applyFont="1" applyFill="1" applyBorder="1" applyAlignment="1">
      <alignment horizontal="center" vertical="center"/>
    </xf>
    <xf numFmtId="9" fontId="2" fillId="7" borderId="1" xfId="1" applyFont="1" applyFill="1" applyBorder="1" applyAlignment="1">
      <alignment horizontal="center" vertical="center"/>
    </xf>
    <xf numFmtId="9" fontId="2" fillId="7" borderId="0" xfId="1" applyFont="1" applyFill="1" applyAlignment="1">
      <alignment horizontal="center" vertical="center"/>
    </xf>
    <xf numFmtId="164" fontId="10" fillId="6" borderId="1" xfId="1" applyNumberFormat="1" applyFont="1" applyFill="1" applyBorder="1" applyAlignment="1">
      <alignment horizontal="center" vertical="center"/>
    </xf>
    <xf numFmtId="9" fontId="2" fillId="7" borderId="24" xfId="1" applyFont="1" applyFill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164" fontId="10" fillId="2" borderId="0" xfId="1" applyNumberFormat="1" applyFont="1" applyFill="1" applyBorder="1" applyAlignment="1">
      <alignment horizontal="center" vertical="center"/>
    </xf>
    <xf numFmtId="164" fontId="11" fillId="2" borderId="24" xfId="1" applyNumberFormat="1" applyFont="1" applyFill="1" applyBorder="1" applyAlignment="1">
      <alignment horizontal="center" vertical="center"/>
    </xf>
    <xf numFmtId="164" fontId="11" fillId="6" borderId="24" xfId="1" applyNumberFormat="1" applyFont="1" applyFill="1" applyBorder="1" applyAlignment="1">
      <alignment horizontal="center" vertical="center"/>
    </xf>
    <xf numFmtId="1" fontId="10" fillId="2" borderId="25" xfId="0" applyNumberFormat="1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 wrapText="1"/>
    </xf>
    <xf numFmtId="3" fontId="10" fillId="0" borderId="20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center" vertical="center"/>
    </xf>
    <xf numFmtId="3" fontId="10" fillId="0" borderId="27" xfId="0" applyNumberFormat="1" applyFont="1" applyBorder="1" applyAlignment="1">
      <alignment horizontal="center" vertical="center"/>
    </xf>
    <xf numFmtId="3" fontId="10" fillId="0" borderId="28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3" fontId="16" fillId="2" borderId="24" xfId="0" applyNumberFormat="1" applyFont="1" applyFill="1" applyBorder="1" applyAlignment="1">
      <alignment horizontal="center" vertical="center"/>
    </xf>
    <xf numFmtId="1" fontId="10" fillId="0" borderId="27" xfId="0" applyNumberFormat="1" applyFont="1" applyBorder="1" applyAlignment="1">
      <alignment horizontal="center" vertical="center"/>
    </xf>
    <xf numFmtId="3" fontId="10" fillId="0" borderId="15" xfId="0" applyNumberFormat="1" applyFont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/>
    </xf>
    <xf numFmtId="3" fontId="10" fillId="7" borderId="0" xfId="0" applyNumberFormat="1" applyFont="1" applyFill="1" applyAlignment="1">
      <alignment horizontal="center" vertical="center"/>
    </xf>
    <xf numFmtId="3" fontId="11" fillId="7" borderId="1" xfId="0" applyNumberFormat="1" applyFont="1" applyFill="1" applyBorder="1" applyAlignment="1">
      <alignment horizontal="center" vertical="center"/>
    </xf>
    <xf numFmtId="1" fontId="10" fillId="7" borderId="25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4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F77FDB"/>
      <color rgb="FFFFBCFA"/>
      <color rgb="FFDDD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Hotel Krige | Occupancy %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8.9227710172592067E-2"/>
          <c:y val="0.14718253968253969"/>
          <c:w val="0.8829945120496302"/>
          <c:h val="0.71875359330083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FY!$M$17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FY!$A$21:$A$26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FY!$M$21:$M$26</c:f>
              <c:numCache>
                <c:formatCode>0.0%</c:formatCode>
                <c:ptCount val="6"/>
                <c:pt idx="0">
                  <c:v>0.20555555555555555</c:v>
                </c:pt>
                <c:pt idx="1">
                  <c:v>0.14516129032258066</c:v>
                </c:pt>
                <c:pt idx="2">
                  <c:v>0.33870967741935482</c:v>
                </c:pt>
                <c:pt idx="3">
                  <c:v>0.27083333333333331</c:v>
                </c:pt>
                <c:pt idx="4">
                  <c:v>0.39247311827956988</c:v>
                </c:pt>
                <c:pt idx="5">
                  <c:v>0.50555555555555554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D-2D4B-8A72-D39F46B0159B}"/>
            </c:ext>
          </c:extLst>
        </c:ser>
        <c:ser>
          <c:idx val="1"/>
          <c:order val="1"/>
          <c:tx>
            <c:strRef>
              <c:f>FY!$N$17</c:f>
              <c:strCache>
                <c:ptCount val="1"/>
                <c:pt idx="0">
                  <c:v>OTB @ 30 July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FY!$A$21:$A$26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FY!$N$21:$N$26</c:f>
              <c:numCache>
                <c:formatCode>0.0%</c:formatCode>
                <c:ptCount val="6"/>
                <c:pt idx="0">
                  <c:v>0.20555555555555555</c:v>
                </c:pt>
                <c:pt idx="1">
                  <c:v>0.14516129032258066</c:v>
                </c:pt>
                <c:pt idx="2">
                  <c:v>0.34005376344086019</c:v>
                </c:pt>
                <c:pt idx="3">
                  <c:v>0.31944444444444442</c:v>
                </c:pt>
                <c:pt idx="4">
                  <c:v>0.353494623655914</c:v>
                </c:pt>
                <c:pt idx="5">
                  <c:v>0.45694444444444443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D-2D4B-8A72-D39F46B0159B}"/>
            </c:ext>
          </c:extLst>
        </c:ser>
        <c:ser>
          <c:idx val="2"/>
          <c:order val="2"/>
          <c:tx>
            <c:strRef>
              <c:f>FY!$O$17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FY!$A$21:$A$26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FY!$O$21:$O$26</c:f>
              <c:numCache>
                <c:formatCode>0.0%</c:formatCode>
                <c:ptCount val="6"/>
                <c:pt idx="1">
                  <c:v>0</c:v>
                </c:pt>
                <c:pt idx="2">
                  <c:v>-1.3440860215053752E-3</c:v>
                </c:pt>
                <c:pt idx="3">
                  <c:v>-4.8611111111111105E-2</c:v>
                </c:pt>
                <c:pt idx="4">
                  <c:v>3.8978494623655879E-2</c:v>
                </c:pt>
                <c:pt idx="5">
                  <c:v>4.8611111111111105E-2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D-2D4B-8A72-D39F46B0159B}"/>
            </c:ext>
          </c:extLst>
        </c:ser>
        <c:ser>
          <c:idx val="3"/>
          <c:order val="3"/>
          <c:tx>
            <c:strRef>
              <c:f>FY!$P$17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FY!$A$21:$A$26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FY!$P$21:$P$26</c:f>
              <c:numCache>
                <c:formatCode>0.0%</c:formatCode>
                <c:ptCount val="6"/>
                <c:pt idx="0">
                  <c:v>0.37222222222222223</c:v>
                </c:pt>
                <c:pt idx="1">
                  <c:v>0.5981182795698925</c:v>
                </c:pt>
                <c:pt idx="2">
                  <c:v>0.50672043010752688</c:v>
                </c:pt>
                <c:pt idx="3">
                  <c:v>0.72499999999999998</c:v>
                </c:pt>
                <c:pt idx="4">
                  <c:v>0.864247311827957</c:v>
                </c:pt>
                <c:pt idx="5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D-2D4B-8A72-D39F46B0159B}"/>
            </c:ext>
          </c:extLst>
        </c:ser>
        <c:ser>
          <c:idx val="4"/>
          <c:order val="4"/>
          <c:tx>
            <c:strRef>
              <c:f>FY!$Q$17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FY!$A$21:$A$26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FY!$Q$21:$Q$26</c:f>
              <c:numCache>
                <c:formatCode>0.0%</c:formatCode>
                <c:ptCount val="6"/>
                <c:pt idx="0">
                  <c:v>-0.16666666666666669</c:v>
                </c:pt>
                <c:pt idx="1">
                  <c:v>-0.45295698924731187</c:v>
                </c:pt>
                <c:pt idx="2">
                  <c:v>-0.16801075268817206</c:v>
                </c:pt>
                <c:pt idx="3">
                  <c:v>-0.45416666666666666</c:v>
                </c:pt>
                <c:pt idx="4">
                  <c:v>-0.47177419354838712</c:v>
                </c:pt>
                <c:pt idx="5">
                  <c:v>-0.41111111111111109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0D-2D4B-8A72-D39F46B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057423"/>
        <c:axId val="842674623"/>
      </c:barChart>
      <c:catAx>
        <c:axId val="115005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74623"/>
        <c:crosses val="autoZero"/>
        <c:auto val="1"/>
        <c:lblAlgn val="ctr"/>
        <c:lblOffset val="100"/>
        <c:noMultiLvlLbl val="1"/>
      </c:catAx>
      <c:valAx>
        <c:axId val="8426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5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070707070707072E-3"/>
          <c:y val="0.9092257217847769"/>
          <c:w val="0.99292929292929288"/>
          <c:h val="6.696475440569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Hotel Krige | Average Daily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FY!$B$31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FY!$A$35:$A$40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FY!$B$35:$B$40</c:f>
              <c:numCache>
                <c:formatCode>#,##0</c:formatCode>
                <c:ptCount val="6"/>
                <c:pt idx="0">
                  <c:v>1983.7837837836285</c:v>
                </c:pt>
                <c:pt idx="1">
                  <c:v>2075.9387278582221</c:v>
                </c:pt>
                <c:pt idx="2">
                  <c:v>2317.2266735678413</c:v>
                </c:pt>
                <c:pt idx="3">
                  <c:v>1975.6767001115179</c:v>
                </c:pt>
                <c:pt idx="4">
                  <c:v>1247.1293924955205</c:v>
                </c:pt>
                <c:pt idx="5">
                  <c:v>1204.5643334927227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9-DB43-9039-0DD2C1E2C971}"/>
            </c:ext>
          </c:extLst>
        </c:ser>
        <c:ser>
          <c:idx val="1"/>
          <c:order val="1"/>
          <c:tx>
            <c:strRef>
              <c:f>FY!$C$31</c:f>
              <c:strCache>
                <c:ptCount val="1"/>
                <c:pt idx="0">
                  <c:v>OTB @ 30 July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FY!$A$35:$A$40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FY!$C$35:$C$40</c:f>
              <c:numCache>
                <c:formatCode>#,##0</c:formatCode>
                <c:ptCount val="6"/>
                <c:pt idx="0">
                  <c:v>1983.7837837836285</c:v>
                </c:pt>
                <c:pt idx="1">
                  <c:v>2075.9387278582221</c:v>
                </c:pt>
                <c:pt idx="2">
                  <c:v>2521.3835023199722</c:v>
                </c:pt>
                <c:pt idx="3">
                  <c:v>1917.4847637050043</c:v>
                </c:pt>
                <c:pt idx="4">
                  <c:v>1027.8072408662738</c:v>
                </c:pt>
                <c:pt idx="5">
                  <c:v>1128.8402801639756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9-DB43-9039-0DD2C1E2C971}"/>
            </c:ext>
          </c:extLst>
        </c:ser>
        <c:ser>
          <c:idx val="2"/>
          <c:order val="2"/>
          <c:tx>
            <c:strRef>
              <c:f>FY!$D$31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FY!$A$35:$A$40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FY!$D$35:$D$40</c:f>
              <c:numCache>
                <c:formatCode>#,##0</c:formatCode>
                <c:ptCount val="6"/>
                <c:pt idx="1">
                  <c:v>0</c:v>
                </c:pt>
                <c:pt idx="2">
                  <c:v>-204.15682875213088</c:v>
                </c:pt>
                <c:pt idx="3">
                  <c:v>58.191936406513605</c:v>
                </c:pt>
                <c:pt idx="4">
                  <c:v>219.32215162924672</c:v>
                </c:pt>
                <c:pt idx="5">
                  <c:v>75.724053328747004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09-DB43-9039-0DD2C1E2C971}"/>
            </c:ext>
          </c:extLst>
        </c:ser>
        <c:ser>
          <c:idx val="3"/>
          <c:order val="3"/>
          <c:tx>
            <c:strRef>
              <c:f>FY!$E$31</c:f>
              <c:strCache>
                <c:ptCount val="1"/>
                <c:pt idx="0">
                  <c:v>Last Year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FY!$A$35:$A$40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FY!$E$35:$E$40</c:f>
              <c:numCache>
                <c:formatCode>#,##0</c:formatCode>
                <c:ptCount val="6"/>
                <c:pt idx="0">
                  <c:v>1619.5302401036977</c:v>
                </c:pt>
                <c:pt idx="1">
                  <c:v>1450.9304347824675</c:v>
                </c:pt>
                <c:pt idx="2">
                  <c:v>1687.9182331908753</c:v>
                </c:pt>
                <c:pt idx="3">
                  <c:v>1851.8969015490748</c:v>
                </c:pt>
                <c:pt idx="4">
                  <c:v>1986.1920616672614</c:v>
                </c:pt>
                <c:pt idx="5">
                  <c:v>2019.527285902253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09-DB43-9039-0DD2C1E2C971}"/>
            </c:ext>
          </c:extLst>
        </c:ser>
        <c:ser>
          <c:idx val="4"/>
          <c:order val="4"/>
          <c:tx>
            <c:strRef>
              <c:f>FY!$F$31</c:f>
              <c:strCache>
                <c:ptCount val="1"/>
                <c:pt idx="0">
                  <c:v>OTB vs LY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FY!$A$35:$A$40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FY!$F$35:$F$40</c:f>
              <c:numCache>
                <c:formatCode>#,##0</c:formatCode>
                <c:ptCount val="6"/>
                <c:pt idx="0">
                  <c:v>364.25354367993077</c:v>
                </c:pt>
                <c:pt idx="1">
                  <c:v>625.00829307575464</c:v>
                </c:pt>
                <c:pt idx="2">
                  <c:v>629.30844037696602</c:v>
                </c:pt>
                <c:pt idx="3">
                  <c:v>123.77979856244315</c:v>
                </c:pt>
                <c:pt idx="4">
                  <c:v>-739.06266917174094</c:v>
                </c:pt>
                <c:pt idx="5">
                  <c:v>-814.96295240953032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09-DB43-9039-0DD2C1E2C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605984"/>
        <c:axId val="39660432"/>
      </c:barChart>
      <c:catAx>
        <c:axId val="396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0432"/>
        <c:crosses val="autoZero"/>
        <c:auto val="1"/>
        <c:lblAlgn val="ctr"/>
        <c:lblOffset val="100"/>
        <c:noMultiLvlLbl val="1"/>
      </c:catAx>
      <c:valAx>
        <c:axId val="3966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797979797979799E-2"/>
          <c:y val="0.90443288338957628"/>
          <c:w val="0.9555555555555556"/>
          <c:h val="7.17575928008998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Hotel Krige |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FY!$B$2</c:f>
              <c:strCache>
                <c:ptCount val="1"/>
                <c:pt idx="0">
                  <c:v>OTB @ 14 Aug 2026</c:v>
                </c:pt>
              </c:strCache>
            </c:strRef>
          </c:tx>
          <c:spPr>
            <a:solidFill>
              <a:srgbClr val="FFBCFA"/>
            </a:solidFill>
            <a:ln>
              <a:noFill/>
            </a:ln>
            <a:effectLst/>
          </c:spPr>
          <c:invertIfNegative val="0"/>
          <c:cat>
            <c:strRef>
              <c:f>FY!$A$6:$A$11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FY!$B$6:$B$11</c:f>
              <c:numCache>
                <c:formatCode>#,##0</c:formatCode>
                <c:ptCount val="6"/>
                <c:pt idx="0">
                  <c:v>293599.99999997701</c:v>
                </c:pt>
                <c:pt idx="1">
                  <c:v>224201.382608688</c:v>
                </c:pt>
                <c:pt idx="2">
                  <c:v>583941.12173909601</c:v>
                </c:pt>
                <c:pt idx="3">
                  <c:v>385256.956521746</c:v>
                </c:pt>
                <c:pt idx="4">
                  <c:v>364161.78260869201</c:v>
                </c:pt>
                <c:pt idx="5">
                  <c:v>438461.41739135102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2-664B-8178-DC0C2B0A6C68}"/>
            </c:ext>
          </c:extLst>
        </c:ser>
        <c:ser>
          <c:idx val="1"/>
          <c:order val="1"/>
          <c:tx>
            <c:strRef>
              <c:f>FY!$C$2</c:f>
              <c:strCache>
                <c:ptCount val="1"/>
                <c:pt idx="0">
                  <c:v>OTB @ 30 July 2026</c:v>
                </c:pt>
              </c:strCache>
            </c:strRef>
          </c:tx>
          <c:spPr>
            <a:solidFill>
              <a:srgbClr val="F77FDB"/>
            </a:solidFill>
            <a:ln>
              <a:noFill/>
            </a:ln>
            <a:effectLst/>
          </c:spPr>
          <c:invertIfNegative val="0"/>
          <c:cat>
            <c:strRef>
              <c:f>FY!$A$6:$A$11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FY!$C$6:$C$11</c:f>
              <c:numCache>
                <c:formatCode>#,##0</c:formatCode>
                <c:ptCount val="6"/>
                <c:pt idx="0">
                  <c:v>293599.99999997701</c:v>
                </c:pt>
                <c:pt idx="1">
                  <c:v>224201.382608688</c:v>
                </c:pt>
                <c:pt idx="2">
                  <c:v>637910.026086953</c:v>
                </c:pt>
                <c:pt idx="3">
                  <c:v>441021.495652151</c:v>
                </c:pt>
                <c:pt idx="4">
                  <c:v>270313.30434783001</c:v>
                </c:pt>
                <c:pt idx="5">
                  <c:v>371388.452173948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2-664B-8178-DC0C2B0A6C68}"/>
            </c:ext>
          </c:extLst>
        </c:ser>
        <c:ser>
          <c:idx val="2"/>
          <c:order val="2"/>
          <c:tx>
            <c:strRef>
              <c:f>FY!$D$2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FY!$A$6:$A$11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FY!$D$6:$D$11</c:f>
              <c:numCache>
                <c:formatCode>#,##0</c:formatCode>
                <c:ptCount val="6"/>
                <c:pt idx="1">
                  <c:v>0</c:v>
                </c:pt>
                <c:pt idx="2">
                  <c:v>-53968.904347856995</c:v>
                </c:pt>
                <c:pt idx="3">
                  <c:v>-55764.539130404999</c:v>
                </c:pt>
                <c:pt idx="4">
                  <c:v>93848.478260862001</c:v>
                </c:pt>
                <c:pt idx="5">
                  <c:v>67072.96521740302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52-664B-8178-DC0C2B0A6C68}"/>
            </c:ext>
          </c:extLst>
        </c:ser>
        <c:ser>
          <c:idx val="3"/>
          <c:order val="3"/>
          <c:tx>
            <c:strRef>
              <c:f>FY!$E$2</c:f>
              <c:strCache>
                <c:ptCount val="1"/>
                <c:pt idx="0">
                  <c:v>2025 ACTUAL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FY!$A$6:$A$11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FY!$E$6:$E$11</c:f>
              <c:numCache>
                <c:formatCode>#,##0</c:formatCode>
                <c:ptCount val="6"/>
                <c:pt idx="0">
                  <c:v>434034.104347791</c:v>
                </c:pt>
                <c:pt idx="1">
                  <c:v>645664.043478198</c:v>
                </c:pt>
                <c:pt idx="2">
                  <c:v>636345.17391295999</c:v>
                </c:pt>
                <c:pt idx="3">
                  <c:v>966690.182608617</c:v>
                </c:pt>
                <c:pt idx="4">
                  <c:v>1277121.4956520491</c:v>
                </c:pt>
                <c:pt idx="5">
                  <c:v>1332888.0086954869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52-664B-8178-DC0C2B0A6C68}"/>
            </c:ext>
          </c:extLst>
        </c:ser>
        <c:ser>
          <c:idx val="4"/>
          <c:order val="4"/>
          <c:tx>
            <c:strRef>
              <c:f>FY!$F$2</c:f>
              <c:strCache>
                <c:ptCount val="1"/>
                <c:pt idx="0">
                  <c:v>OTB vs 2025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FY!$A$6:$A$11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FY!$F$6:$F$11</c:f>
              <c:numCache>
                <c:formatCode>#,##0</c:formatCode>
                <c:ptCount val="6"/>
                <c:pt idx="0">
                  <c:v>-140434.10434781399</c:v>
                </c:pt>
                <c:pt idx="1">
                  <c:v>-421462.66086951003</c:v>
                </c:pt>
                <c:pt idx="2">
                  <c:v>-52404.05217386398</c:v>
                </c:pt>
                <c:pt idx="3">
                  <c:v>-581433.226086871</c:v>
                </c:pt>
                <c:pt idx="4">
                  <c:v>-912959.71304335701</c:v>
                </c:pt>
                <c:pt idx="5">
                  <c:v>-894426.59130413597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52-664B-8178-DC0C2B0A6C68}"/>
            </c:ext>
          </c:extLst>
        </c:ser>
        <c:ser>
          <c:idx val="6"/>
          <c:order val="5"/>
          <c:tx>
            <c:strRef>
              <c:f>FY!$L$2</c:f>
              <c:strCache>
                <c:ptCount val="1"/>
                <c:pt idx="0">
                  <c:v>OTB vs Budget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FY!$A$6:$A$11</c:f>
              <c:strCache>
                <c:ptCount val="6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</c:strCache>
            </c:strRef>
          </c:cat>
          <c:val>
            <c:numRef>
              <c:f>FY!$L$6:$L$11</c:f>
              <c:numCache>
                <c:formatCode>#,##0</c:formatCode>
                <c:ptCount val="6"/>
                <c:pt idx="0">
                  <c:v>-238212.00000002299</c:v>
                </c:pt>
                <c:pt idx="1">
                  <c:v>-442892.61739131203</c:v>
                </c:pt>
                <c:pt idx="2">
                  <c:v>-223742.87826090399</c:v>
                </c:pt>
                <c:pt idx="3">
                  <c:v>-664696.043478254</c:v>
                </c:pt>
                <c:pt idx="4">
                  <c:v>-939381.21739130793</c:v>
                </c:pt>
                <c:pt idx="5">
                  <c:v>-883092.58260864904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5-E749-9A57-662875C04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615071"/>
        <c:axId val="389616783"/>
      </c:barChart>
      <c:catAx>
        <c:axId val="38961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16783"/>
        <c:crosses val="autoZero"/>
        <c:auto val="1"/>
        <c:lblAlgn val="ctr"/>
        <c:lblOffset val="100"/>
        <c:noMultiLvlLbl val="1"/>
      </c:catAx>
      <c:valAx>
        <c:axId val="3896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1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77F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7FDB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Historical!$B$1:$H$1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Historical!$B$14:$H$14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99-0047-B9E2-A6AA5F19E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51296"/>
        <c:axId val="209848896"/>
      </c:lineChart>
      <c:catAx>
        <c:axId val="20985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8896"/>
        <c:crosses val="autoZero"/>
        <c:auto val="1"/>
        <c:lblAlgn val="ctr"/>
        <c:lblOffset val="100"/>
        <c:noMultiLvlLbl val="0"/>
      </c:catAx>
      <c:valAx>
        <c:axId val="2098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</a:t>
            </a:r>
            <a:r>
              <a:rPr lang="en-ZA" baseline="0"/>
              <a:t>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Historical!$B$29:$H$29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Historical!$B$42:$H$42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03-954C-907E-3B60D8B72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66656"/>
        <c:axId val="209868576"/>
      </c:lineChart>
      <c:catAx>
        <c:axId val="2098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8576"/>
        <c:crosses val="autoZero"/>
        <c:auto val="1"/>
        <c:lblAlgn val="ctr"/>
        <c:lblOffset val="100"/>
        <c:noMultiLvlLbl val="0"/>
      </c:catAx>
      <c:valAx>
        <c:axId val="20986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Yearly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Historical!$B$43:$H$43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Historical!$B$56:$H$56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2-E344-9F0C-8C0B51891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72896"/>
        <c:axId val="209855616"/>
      </c:lineChart>
      <c:catAx>
        <c:axId val="2098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55616"/>
        <c:crosses val="autoZero"/>
        <c:auto val="1"/>
        <c:lblAlgn val="ctr"/>
        <c:lblOffset val="100"/>
        <c:noMultiLvlLbl val="0"/>
      </c:catAx>
      <c:valAx>
        <c:axId val="2098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 Year</a:t>
            </a:r>
            <a:r>
              <a:rPr lang="en-ZA" baseline="0"/>
              <a:t> Revenue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Historical!$D$2:$D$13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F2BD-0F43-A628-5011CF79AF87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Historical!$E$2:$E$13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F2BD-0F43-A628-5011CF79AF87}"/>
            </c:ext>
          </c:extLst>
        </c:ser>
        <c:ser>
          <c:idx val="2"/>
          <c:order val="2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Historical!$F$2:$F$13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F2BD-0F43-A628-5011CF79AF87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Historical!$G$2:$G$13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F2BD-0F43-A628-5011CF79AF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Historical!$H$2:$H$13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276-F447-A44D-05B09660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77216"/>
        <c:axId val="209860896"/>
      </c:barChart>
      <c:catAx>
        <c:axId val="2098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0896"/>
        <c:crosses val="autoZero"/>
        <c:auto val="1"/>
        <c:lblAlgn val="ctr"/>
        <c:lblOffset val="100"/>
        <c:noMultiLvlLbl val="0"/>
      </c:catAx>
      <c:valAx>
        <c:axId val="20986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4</a:t>
            </a:r>
            <a:r>
              <a:rPr lang="en-ZA" baseline="0"/>
              <a:t> Year Occupancy Comparison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Historical!$D$30:$D$41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D-FC45-86C7-F89D725A2A41}"/>
            </c:ext>
          </c:extLst>
        </c:ser>
        <c:ser>
          <c:idx val="1"/>
          <c:order val="1"/>
          <c:spPr>
            <a:ln w="28575" cap="rnd">
              <a:solidFill>
                <a:srgbClr val="F9A1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9A1E4"/>
              </a:solidFill>
              <a:ln w="9525">
                <a:solidFill>
                  <a:srgbClr val="F9A1E4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Historical!$E$30:$E$41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BD-FC45-86C7-F89D725A2A4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Historical!$F$30:$F$41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BD-FC45-86C7-F89D725A2A41}"/>
            </c:ext>
          </c:extLst>
        </c:ser>
        <c:ser>
          <c:idx val="3"/>
          <c:order val="3"/>
          <c:spPr>
            <a:ln w="28575" cap="rnd">
              <a:solidFill>
                <a:srgbClr val="F559D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559D0"/>
              </a:solidFill>
              <a:ln w="9525">
                <a:solidFill>
                  <a:srgbClr val="F559D0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Historical!$G$30:$G$41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BD-FC45-86C7-F89D725A2A4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Historical!$A$30:$A$41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Historical!$H$30:$H$41</c:f>
              <c:numCache>
                <c:formatCode>0.00%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C-454D-9A7D-FC960E1A6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31264"/>
        <c:axId val="210123104"/>
      </c:lineChart>
      <c:catAx>
        <c:axId val="210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3104"/>
        <c:crosses val="autoZero"/>
        <c:auto val="1"/>
        <c:lblAlgn val="ctr"/>
        <c:lblOffset val="100"/>
        <c:noMultiLvlLbl val="0"/>
      </c:catAx>
      <c:valAx>
        <c:axId val="2101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3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4 Year ADR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Historical!$D$44:$D$55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2-AA4D-BC39-69C598188384}"/>
            </c:ext>
          </c:extLst>
        </c:ser>
        <c:ser>
          <c:idx val="1"/>
          <c:order val="1"/>
          <c:spPr>
            <a:solidFill>
              <a:srgbClr val="F9A1E4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Historical!$E$44:$E$55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2-AA4D-BC39-69C598188384}"/>
            </c:ext>
          </c:extLst>
        </c:ser>
        <c:ser>
          <c:idx val="2"/>
          <c:order val="2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Historical!$F$44:$F$55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2-AA4D-BC39-69C598188384}"/>
            </c:ext>
          </c:extLst>
        </c:ser>
        <c:ser>
          <c:idx val="3"/>
          <c:order val="3"/>
          <c:spPr>
            <a:solidFill>
              <a:srgbClr val="F559D0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Historical!$G$44:$G$55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2-AA4D-BC39-69C59818838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Historical!$A$44:$A$55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Historical!$H$44:$H$55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A-3F4E-99ED-7547AFB7E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24544"/>
        <c:axId val="210129344"/>
      </c:barChart>
      <c:catAx>
        <c:axId val="2101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9344"/>
        <c:crosses val="autoZero"/>
        <c:auto val="1"/>
        <c:lblAlgn val="ctr"/>
        <c:lblOffset val="100"/>
        <c:noMultiLvlLbl val="0"/>
      </c:catAx>
      <c:valAx>
        <c:axId val="2101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215900</xdr:colOff>
      <xdr:row>44</xdr:row>
      <xdr:rowOff>69850</xdr:rowOff>
    </xdr:from>
    <xdr:to>
      <xdr:col>18</xdr:col>
      <xdr:colOff>749300</xdr:colOff>
      <xdr:row>60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416DA9-9E97-6E63-3434-E10DDCA8E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825500</xdr:colOff>
      <xdr:row>44</xdr:row>
      <xdr:rowOff>82550</xdr:rowOff>
    </xdr:from>
    <xdr:to>
      <xdr:col>25</xdr:col>
      <xdr:colOff>533400</xdr:colOff>
      <xdr:row>60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CDDBE-6951-EA8E-C324-884643C32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101600</xdr:colOff>
      <xdr:row>44</xdr:row>
      <xdr:rowOff>82550</xdr:rowOff>
    </xdr:from>
    <xdr:to>
      <xdr:col>11</xdr:col>
      <xdr:colOff>127000</xdr:colOff>
      <xdr:row>60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00619-3300-822B-E600-C6626A9A2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327478</xdr:colOff>
      <xdr:row>1</xdr:row>
      <xdr:rowOff>26761</xdr:rowOff>
    </xdr:from>
    <xdr:to>
      <xdr:col>17</xdr:col>
      <xdr:colOff>632278</xdr:colOff>
      <xdr:row>13</xdr:row>
      <xdr:rowOff>146504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7CE4B-CBB0-AD45-98E4-2AD6D254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65315</xdr:colOff>
      <xdr:row>29</xdr:row>
      <xdr:rowOff>59872</xdr:rowOff>
    </xdr:from>
    <xdr:to>
      <xdr:col>17</xdr:col>
      <xdr:colOff>370115</xdr:colOff>
      <xdr:row>41</xdr:row>
      <xdr:rowOff>179615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67DB2-8E84-6740-BE30-38CF4FE28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65314</xdr:colOff>
      <xdr:row>43</xdr:row>
      <xdr:rowOff>59871</xdr:rowOff>
    </xdr:from>
    <xdr:to>
      <xdr:col>17</xdr:col>
      <xdr:colOff>370114</xdr:colOff>
      <xdr:row>55</xdr:row>
      <xdr:rowOff>179614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8ADF2-AC07-3B44-936A-FB7C32575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65314</xdr:colOff>
      <xdr:row>1</xdr:row>
      <xdr:rowOff>38100</xdr:rowOff>
    </xdr:from>
    <xdr:to>
      <xdr:col>25</xdr:col>
      <xdr:colOff>370114</xdr:colOff>
      <xdr:row>13</xdr:row>
      <xdr:rowOff>157843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44139-CECD-7746-8EF2-3897AACEE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65314</xdr:colOff>
      <xdr:row>29</xdr:row>
      <xdr:rowOff>114300</xdr:rowOff>
    </xdr:from>
    <xdr:to>
      <xdr:col>25</xdr:col>
      <xdr:colOff>370114</xdr:colOff>
      <xdr:row>42</xdr:row>
      <xdr:rowOff>5443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5AFB6D-2D12-4F48-B832-58BEA226C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87085</xdr:colOff>
      <xdr:row>43</xdr:row>
      <xdr:rowOff>38099</xdr:rowOff>
    </xdr:from>
    <xdr:to>
      <xdr:col>25</xdr:col>
      <xdr:colOff>391885</xdr:colOff>
      <xdr:row>55</xdr:row>
      <xdr:rowOff>157842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045E96-31DD-EB4A-84C1-8562FEB14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FC22-16E4-5542-87C2-0EE348A6D3D1}">
  <sheetPr>
    <pageSetUpPr fitToPage="1"/>
  </sheetPr>
  <dimension ref="A1:X44"/>
  <sheetViews>
    <sheetView tabSelected="1" zoomScale="111" zoomScaleNormal="100" workbookViewId="0">
      <selection activeCell="A30" sqref="A30:L30"/>
    </sheetView>
  </sheetViews>
  <sheetFormatPr baseColWidth="10" defaultRowHeight="16" x14ac:dyDescent="0.2"/>
  <cols>
    <col min="1" max="1" width="8.83203125" style="6" customWidth="1"/>
    <col min="2" max="3" width="10.83203125" style="6"/>
    <col min="4" max="4" width="10.33203125" style="6" customWidth="1"/>
    <col min="5" max="5" width="10.6640625" style="6" customWidth="1"/>
    <col min="6" max="6" width="10.83203125" style="6"/>
    <col min="7" max="7" width="10.6640625" style="6" customWidth="1"/>
    <col min="8" max="9" width="10.83203125" style="6"/>
    <col min="10" max="10" width="13.1640625" style="6" customWidth="1"/>
    <col min="11" max="11" width="10.83203125" style="6"/>
    <col min="12" max="12" width="12.6640625" style="6" customWidth="1"/>
    <col min="13" max="13" width="11.1640625" style="6" customWidth="1"/>
    <col min="14" max="15" width="10.83203125" style="6"/>
    <col min="16" max="19" width="11.5" style="1" customWidth="1"/>
    <col min="20" max="21" width="11.5" customWidth="1"/>
    <col min="22" max="22" width="8.83203125" customWidth="1"/>
  </cols>
  <sheetData>
    <row r="1" spans="1:24" ht="28" customHeight="1" thickBot="1" x14ac:dyDescent="0.25">
      <c r="A1" s="136" t="s">
        <v>37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8"/>
      <c r="S1" s="60"/>
      <c r="T1" s="60"/>
      <c r="U1" s="60"/>
      <c r="V1" s="60"/>
      <c r="W1" s="60"/>
      <c r="X1" s="60"/>
    </row>
    <row r="2" spans="1:24" s="5" customFormat="1" ht="32" customHeight="1" x14ac:dyDescent="0.2">
      <c r="A2" s="53"/>
      <c r="B2" s="53" t="s">
        <v>38</v>
      </c>
      <c r="C2" s="53" t="s">
        <v>36</v>
      </c>
      <c r="D2" s="53" t="s">
        <v>0</v>
      </c>
      <c r="E2" s="54" t="s">
        <v>30</v>
      </c>
      <c r="F2" s="55" t="s">
        <v>32</v>
      </c>
      <c r="G2" s="54" t="s">
        <v>31</v>
      </c>
      <c r="H2" s="55" t="s">
        <v>33</v>
      </c>
      <c r="I2" s="121" t="s">
        <v>34</v>
      </c>
      <c r="J2" s="121" t="s">
        <v>35</v>
      </c>
      <c r="K2" s="102" t="s">
        <v>26</v>
      </c>
      <c r="L2" s="103" t="s">
        <v>27</v>
      </c>
      <c r="M2" s="103" t="s">
        <v>28</v>
      </c>
      <c r="N2" s="55" t="s">
        <v>32</v>
      </c>
      <c r="O2" s="84" t="s">
        <v>27</v>
      </c>
      <c r="P2" s="4"/>
      <c r="Q2" s="4"/>
      <c r="R2" s="4"/>
    </row>
    <row r="3" spans="1:24" s="3" customFormat="1" ht="18" customHeight="1" x14ac:dyDescent="0.2">
      <c r="A3" s="49" t="s">
        <v>17</v>
      </c>
      <c r="B3" s="52">
        <v>1631264.5304347719</v>
      </c>
      <c r="C3" s="52">
        <v>1631264.5304347719</v>
      </c>
      <c r="D3" s="52"/>
      <c r="E3" s="56">
        <v>1557487.7565216289</v>
      </c>
      <c r="F3" s="96">
        <f t="shared" ref="F3:F15" si="0">B3-E3</f>
        <v>73776.77391314297</v>
      </c>
      <c r="G3" s="96">
        <v>1196087.68695639</v>
      </c>
      <c r="H3" s="96">
        <f>B3-G3</f>
        <v>435176.84347838187</v>
      </c>
      <c r="I3" s="96"/>
      <c r="J3" s="96"/>
      <c r="K3" s="104">
        <v>1637100</v>
      </c>
      <c r="L3" s="105">
        <f t="shared" ref="L3:L15" si="1">B3-K3</f>
        <v>-5835.4695652280934</v>
      </c>
      <c r="M3" s="113">
        <f t="shared" ref="M3:M15" si="2">SUM(K3-E3)/E3</f>
        <v>5.1115806942952029E-2</v>
      </c>
      <c r="N3" s="116">
        <f t="shared" ref="N3:N15" si="3">(B3-E3)/E3</f>
        <v>4.736908756054059E-2</v>
      </c>
      <c r="O3" s="114">
        <f t="shared" ref="O3:O15" si="4">(B3-K3)/K3</f>
        <v>-3.5645162575457172E-3</v>
      </c>
      <c r="P3" s="2"/>
      <c r="Q3" s="2"/>
      <c r="R3" s="2"/>
      <c r="X3" s="60"/>
    </row>
    <row r="4" spans="1:24" s="3" customFormat="1" ht="18" customHeight="1" x14ac:dyDescent="0.2">
      <c r="A4" s="49" t="s">
        <v>16</v>
      </c>
      <c r="B4" s="52">
        <v>903868.026087014</v>
      </c>
      <c r="C4" s="52">
        <v>903868.026087014</v>
      </c>
      <c r="D4" s="52"/>
      <c r="E4" s="56">
        <v>905651.10434773401</v>
      </c>
      <c r="F4" s="96">
        <f t="shared" si="0"/>
        <v>-1783.078260720009</v>
      </c>
      <c r="G4" s="96">
        <v>780091.26956528903</v>
      </c>
      <c r="H4" s="96">
        <f t="shared" ref="H4:H14" si="5">B4-G4</f>
        <v>123776.75652172498</v>
      </c>
      <c r="I4" s="96"/>
      <c r="J4" s="96"/>
      <c r="K4" s="105">
        <v>937348</v>
      </c>
      <c r="L4" s="133">
        <f t="shared" si="1"/>
        <v>-33479.973912985995</v>
      </c>
      <c r="M4" s="112">
        <f t="shared" si="2"/>
        <v>3.4999013969175971E-2</v>
      </c>
      <c r="N4" s="117">
        <f t="shared" si="3"/>
        <v>-1.9688357383544665E-3</v>
      </c>
      <c r="O4" s="114">
        <f t="shared" si="4"/>
        <v>-3.5717763213860804E-2</v>
      </c>
      <c r="P4" s="2"/>
      <c r="Q4" s="2"/>
      <c r="R4" s="2"/>
      <c r="X4" s="60"/>
    </row>
    <row r="5" spans="1:24" s="3" customFormat="1" ht="18" customHeight="1" x14ac:dyDescent="0.2">
      <c r="A5" s="49" t="s">
        <v>15</v>
      </c>
      <c r="B5" s="52">
        <v>666705.39130432298</v>
      </c>
      <c r="C5" s="52">
        <v>666705.39130432298</v>
      </c>
      <c r="D5" s="52"/>
      <c r="E5" s="56">
        <v>824446.14782602701</v>
      </c>
      <c r="F5" s="96">
        <f t="shared" si="0"/>
        <v>-157740.75652170402</v>
      </c>
      <c r="G5" s="96">
        <v>528787.06086949795</v>
      </c>
      <c r="H5" s="96">
        <f t="shared" si="5"/>
        <v>137918.33043482504</v>
      </c>
      <c r="I5" s="96"/>
      <c r="J5" s="96"/>
      <c r="K5" s="105">
        <v>635135</v>
      </c>
      <c r="L5" s="133">
        <f t="shared" si="1"/>
        <v>31570.391304322984</v>
      </c>
      <c r="M5" s="112">
        <f t="shared" si="2"/>
        <v>-0.22962221162075835</v>
      </c>
      <c r="N5" s="117">
        <f t="shared" si="3"/>
        <v>-0.19132936327939537</v>
      </c>
      <c r="O5" s="114">
        <f t="shared" si="4"/>
        <v>4.9706584118845577E-2</v>
      </c>
      <c r="P5" s="2"/>
      <c r="Q5" s="2"/>
      <c r="R5" s="2"/>
      <c r="X5" s="60"/>
    </row>
    <row r="6" spans="1:24" s="3" customFormat="1" ht="18" customHeight="1" x14ac:dyDescent="0.2">
      <c r="A6" s="49" t="s">
        <v>14</v>
      </c>
      <c r="B6" s="52">
        <v>293599.99999997701</v>
      </c>
      <c r="C6" s="52">
        <v>293599.99999997701</v>
      </c>
      <c r="D6" s="52"/>
      <c r="E6" s="56">
        <v>434034.104347791</v>
      </c>
      <c r="F6" s="96">
        <f t="shared" si="0"/>
        <v>-140434.10434781399</v>
      </c>
      <c r="G6" s="96">
        <v>459436.80869560997</v>
      </c>
      <c r="H6" s="96">
        <f t="shared" si="5"/>
        <v>-165836.80869563296</v>
      </c>
      <c r="I6" s="96"/>
      <c r="J6" s="96"/>
      <c r="K6" s="105">
        <v>531812</v>
      </c>
      <c r="L6" s="133">
        <f t="shared" si="1"/>
        <v>-238212.00000002299</v>
      </c>
      <c r="M6" s="112">
        <f t="shared" si="2"/>
        <v>0.22527698785130418</v>
      </c>
      <c r="N6" s="117">
        <f t="shared" si="3"/>
        <v>-0.32355546013795339</v>
      </c>
      <c r="O6" s="114">
        <f t="shared" si="4"/>
        <v>-0.44792520665201802</v>
      </c>
      <c r="P6" s="2"/>
      <c r="Q6" s="2"/>
      <c r="R6" s="2"/>
      <c r="X6" s="60"/>
    </row>
    <row r="7" spans="1:24" s="3" customFormat="1" ht="18" customHeight="1" x14ac:dyDescent="0.2">
      <c r="A7" s="49" t="s">
        <v>13</v>
      </c>
      <c r="B7" s="52">
        <v>224201.382608688</v>
      </c>
      <c r="C7" s="52">
        <v>224201.382608688</v>
      </c>
      <c r="D7" s="52">
        <f t="shared" ref="D7:D14" si="6">B7-C7</f>
        <v>0</v>
      </c>
      <c r="E7" s="56">
        <v>645664.043478198</v>
      </c>
      <c r="F7" s="96">
        <f t="shared" si="0"/>
        <v>-421462.66086951003</v>
      </c>
      <c r="G7" s="63">
        <v>11512.095652171</v>
      </c>
      <c r="H7" s="96">
        <f t="shared" si="5"/>
        <v>212689.286956517</v>
      </c>
      <c r="I7" s="96">
        <v>646792</v>
      </c>
      <c r="J7" s="96">
        <f>B7-I7</f>
        <v>-422590.61739131203</v>
      </c>
      <c r="K7" s="105">
        <v>667094</v>
      </c>
      <c r="L7" s="133">
        <f t="shared" si="1"/>
        <v>-442892.61739131203</v>
      </c>
      <c r="M7" s="112">
        <f t="shared" si="2"/>
        <v>3.3190568281235906E-2</v>
      </c>
      <c r="N7" s="117">
        <f t="shared" si="3"/>
        <v>-0.65275845097256291</v>
      </c>
      <c r="O7" s="114">
        <f t="shared" si="4"/>
        <v>-0.66391335762473058</v>
      </c>
      <c r="P7" s="2"/>
      <c r="Q7" s="2"/>
      <c r="R7" s="2"/>
      <c r="X7" s="60"/>
    </row>
    <row r="8" spans="1:24" s="3" customFormat="1" ht="18" customHeight="1" x14ac:dyDescent="0.2">
      <c r="A8" s="49" t="s">
        <v>2</v>
      </c>
      <c r="B8" s="52">
        <v>583941.12173909601</v>
      </c>
      <c r="C8" s="52">
        <v>637910.026086953</v>
      </c>
      <c r="D8" s="52">
        <f t="shared" si="6"/>
        <v>-53968.904347856995</v>
      </c>
      <c r="E8" s="56">
        <v>636345.17391295999</v>
      </c>
      <c r="F8" s="96">
        <f t="shared" si="0"/>
        <v>-52404.05217386398</v>
      </c>
      <c r="G8" s="63">
        <v>670076.50434772496</v>
      </c>
      <c r="H8" s="96">
        <f t="shared" si="5"/>
        <v>-86135.382608628948</v>
      </c>
      <c r="I8" s="96">
        <v>520950</v>
      </c>
      <c r="J8" s="96">
        <f t="shared" ref="J8:J14" si="7">B8-I8</f>
        <v>62991.121739096008</v>
      </c>
      <c r="K8" s="105">
        <v>807684</v>
      </c>
      <c r="L8" s="105">
        <f t="shared" si="1"/>
        <v>-223742.87826090399</v>
      </c>
      <c r="M8" s="113">
        <f t="shared" si="2"/>
        <v>0.26925453843463254</v>
      </c>
      <c r="N8" s="116">
        <f t="shared" si="3"/>
        <v>-8.2351614064463494E-2</v>
      </c>
      <c r="O8" s="114">
        <f t="shared" si="4"/>
        <v>-0.27701784145891711</v>
      </c>
      <c r="P8" s="2"/>
      <c r="Q8" s="2"/>
      <c r="R8" s="2"/>
      <c r="X8" s="60"/>
    </row>
    <row r="9" spans="1:24" s="3" customFormat="1" ht="18" customHeight="1" x14ac:dyDescent="0.2">
      <c r="A9" s="49" t="s">
        <v>23</v>
      </c>
      <c r="B9" s="52">
        <v>385256.956521746</v>
      </c>
      <c r="C9" s="52">
        <v>441021.495652151</v>
      </c>
      <c r="D9" s="52">
        <f t="shared" si="6"/>
        <v>-55764.539130404999</v>
      </c>
      <c r="E9" s="56">
        <v>966690.182608617</v>
      </c>
      <c r="F9" s="96">
        <f t="shared" si="0"/>
        <v>-581433.226086871</v>
      </c>
      <c r="G9" s="63">
        <v>929263.26956513105</v>
      </c>
      <c r="H9" s="96">
        <f t="shared" si="5"/>
        <v>-544006.31304338505</v>
      </c>
      <c r="I9" s="96">
        <v>218345</v>
      </c>
      <c r="J9" s="96">
        <f t="shared" si="7"/>
        <v>166911.956521746</v>
      </c>
      <c r="K9" s="105">
        <v>1049953</v>
      </c>
      <c r="L9" s="105">
        <f t="shared" si="1"/>
        <v>-664696.043478254</v>
      </c>
      <c r="M9" s="113">
        <f t="shared" si="2"/>
        <v>8.6131853710045947E-2</v>
      </c>
      <c r="N9" s="116">
        <f t="shared" si="3"/>
        <v>-0.60146801586199139</v>
      </c>
      <c r="O9" s="114">
        <f t="shared" si="4"/>
        <v>-0.63307218844867719</v>
      </c>
      <c r="P9" s="2"/>
      <c r="Q9" s="2"/>
      <c r="R9" s="2"/>
      <c r="X9" s="60"/>
    </row>
    <row r="10" spans="1:24" s="3" customFormat="1" ht="18" customHeight="1" x14ac:dyDescent="0.2">
      <c r="A10" s="49" t="s">
        <v>12</v>
      </c>
      <c r="B10" s="52">
        <v>364161.78260869201</v>
      </c>
      <c r="C10" s="52">
        <v>270313.30434783001</v>
      </c>
      <c r="D10" s="52">
        <f t="shared" si="6"/>
        <v>93848.478260862001</v>
      </c>
      <c r="E10" s="56">
        <v>1277121.4956520491</v>
      </c>
      <c r="F10" s="96">
        <f t="shared" si="0"/>
        <v>-912959.71304335701</v>
      </c>
      <c r="G10" s="63">
        <v>1140223.9739129301</v>
      </c>
      <c r="H10" s="96">
        <f t="shared" si="5"/>
        <v>-776062.19130423805</v>
      </c>
      <c r="I10" s="96">
        <v>320927</v>
      </c>
      <c r="J10" s="96">
        <f t="shared" si="7"/>
        <v>43234.78260869201</v>
      </c>
      <c r="K10" s="105">
        <v>1303543</v>
      </c>
      <c r="L10" s="105">
        <f t="shared" si="1"/>
        <v>-939381.21739130793</v>
      </c>
      <c r="M10" s="113">
        <f t="shared" si="2"/>
        <v>2.068832482884576E-2</v>
      </c>
      <c r="N10" s="116">
        <f t="shared" si="3"/>
        <v>-0.7148573696014997</v>
      </c>
      <c r="O10" s="114">
        <f t="shared" si="4"/>
        <v>-0.72063692366980447</v>
      </c>
      <c r="P10" s="2"/>
      <c r="Q10" s="2"/>
      <c r="R10" s="2"/>
      <c r="X10" s="60"/>
    </row>
    <row r="11" spans="1:24" s="3" customFormat="1" ht="18" customHeight="1" x14ac:dyDescent="0.2">
      <c r="A11" s="49" t="s">
        <v>11</v>
      </c>
      <c r="B11" s="52">
        <v>438461.41739135102</v>
      </c>
      <c r="C11" s="52">
        <v>371388.452173948</v>
      </c>
      <c r="D11" s="52">
        <f t="shared" si="6"/>
        <v>67072.96521740302</v>
      </c>
      <c r="E11" s="56">
        <v>1332888.0086954869</v>
      </c>
      <c r="F11" s="96">
        <f t="shared" si="0"/>
        <v>-894426.59130413597</v>
      </c>
      <c r="G11" s="63">
        <v>1291186.8434781099</v>
      </c>
      <c r="H11" s="96">
        <f t="shared" si="5"/>
        <v>-852725.42608675896</v>
      </c>
      <c r="I11" s="96">
        <v>309739</v>
      </c>
      <c r="J11" s="96">
        <f t="shared" si="7"/>
        <v>128722.41739135102</v>
      </c>
      <c r="K11" s="105">
        <v>1321554</v>
      </c>
      <c r="L11" s="105">
        <f t="shared" si="1"/>
        <v>-883092.58260864904</v>
      </c>
      <c r="M11" s="113">
        <f t="shared" si="2"/>
        <v>-8.503346583918674E-3</v>
      </c>
      <c r="N11" s="116">
        <f t="shared" si="3"/>
        <v>-0.67104406782046278</v>
      </c>
      <c r="O11" s="114">
        <f t="shared" si="4"/>
        <v>-0.66822285174018548</v>
      </c>
      <c r="P11" s="2"/>
      <c r="Q11" s="2"/>
      <c r="R11" s="2"/>
      <c r="X11" s="60"/>
    </row>
    <row r="12" spans="1:24" s="3" customFormat="1" ht="18" customHeight="1" x14ac:dyDescent="0.2">
      <c r="A12" s="49" t="s">
        <v>10</v>
      </c>
      <c r="B12" s="52">
        <v>188700.18260869299</v>
      </c>
      <c r="C12" s="52">
        <v>52360.095652176002</v>
      </c>
      <c r="D12" s="52">
        <f t="shared" si="6"/>
        <v>136340.08695651699</v>
      </c>
      <c r="E12" s="56">
        <v>1128599.130434654</v>
      </c>
      <c r="F12" s="96">
        <f t="shared" si="0"/>
        <v>-939898.94782596093</v>
      </c>
      <c r="G12" s="63">
        <v>984722.89565205202</v>
      </c>
      <c r="H12" s="96">
        <f t="shared" si="5"/>
        <v>-796022.71304335899</v>
      </c>
      <c r="I12" s="96">
        <v>279429</v>
      </c>
      <c r="J12" s="96">
        <f t="shared" si="7"/>
        <v>-90728.817391307006</v>
      </c>
      <c r="K12" s="105">
        <v>1187226</v>
      </c>
      <c r="L12" s="105">
        <f t="shared" si="1"/>
        <v>-998525.81739130698</v>
      </c>
      <c r="M12" s="113">
        <f t="shared" si="2"/>
        <v>5.1946584030033105E-2</v>
      </c>
      <c r="N12" s="116">
        <f t="shared" si="3"/>
        <v>-0.83280141059827018</v>
      </c>
      <c r="O12" s="114">
        <f t="shared" si="4"/>
        <v>-0.84105790927027113</v>
      </c>
      <c r="P12" s="2"/>
      <c r="Q12" s="2"/>
      <c r="R12" s="2"/>
      <c r="X12" s="60"/>
    </row>
    <row r="13" spans="1:24" s="3" customFormat="1" ht="18" customHeight="1" x14ac:dyDescent="0.2">
      <c r="A13" s="49" t="s">
        <v>25</v>
      </c>
      <c r="B13" s="52">
        <v>28848.965217397999</v>
      </c>
      <c r="C13" s="52">
        <v>9607.23</v>
      </c>
      <c r="D13" s="52">
        <f t="shared" si="6"/>
        <v>19241.735217398</v>
      </c>
      <c r="E13" s="56">
        <v>1394457.2347826529</v>
      </c>
      <c r="F13" s="96">
        <f t="shared" si="0"/>
        <v>-1365608.2695652549</v>
      </c>
      <c r="G13" s="63">
        <v>1377027.44347814</v>
      </c>
      <c r="H13" s="96">
        <f t="shared" si="5"/>
        <v>-1348178.478260742</v>
      </c>
      <c r="I13" s="96">
        <v>12391</v>
      </c>
      <c r="J13" s="96">
        <f t="shared" si="7"/>
        <v>16457.965217397999</v>
      </c>
      <c r="K13" s="105">
        <v>1466381</v>
      </c>
      <c r="L13" s="105">
        <f t="shared" si="1"/>
        <v>-1437532.034782602</v>
      </c>
      <c r="M13" s="113">
        <f t="shared" si="2"/>
        <v>5.1578322678757137E-2</v>
      </c>
      <c r="N13" s="116">
        <f t="shared" si="3"/>
        <v>-0.97931168880780017</v>
      </c>
      <c r="O13" s="114">
        <f t="shared" si="4"/>
        <v>-0.98032641911113272</v>
      </c>
      <c r="P13" s="2"/>
      <c r="Q13" s="2"/>
      <c r="R13" s="2"/>
      <c r="X13" s="60"/>
    </row>
    <row r="14" spans="1:24" s="3" customFormat="1" ht="18" customHeight="1" x14ac:dyDescent="0.2">
      <c r="A14" s="49" t="s">
        <v>18</v>
      </c>
      <c r="B14" s="52">
        <v>0</v>
      </c>
      <c r="C14" s="52">
        <v>0</v>
      </c>
      <c r="D14" s="52">
        <f t="shared" si="6"/>
        <v>0</v>
      </c>
      <c r="E14" s="56">
        <v>1655726.4434781999</v>
      </c>
      <c r="F14" s="96">
        <f t="shared" si="0"/>
        <v>-1655726.4434781999</v>
      </c>
      <c r="G14" s="64">
        <v>1402833.7999998999</v>
      </c>
      <c r="H14" s="96">
        <f t="shared" si="5"/>
        <v>-1402833.7999998999</v>
      </c>
      <c r="I14" s="96">
        <v>11825</v>
      </c>
      <c r="J14" s="96">
        <f t="shared" si="7"/>
        <v>-11825</v>
      </c>
      <c r="K14" s="106">
        <v>1686777</v>
      </c>
      <c r="L14" s="106">
        <f t="shared" si="1"/>
        <v>-1686777</v>
      </c>
      <c r="M14" s="113">
        <f t="shared" si="2"/>
        <v>1.8753433964956146E-2</v>
      </c>
      <c r="N14" s="116">
        <f t="shared" si="3"/>
        <v>-1</v>
      </c>
      <c r="O14" s="114">
        <f t="shared" si="4"/>
        <v>-1</v>
      </c>
      <c r="P14" s="2"/>
      <c r="Q14" s="2"/>
      <c r="R14" s="2"/>
      <c r="X14" s="60"/>
    </row>
    <row r="15" spans="1:24" s="3" customFormat="1" ht="18" customHeight="1" thickBot="1" x14ac:dyDescent="0.25">
      <c r="A15" s="51" t="s">
        <v>8</v>
      </c>
      <c r="B15" s="57">
        <f>SUM(B3:B14)</f>
        <v>5709009.7565217493</v>
      </c>
      <c r="C15" s="57">
        <f>SUM(C3:C14)</f>
        <v>5502239.9343478335</v>
      </c>
      <c r="D15" s="57">
        <f>SUM(D3:D14)</f>
        <v>206769.82217391802</v>
      </c>
      <c r="E15" s="58">
        <f>SUM(E3:E14)</f>
        <v>12759110.826086001</v>
      </c>
      <c r="F15" s="131">
        <f t="shared" si="0"/>
        <v>-7050101.0695642522</v>
      </c>
      <c r="G15" s="58">
        <f>SUM(G3:G14)</f>
        <v>10771249.652172945</v>
      </c>
      <c r="H15" s="131">
        <f>D15-G15</f>
        <v>-10564479.829999028</v>
      </c>
      <c r="I15" s="128">
        <f>SUM(I3:I14)</f>
        <v>2320398</v>
      </c>
      <c r="J15" s="132">
        <f>SUM(J3:J14)</f>
        <v>-106826.191304336</v>
      </c>
      <c r="K15" s="107">
        <f>SUM(K3:K14)</f>
        <v>13231607</v>
      </c>
      <c r="L15" s="134">
        <f t="shared" si="1"/>
        <v>-7522597.2434782507</v>
      </c>
      <c r="M15" s="115">
        <f t="shared" si="2"/>
        <v>3.7032061274048983E-2</v>
      </c>
      <c r="N15" s="118">
        <f t="shared" si="3"/>
        <v>-0.55255426225707838</v>
      </c>
      <c r="O15" s="119">
        <f t="shared" si="4"/>
        <v>-0.56853239697024338</v>
      </c>
      <c r="P15" s="2"/>
      <c r="Q15" s="2"/>
      <c r="R15" s="2"/>
      <c r="S15" s="60"/>
      <c r="T15" s="60"/>
      <c r="U15" s="60"/>
      <c r="V15" s="60"/>
      <c r="W15" s="60"/>
      <c r="X15" s="60"/>
    </row>
    <row r="16" spans="1:24" ht="25" customHeight="1" thickBot="1" x14ac:dyDescent="0.25">
      <c r="A16" s="139" t="s">
        <v>4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1"/>
      <c r="M16" s="139" t="s">
        <v>6</v>
      </c>
      <c r="N16" s="140"/>
      <c r="O16" s="140"/>
      <c r="P16" s="140"/>
      <c r="Q16" s="140"/>
      <c r="R16" s="140"/>
      <c r="S16" s="141"/>
      <c r="T16" s="1"/>
      <c r="U16" s="1"/>
    </row>
    <row r="17" spans="1:23" s="61" customFormat="1" ht="32" customHeight="1" x14ac:dyDescent="0.2">
      <c r="A17" s="53"/>
      <c r="B17" s="53" t="s">
        <v>38</v>
      </c>
      <c r="C17" s="53" t="s">
        <v>36</v>
      </c>
      <c r="D17" s="53" t="s">
        <v>0</v>
      </c>
      <c r="E17" s="54" t="s">
        <v>1</v>
      </c>
      <c r="F17" s="55" t="s">
        <v>7</v>
      </c>
      <c r="G17" s="54" t="s">
        <v>31</v>
      </c>
      <c r="H17" s="55" t="s">
        <v>33</v>
      </c>
      <c r="I17" s="121" t="s">
        <v>34</v>
      </c>
      <c r="J17" s="127" t="s">
        <v>35</v>
      </c>
      <c r="K17" s="97" t="s">
        <v>26</v>
      </c>
      <c r="L17" s="98" t="s">
        <v>27</v>
      </c>
      <c r="M17" s="53" t="s">
        <v>38</v>
      </c>
      <c r="N17" s="53" t="s">
        <v>36</v>
      </c>
      <c r="O17" s="53" t="s">
        <v>0</v>
      </c>
      <c r="P17" s="54" t="s">
        <v>1</v>
      </c>
      <c r="Q17" s="55" t="s">
        <v>7</v>
      </c>
      <c r="R17" s="97" t="s">
        <v>26</v>
      </c>
      <c r="S17" s="98" t="s">
        <v>27</v>
      </c>
      <c r="T17" s="60"/>
      <c r="U17" s="60"/>
      <c r="V17" s="60"/>
      <c r="W17" s="60"/>
    </row>
    <row r="18" spans="1:23" s="61" customFormat="1" ht="18" customHeight="1" x14ac:dyDescent="0.2">
      <c r="A18" s="77" t="s">
        <v>17</v>
      </c>
      <c r="B18" s="91">
        <v>642</v>
      </c>
      <c r="C18" s="126">
        <v>642</v>
      </c>
      <c r="D18" s="130"/>
      <c r="E18" s="88">
        <v>691</v>
      </c>
      <c r="F18" s="88">
        <f t="shared" ref="F18:F29" si="8">B18-E18</f>
        <v>-49</v>
      </c>
      <c r="G18" s="88">
        <v>579</v>
      </c>
      <c r="H18" s="88">
        <f>B18-G18</f>
        <v>63</v>
      </c>
      <c r="I18" s="88"/>
      <c r="J18" s="88"/>
      <c r="K18" s="111">
        <v>642</v>
      </c>
      <c r="L18" s="111">
        <f t="shared" ref="L18:L29" si="9">D18-K18</f>
        <v>-642</v>
      </c>
      <c r="M18" s="81">
        <f>B18/U24</f>
        <v>0.86290322580645162</v>
      </c>
      <c r="N18" s="81">
        <f>C18/U24</f>
        <v>0.86290322580645162</v>
      </c>
      <c r="O18" s="83"/>
      <c r="P18" s="90">
        <f>E18/U24</f>
        <v>0.92876344086021501</v>
      </c>
      <c r="Q18" s="82">
        <f t="shared" ref="Q18:Q20" si="10">M18-P18</f>
        <v>-6.5860215053763382E-2</v>
      </c>
      <c r="R18" s="99">
        <f>K18/U24</f>
        <v>0.86290322580645162</v>
      </c>
      <c r="S18" s="101">
        <f>M18-R18</f>
        <v>0</v>
      </c>
      <c r="T18" s="60"/>
      <c r="U18" s="60"/>
      <c r="V18" s="60"/>
      <c r="W18" s="60"/>
    </row>
    <row r="19" spans="1:23" s="61" customFormat="1" ht="18" customHeight="1" x14ac:dyDescent="0.2">
      <c r="A19" s="49" t="s">
        <v>16</v>
      </c>
      <c r="B19" s="91">
        <v>407</v>
      </c>
      <c r="C19" s="59">
        <v>407</v>
      </c>
      <c r="D19" s="86"/>
      <c r="E19" s="65">
        <v>458</v>
      </c>
      <c r="F19" s="120">
        <f t="shared" si="8"/>
        <v>-51</v>
      </c>
      <c r="G19" s="120">
        <v>456</v>
      </c>
      <c r="H19" s="120">
        <f t="shared" ref="H19:H29" si="11">B19-G19</f>
        <v>-49</v>
      </c>
      <c r="I19" s="120"/>
      <c r="J19" s="120"/>
      <c r="K19" s="109">
        <v>486</v>
      </c>
      <c r="L19" s="135">
        <f t="shared" si="9"/>
        <v>-486</v>
      </c>
      <c r="M19" s="87">
        <f>B19/U23</f>
        <v>0.56527777777777777</v>
      </c>
      <c r="N19" s="87">
        <f>C19/U23</f>
        <v>0.56527777777777777</v>
      </c>
      <c r="O19" s="93"/>
      <c r="P19" s="94">
        <f>E19/U23</f>
        <v>0.63611111111111107</v>
      </c>
      <c r="Q19" s="82">
        <f t="shared" si="10"/>
        <v>-7.0833333333333304E-2</v>
      </c>
      <c r="R19" s="100">
        <f>K19/U23</f>
        <v>0.67500000000000004</v>
      </c>
      <c r="S19" s="101">
        <f t="shared" ref="S19:S29" si="12">M19-R19</f>
        <v>-0.10972222222222228</v>
      </c>
      <c r="T19" s="60"/>
      <c r="U19" s="60"/>
      <c r="V19" s="60"/>
      <c r="W19" s="60"/>
    </row>
    <row r="20" spans="1:23" s="61" customFormat="1" ht="18" customHeight="1" x14ac:dyDescent="0.2">
      <c r="A20" s="49" t="s">
        <v>15</v>
      </c>
      <c r="B20" s="91">
        <v>285</v>
      </c>
      <c r="C20" s="59">
        <v>285</v>
      </c>
      <c r="D20" s="86"/>
      <c r="E20" s="65">
        <v>440</v>
      </c>
      <c r="F20" s="120">
        <f t="shared" si="8"/>
        <v>-155</v>
      </c>
      <c r="G20" s="120">
        <v>321</v>
      </c>
      <c r="H20" s="120">
        <f t="shared" si="11"/>
        <v>-36</v>
      </c>
      <c r="I20" s="120"/>
      <c r="J20" s="120"/>
      <c r="K20" s="109">
        <v>342</v>
      </c>
      <c r="L20" s="135">
        <f t="shared" si="9"/>
        <v>-342</v>
      </c>
      <c r="M20" s="87">
        <f>B20/U24</f>
        <v>0.38306451612903225</v>
      </c>
      <c r="N20" s="87">
        <f>C20/U24</f>
        <v>0.38306451612903225</v>
      </c>
      <c r="O20" s="93"/>
      <c r="P20" s="94">
        <f>E20/U24</f>
        <v>0.59139784946236562</v>
      </c>
      <c r="Q20" s="82">
        <f t="shared" si="10"/>
        <v>-0.20833333333333337</v>
      </c>
      <c r="R20" s="100">
        <f>K20/U24</f>
        <v>0.45967741935483869</v>
      </c>
      <c r="S20" s="101">
        <f t="shared" si="12"/>
        <v>-7.6612903225806439E-2</v>
      </c>
      <c r="T20" s="60"/>
      <c r="U20" s="60"/>
      <c r="V20" s="60"/>
      <c r="W20" s="60"/>
    </row>
    <row r="21" spans="1:23" s="61" customFormat="1" ht="18" customHeight="1" x14ac:dyDescent="0.2">
      <c r="A21" s="49" t="s">
        <v>14</v>
      </c>
      <c r="B21" s="91">
        <v>148</v>
      </c>
      <c r="C21" s="59">
        <v>148</v>
      </c>
      <c r="D21" s="86"/>
      <c r="E21" s="65">
        <v>268</v>
      </c>
      <c r="F21" s="120">
        <f t="shared" si="8"/>
        <v>-120</v>
      </c>
      <c r="G21" s="65">
        <v>356</v>
      </c>
      <c r="H21" s="120">
        <f t="shared" si="11"/>
        <v>-208</v>
      </c>
      <c r="I21" s="120"/>
      <c r="J21" s="120"/>
      <c r="K21" s="109">
        <v>365</v>
      </c>
      <c r="L21" s="135">
        <f t="shared" si="9"/>
        <v>-365</v>
      </c>
      <c r="M21" s="87">
        <f>B21/U23</f>
        <v>0.20555555555555555</v>
      </c>
      <c r="N21" s="87">
        <f>C21/U23</f>
        <v>0.20555555555555555</v>
      </c>
      <c r="O21" s="93"/>
      <c r="P21" s="94">
        <f>E21/U23</f>
        <v>0.37222222222222223</v>
      </c>
      <c r="Q21" s="82">
        <f t="shared" ref="Q21:Q28" si="13">M21-P21</f>
        <v>-0.16666666666666669</v>
      </c>
      <c r="R21" s="100">
        <f>K21/U23</f>
        <v>0.50694444444444442</v>
      </c>
      <c r="S21" s="101">
        <f t="shared" si="12"/>
        <v>-0.30138888888888887</v>
      </c>
      <c r="T21" s="60">
        <v>28</v>
      </c>
      <c r="U21" s="60">
        <v>672</v>
      </c>
      <c r="V21" s="60"/>
      <c r="W21" s="60"/>
    </row>
    <row r="22" spans="1:23" s="61" customFormat="1" ht="18" customHeight="1" x14ac:dyDescent="0.2">
      <c r="A22" s="49" t="s">
        <v>13</v>
      </c>
      <c r="B22" s="91">
        <v>108</v>
      </c>
      <c r="C22" s="59">
        <v>108</v>
      </c>
      <c r="D22" s="86">
        <f t="shared" ref="D22:D26" si="14">B22-C22</f>
        <v>0</v>
      </c>
      <c r="E22" s="65">
        <v>445</v>
      </c>
      <c r="F22" s="120">
        <f t="shared" si="8"/>
        <v>-337</v>
      </c>
      <c r="G22" s="65">
        <v>10</v>
      </c>
      <c r="H22" s="120">
        <f t="shared" si="11"/>
        <v>98</v>
      </c>
      <c r="I22" s="120">
        <v>429</v>
      </c>
      <c r="J22" s="120">
        <f>B22-I22</f>
        <v>-321</v>
      </c>
      <c r="K22" s="109">
        <v>455</v>
      </c>
      <c r="L22" s="135">
        <f t="shared" si="9"/>
        <v>-455</v>
      </c>
      <c r="M22" s="87">
        <f>B22/U24</f>
        <v>0.14516129032258066</v>
      </c>
      <c r="N22" s="87">
        <f>C22/U24</f>
        <v>0.14516129032258066</v>
      </c>
      <c r="O22" s="93">
        <f t="shared" ref="O22:O24" si="15">M22-N22</f>
        <v>0</v>
      </c>
      <c r="P22" s="94">
        <f>E22/U24</f>
        <v>0.5981182795698925</v>
      </c>
      <c r="Q22" s="82">
        <f t="shared" si="13"/>
        <v>-0.45295698924731187</v>
      </c>
      <c r="R22" s="100">
        <f>K22/U24</f>
        <v>0.61155913978494625</v>
      </c>
      <c r="S22" s="101">
        <f t="shared" si="12"/>
        <v>-0.46639784946236562</v>
      </c>
      <c r="T22" s="60">
        <v>29</v>
      </c>
      <c r="U22" s="60">
        <v>696</v>
      </c>
      <c r="V22" s="60"/>
      <c r="W22" s="60"/>
    </row>
    <row r="23" spans="1:23" s="61" customFormat="1" ht="18" customHeight="1" x14ac:dyDescent="0.2">
      <c r="A23" s="49" t="s">
        <v>2</v>
      </c>
      <c r="B23" s="91">
        <v>252</v>
      </c>
      <c r="C23" s="59">
        <v>253</v>
      </c>
      <c r="D23" s="86">
        <f t="shared" si="14"/>
        <v>-1</v>
      </c>
      <c r="E23" s="65">
        <v>377</v>
      </c>
      <c r="F23" s="120">
        <f t="shared" si="8"/>
        <v>-125</v>
      </c>
      <c r="G23" s="65">
        <v>417</v>
      </c>
      <c r="H23" s="120">
        <f t="shared" si="11"/>
        <v>-165</v>
      </c>
      <c r="I23" s="120">
        <v>301</v>
      </c>
      <c r="J23" s="120">
        <f t="shared" ref="J23:J29" si="16">B23-I23</f>
        <v>-49</v>
      </c>
      <c r="K23" s="109">
        <v>445</v>
      </c>
      <c r="L23" s="135">
        <f t="shared" si="9"/>
        <v>-446</v>
      </c>
      <c r="M23" s="87">
        <f>B23/U24</f>
        <v>0.33870967741935482</v>
      </c>
      <c r="N23" s="87">
        <f>C23/U24</f>
        <v>0.34005376344086019</v>
      </c>
      <c r="O23" s="93">
        <f t="shared" si="15"/>
        <v>-1.3440860215053752E-3</v>
      </c>
      <c r="P23" s="94">
        <f>E23/U24</f>
        <v>0.50672043010752688</v>
      </c>
      <c r="Q23" s="82">
        <f t="shared" ref="Q23:Q25" si="17">M23-P23</f>
        <v>-0.16801075268817206</v>
      </c>
      <c r="R23" s="100">
        <f>K23/U24</f>
        <v>0.5981182795698925</v>
      </c>
      <c r="S23" s="101">
        <f t="shared" si="12"/>
        <v>-0.25940860215053768</v>
      </c>
      <c r="T23" s="60">
        <v>30</v>
      </c>
      <c r="U23" s="60">
        <v>720</v>
      </c>
      <c r="V23" s="60"/>
      <c r="W23" s="60"/>
    </row>
    <row r="24" spans="1:23" s="61" customFormat="1" ht="18" customHeight="1" x14ac:dyDescent="0.2">
      <c r="A24" s="49" t="s">
        <v>23</v>
      </c>
      <c r="B24" s="91">
        <v>195</v>
      </c>
      <c r="C24" s="59">
        <v>230</v>
      </c>
      <c r="D24" s="86">
        <f t="shared" si="14"/>
        <v>-35</v>
      </c>
      <c r="E24" s="65">
        <v>522</v>
      </c>
      <c r="F24" s="120">
        <f t="shared" si="8"/>
        <v>-327</v>
      </c>
      <c r="G24" s="65">
        <v>475</v>
      </c>
      <c r="H24" s="120">
        <f t="shared" si="11"/>
        <v>-280</v>
      </c>
      <c r="I24" s="120">
        <v>486</v>
      </c>
      <c r="J24" s="120">
        <f t="shared" si="16"/>
        <v>-291</v>
      </c>
      <c r="K24" s="109">
        <v>525</v>
      </c>
      <c r="L24" s="135">
        <f t="shared" si="9"/>
        <v>-560</v>
      </c>
      <c r="M24" s="87">
        <f>B24/U23</f>
        <v>0.27083333333333331</v>
      </c>
      <c r="N24" s="87">
        <f>C24/U23</f>
        <v>0.31944444444444442</v>
      </c>
      <c r="O24" s="93">
        <f t="shared" si="15"/>
        <v>-4.8611111111111105E-2</v>
      </c>
      <c r="P24" s="94">
        <f>E24/U23</f>
        <v>0.72499999999999998</v>
      </c>
      <c r="Q24" s="82">
        <f t="shared" si="17"/>
        <v>-0.45416666666666666</v>
      </c>
      <c r="R24" s="100">
        <f>K24/U23</f>
        <v>0.72916666666666663</v>
      </c>
      <c r="S24" s="101">
        <f t="shared" si="12"/>
        <v>-0.45833333333333331</v>
      </c>
      <c r="T24" s="60">
        <v>31</v>
      </c>
      <c r="U24" s="60">
        <v>744</v>
      </c>
      <c r="V24" s="60"/>
      <c r="W24" s="60"/>
    </row>
    <row r="25" spans="1:23" s="61" customFormat="1" ht="18" customHeight="1" x14ac:dyDescent="0.2">
      <c r="A25" s="49" t="s">
        <v>12</v>
      </c>
      <c r="B25" s="91">
        <v>292</v>
      </c>
      <c r="C25" s="59">
        <v>263</v>
      </c>
      <c r="D25" s="86">
        <f t="shared" si="14"/>
        <v>29</v>
      </c>
      <c r="E25" s="65">
        <v>643</v>
      </c>
      <c r="F25" s="65">
        <f t="shared" si="8"/>
        <v>-351</v>
      </c>
      <c r="G25" s="65">
        <v>577</v>
      </c>
      <c r="H25" s="65">
        <f t="shared" si="11"/>
        <v>-285</v>
      </c>
      <c r="I25" s="65">
        <v>491</v>
      </c>
      <c r="J25" s="120">
        <f t="shared" si="16"/>
        <v>-199</v>
      </c>
      <c r="K25" s="109">
        <v>650</v>
      </c>
      <c r="L25" s="109">
        <f t="shared" si="9"/>
        <v>-621</v>
      </c>
      <c r="M25" s="87">
        <f>B25/U24</f>
        <v>0.39247311827956988</v>
      </c>
      <c r="N25" s="87">
        <f>C25/U24</f>
        <v>0.353494623655914</v>
      </c>
      <c r="O25" s="93">
        <f t="shared" ref="O25" si="18">M25-N25</f>
        <v>3.8978494623655879E-2</v>
      </c>
      <c r="P25" s="94">
        <f>E25/U24</f>
        <v>0.864247311827957</v>
      </c>
      <c r="Q25" s="82">
        <f t="shared" si="17"/>
        <v>-0.47177419354838712</v>
      </c>
      <c r="R25" s="100">
        <f>K25/U24</f>
        <v>0.87365591397849462</v>
      </c>
      <c r="S25" s="101">
        <f t="shared" si="12"/>
        <v>-0.48118279569892475</v>
      </c>
      <c r="T25" s="60"/>
      <c r="U25" s="60"/>
      <c r="V25" s="60"/>
      <c r="W25" s="60"/>
    </row>
    <row r="26" spans="1:23" s="61" customFormat="1" ht="18" customHeight="1" x14ac:dyDescent="0.2">
      <c r="A26" s="85" t="s">
        <v>11</v>
      </c>
      <c r="B26" s="92">
        <v>364</v>
      </c>
      <c r="C26" s="92">
        <v>329</v>
      </c>
      <c r="D26" s="86">
        <f t="shared" si="14"/>
        <v>35</v>
      </c>
      <c r="E26" s="65">
        <v>660</v>
      </c>
      <c r="F26" s="65">
        <f t="shared" si="8"/>
        <v>-296</v>
      </c>
      <c r="G26" s="65">
        <v>635</v>
      </c>
      <c r="H26" s="65">
        <f t="shared" si="11"/>
        <v>-271</v>
      </c>
      <c r="I26" s="65">
        <v>419</v>
      </c>
      <c r="J26" s="120">
        <f t="shared" si="16"/>
        <v>-55</v>
      </c>
      <c r="K26" s="109">
        <v>653</v>
      </c>
      <c r="L26" s="109">
        <f t="shared" si="9"/>
        <v>-618</v>
      </c>
      <c r="M26" s="81">
        <f>B26/U23</f>
        <v>0.50555555555555554</v>
      </c>
      <c r="N26" s="81">
        <f>C26/U23</f>
        <v>0.45694444444444443</v>
      </c>
      <c r="O26" s="83">
        <f>M26-N26</f>
        <v>4.8611111111111105E-2</v>
      </c>
      <c r="P26" s="82">
        <f>E26/U23</f>
        <v>0.91666666666666663</v>
      </c>
      <c r="Q26" s="82">
        <f t="shared" si="13"/>
        <v>-0.41111111111111109</v>
      </c>
      <c r="R26" s="101">
        <f>K26/U23</f>
        <v>0.90694444444444444</v>
      </c>
      <c r="S26" s="101">
        <f t="shared" si="12"/>
        <v>-0.40138888888888891</v>
      </c>
      <c r="T26" s="60"/>
      <c r="U26" s="60"/>
      <c r="V26" s="60"/>
      <c r="W26" s="60"/>
    </row>
    <row r="27" spans="1:23" s="61" customFormat="1" ht="18" customHeight="1" x14ac:dyDescent="0.2">
      <c r="A27" s="85" t="s">
        <v>10</v>
      </c>
      <c r="B27" s="92">
        <v>126</v>
      </c>
      <c r="C27" s="92">
        <v>63</v>
      </c>
      <c r="D27" s="86">
        <f t="shared" ref="D27:D29" si="19">B27-C27</f>
        <v>63</v>
      </c>
      <c r="E27" s="65">
        <v>564</v>
      </c>
      <c r="F27" s="65">
        <f t="shared" si="8"/>
        <v>-438</v>
      </c>
      <c r="G27" s="65">
        <v>480</v>
      </c>
      <c r="H27" s="65">
        <f t="shared" si="11"/>
        <v>-354</v>
      </c>
      <c r="I27" s="65">
        <v>279</v>
      </c>
      <c r="J27" s="120">
        <f t="shared" si="16"/>
        <v>-153</v>
      </c>
      <c r="K27" s="109">
        <v>592</v>
      </c>
      <c r="L27" s="109">
        <f t="shared" si="9"/>
        <v>-529</v>
      </c>
      <c r="M27" s="81">
        <f>B27/U24</f>
        <v>0.16935483870967741</v>
      </c>
      <c r="N27" s="81">
        <f>C27/U24</f>
        <v>8.4677419354838704E-2</v>
      </c>
      <c r="O27" s="83">
        <f t="shared" ref="O27:O29" si="20">M27-N27</f>
        <v>8.4677419354838704E-2</v>
      </c>
      <c r="P27" s="82">
        <f>E27/U24</f>
        <v>0.75806451612903225</v>
      </c>
      <c r="Q27" s="82">
        <f t="shared" si="13"/>
        <v>-0.58870967741935487</v>
      </c>
      <c r="R27" s="101">
        <f>K27/U24</f>
        <v>0.79569892473118276</v>
      </c>
      <c r="S27" s="101">
        <f t="shared" si="12"/>
        <v>-0.62634408602150538</v>
      </c>
      <c r="T27" s="60"/>
      <c r="U27" s="60"/>
      <c r="V27" s="60"/>
      <c r="W27" s="60"/>
    </row>
    <row r="28" spans="1:23" s="61" customFormat="1" ht="18" customHeight="1" x14ac:dyDescent="0.2">
      <c r="A28" s="85" t="s">
        <v>25</v>
      </c>
      <c r="B28" s="92">
        <v>408</v>
      </c>
      <c r="C28" s="92">
        <v>402</v>
      </c>
      <c r="D28" s="86">
        <f t="shared" si="19"/>
        <v>6</v>
      </c>
      <c r="E28" s="65">
        <v>595</v>
      </c>
      <c r="F28" s="65">
        <f t="shared" si="8"/>
        <v>-187</v>
      </c>
      <c r="G28" s="65">
        <v>646</v>
      </c>
      <c r="H28" s="65">
        <f t="shared" si="11"/>
        <v>-238</v>
      </c>
      <c r="I28" s="65">
        <v>281</v>
      </c>
      <c r="J28" s="120">
        <f t="shared" si="16"/>
        <v>127</v>
      </c>
      <c r="K28" s="109">
        <v>625</v>
      </c>
      <c r="L28" s="109">
        <f t="shared" si="9"/>
        <v>-619</v>
      </c>
      <c r="M28" s="81">
        <f>B28/U24</f>
        <v>0.54838709677419351</v>
      </c>
      <c r="N28" s="81">
        <f>C28/U24</f>
        <v>0.54032258064516125</v>
      </c>
      <c r="O28" s="83">
        <f t="shared" si="20"/>
        <v>8.0645161290322509E-3</v>
      </c>
      <c r="P28" s="82">
        <f>E28/U24</f>
        <v>0.79973118279569888</v>
      </c>
      <c r="Q28" s="82">
        <f t="shared" si="13"/>
        <v>-0.25134408602150538</v>
      </c>
      <c r="R28" s="101">
        <f>K28/U24</f>
        <v>0.84005376344086025</v>
      </c>
      <c r="S28" s="101">
        <f t="shared" si="12"/>
        <v>-0.29166666666666674</v>
      </c>
      <c r="T28" s="60"/>
      <c r="U28" s="60"/>
      <c r="V28" s="60"/>
      <c r="W28" s="60"/>
    </row>
    <row r="29" spans="1:23" s="61" customFormat="1" ht="18" customHeight="1" thickBot="1" x14ac:dyDescent="0.25">
      <c r="A29" s="85" t="s">
        <v>18</v>
      </c>
      <c r="B29" s="59">
        <v>95</v>
      </c>
      <c r="C29" s="59">
        <v>95</v>
      </c>
      <c r="D29" s="86">
        <f t="shared" si="19"/>
        <v>0</v>
      </c>
      <c r="E29" s="65">
        <v>647</v>
      </c>
      <c r="F29" s="65">
        <f t="shared" si="8"/>
        <v>-552</v>
      </c>
      <c r="G29" s="65">
        <v>632</v>
      </c>
      <c r="H29" s="65">
        <f t="shared" si="11"/>
        <v>-537</v>
      </c>
      <c r="I29" s="65">
        <v>267</v>
      </c>
      <c r="J29" s="120">
        <f t="shared" si="16"/>
        <v>-172</v>
      </c>
      <c r="K29" s="109">
        <v>649</v>
      </c>
      <c r="L29" s="109">
        <f t="shared" si="9"/>
        <v>-649</v>
      </c>
      <c r="M29" s="81">
        <f>B29/U21</f>
        <v>0.14136904761904762</v>
      </c>
      <c r="N29" s="81">
        <f>C29/U21</f>
        <v>0.14136904761904762</v>
      </c>
      <c r="O29" s="83">
        <f t="shared" si="20"/>
        <v>0</v>
      </c>
      <c r="P29" s="82">
        <f>E29/U21</f>
        <v>0.96279761904761907</v>
      </c>
      <c r="Q29" s="82">
        <f>M29-P29</f>
        <v>-0.8214285714285714</v>
      </c>
      <c r="R29" s="101">
        <f>K29/U21</f>
        <v>0.96577380952380953</v>
      </c>
      <c r="S29" s="101">
        <f t="shared" si="12"/>
        <v>-0.82440476190476186</v>
      </c>
      <c r="T29" s="60"/>
      <c r="U29" s="60"/>
      <c r="V29" s="60"/>
      <c r="W29" s="60"/>
    </row>
    <row r="30" spans="1:23" ht="25" customHeight="1" thickBot="1" x14ac:dyDescent="0.25">
      <c r="A30" s="139" t="s">
        <v>5</v>
      </c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1"/>
      <c r="M30" s="139" t="s">
        <v>24</v>
      </c>
      <c r="N30" s="140"/>
      <c r="O30" s="140"/>
      <c r="P30" s="140"/>
      <c r="Q30" s="140"/>
      <c r="R30" s="140"/>
      <c r="S30" s="141"/>
    </row>
    <row r="31" spans="1:23" s="61" customFormat="1" ht="32" customHeight="1" x14ac:dyDescent="0.2">
      <c r="A31" s="53"/>
      <c r="B31" s="53" t="s">
        <v>38</v>
      </c>
      <c r="C31" s="53" t="s">
        <v>36</v>
      </c>
      <c r="D31" s="53" t="s">
        <v>0</v>
      </c>
      <c r="E31" s="55" t="s">
        <v>1</v>
      </c>
      <c r="F31" s="55" t="s">
        <v>7</v>
      </c>
      <c r="G31" s="54" t="s">
        <v>31</v>
      </c>
      <c r="H31" s="55" t="s">
        <v>33</v>
      </c>
      <c r="I31" s="121" t="s">
        <v>34</v>
      </c>
      <c r="J31" s="121" t="s">
        <v>35</v>
      </c>
      <c r="K31" s="98" t="s">
        <v>26</v>
      </c>
      <c r="L31" s="98" t="s">
        <v>27</v>
      </c>
      <c r="M31" s="53" t="s">
        <v>38</v>
      </c>
      <c r="N31" s="53" t="s">
        <v>36</v>
      </c>
      <c r="O31" s="53" t="s">
        <v>0</v>
      </c>
      <c r="P31" s="54" t="s">
        <v>1</v>
      </c>
      <c r="Q31" s="55" t="s">
        <v>7</v>
      </c>
      <c r="R31" s="97" t="s">
        <v>26</v>
      </c>
      <c r="S31" s="98" t="s">
        <v>29</v>
      </c>
      <c r="T31" s="60"/>
      <c r="U31" s="60"/>
    </row>
    <row r="32" spans="1:23" s="61" customFormat="1" ht="18" customHeight="1" x14ac:dyDescent="0.2">
      <c r="A32" s="49" t="s">
        <v>17</v>
      </c>
      <c r="B32" s="86">
        <f t="shared" ref="B32" si="21">B3/B18</f>
        <v>2540.9104835432586</v>
      </c>
      <c r="C32" s="123">
        <f t="shared" ref="C32" si="22">C3/C18</f>
        <v>2540.9104835432586</v>
      </c>
      <c r="D32" s="124"/>
      <c r="E32" s="63">
        <f t="shared" ref="E32:I34" si="23">E3/E18</f>
        <v>2253.9620210153821</v>
      </c>
      <c r="F32" s="63">
        <f t="shared" ref="F32:F43" si="24">B32-E32</f>
        <v>286.94846252787647</v>
      </c>
      <c r="G32" s="63">
        <f t="shared" si="23"/>
        <v>2065.7818427571501</v>
      </c>
      <c r="H32" s="63">
        <f>B32-G32</f>
        <v>475.12864078610846</v>
      </c>
      <c r="I32" s="63" t="e">
        <f t="shared" si="23"/>
        <v>#DIV/0!</v>
      </c>
      <c r="J32" s="63" t="e">
        <f>B32-I32</f>
        <v>#DIV/0!</v>
      </c>
      <c r="K32" s="105">
        <f>K3/K18</f>
        <v>2550</v>
      </c>
      <c r="L32" s="105">
        <f t="shared" ref="L32:L43" si="25">D32-K32</f>
        <v>-2550</v>
      </c>
      <c r="M32" s="92">
        <f>B3/U24</f>
        <v>2192.5598527349084</v>
      </c>
      <c r="N32" s="126">
        <f>C3/U24</f>
        <v>2192.5598527349084</v>
      </c>
      <c r="O32" s="129"/>
      <c r="P32" s="89">
        <f>E3/U24</f>
        <v>2093.3975222064905</v>
      </c>
      <c r="Q32" s="65">
        <f t="shared" ref="Q32:Q34" si="26">M32-P32</f>
        <v>99.162330528417897</v>
      </c>
      <c r="R32" s="108">
        <f>K3/U24</f>
        <v>2200.4032258064517</v>
      </c>
      <c r="S32" s="109">
        <f>M32-R32</f>
        <v>-7.843373071543283</v>
      </c>
      <c r="T32" s="62"/>
      <c r="U32" s="60"/>
    </row>
    <row r="33" spans="1:21" s="61" customFormat="1" ht="18" customHeight="1" x14ac:dyDescent="0.2">
      <c r="A33" s="49" t="s">
        <v>16</v>
      </c>
      <c r="B33" s="86">
        <f t="shared" ref="B33" si="27">B4/B19</f>
        <v>2220.8059609017541</v>
      </c>
      <c r="C33" s="52">
        <f t="shared" ref="C33" si="28">C4/C19</f>
        <v>2220.8059609017541</v>
      </c>
      <c r="D33" s="124"/>
      <c r="E33" s="96">
        <f t="shared" si="23"/>
        <v>1977.4041579644847</v>
      </c>
      <c r="F33" s="63">
        <f t="shared" si="24"/>
        <v>243.40180293726939</v>
      </c>
      <c r="G33" s="96">
        <f t="shared" si="23"/>
        <v>1710.7264683449321</v>
      </c>
      <c r="H33" s="63">
        <f t="shared" ref="H33:H43" si="29">B33-G33</f>
        <v>510.07949255682206</v>
      </c>
      <c r="I33" s="96" t="e">
        <f t="shared" ref="I33" si="30">I4/I19</f>
        <v>#DIV/0!</v>
      </c>
      <c r="J33" s="96" t="e">
        <f t="shared" ref="J33:J43" si="31">B33-I33</f>
        <v>#DIV/0!</v>
      </c>
      <c r="K33" s="104">
        <f>K4/K19</f>
        <v>1928.6995884773662</v>
      </c>
      <c r="L33" s="105">
        <f t="shared" si="25"/>
        <v>-1928.6995884773662</v>
      </c>
      <c r="M33" s="91">
        <f>B4/U23</f>
        <v>1255.3722584541861</v>
      </c>
      <c r="N33" s="59">
        <f>C4/U23</f>
        <v>1255.3722584541861</v>
      </c>
      <c r="O33" s="91"/>
      <c r="P33" s="65">
        <f>E4/U23</f>
        <v>1257.8487560385195</v>
      </c>
      <c r="Q33" s="65">
        <f t="shared" si="26"/>
        <v>-2.4764975843334014</v>
      </c>
      <c r="R33" s="109">
        <f>K4/U23</f>
        <v>1301.8722222222223</v>
      </c>
      <c r="S33" s="109">
        <f t="shared" ref="S33:S43" si="32">M33-R33</f>
        <v>-46.499963768036196</v>
      </c>
      <c r="T33" s="62"/>
      <c r="U33" s="60"/>
    </row>
    <row r="34" spans="1:21" s="61" customFormat="1" ht="18" customHeight="1" x14ac:dyDescent="0.2">
      <c r="A34" s="49" t="s">
        <v>15</v>
      </c>
      <c r="B34" s="95">
        <f t="shared" ref="B34" si="33">B5/B20</f>
        <v>2339.3171624713086</v>
      </c>
      <c r="C34" s="52">
        <f t="shared" ref="C34" si="34">C5/C20</f>
        <v>2339.3171624713086</v>
      </c>
      <c r="D34" s="95"/>
      <c r="E34" s="96">
        <f t="shared" si="23"/>
        <v>1873.7412450591523</v>
      </c>
      <c r="F34" s="63">
        <f t="shared" si="24"/>
        <v>465.57591741215629</v>
      </c>
      <c r="G34" s="96">
        <f t="shared" si="23"/>
        <v>1647.3117161043549</v>
      </c>
      <c r="H34" s="63">
        <f t="shared" si="29"/>
        <v>692.00544636695372</v>
      </c>
      <c r="I34" s="96" t="e">
        <f t="shared" ref="I34" si="35">I5/I20</f>
        <v>#DIV/0!</v>
      </c>
      <c r="J34" s="96" t="e">
        <f t="shared" si="31"/>
        <v>#DIV/0!</v>
      </c>
      <c r="K34" s="104">
        <f t="shared" ref="K34:K43" si="36">K5/K20</f>
        <v>1857.1198830409357</v>
      </c>
      <c r="L34" s="105">
        <f t="shared" si="25"/>
        <v>-1857.1198830409357</v>
      </c>
      <c r="M34" s="91">
        <f>B5/U24</f>
        <v>896.10939691441263</v>
      </c>
      <c r="N34" s="59">
        <f>C5/U24</f>
        <v>896.10939691441263</v>
      </c>
      <c r="O34" s="91"/>
      <c r="P34" s="65">
        <f>E5/U24</f>
        <v>1108.1265427769181</v>
      </c>
      <c r="Q34" s="65">
        <f t="shared" si="26"/>
        <v>-212.01714586250546</v>
      </c>
      <c r="R34" s="109">
        <f>K5/U24</f>
        <v>853.67607526881716</v>
      </c>
      <c r="S34" s="109">
        <f t="shared" si="32"/>
        <v>42.43332164559547</v>
      </c>
      <c r="T34" s="62"/>
      <c r="U34" s="60"/>
    </row>
    <row r="35" spans="1:21" s="61" customFormat="1" ht="18" customHeight="1" x14ac:dyDescent="0.2">
      <c r="A35" s="49" t="s">
        <v>14</v>
      </c>
      <c r="B35" s="95">
        <f t="shared" ref="B35:B40" si="37">B6/B21</f>
        <v>1983.7837837836285</v>
      </c>
      <c r="C35" s="52">
        <f t="shared" ref="C35" si="38">C6/C21</f>
        <v>1983.7837837836285</v>
      </c>
      <c r="D35" s="95"/>
      <c r="E35" s="96">
        <f t="shared" ref="E35:G40" si="39">E6/E21</f>
        <v>1619.5302401036977</v>
      </c>
      <c r="F35" s="63">
        <f t="shared" si="24"/>
        <v>364.25354367993077</v>
      </c>
      <c r="G35" s="96">
        <f t="shared" si="39"/>
        <v>1290.5528334146347</v>
      </c>
      <c r="H35" s="63">
        <f t="shared" si="29"/>
        <v>693.23095036899372</v>
      </c>
      <c r="I35" s="96" t="e">
        <f t="shared" ref="I35" si="40">I6/I21</f>
        <v>#DIV/0!</v>
      </c>
      <c r="J35" s="96" t="e">
        <f t="shared" si="31"/>
        <v>#DIV/0!</v>
      </c>
      <c r="K35" s="104">
        <f t="shared" si="36"/>
        <v>1457.0191780821917</v>
      </c>
      <c r="L35" s="105">
        <f t="shared" si="25"/>
        <v>-1457.0191780821917</v>
      </c>
      <c r="M35" s="91">
        <f>B6/U23</f>
        <v>407.77777777774583</v>
      </c>
      <c r="N35" s="59">
        <f>C6/U23</f>
        <v>407.77777777774583</v>
      </c>
      <c r="O35" s="91"/>
      <c r="P35" s="65">
        <f>E6/U23</f>
        <v>602.82514492748749</v>
      </c>
      <c r="Q35" s="65">
        <f t="shared" ref="Q35:Q42" si="41">M35-P35</f>
        <v>-195.04736714974166</v>
      </c>
      <c r="R35" s="109">
        <f>K6/U23</f>
        <v>738.62777777777774</v>
      </c>
      <c r="S35" s="109">
        <f t="shared" si="32"/>
        <v>-330.85000000003191</v>
      </c>
      <c r="T35" s="62"/>
      <c r="U35" s="60"/>
    </row>
    <row r="36" spans="1:21" s="61" customFormat="1" ht="18" customHeight="1" x14ac:dyDescent="0.2">
      <c r="A36" s="49" t="s">
        <v>13</v>
      </c>
      <c r="B36" s="86">
        <f t="shared" si="37"/>
        <v>2075.9387278582221</v>
      </c>
      <c r="C36" s="52">
        <f t="shared" ref="C36" si="42">C7/C22</f>
        <v>2075.9387278582221</v>
      </c>
      <c r="D36" s="95">
        <f t="shared" ref="D36:D43" si="43">B36-C36</f>
        <v>0</v>
      </c>
      <c r="E36" s="96">
        <f t="shared" si="39"/>
        <v>1450.9304347824675</v>
      </c>
      <c r="F36" s="63">
        <f t="shared" si="24"/>
        <v>625.00829307575464</v>
      </c>
      <c r="G36" s="96">
        <f t="shared" si="39"/>
        <v>1151.2095652170999</v>
      </c>
      <c r="H36" s="63">
        <f t="shared" si="29"/>
        <v>924.72916264112223</v>
      </c>
      <c r="I36" s="96">
        <v>1465</v>
      </c>
      <c r="J36" s="96">
        <f t="shared" si="31"/>
        <v>610.93872785822214</v>
      </c>
      <c r="K36" s="104">
        <f t="shared" si="36"/>
        <v>1466.1406593406593</v>
      </c>
      <c r="L36" s="105">
        <f t="shared" si="25"/>
        <v>-1466.1406593406593</v>
      </c>
      <c r="M36" s="91">
        <f>B7/U24</f>
        <v>301.34594436651611</v>
      </c>
      <c r="N36" s="59">
        <f>C7/U24</f>
        <v>301.34594436651611</v>
      </c>
      <c r="O36" s="91">
        <f t="shared" ref="O36:O42" si="44">M36-N36</f>
        <v>0</v>
      </c>
      <c r="P36" s="65">
        <f>E7/U24</f>
        <v>867.8280154276855</v>
      </c>
      <c r="Q36" s="65">
        <f t="shared" si="41"/>
        <v>-566.48207106116934</v>
      </c>
      <c r="R36" s="109">
        <f>K7/U24</f>
        <v>896.63172043010752</v>
      </c>
      <c r="S36" s="109">
        <f t="shared" si="32"/>
        <v>-595.28577606359136</v>
      </c>
      <c r="T36" s="60"/>
      <c r="U36" s="60"/>
    </row>
    <row r="37" spans="1:21" s="61" customFormat="1" ht="18" customHeight="1" x14ac:dyDescent="0.2">
      <c r="A37" s="49" t="s">
        <v>2</v>
      </c>
      <c r="B37" s="86">
        <f t="shared" si="37"/>
        <v>2317.2266735678413</v>
      </c>
      <c r="C37" s="52">
        <f t="shared" ref="C37" si="45">C8/C23</f>
        <v>2521.3835023199722</v>
      </c>
      <c r="D37" s="124">
        <f t="shared" si="43"/>
        <v>-204.15682875213088</v>
      </c>
      <c r="E37" s="63">
        <f t="shared" si="39"/>
        <v>1687.9182331908753</v>
      </c>
      <c r="F37" s="63">
        <f t="shared" si="24"/>
        <v>629.30844037696602</v>
      </c>
      <c r="G37" s="63">
        <f t="shared" si="39"/>
        <v>1606.8980919609712</v>
      </c>
      <c r="H37" s="63">
        <f t="shared" si="29"/>
        <v>710.3285816068701</v>
      </c>
      <c r="I37" s="63">
        <f t="shared" ref="I37" si="46">I8/I23</f>
        <v>1730.7308970099668</v>
      </c>
      <c r="J37" s="63">
        <f t="shared" si="31"/>
        <v>586.49577655787448</v>
      </c>
      <c r="K37" s="105">
        <f t="shared" si="36"/>
        <v>1815.0202247191012</v>
      </c>
      <c r="L37" s="105">
        <f t="shared" si="25"/>
        <v>-2019.1770534712321</v>
      </c>
      <c r="M37" s="92">
        <f>B8/U24</f>
        <v>784.86709911168816</v>
      </c>
      <c r="N37" s="59">
        <f>C8/U24</f>
        <v>857.40594904160355</v>
      </c>
      <c r="O37" s="91">
        <f t="shared" si="44"/>
        <v>-72.538849929915386</v>
      </c>
      <c r="P37" s="65">
        <f>E8/U24</f>
        <v>855.30265310881714</v>
      </c>
      <c r="Q37" s="65">
        <f t="shared" ref="Q37:Q39" si="47">M37-P37</f>
        <v>-70.435553997128977</v>
      </c>
      <c r="R37" s="109">
        <f>K8/U24</f>
        <v>1085.5967741935483</v>
      </c>
      <c r="S37" s="109">
        <f t="shared" si="32"/>
        <v>-300.72967508186014</v>
      </c>
      <c r="T37" s="80"/>
      <c r="U37" s="60"/>
    </row>
    <row r="38" spans="1:21" s="61" customFormat="1" ht="18" customHeight="1" x14ac:dyDescent="0.2">
      <c r="A38" s="49" t="s">
        <v>23</v>
      </c>
      <c r="B38" s="86">
        <f t="shared" si="37"/>
        <v>1975.6767001115179</v>
      </c>
      <c r="C38" s="52">
        <f t="shared" ref="C38" si="48">C9/C24</f>
        <v>1917.4847637050043</v>
      </c>
      <c r="D38" s="124">
        <f t="shared" si="43"/>
        <v>58.191936406513605</v>
      </c>
      <c r="E38" s="63">
        <f t="shared" si="39"/>
        <v>1851.8969015490748</v>
      </c>
      <c r="F38" s="63">
        <f t="shared" si="24"/>
        <v>123.77979856244315</v>
      </c>
      <c r="G38" s="63">
        <f t="shared" si="39"/>
        <v>1956.3437254002758</v>
      </c>
      <c r="H38" s="63">
        <f t="shared" si="29"/>
        <v>19.332974711242059</v>
      </c>
      <c r="I38" s="63">
        <f t="shared" ref="I38" si="49">I9/I24</f>
        <v>449.26954732510291</v>
      </c>
      <c r="J38" s="63">
        <f t="shared" si="31"/>
        <v>1526.4071527864151</v>
      </c>
      <c r="K38" s="105">
        <f t="shared" si="36"/>
        <v>1999.9104761904762</v>
      </c>
      <c r="L38" s="105">
        <f t="shared" si="25"/>
        <v>-1941.7185397839626</v>
      </c>
      <c r="M38" s="59">
        <f>B9/U23</f>
        <v>535.07910628020284</v>
      </c>
      <c r="N38" s="59">
        <f>C9/U23</f>
        <v>612.52985507243193</v>
      </c>
      <c r="O38" s="59">
        <f t="shared" si="44"/>
        <v>-77.450748792229092</v>
      </c>
      <c r="P38" s="65">
        <f>E9/U23</f>
        <v>1342.6252536230791</v>
      </c>
      <c r="Q38" s="65">
        <f t="shared" si="47"/>
        <v>-807.54614734287622</v>
      </c>
      <c r="R38" s="109">
        <f>K9/U23</f>
        <v>1458.2680555555555</v>
      </c>
      <c r="S38" s="109">
        <f t="shared" si="32"/>
        <v>-923.18894927535268</v>
      </c>
      <c r="T38" s="80"/>
      <c r="U38" s="60"/>
    </row>
    <row r="39" spans="1:21" s="61" customFormat="1" ht="18" customHeight="1" x14ac:dyDescent="0.2">
      <c r="A39" s="49" t="s">
        <v>12</v>
      </c>
      <c r="B39" s="86">
        <f t="shared" si="37"/>
        <v>1247.1293924955205</v>
      </c>
      <c r="C39" s="52">
        <f t="shared" ref="C39" si="50">C10/C25</f>
        <v>1027.8072408662738</v>
      </c>
      <c r="D39" s="124">
        <f t="shared" si="43"/>
        <v>219.32215162924672</v>
      </c>
      <c r="E39" s="63">
        <f t="shared" si="39"/>
        <v>1986.1920616672614</v>
      </c>
      <c r="F39" s="63">
        <f t="shared" si="24"/>
        <v>-739.06266917174094</v>
      </c>
      <c r="G39" s="63">
        <f t="shared" si="39"/>
        <v>1976.1247381506587</v>
      </c>
      <c r="H39" s="63">
        <f t="shared" si="29"/>
        <v>-728.99534565513818</v>
      </c>
      <c r="I39" s="63">
        <f t="shared" ref="I39" si="51">I10/I25</f>
        <v>653.61914460285129</v>
      </c>
      <c r="J39" s="63">
        <f t="shared" si="31"/>
        <v>593.51024789266921</v>
      </c>
      <c r="K39" s="105">
        <f t="shared" si="36"/>
        <v>2005.4507692307693</v>
      </c>
      <c r="L39" s="105">
        <f t="shared" si="25"/>
        <v>-1786.1286176015226</v>
      </c>
      <c r="M39" s="59">
        <f>B10/U24</f>
        <v>489.46476157082259</v>
      </c>
      <c r="N39" s="59">
        <f>C10/U24</f>
        <v>363.32433380084677</v>
      </c>
      <c r="O39" s="59">
        <f t="shared" si="44"/>
        <v>126.14042776997582</v>
      </c>
      <c r="P39" s="65">
        <f>E10/U24</f>
        <v>1716.5611500699583</v>
      </c>
      <c r="Q39" s="65">
        <f t="shared" si="47"/>
        <v>-1227.0963884991356</v>
      </c>
      <c r="R39" s="109">
        <f>K10/U24</f>
        <v>1752.0739247311828</v>
      </c>
      <c r="S39" s="109">
        <f t="shared" si="32"/>
        <v>-1262.6091631603604</v>
      </c>
      <c r="T39" s="80"/>
      <c r="U39" s="60"/>
    </row>
    <row r="40" spans="1:21" s="61" customFormat="1" ht="18" customHeight="1" x14ac:dyDescent="0.2">
      <c r="A40" s="49" t="s">
        <v>11</v>
      </c>
      <c r="B40" s="86">
        <f t="shared" si="37"/>
        <v>1204.5643334927227</v>
      </c>
      <c r="C40" s="52">
        <f t="shared" ref="C40" si="52">C11/C26</f>
        <v>1128.8402801639756</v>
      </c>
      <c r="D40" s="124">
        <f t="shared" si="43"/>
        <v>75.724053328747004</v>
      </c>
      <c r="E40" s="63">
        <f t="shared" si="39"/>
        <v>2019.527285902253</v>
      </c>
      <c r="F40" s="63">
        <f t="shared" si="24"/>
        <v>-814.96295240953032</v>
      </c>
      <c r="G40" s="63">
        <f t="shared" si="39"/>
        <v>2033.3651078395433</v>
      </c>
      <c r="H40" s="63">
        <f t="shared" si="29"/>
        <v>-828.80077434682062</v>
      </c>
      <c r="I40" s="63">
        <f t="shared" ref="I40" si="53">I11/I26</f>
        <v>739.23389021479716</v>
      </c>
      <c r="J40" s="63">
        <f t="shared" si="31"/>
        <v>465.3304432779255</v>
      </c>
      <c r="K40" s="105">
        <f t="shared" si="36"/>
        <v>2023.8192955589586</v>
      </c>
      <c r="L40" s="105">
        <f t="shared" si="25"/>
        <v>-1948.0952422302116</v>
      </c>
      <c r="M40" s="59">
        <f>B11/U23</f>
        <v>608.9741908213208</v>
      </c>
      <c r="N40" s="59">
        <f>C11/U23</f>
        <v>515.81729468603885</v>
      </c>
      <c r="O40" s="59">
        <f t="shared" si="44"/>
        <v>93.156896135281954</v>
      </c>
      <c r="P40" s="65">
        <f>E11/U23</f>
        <v>1851.2333454103984</v>
      </c>
      <c r="Q40" s="65">
        <f t="shared" si="41"/>
        <v>-1242.2591545890778</v>
      </c>
      <c r="R40" s="109">
        <f>K11/U23</f>
        <v>1835.4916666666666</v>
      </c>
      <c r="S40" s="109">
        <f t="shared" si="32"/>
        <v>-1226.5174758453459</v>
      </c>
      <c r="T40" s="80"/>
      <c r="U40" s="60"/>
    </row>
    <row r="41" spans="1:21" s="61" customFormat="1" ht="18" customHeight="1" x14ac:dyDescent="0.2">
      <c r="A41" s="49" t="s">
        <v>10</v>
      </c>
      <c r="B41" s="86">
        <f t="shared" ref="B41:C41" si="54">B12/B27</f>
        <v>1497.6204968943889</v>
      </c>
      <c r="C41" s="52">
        <f t="shared" si="54"/>
        <v>831.1126293996191</v>
      </c>
      <c r="D41" s="124">
        <f t="shared" si="43"/>
        <v>666.50786749476981</v>
      </c>
      <c r="E41" s="63">
        <f t="shared" ref="E41:G42" si="55">E12/E27</f>
        <v>2001.0622880047056</v>
      </c>
      <c r="F41" s="63">
        <f t="shared" si="24"/>
        <v>-503.44179111031667</v>
      </c>
      <c r="G41" s="63">
        <f t="shared" si="55"/>
        <v>2051.5060326084417</v>
      </c>
      <c r="H41" s="63">
        <f t="shared" si="29"/>
        <v>-553.88553571405282</v>
      </c>
      <c r="I41" s="63">
        <f t="shared" ref="I41" si="56">I12/I27</f>
        <v>1001.5376344086021</v>
      </c>
      <c r="J41" s="63">
        <f t="shared" si="31"/>
        <v>496.08286248578679</v>
      </c>
      <c r="K41" s="105">
        <f t="shared" si="36"/>
        <v>2005.4493243243244</v>
      </c>
      <c r="L41" s="105">
        <f t="shared" si="25"/>
        <v>-1338.9414568295547</v>
      </c>
      <c r="M41" s="59">
        <f>B12/U24</f>
        <v>253.62927769985617</v>
      </c>
      <c r="N41" s="59">
        <f>C12/U24</f>
        <v>70.37647265077419</v>
      </c>
      <c r="O41" s="59">
        <f t="shared" si="44"/>
        <v>183.25280504908199</v>
      </c>
      <c r="P41" s="65">
        <f>E12/U24</f>
        <v>1516.9343151003413</v>
      </c>
      <c r="Q41" s="65">
        <f t="shared" si="41"/>
        <v>-1263.3050374004852</v>
      </c>
      <c r="R41" s="109">
        <f>K12/U24</f>
        <v>1595.733870967742</v>
      </c>
      <c r="S41" s="109">
        <f t="shared" si="32"/>
        <v>-1342.1045932678858</v>
      </c>
      <c r="T41" s="80"/>
      <c r="U41" s="60"/>
    </row>
    <row r="42" spans="1:21" s="61" customFormat="1" ht="18" customHeight="1" x14ac:dyDescent="0.2">
      <c r="A42" s="49" t="s">
        <v>25</v>
      </c>
      <c r="B42" s="86">
        <f>B13/B28</f>
        <v>70.708248081857846</v>
      </c>
      <c r="C42" s="52">
        <f>C13/C28</f>
        <v>23.898582089552239</v>
      </c>
      <c r="D42" s="124">
        <f t="shared" si="43"/>
        <v>46.809665992305611</v>
      </c>
      <c r="E42" s="63">
        <f t="shared" si="55"/>
        <v>2343.6256046767276</v>
      </c>
      <c r="F42" s="63">
        <f t="shared" si="24"/>
        <v>-2272.9173565948695</v>
      </c>
      <c r="G42" s="63">
        <f t="shared" si="55"/>
        <v>2131.6214295327245</v>
      </c>
      <c r="H42" s="63">
        <f t="shared" si="29"/>
        <v>-2060.9131814508664</v>
      </c>
      <c r="I42" s="63">
        <f t="shared" ref="I42" si="57">I13/I28</f>
        <v>44.096085409252666</v>
      </c>
      <c r="J42" s="63">
        <f t="shared" si="31"/>
        <v>26.61216267260518</v>
      </c>
      <c r="K42" s="105">
        <f t="shared" si="36"/>
        <v>2346.2096000000001</v>
      </c>
      <c r="L42" s="105">
        <f t="shared" si="25"/>
        <v>-2299.3999340076944</v>
      </c>
      <c r="M42" s="59">
        <f>B13/U23</f>
        <v>40.068007246386109</v>
      </c>
      <c r="N42" s="59">
        <f>C13/U24</f>
        <v>12.912943548387096</v>
      </c>
      <c r="O42" s="59">
        <f t="shared" si="44"/>
        <v>27.155063697999012</v>
      </c>
      <c r="P42" s="65">
        <f>E13/U24</f>
        <v>1874.2704768584044</v>
      </c>
      <c r="Q42" s="65">
        <f t="shared" si="41"/>
        <v>-1834.2024696120184</v>
      </c>
      <c r="R42" s="109">
        <f>K13/U24</f>
        <v>1970.9422043010752</v>
      </c>
      <c r="S42" s="109">
        <f t="shared" si="32"/>
        <v>-1930.8741970546891</v>
      </c>
      <c r="T42" s="80"/>
      <c r="U42" s="60"/>
    </row>
    <row r="43" spans="1:21" s="61" customFormat="1" ht="18" customHeight="1" x14ac:dyDescent="0.2">
      <c r="A43" s="50" t="s">
        <v>18</v>
      </c>
      <c r="B43" s="122">
        <f>B14/B29</f>
        <v>0</v>
      </c>
      <c r="C43" s="66">
        <f>C14/C29</f>
        <v>0</v>
      </c>
      <c r="D43" s="125">
        <f t="shared" si="43"/>
        <v>0</v>
      </c>
      <c r="E43" s="64">
        <f>E14/E29</f>
        <v>2559.0826019755796</v>
      </c>
      <c r="F43" s="64">
        <f t="shared" si="24"/>
        <v>-2559.0826019755796</v>
      </c>
      <c r="G43" s="64">
        <f>G14/G29</f>
        <v>2219.6737341770568</v>
      </c>
      <c r="H43" s="64">
        <f t="shared" si="29"/>
        <v>-2219.6737341770568</v>
      </c>
      <c r="I43" s="64">
        <f t="shared" ref="I43" si="58">I14/I29</f>
        <v>44.288389513108612</v>
      </c>
      <c r="J43" s="64">
        <f t="shared" si="31"/>
        <v>-44.288389513108612</v>
      </c>
      <c r="K43" s="106">
        <f t="shared" si="36"/>
        <v>2599.0400616332818</v>
      </c>
      <c r="L43" s="106">
        <f t="shared" si="25"/>
        <v>-2599.0400616332818</v>
      </c>
      <c r="M43" s="78">
        <f>B14/U21</f>
        <v>0</v>
      </c>
      <c r="N43" s="78">
        <f>C14/U21</f>
        <v>0</v>
      </c>
      <c r="O43" s="78">
        <f t="shared" ref="O43" si="59">M43-N43</f>
        <v>0</v>
      </c>
      <c r="P43" s="79">
        <f>E14/U21</f>
        <v>2463.8786361282737</v>
      </c>
      <c r="Q43" s="79">
        <f t="shared" ref="Q43" si="60">M43-P43</f>
        <v>-2463.8786361282737</v>
      </c>
      <c r="R43" s="110">
        <f>K14/U21</f>
        <v>2510.0848214285716</v>
      </c>
      <c r="S43" s="110">
        <f t="shared" si="32"/>
        <v>-2510.0848214285716</v>
      </c>
      <c r="T43" s="80"/>
      <c r="U43" s="60"/>
    </row>
    <row r="44" spans="1:21" x14ac:dyDescent="0.2">
      <c r="R44" s="80"/>
    </row>
  </sheetData>
  <mergeCells count="5">
    <mergeCell ref="A1:O1"/>
    <mergeCell ref="A30:L30"/>
    <mergeCell ref="M30:S30"/>
    <mergeCell ref="A16:L16"/>
    <mergeCell ref="M16:S16"/>
  </mergeCells>
  <conditionalFormatting sqref="D1 F1 H1 J1 L1 O1 Q1 S1 N3:N15 D3:D16 F3:F16 H3:H16 J3:J16 L3:L16 O3:O16 Q3:Q16 S3:S16 D18:D30 F18:F30 H18:H30 J18:J30 L18:L30 O18:O30 Q18:Q30 S18:S30 D32:D1048576 F32:F1048576 H32:H1048576 J32:J1048576 L32:L1048576 O32:O1048576 Q32:Q1048576 S32:S1048576">
    <cfRule type="cellIs" dxfId="3" priority="1" operator="lessThan">
      <formula>-0.0009</formula>
    </cfRule>
    <cfRule type="cellIs" dxfId="2" priority="2" operator="greaterThan">
      <formula>0.0009</formula>
    </cfRule>
  </conditionalFormatting>
  <pageMargins left="0.25" right="0.25" top="0.75" bottom="0.75" header="0.3" footer="0.3"/>
  <pageSetup paperSize="8" scale="67" orientation="landscape" horizontalDpi="0" verticalDpi="0"/>
  <ignoredErrors>
    <ignoredError sqref="F15 O36 D37:D38 B39 B37:B38 M37:M38 B40 E40 O23 O22 O24 O25 O26 M39 D39:F39 E37:F38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ABDB-C407-E64C-848B-2132CD3F94FC}">
  <dimension ref="A1:J64"/>
  <sheetViews>
    <sheetView zoomScale="59" zoomScaleNormal="70" workbookViewId="0">
      <selection activeCell="A2" sqref="A2"/>
    </sheetView>
  </sheetViews>
  <sheetFormatPr baseColWidth="10" defaultRowHeight="18" x14ac:dyDescent="0.2"/>
  <cols>
    <col min="1" max="1" width="19.83203125" style="8" customWidth="1"/>
    <col min="2" max="8" width="12.6640625" style="8" customWidth="1"/>
    <col min="9" max="9" width="14.6640625" style="7" customWidth="1"/>
    <col min="10" max="10" width="8.6640625" style="7" customWidth="1"/>
  </cols>
  <sheetData>
    <row r="1" spans="1:10" x14ac:dyDescent="0.2">
      <c r="A1" s="48" t="s">
        <v>20</v>
      </c>
      <c r="B1" s="47">
        <v>2019</v>
      </c>
      <c r="C1" s="47">
        <v>2020</v>
      </c>
      <c r="D1" s="46">
        <v>2021</v>
      </c>
      <c r="E1" s="46">
        <v>2022</v>
      </c>
      <c r="F1" s="46">
        <v>2023</v>
      </c>
      <c r="G1" s="45">
        <v>2024</v>
      </c>
      <c r="H1" s="45" t="s">
        <v>21</v>
      </c>
      <c r="I1" s="142" t="s">
        <v>22</v>
      </c>
      <c r="J1" s="143"/>
    </row>
    <row r="2" spans="1:10" x14ac:dyDescent="0.2">
      <c r="A2" s="18" t="s">
        <v>19</v>
      </c>
      <c r="B2" s="43"/>
      <c r="C2" s="43"/>
      <c r="D2" s="43"/>
      <c r="E2" s="43"/>
      <c r="F2" s="43"/>
      <c r="G2" s="42"/>
      <c r="H2" s="42"/>
      <c r="I2" s="67">
        <f>H2-G2</f>
        <v>0</v>
      </c>
      <c r="J2" s="75" t="e">
        <f>(H2-G2)/G2</f>
        <v>#DIV/0!</v>
      </c>
    </row>
    <row r="3" spans="1:10" x14ac:dyDescent="0.2">
      <c r="A3" s="18" t="s">
        <v>18</v>
      </c>
      <c r="B3" s="43"/>
      <c r="C3" s="43"/>
      <c r="D3" s="43"/>
      <c r="E3" s="43"/>
      <c r="F3" s="43"/>
      <c r="G3" s="42"/>
      <c r="H3" s="42"/>
      <c r="I3" s="67">
        <f t="shared" ref="I3:I13" si="0">H3-G3</f>
        <v>0</v>
      </c>
      <c r="J3" s="75" t="e">
        <f t="shared" ref="J3:J13" si="1">(H3-G3)/G3</f>
        <v>#DIV/0!</v>
      </c>
    </row>
    <row r="4" spans="1:10" x14ac:dyDescent="0.2">
      <c r="A4" s="18" t="s">
        <v>17</v>
      </c>
      <c r="B4" s="43"/>
      <c r="C4" s="44"/>
      <c r="D4" s="43"/>
      <c r="E4" s="43"/>
      <c r="F4" s="43"/>
      <c r="G4" s="42"/>
      <c r="H4" s="42"/>
      <c r="I4" s="67">
        <f t="shared" si="0"/>
        <v>0</v>
      </c>
      <c r="J4" s="75" t="e">
        <f t="shared" si="1"/>
        <v>#DIV/0!</v>
      </c>
    </row>
    <row r="5" spans="1:10" x14ac:dyDescent="0.2">
      <c r="A5" s="18" t="s">
        <v>16</v>
      </c>
      <c r="B5" s="43"/>
      <c r="C5" s="44"/>
      <c r="D5" s="43"/>
      <c r="E5" s="43"/>
      <c r="F5" s="43"/>
      <c r="G5" s="42"/>
      <c r="H5" s="42"/>
      <c r="I5" s="67">
        <f t="shared" si="0"/>
        <v>0</v>
      </c>
      <c r="J5" s="75" t="e">
        <f t="shared" si="1"/>
        <v>#DIV/0!</v>
      </c>
    </row>
    <row r="6" spans="1:10" x14ac:dyDescent="0.2">
      <c r="A6" s="18" t="s">
        <v>15</v>
      </c>
      <c r="B6" s="43"/>
      <c r="C6" s="44"/>
      <c r="D6" s="43"/>
      <c r="E6" s="43"/>
      <c r="F6" s="43"/>
      <c r="G6" s="42"/>
      <c r="H6" s="42"/>
      <c r="I6" s="67">
        <f t="shared" si="0"/>
        <v>0</v>
      </c>
      <c r="J6" s="75" t="e">
        <f t="shared" si="1"/>
        <v>#DIV/0!</v>
      </c>
    </row>
    <row r="7" spans="1:10" x14ac:dyDescent="0.2">
      <c r="A7" s="18" t="s">
        <v>14</v>
      </c>
      <c r="B7" s="43"/>
      <c r="C7" s="43"/>
      <c r="D7" s="43"/>
      <c r="E7" s="43"/>
      <c r="F7" s="43"/>
      <c r="G7" s="42"/>
      <c r="H7" s="42"/>
      <c r="I7" s="67">
        <f t="shared" si="0"/>
        <v>0</v>
      </c>
      <c r="J7" s="75" t="e">
        <f t="shared" si="1"/>
        <v>#DIV/0!</v>
      </c>
    </row>
    <row r="8" spans="1:10" x14ac:dyDescent="0.2">
      <c r="A8" s="18" t="s">
        <v>13</v>
      </c>
      <c r="B8" s="43"/>
      <c r="C8" s="43"/>
      <c r="D8" s="43"/>
      <c r="E8" s="43"/>
      <c r="F8" s="43"/>
      <c r="G8" s="42"/>
      <c r="H8" s="42"/>
      <c r="I8" s="67">
        <f t="shared" si="0"/>
        <v>0</v>
      </c>
      <c r="J8" s="75" t="e">
        <f t="shared" si="1"/>
        <v>#DIV/0!</v>
      </c>
    </row>
    <row r="9" spans="1:10" x14ac:dyDescent="0.2">
      <c r="A9" s="18" t="s">
        <v>2</v>
      </c>
      <c r="B9" s="43"/>
      <c r="C9" s="43"/>
      <c r="D9" s="43"/>
      <c r="E9" s="43"/>
      <c r="F9" s="43"/>
      <c r="G9" s="42"/>
      <c r="H9" s="42"/>
      <c r="I9" s="67">
        <f t="shared" si="0"/>
        <v>0</v>
      </c>
      <c r="J9" s="75" t="e">
        <f t="shared" si="1"/>
        <v>#DIV/0!</v>
      </c>
    </row>
    <row r="10" spans="1:10" x14ac:dyDescent="0.2">
      <c r="A10" s="18" t="s">
        <v>3</v>
      </c>
      <c r="B10" s="43"/>
      <c r="C10" s="43"/>
      <c r="D10" s="43"/>
      <c r="E10" s="43"/>
      <c r="F10" s="43"/>
      <c r="G10" s="42"/>
      <c r="H10" s="42"/>
      <c r="I10" s="67">
        <f t="shared" si="0"/>
        <v>0</v>
      </c>
      <c r="J10" s="75" t="e">
        <f t="shared" si="1"/>
        <v>#DIV/0!</v>
      </c>
    </row>
    <row r="11" spans="1:10" x14ac:dyDescent="0.2">
      <c r="A11" s="18" t="s">
        <v>12</v>
      </c>
      <c r="B11" s="43"/>
      <c r="C11" s="43"/>
      <c r="D11" s="43"/>
      <c r="E11" s="43"/>
      <c r="F11" s="43"/>
      <c r="G11" s="42"/>
      <c r="H11" s="42"/>
      <c r="I11" s="67">
        <f t="shared" si="0"/>
        <v>0</v>
      </c>
      <c r="J11" s="75" t="e">
        <f t="shared" si="1"/>
        <v>#DIV/0!</v>
      </c>
    </row>
    <row r="12" spans="1:10" x14ac:dyDescent="0.2">
      <c r="A12" s="18" t="s">
        <v>11</v>
      </c>
      <c r="B12" s="43"/>
      <c r="C12" s="43"/>
      <c r="D12" s="43"/>
      <c r="E12" s="43"/>
      <c r="F12" s="43"/>
      <c r="G12" s="42"/>
      <c r="H12" s="42"/>
      <c r="I12" s="67">
        <f t="shared" si="0"/>
        <v>0</v>
      </c>
      <c r="J12" s="75" t="e">
        <f t="shared" si="1"/>
        <v>#DIV/0!</v>
      </c>
    </row>
    <row r="13" spans="1:10" ht="19" thickBot="1" x14ac:dyDescent="0.25">
      <c r="A13" s="15" t="s">
        <v>10</v>
      </c>
      <c r="B13" s="41"/>
      <c r="C13" s="41"/>
      <c r="D13" s="41"/>
      <c r="E13" s="41"/>
      <c r="F13" s="41"/>
      <c r="G13" s="40"/>
      <c r="H13" s="40"/>
      <c r="I13" s="67">
        <f t="shared" si="0"/>
        <v>0</v>
      </c>
      <c r="J13" s="75" t="e">
        <f t="shared" si="1"/>
        <v>#DIV/0!</v>
      </c>
    </row>
    <row r="14" spans="1:10" ht="19" thickBot="1" x14ac:dyDescent="0.25">
      <c r="A14" s="12" t="s">
        <v>8</v>
      </c>
      <c r="B14" s="39">
        <f t="shared" ref="B14:G14" si="2">SUM(B2:B13)</f>
        <v>0</v>
      </c>
      <c r="C14" s="39">
        <f t="shared" si="2"/>
        <v>0</v>
      </c>
      <c r="D14" s="39">
        <f t="shared" si="2"/>
        <v>0</v>
      </c>
      <c r="E14" s="39">
        <f t="shared" si="2"/>
        <v>0</v>
      </c>
      <c r="F14" s="39">
        <f t="shared" si="2"/>
        <v>0</v>
      </c>
      <c r="G14" s="38">
        <f t="shared" si="2"/>
        <v>0</v>
      </c>
      <c r="H14" s="38">
        <f t="shared" ref="H14" si="3">SUM(H2:H13)</f>
        <v>0</v>
      </c>
      <c r="I14" s="68">
        <f t="shared" ref="I14" si="4">G14-F14</f>
        <v>0</v>
      </c>
      <c r="J14" s="76" t="e">
        <f>(H14-G14)/G14</f>
        <v>#DIV/0!</v>
      </c>
    </row>
    <row r="15" spans="1:10" x14ac:dyDescent="0.2">
      <c r="A15" s="23" t="s">
        <v>4</v>
      </c>
      <c r="B15" s="22">
        <v>2019</v>
      </c>
      <c r="C15" s="22">
        <v>2020</v>
      </c>
      <c r="D15" s="22">
        <v>2021</v>
      </c>
      <c r="E15" s="22">
        <v>2022</v>
      </c>
      <c r="F15" s="22">
        <v>2023</v>
      </c>
      <c r="G15" s="21">
        <v>2024</v>
      </c>
      <c r="H15" s="21">
        <v>2025</v>
      </c>
      <c r="I15" s="142" t="s">
        <v>22</v>
      </c>
      <c r="J15" s="143"/>
    </row>
    <row r="16" spans="1:10" x14ac:dyDescent="0.2">
      <c r="A16" s="18" t="s">
        <v>19</v>
      </c>
      <c r="B16" s="36"/>
      <c r="C16" s="36"/>
      <c r="D16" s="36"/>
      <c r="E16" s="36"/>
      <c r="F16" s="36"/>
      <c r="G16" s="35"/>
      <c r="H16" s="35"/>
      <c r="I16" s="69">
        <f>H16-G16</f>
        <v>0</v>
      </c>
      <c r="J16" s="75" t="e">
        <f>(H16-G16)/G16</f>
        <v>#DIV/0!</v>
      </c>
    </row>
    <row r="17" spans="1:10" x14ac:dyDescent="0.2">
      <c r="A17" s="18" t="s">
        <v>18</v>
      </c>
      <c r="B17" s="36"/>
      <c r="C17" s="36"/>
      <c r="D17" s="36"/>
      <c r="E17" s="36"/>
      <c r="F17" s="36"/>
      <c r="G17" s="35"/>
      <c r="H17" s="35"/>
      <c r="I17" s="69">
        <f t="shared" ref="I17:I27" si="5">H17-G17</f>
        <v>0</v>
      </c>
      <c r="J17" s="75" t="e">
        <f t="shared" ref="J17:J27" si="6">(H17-G17)/G17</f>
        <v>#DIV/0!</v>
      </c>
    </row>
    <row r="18" spans="1:10" x14ac:dyDescent="0.2">
      <c r="A18" s="18" t="s">
        <v>17</v>
      </c>
      <c r="B18" s="36"/>
      <c r="C18" s="37"/>
      <c r="D18" s="36"/>
      <c r="E18" s="36"/>
      <c r="F18" s="36"/>
      <c r="G18" s="35"/>
      <c r="H18" s="35"/>
      <c r="I18" s="69">
        <f t="shared" si="5"/>
        <v>0</v>
      </c>
      <c r="J18" s="75" t="e">
        <f t="shared" si="6"/>
        <v>#DIV/0!</v>
      </c>
    </row>
    <row r="19" spans="1:10" x14ac:dyDescent="0.2">
      <c r="A19" s="18" t="s">
        <v>16</v>
      </c>
      <c r="B19" s="36"/>
      <c r="C19" s="37"/>
      <c r="D19" s="36"/>
      <c r="E19" s="36"/>
      <c r="F19" s="36"/>
      <c r="G19" s="35"/>
      <c r="H19" s="35"/>
      <c r="I19" s="69">
        <f t="shared" si="5"/>
        <v>0</v>
      </c>
      <c r="J19" s="75" t="e">
        <f t="shared" si="6"/>
        <v>#DIV/0!</v>
      </c>
    </row>
    <row r="20" spans="1:10" x14ac:dyDescent="0.2">
      <c r="A20" s="18" t="s">
        <v>15</v>
      </c>
      <c r="B20" s="36"/>
      <c r="C20" s="37"/>
      <c r="D20" s="36"/>
      <c r="E20" s="36"/>
      <c r="F20" s="36"/>
      <c r="G20" s="35"/>
      <c r="H20" s="35"/>
      <c r="I20" s="69">
        <f t="shared" si="5"/>
        <v>0</v>
      </c>
      <c r="J20" s="75" t="e">
        <f t="shared" si="6"/>
        <v>#DIV/0!</v>
      </c>
    </row>
    <row r="21" spans="1:10" x14ac:dyDescent="0.2">
      <c r="A21" s="18" t="s">
        <v>14</v>
      </c>
      <c r="B21" s="36"/>
      <c r="C21" s="36"/>
      <c r="D21" s="36"/>
      <c r="E21" s="36"/>
      <c r="F21" s="36"/>
      <c r="G21" s="35"/>
      <c r="H21" s="35"/>
      <c r="I21" s="69">
        <f t="shared" si="5"/>
        <v>0</v>
      </c>
      <c r="J21" s="75" t="e">
        <f t="shared" si="6"/>
        <v>#DIV/0!</v>
      </c>
    </row>
    <row r="22" spans="1:10" x14ac:dyDescent="0.2">
      <c r="A22" s="18" t="s">
        <v>13</v>
      </c>
      <c r="B22" s="36"/>
      <c r="C22" s="36"/>
      <c r="D22" s="36"/>
      <c r="E22" s="36"/>
      <c r="F22" s="36"/>
      <c r="G22" s="35"/>
      <c r="H22" s="35"/>
      <c r="I22" s="69">
        <f t="shared" si="5"/>
        <v>0</v>
      </c>
      <c r="J22" s="75" t="e">
        <f t="shared" si="6"/>
        <v>#DIV/0!</v>
      </c>
    </row>
    <row r="23" spans="1:10" x14ac:dyDescent="0.2">
      <c r="A23" s="18" t="s">
        <v>2</v>
      </c>
      <c r="B23" s="36"/>
      <c r="C23" s="36"/>
      <c r="D23" s="36"/>
      <c r="E23" s="36"/>
      <c r="F23" s="36"/>
      <c r="G23" s="35"/>
      <c r="H23" s="35"/>
      <c r="I23" s="69">
        <f t="shared" si="5"/>
        <v>0</v>
      </c>
      <c r="J23" s="75" t="e">
        <f t="shared" si="6"/>
        <v>#DIV/0!</v>
      </c>
    </row>
    <row r="24" spans="1:10" x14ac:dyDescent="0.2">
      <c r="A24" s="18" t="s">
        <v>3</v>
      </c>
      <c r="B24" s="36"/>
      <c r="C24" s="36"/>
      <c r="D24" s="36"/>
      <c r="E24" s="36"/>
      <c r="F24" s="36"/>
      <c r="G24" s="35"/>
      <c r="H24" s="35"/>
      <c r="I24" s="69">
        <f t="shared" si="5"/>
        <v>0</v>
      </c>
      <c r="J24" s="75" t="e">
        <f t="shared" si="6"/>
        <v>#DIV/0!</v>
      </c>
    </row>
    <row r="25" spans="1:10" x14ac:dyDescent="0.2">
      <c r="A25" s="18" t="s">
        <v>12</v>
      </c>
      <c r="B25" s="36"/>
      <c r="C25" s="36"/>
      <c r="D25" s="36"/>
      <c r="E25" s="36"/>
      <c r="F25" s="36"/>
      <c r="G25" s="35"/>
      <c r="H25" s="35"/>
      <c r="I25" s="69">
        <f t="shared" si="5"/>
        <v>0</v>
      </c>
      <c r="J25" s="75" t="e">
        <f t="shared" si="6"/>
        <v>#DIV/0!</v>
      </c>
    </row>
    <row r="26" spans="1:10" x14ac:dyDescent="0.2">
      <c r="A26" s="18" t="s">
        <v>11</v>
      </c>
      <c r="B26" s="36"/>
      <c r="C26" s="36"/>
      <c r="D26" s="36"/>
      <c r="E26" s="36"/>
      <c r="F26" s="36"/>
      <c r="G26" s="35"/>
      <c r="H26" s="35"/>
      <c r="I26" s="69">
        <f t="shared" si="5"/>
        <v>0</v>
      </c>
      <c r="J26" s="75" t="e">
        <f t="shared" si="6"/>
        <v>#DIV/0!</v>
      </c>
    </row>
    <row r="27" spans="1:10" ht="19" thickBot="1" x14ac:dyDescent="0.25">
      <c r="A27" s="15" t="s">
        <v>10</v>
      </c>
      <c r="B27" s="34"/>
      <c r="C27" s="34"/>
      <c r="D27" s="34"/>
      <c r="E27" s="34"/>
      <c r="F27" s="34"/>
      <c r="G27" s="33"/>
      <c r="H27" s="33"/>
      <c r="I27" s="69">
        <f t="shared" si="5"/>
        <v>0</v>
      </c>
      <c r="J27" s="75" t="e">
        <f t="shared" si="6"/>
        <v>#DIV/0!</v>
      </c>
    </row>
    <row r="28" spans="1:10" ht="19" thickBot="1" x14ac:dyDescent="0.25">
      <c r="A28" s="12" t="s">
        <v>8</v>
      </c>
      <c r="B28" s="32">
        <f t="shared" ref="B28:G28" si="7">SUM(B16:B27)</f>
        <v>0</v>
      </c>
      <c r="C28" s="32">
        <f t="shared" si="7"/>
        <v>0</v>
      </c>
      <c r="D28" s="32">
        <f t="shared" si="7"/>
        <v>0</v>
      </c>
      <c r="E28" s="32">
        <f t="shared" si="7"/>
        <v>0</v>
      </c>
      <c r="F28" s="32">
        <f t="shared" si="7"/>
        <v>0</v>
      </c>
      <c r="G28" s="31">
        <f t="shared" si="7"/>
        <v>0</v>
      </c>
      <c r="H28" s="31">
        <f t="shared" ref="H28" si="8">SUM(H16:H27)</f>
        <v>0</v>
      </c>
      <c r="I28" s="70">
        <f t="shared" ref="I28" si="9">G28-F28</f>
        <v>0</v>
      </c>
      <c r="J28" s="76" t="e">
        <f>(H28-G28)/G28</f>
        <v>#DIV/0!</v>
      </c>
    </row>
    <row r="29" spans="1:10" x14ac:dyDescent="0.2">
      <c r="A29" s="23" t="s">
        <v>6</v>
      </c>
      <c r="B29" s="22">
        <v>2019</v>
      </c>
      <c r="C29" s="22">
        <v>2020</v>
      </c>
      <c r="D29" s="22">
        <v>2021</v>
      </c>
      <c r="E29" s="22">
        <v>2022</v>
      </c>
      <c r="F29" s="22">
        <v>2023</v>
      </c>
      <c r="G29" s="21">
        <v>2024</v>
      </c>
      <c r="H29" s="21">
        <v>2025</v>
      </c>
      <c r="I29" s="142" t="s">
        <v>22</v>
      </c>
      <c r="J29" s="143"/>
    </row>
    <row r="30" spans="1:10" x14ac:dyDescent="0.2">
      <c r="A30" s="18" t="s">
        <v>19</v>
      </c>
      <c r="B30" s="29"/>
      <c r="C30" s="29"/>
      <c r="D30" s="29"/>
      <c r="E30" s="29"/>
      <c r="F30" s="29"/>
      <c r="G30" s="28"/>
      <c r="H30" s="28"/>
      <c r="I30" s="71">
        <f>H30-G30</f>
        <v>0</v>
      </c>
      <c r="J30" s="75" t="e">
        <f>(H30-G30)/G30</f>
        <v>#DIV/0!</v>
      </c>
    </row>
    <row r="31" spans="1:10" x14ac:dyDescent="0.2">
      <c r="A31" s="18" t="s">
        <v>18</v>
      </c>
      <c r="B31" s="29"/>
      <c r="C31" s="29"/>
      <c r="D31" s="29"/>
      <c r="E31" s="29"/>
      <c r="F31" s="29"/>
      <c r="G31" s="28"/>
      <c r="H31" s="28"/>
      <c r="I31" s="71">
        <f t="shared" ref="I31:I41" si="10">H31-G31</f>
        <v>0</v>
      </c>
      <c r="J31" s="75" t="e">
        <f t="shared" ref="J31:J41" si="11">(H31-G31)/G31</f>
        <v>#DIV/0!</v>
      </c>
    </row>
    <row r="32" spans="1:10" x14ac:dyDescent="0.2">
      <c r="A32" s="18" t="s">
        <v>17</v>
      </c>
      <c r="B32" s="29"/>
      <c r="C32" s="30"/>
      <c r="D32" s="29"/>
      <c r="E32" s="29"/>
      <c r="F32" s="29"/>
      <c r="G32" s="28"/>
      <c r="H32" s="28"/>
      <c r="I32" s="71">
        <f t="shared" si="10"/>
        <v>0</v>
      </c>
      <c r="J32" s="75" t="e">
        <f t="shared" si="11"/>
        <v>#DIV/0!</v>
      </c>
    </row>
    <row r="33" spans="1:10" x14ac:dyDescent="0.2">
      <c r="A33" s="18" t="s">
        <v>16</v>
      </c>
      <c r="B33" s="29"/>
      <c r="C33" s="30"/>
      <c r="D33" s="29"/>
      <c r="E33" s="29"/>
      <c r="F33" s="29"/>
      <c r="G33" s="28"/>
      <c r="H33" s="28"/>
      <c r="I33" s="71">
        <f t="shared" si="10"/>
        <v>0</v>
      </c>
      <c r="J33" s="75" t="e">
        <f t="shared" si="11"/>
        <v>#DIV/0!</v>
      </c>
    </row>
    <row r="34" spans="1:10" x14ac:dyDescent="0.2">
      <c r="A34" s="18" t="s">
        <v>15</v>
      </c>
      <c r="B34" s="29"/>
      <c r="C34" s="30"/>
      <c r="D34" s="29"/>
      <c r="E34" s="29"/>
      <c r="F34" s="29"/>
      <c r="G34" s="28"/>
      <c r="H34" s="28"/>
      <c r="I34" s="71">
        <f t="shared" si="10"/>
        <v>0</v>
      </c>
      <c r="J34" s="75" t="e">
        <f t="shared" si="11"/>
        <v>#DIV/0!</v>
      </c>
    </row>
    <row r="35" spans="1:10" x14ac:dyDescent="0.2">
      <c r="A35" s="18" t="s">
        <v>14</v>
      </c>
      <c r="B35" s="29"/>
      <c r="C35" s="29"/>
      <c r="D35" s="29"/>
      <c r="E35" s="29"/>
      <c r="F35" s="29"/>
      <c r="G35" s="28"/>
      <c r="H35" s="28"/>
      <c r="I35" s="71">
        <f t="shared" si="10"/>
        <v>0</v>
      </c>
      <c r="J35" s="75" t="e">
        <f t="shared" si="11"/>
        <v>#DIV/0!</v>
      </c>
    </row>
    <row r="36" spans="1:10" x14ac:dyDescent="0.2">
      <c r="A36" s="18" t="s">
        <v>13</v>
      </c>
      <c r="B36" s="29"/>
      <c r="C36" s="29"/>
      <c r="D36" s="29"/>
      <c r="E36" s="29"/>
      <c r="F36" s="29"/>
      <c r="G36" s="28"/>
      <c r="H36" s="28"/>
      <c r="I36" s="71">
        <f t="shared" si="10"/>
        <v>0</v>
      </c>
      <c r="J36" s="75" t="e">
        <f t="shared" si="11"/>
        <v>#DIV/0!</v>
      </c>
    </row>
    <row r="37" spans="1:10" x14ac:dyDescent="0.2">
      <c r="A37" s="18" t="s">
        <v>2</v>
      </c>
      <c r="B37" s="29"/>
      <c r="C37" s="29"/>
      <c r="D37" s="29"/>
      <c r="E37" s="29"/>
      <c r="F37" s="29"/>
      <c r="G37" s="28"/>
      <c r="H37" s="28"/>
      <c r="I37" s="71">
        <f t="shared" si="10"/>
        <v>0</v>
      </c>
      <c r="J37" s="75" t="e">
        <f t="shared" si="11"/>
        <v>#DIV/0!</v>
      </c>
    </row>
    <row r="38" spans="1:10" x14ac:dyDescent="0.2">
      <c r="A38" s="18" t="s">
        <v>3</v>
      </c>
      <c r="B38" s="29"/>
      <c r="C38" s="29"/>
      <c r="D38" s="29"/>
      <c r="E38" s="29"/>
      <c r="F38" s="29"/>
      <c r="G38" s="28"/>
      <c r="H38" s="28"/>
      <c r="I38" s="71">
        <f t="shared" si="10"/>
        <v>0</v>
      </c>
      <c r="J38" s="75" t="e">
        <f t="shared" si="11"/>
        <v>#DIV/0!</v>
      </c>
    </row>
    <row r="39" spans="1:10" x14ac:dyDescent="0.2">
      <c r="A39" s="18" t="s">
        <v>12</v>
      </c>
      <c r="B39" s="29"/>
      <c r="C39" s="29"/>
      <c r="D39" s="29"/>
      <c r="E39" s="29"/>
      <c r="F39" s="29"/>
      <c r="G39" s="28"/>
      <c r="H39" s="28"/>
      <c r="I39" s="71">
        <f t="shared" si="10"/>
        <v>0</v>
      </c>
      <c r="J39" s="75" t="e">
        <f t="shared" si="11"/>
        <v>#DIV/0!</v>
      </c>
    </row>
    <row r="40" spans="1:10" x14ac:dyDescent="0.2">
      <c r="A40" s="18" t="s">
        <v>11</v>
      </c>
      <c r="B40" s="29"/>
      <c r="C40" s="29"/>
      <c r="D40" s="29"/>
      <c r="E40" s="29"/>
      <c r="F40" s="29"/>
      <c r="G40" s="28"/>
      <c r="H40" s="28"/>
      <c r="I40" s="71">
        <f t="shared" si="10"/>
        <v>0</v>
      </c>
      <c r="J40" s="75" t="e">
        <f t="shared" si="11"/>
        <v>#DIV/0!</v>
      </c>
    </row>
    <row r="41" spans="1:10" ht="19" thickBot="1" x14ac:dyDescent="0.25">
      <c r="A41" s="15" t="s">
        <v>10</v>
      </c>
      <c r="B41" s="27"/>
      <c r="C41" s="27"/>
      <c r="D41" s="27"/>
      <c r="E41" s="27"/>
      <c r="F41" s="27"/>
      <c r="G41" s="26"/>
      <c r="H41" s="26"/>
      <c r="I41" s="71">
        <f t="shared" si="10"/>
        <v>0</v>
      </c>
      <c r="J41" s="75" t="e">
        <f t="shared" si="11"/>
        <v>#DIV/0!</v>
      </c>
    </row>
    <row r="42" spans="1:10" ht="19" thickBot="1" x14ac:dyDescent="0.25">
      <c r="A42" s="12" t="s">
        <v>9</v>
      </c>
      <c r="B42" s="25">
        <f t="shared" ref="B42:G42" si="12">SUM(B30:B41)/12</f>
        <v>0</v>
      </c>
      <c r="C42" s="25">
        <f t="shared" si="12"/>
        <v>0</v>
      </c>
      <c r="D42" s="25">
        <f t="shared" si="12"/>
        <v>0</v>
      </c>
      <c r="E42" s="25">
        <f t="shared" si="12"/>
        <v>0</v>
      </c>
      <c r="F42" s="25">
        <f t="shared" si="12"/>
        <v>0</v>
      </c>
      <c r="G42" s="24">
        <f t="shared" si="12"/>
        <v>0</v>
      </c>
      <c r="H42" s="24">
        <f t="shared" ref="H42" si="13">SUM(H30:H41)/12</f>
        <v>0</v>
      </c>
      <c r="I42" s="72">
        <f t="shared" ref="I42" si="14">G42-F42</f>
        <v>0</v>
      </c>
      <c r="J42" s="76" t="e">
        <f>(H42-G42)/G42</f>
        <v>#DIV/0!</v>
      </c>
    </row>
    <row r="43" spans="1:10" x14ac:dyDescent="0.2">
      <c r="A43" s="23" t="s">
        <v>5</v>
      </c>
      <c r="B43" s="22">
        <v>2019</v>
      </c>
      <c r="C43" s="22">
        <v>2020</v>
      </c>
      <c r="D43" s="22">
        <v>2021</v>
      </c>
      <c r="E43" s="22">
        <v>2022</v>
      </c>
      <c r="F43" s="22">
        <v>2023</v>
      </c>
      <c r="G43" s="21">
        <v>2024</v>
      </c>
      <c r="H43" s="21">
        <v>2025</v>
      </c>
      <c r="I43" s="142" t="s">
        <v>22</v>
      </c>
      <c r="J43" s="143"/>
    </row>
    <row r="44" spans="1:10" x14ac:dyDescent="0.2">
      <c r="A44" s="18" t="s">
        <v>19</v>
      </c>
      <c r="B44" s="17"/>
      <c r="C44" s="17" t="e">
        <f t="shared" ref="C44:G46" si="15">C2/C16</f>
        <v>#DIV/0!</v>
      </c>
      <c r="D44" s="17" t="e">
        <f t="shared" si="15"/>
        <v>#DIV/0!</v>
      </c>
      <c r="E44" s="17" t="e">
        <f t="shared" si="15"/>
        <v>#DIV/0!</v>
      </c>
      <c r="F44" s="17" t="e">
        <f t="shared" si="15"/>
        <v>#DIV/0!</v>
      </c>
      <c r="G44" s="16" t="e">
        <f t="shared" si="15"/>
        <v>#DIV/0!</v>
      </c>
      <c r="H44" s="16" t="e">
        <f t="shared" ref="H44" si="16">H2/H16</f>
        <v>#DIV/0!</v>
      </c>
      <c r="I44" s="73" t="e">
        <f>H44-G44</f>
        <v>#DIV/0!</v>
      </c>
      <c r="J44" s="75" t="e">
        <f>(H44-G44)/G44</f>
        <v>#DIV/0!</v>
      </c>
    </row>
    <row r="45" spans="1:10" x14ac:dyDescent="0.2">
      <c r="A45" s="18" t="s">
        <v>18</v>
      </c>
      <c r="B45" s="17"/>
      <c r="C45" s="17" t="e">
        <f t="shared" si="15"/>
        <v>#DIV/0!</v>
      </c>
      <c r="D45" s="17" t="e">
        <f t="shared" si="15"/>
        <v>#DIV/0!</v>
      </c>
      <c r="E45" s="17" t="e">
        <f t="shared" si="15"/>
        <v>#DIV/0!</v>
      </c>
      <c r="F45" s="17" t="e">
        <f t="shared" si="15"/>
        <v>#DIV/0!</v>
      </c>
      <c r="G45" s="16" t="e">
        <f t="shared" si="15"/>
        <v>#DIV/0!</v>
      </c>
      <c r="H45" s="16" t="e">
        <f>H3/H17</f>
        <v>#DIV/0!</v>
      </c>
      <c r="I45" s="73" t="e">
        <f t="shared" ref="I45:I55" si="17">H45-G45</f>
        <v>#DIV/0!</v>
      </c>
      <c r="J45" s="75" t="e">
        <f t="shared" ref="J45:J55" si="18">(H45-G45)/G45</f>
        <v>#DIV/0!</v>
      </c>
    </row>
    <row r="46" spans="1:10" x14ac:dyDescent="0.2">
      <c r="A46" s="18" t="s">
        <v>17</v>
      </c>
      <c r="B46" s="17"/>
      <c r="C46" s="20" t="e">
        <f t="shared" si="15"/>
        <v>#DIV/0!</v>
      </c>
      <c r="D46" s="17" t="e">
        <f t="shared" si="15"/>
        <v>#DIV/0!</v>
      </c>
      <c r="E46" s="17" t="e">
        <f t="shared" si="15"/>
        <v>#DIV/0!</v>
      </c>
      <c r="F46" s="17" t="e">
        <f t="shared" si="15"/>
        <v>#DIV/0!</v>
      </c>
      <c r="G46" s="16" t="e">
        <f t="shared" si="15"/>
        <v>#DIV/0!</v>
      </c>
      <c r="H46" s="16" t="e">
        <f>H4/H18</f>
        <v>#DIV/0!</v>
      </c>
      <c r="I46" s="73" t="e">
        <f t="shared" si="17"/>
        <v>#DIV/0!</v>
      </c>
      <c r="J46" s="75" t="e">
        <f t="shared" si="18"/>
        <v>#DIV/0!</v>
      </c>
    </row>
    <row r="47" spans="1:10" x14ac:dyDescent="0.2">
      <c r="A47" s="18" t="s">
        <v>16</v>
      </c>
      <c r="B47" s="17"/>
      <c r="C47" s="19">
        <v>0</v>
      </c>
      <c r="D47" s="17" t="e">
        <f t="shared" ref="D47:G55" si="19">D5/D19</f>
        <v>#DIV/0!</v>
      </c>
      <c r="E47" s="17" t="e">
        <f t="shared" si="19"/>
        <v>#DIV/0!</v>
      </c>
      <c r="F47" s="17" t="e">
        <f t="shared" si="19"/>
        <v>#DIV/0!</v>
      </c>
      <c r="G47" s="16" t="e">
        <f t="shared" si="19"/>
        <v>#DIV/0!</v>
      </c>
      <c r="H47" s="16" t="e">
        <f t="shared" ref="H47" si="20">H5/H19</f>
        <v>#DIV/0!</v>
      </c>
      <c r="I47" s="73" t="e">
        <f t="shared" si="17"/>
        <v>#DIV/0!</v>
      </c>
      <c r="J47" s="75" t="e">
        <f t="shared" si="18"/>
        <v>#DIV/0!</v>
      </c>
    </row>
    <row r="48" spans="1:10" x14ac:dyDescent="0.2">
      <c r="A48" s="18" t="s">
        <v>15</v>
      </c>
      <c r="B48" s="17"/>
      <c r="C48" s="19">
        <v>0</v>
      </c>
      <c r="D48" s="17" t="e">
        <f t="shared" si="19"/>
        <v>#DIV/0!</v>
      </c>
      <c r="E48" s="17" t="e">
        <f t="shared" si="19"/>
        <v>#DIV/0!</v>
      </c>
      <c r="F48" s="17" t="e">
        <f t="shared" si="19"/>
        <v>#DIV/0!</v>
      </c>
      <c r="G48" s="16" t="e">
        <f t="shared" si="19"/>
        <v>#DIV/0!</v>
      </c>
      <c r="H48" s="16" t="e">
        <f t="shared" ref="H48" si="21">H6/H20</f>
        <v>#DIV/0!</v>
      </c>
      <c r="I48" s="73" t="e">
        <f t="shared" si="17"/>
        <v>#DIV/0!</v>
      </c>
      <c r="J48" s="75" t="e">
        <f t="shared" si="18"/>
        <v>#DIV/0!</v>
      </c>
    </row>
    <row r="49" spans="1:10" x14ac:dyDescent="0.2">
      <c r="A49" s="18" t="s">
        <v>14</v>
      </c>
      <c r="B49" s="17"/>
      <c r="C49" s="17">
        <v>0</v>
      </c>
      <c r="D49" s="17" t="e">
        <f t="shared" si="19"/>
        <v>#DIV/0!</v>
      </c>
      <c r="E49" s="17" t="e">
        <f t="shared" si="19"/>
        <v>#DIV/0!</v>
      </c>
      <c r="F49" s="17" t="e">
        <f t="shared" si="19"/>
        <v>#DIV/0!</v>
      </c>
      <c r="G49" s="16" t="e">
        <f t="shared" si="19"/>
        <v>#DIV/0!</v>
      </c>
      <c r="H49" s="16" t="e">
        <f t="shared" ref="H49" si="22">H7/H21</f>
        <v>#DIV/0!</v>
      </c>
      <c r="I49" s="73" t="e">
        <f t="shared" si="17"/>
        <v>#DIV/0!</v>
      </c>
      <c r="J49" s="75" t="e">
        <f t="shared" si="18"/>
        <v>#DIV/0!</v>
      </c>
    </row>
    <row r="50" spans="1:10" x14ac:dyDescent="0.2">
      <c r="A50" s="18" t="s">
        <v>13</v>
      </c>
      <c r="B50" s="17"/>
      <c r="C50" s="17">
        <v>0</v>
      </c>
      <c r="D50" s="17" t="e">
        <f t="shared" si="19"/>
        <v>#DIV/0!</v>
      </c>
      <c r="E50" s="17" t="e">
        <f t="shared" si="19"/>
        <v>#DIV/0!</v>
      </c>
      <c r="F50" s="17" t="e">
        <f t="shared" si="19"/>
        <v>#DIV/0!</v>
      </c>
      <c r="G50" s="16" t="e">
        <f t="shared" si="19"/>
        <v>#DIV/0!</v>
      </c>
      <c r="H50" s="16" t="e">
        <f t="shared" ref="H50" si="23">H8/H22</f>
        <v>#DIV/0!</v>
      </c>
      <c r="I50" s="73" t="e">
        <f t="shared" si="17"/>
        <v>#DIV/0!</v>
      </c>
      <c r="J50" s="75" t="e">
        <f t="shared" si="18"/>
        <v>#DIV/0!</v>
      </c>
    </row>
    <row r="51" spans="1:10" x14ac:dyDescent="0.2">
      <c r="A51" s="18" t="s">
        <v>2</v>
      </c>
      <c r="B51" s="17"/>
      <c r="C51" s="17" t="e">
        <f>C9/C23</f>
        <v>#DIV/0!</v>
      </c>
      <c r="D51" s="17" t="e">
        <f t="shared" si="19"/>
        <v>#DIV/0!</v>
      </c>
      <c r="E51" s="17" t="e">
        <f t="shared" si="19"/>
        <v>#DIV/0!</v>
      </c>
      <c r="F51" s="17" t="e">
        <f t="shared" si="19"/>
        <v>#DIV/0!</v>
      </c>
      <c r="G51" s="16" t="e">
        <f t="shared" si="19"/>
        <v>#DIV/0!</v>
      </c>
      <c r="H51" s="16" t="e">
        <f t="shared" ref="H51" si="24">H9/H23</f>
        <v>#DIV/0!</v>
      </c>
      <c r="I51" s="73" t="e">
        <f t="shared" si="17"/>
        <v>#DIV/0!</v>
      </c>
      <c r="J51" s="75" t="e">
        <f t="shared" si="18"/>
        <v>#DIV/0!</v>
      </c>
    </row>
    <row r="52" spans="1:10" x14ac:dyDescent="0.2">
      <c r="A52" s="18" t="s">
        <v>3</v>
      </c>
      <c r="B52" s="17"/>
      <c r="C52" s="17" t="e">
        <f>C10/C24</f>
        <v>#DIV/0!</v>
      </c>
      <c r="D52" s="17" t="e">
        <f t="shared" si="19"/>
        <v>#DIV/0!</v>
      </c>
      <c r="E52" s="17" t="e">
        <f t="shared" si="19"/>
        <v>#DIV/0!</v>
      </c>
      <c r="F52" s="17" t="e">
        <f t="shared" si="19"/>
        <v>#DIV/0!</v>
      </c>
      <c r="G52" s="16" t="e">
        <f t="shared" si="19"/>
        <v>#DIV/0!</v>
      </c>
      <c r="H52" s="16" t="e">
        <f t="shared" ref="H52" si="25">H10/H24</f>
        <v>#DIV/0!</v>
      </c>
      <c r="I52" s="73" t="e">
        <f t="shared" si="17"/>
        <v>#DIV/0!</v>
      </c>
      <c r="J52" s="75" t="e">
        <f t="shared" si="18"/>
        <v>#DIV/0!</v>
      </c>
    </row>
    <row r="53" spans="1:10" x14ac:dyDescent="0.2">
      <c r="A53" s="18" t="s">
        <v>12</v>
      </c>
      <c r="B53" s="17"/>
      <c r="C53" s="17" t="e">
        <f>C11/C25</f>
        <v>#DIV/0!</v>
      </c>
      <c r="D53" s="17" t="e">
        <f t="shared" si="19"/>
        <v>#DIV/0!</v>
      </c>
      <c r="E53" s="17" t="e">
        <f t="shared" si="19"/>
        <v>#DIV/0!</v>
      </c>
      <c r="F53" s="17" t="e">
        <f t="shared" si="19"/>
        <v>#DIV/0!</v>
      </c>
      <c r="G53" s="16" t="e">
        <f t="shared" si="19"/>
        <v>#DIV/0!</v>
      </c>
      <c r="H53" s="16" t="e">
        <f t="shared" ref="H53" si="26">H11/H25</f>
        <v>#DIV/0!</v>
      </c>
      <c r="I53" s="73" t="e">
        <f t="shared" si="17"/>
        <v>#DIV/0!</v>
      </c>
      <c r="J53" s="75" t="e">
        <f t="shared" si="18"/>
        <v>#DIV/0!</v>
      </c>
    </row>
    <row r="54" spans="1:10" x14ac:dyDescent="0.2">
      <c r="A54" s="18" t="s">
        <v>11</v>
      </c>
      <c r="B54" s="17"/>
      <c r="C54" s="17" t="e">
        <f>C12/C26</f>
        <v>#DIV/0!</v>
      </c>
      <c r="D54" s="17" t="e">
        <f t="shared" si="19"/>
        <v>#DIV/0!</v>
      </c>
      <c r="E54" s="17" t="e">
        <f t="shared" si="19"/>
        <v>#DIV/0!</v>
      </c>
      <c r="F54" s="17" t="e">
        <f t="shared" si="19"/>
        <v>#DIV/0!</v>
      </c>
      <c r="G54" s="16" t="e">
        <f t="shared" si="19"/>
        <v>#DIV/0!</v>
      </c>
      <c r="H54" s="16" t="e">
        <f t="shared" ref="H54" si="27">H12/H26</f>
        <v>#DIV/0!</v>
      </c>
      <c r="I54" s="73" t="e">
        <f t="shared" si="17"/>
        <v>#DIV/0!</v>
      </c>
      <c r="J54" s="75" t="e">
        <f t="shared" si="18"/>
        <v>#DIV/0!</v>
      </c>
    </row>
    <row r="55" spans="1:10" ht="19" thickBot="1" x14ac:dyDescent="0.25">
      <c r="A55" s="15" t="s">
        <v>10</v>
      </c>
      <c r="B55" s="14" t="e">
        <f>B13/B27</f>
        <v>#DIV/0!</v>
      </c>
      <c r="C55" s="14" t="e">
        <f>C13/C27</f>
        <v>#DIV/0!</v>
      </c>
      <c r="D55" s="14" t="e">
        <f t="shared" si="19"/>
        <v>#DIV/0!</v>
      </c>
      <c r="E55" s="14" t="e">
        <f t="shared" si="19"/>
        <v>#DIV/0!</v>
      </c>
      <c r="F55" s="14" t="e">
        <f t="shared" si="19"/>
        <v>#DIV/0!</v>
      </c>
      <c r="G55" s="13" t="e">
        <f t="shared" si="19"/>
        <v>#DIV/0!</v>
      </c>
      <c r="H55" s="13" t="e">
        <f t="shared" ref="H55" si="28">H13/H27</f>
        <v>#DIV/0!</v>
      </c>
      <c r="I55" s="73" t="e">
        <f t="shared" si="17"/>
        <v>#DIV/0!</v>
      </c>
      <c r="J55" s="75" t="e">
        <f t="shared" si="18"/>
        <v>#DIV/0!</v>
      </c>
    </row>
    <row r="56" spans="1:10" ht="19" thickBot="1" x14ac:dyDescent="0.25">
      <c r="A56" s="12" t="s">
        <v>9</v>
      </c>
      <c r="B56" s="11" t="e">
        <f t="shared" ref="B56:G56" si="29">SUM(B44:B55)/12</f>
        <v>#DIV/0!</v>
      </c>
      <c r="C56" s="11" t="e">
        <f t="shared" si="29"/>
        <v>#DIV/0!</v>
      </c>
      <c r="D56" s="11" t="e">
        <f t="shared" si="29"/>
        <v>#DIV/0!</v>
      </c>
      <c r="E56" s="11" t="e">
        <f t="shared" si="29"/>
        <v>#DIV/0!</v>
      </c>
      <c r="F56" s="11" t="e">
        <f t="shared" si="29"/>
        <v>#DIV/0!</v>
      </c>
      <c r="G56" s="10" t="e">
        <f t="shared" si="29"/>
        <v>#DIV/0!</v>
      </c>
      <c r="H56" s="10" t="e">
        <f t="shared" ref="H56" si="30">SUM(H44:H55)/12</f>
        <v>#DIV/0!</v>
      </c>
      <c r="I56" s="74" t="e">
        <f t="shared" ref="I56" si="31">G56-F56</f>
        <v>#DIV/0!</v>
      </c>
      <c r="J56" s="76" t="e">
        <f>(H56-G56)/G56</f>
        <v>#DIV/0!</v>
      </c>
    </row>
    <row r="59" spans="1:10" x14ac:dyDescent="0.2">
      <c r="D59" s="9"/>
      <c r="E59"/>
      <c r="F59" s="9"/>
      <c r="G59"/>
      <c r="H59"/>
      <c r="I59" s="9"/>
      <c r="J59" s="9"/>
    </row>
    <row r="60" spans="1:10" x14ac:dyDescent="0.2">
      <c r="D60"/>
      <c r="E60"/>
      <c r="F60"/>
      <c r="G60"/>
      <c r="H60"/>
      <c r="I60"/>
      <c r="J60"/>
    </row>
    <row r="61" spans="1:10" x14ac:dyDescent="0.2">
      <c r="D61" s="9"/>
      <c r="E61"/>
      <c r="F61" s="9"/>
      <c r="G61"/>
      <c r="H61"/>
      <c r="I61" s="9"/>
      <c r="J61" s="9"/>
    </row>
    <row r="62" spans="1:10" x14ac:dyDescent="0.2">
      <c r="D62" s="9"/>
      <c r="E62"/>
      <c r="F62" s="9"/>
      <c r="G62"/>
      <c r="H62"/>
      <c r="I62" s="9"/>
      <c r="J62" s="9"/>
    </row>
    <row r="63" spans="1:10" x14ac:dyDescent="0.2">
      <c r="D63" s="9"/>
      <c r="E63"/>
      <c r="F63" s="9"/>
      <c r="G63"/>
      <c r="H63"/>
      <c r="I63" s="9"/>
      <c r="J63" s="9"/>
    </row>
    <row r="64" spans="1:10" x14ac:dyDescent="0.2">
      <c r="D64" s="9"/>
      <c r="E64"/>
      <c r="F64" s="9"/>
      <c r="G64"/>
      <c r="H64"/>
      <c r="I64" s="9"/>
      <c r="J64" s="9"/>
    </row>
  </sheetData>
  <mergeCells count="4">
    <mergeCell ref="I1:J1"/>
    <mergeCell ref="I15:J15"/>
    <mergeCell ref="I29:J29"/>
    <mergeCell ref="I43:J43"/>
  </mergeCells>
  <conditionalFormatting sqref="I2:J14 I16:J28 I30:J42 I44:J56">
    <cfRule type="cellIs" dxfId="1" priority="1" operator="greaterThan">
      <formula>0.009</formula>
    </cfRule>
    <cfRule type="cellIs" dxfId="0" priority="2" operator="lessThan">
      <formula>-0.009</formula>
    </cfRule>
  </conditionalFormatting>
  <pageMargins left="0.7" right="0.7" top="0.75" bottom="0.75" header="0.3" footer="0.3"/>
  <pageSetup paperSize="9" orientation="portrait" horizontalDpi="0" verticalDpi="0"/>
  <ignoredErrors>
    <ignoredError sqref="I31:I40" formula="1"/>
    <ignoredError sqref="H53:I55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</vt:lpstr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Carike Ligthelm</dc:creator>
  <cp:lastModifiedBy>Carike Ligthelm</cp:lastModifiedBy>
  <dcterms:created xsi:type="dcterms:W3CDTF">2025-04-03T10:02:25Z</dcterms:created>
  <dcterms:modified xsi:type="dcterms:W3CDTF">2026-08-14T08:49:50Z</dcterms:modified>
</cp:coreProperties>
</file>