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Schoone Oordt/Revenue Reports | SO/2026/"/>
    </mc:Choice>
  </mc:AlternateContent>
  <xr:revisionPtr revIDLastSave="0" documentId="13_ncr:1_{CDFCA2DC-A4D9-6A49-ABE1-8ADCE1B0C0D6}" xr6:coauthVersionLast="47" xr6:coauthVersionMax="47" xr10:uidLastSave="{00000000-0000-0000-0000-000000000000}"/>
  <bookViews>
    <workbookView xWindow="16880" yWindow="500" windowWidth="1672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9" i="1"/>
  <c r="C28" i="1"/>
  <c r="C27" i="1"/>
  <c r="C26" i="1"/>
  <c r="C25" i="1"/>
  <c r="C24" i="1"/>
  <c r="C23" i="1"/>
  <c r="C22" i="1"/>
  <c r="C10" i="1"/>
  <c r="J27" i="1"/>
  <c r="G27" i="1"/>
  <c r="G28" i="1"/>
  <c r="I28" i="1" s="1"/>
  <c r="E27" i="1"/>
  <c r="B27" i="1"/>
  <c r="J18" i="1"/>
  <c r="H18" i="1"/>
  <c r="G18" i="1"/>
  <c r="F18" i="1"/>
  <c r="D18" i="1"/>
  <c r="J8" i="1"/>
  <c r="G8" i="1"/>
  <c r="F8" i="1"/>
  <c r="D8" i="1"/>
  <c r="J26" i="1"/>
  <c r="G26" i="1"/>
  <c r="J28" i="1"/>
  <c r="B28" i="1"/>
  <c r="D28" i="1" s="1"/>
  <c r="E26" i="1"/>
  <c r="B26" i="1"/>
  <c r="J19" i="1"/>
  <c r="G19" i="1"/>
  <c r="I19" i="1" s="1"/>
  <c r="J17" i="1"/>
  <c r="H17" i="1"/>
  <c r="G17" i="1"/>
  <c r="F17" i="1"/>
  <c r="D17" i="1"/>
  <c r="J7" i="1"/>
  <c r="G7" i="1"/>
  <c r="F7" i="1"/>
  <c r="D7" i="1"/>
  <c r="J25" i="1"/>
  <c r="J24" i="1"/>
  <c r="J23" i="1"/>
  <c r="G25" i="1"/>
  <c r="G24" i="1"/>
  <c r="E25" i="1"/>
  <c r="B25" i="1"/>
  <c r="J16" i="1"/>
  <c r="H16" i="1"/>
  <c r="G16" i="1"/>
  <c r="K16" i="1" s="1"/>
  <c r="F16" i="1"/>
  <c r="D16" i="1"/>
  <c r="J6" i="1"/>
  <c r="G6" i="1"/>
  <c r="K6" i="1" s="1"/>
  <c r="F6" i="1"/>
  <c r="D6" i="1"/>
  <c r="G23" i="1"/>
  <c r="E24" i="1"/>
  <c r="B24" i="1"/>
  <c r="J15" i="1"/>
  <c r="H15" i="1"/>
  <c r="G15" i="1"/>
  <c r="F15" i="1"/>
  <c r="D15" i="1"/>
  <c r="J5" i="1"/>
  <c r="G5" i="1"/>
  <c r="K5" i="1" s="1"/>
  <c r="F5" i="1"/>
  <c r="D5" i="1"/>
  <c r="E23" i="1"/>
  <c r="B23" i="1"/>
  <c r="J14" i="1"/>
  <c r="H14" i="1"/>
  <c r="G14" i="1"/>
  <c r="F14" i="1"/>
  <c r="D14" i="1"/>
  <c r="J4" i="1"/>
  <c r="G4" i="1"/>
  <c r="K4" i="1" s="1"/>
  <c r="F4" i="1"/>
  <c r="D4" i="1"/>
  <c r="J22" i="1"/>
  <c r="G22" i="1"/>
  <c r="E22" i="1"/>
  <c r="B22" i="1"/>
  <c r="J13" i="1"/>
  <c r="H13" i="1"/>
  <c r="G13" i="1"/>
  <c r="F13" i="1"/>
  <c r="D13" i="1"/>
  <c r="J3" i="1"/>
  <c r="G3" i="1"/>
  <c r="K3" i="1" s="1"/>
  <c r="F3" i="1"/>
  <c r="D3" i="1"/>
  <c r="D27" i="1" l="1"/>
  <c r="I27" i="1"/>
  <c r="F27" i="1"/>
  <c r="K27" i="1"/>
  <c r="K18" i="1"/>
  <c r="I18" i="1"/>
  <c r="K8" i="1"/>
  <c r="H8" i="1"/>
  <c r="K26" i="1"/>
  <c r="D26" i="1"/>
  <c r="F26" i="1"/>
  <c r="I26" i="1"/>
  <c r="K17" i="1"/>
  <c r="I17" i="1"/>
  <c r="K7" i="1"/>
  <c r="H7" i="1"/>
  <c r="K15" i="1"/>
  <c r="F25" i="1"/>
  <c r="D25" i="1"/>
  <c r="K25" i="1"/>
  <c r="I25" i="1"/>
  <c r="I16" i="1"/>
  <c r="H6" i="1"/>
  <c r="D23" i="1"/>
  <c r="K24" i="1"/>
  <c r="F24" i="1"/>
  <c r="D24" i="1"/>
  <c r="I24" i="1"/>
  <c r="I15" i="1"/>
  <c r="K14" i="1"/>
  <c r="H5" i="1"/>
  <c r="K23" i="1"/>
  <c r="H4" i="1"/>
  <c r="F23" i="1"/>
  <c r="I23" i="1"/>
  <c r="I14" i="1"/>
  <c r="K13" i="1"/>
  <c r="D22" i="1"/>
  <c r="F22" i="1"/>
  <c r="K22" i="1"/>
  <c r="I22" i="1"/>
  <c r="I13" i="1"/>
  <c r="H3" i="1"/>
  <c r="J9" i="1" l="1"/>
  <c r="E28" i="1"/>
  <c r="G9" i="1"/>
  <c r="K9" i="1" s="1"/>
  <c r="F19" i="1"/>
  <c r="C33" i="5"/>
  <c r="D33" i="5" s="1"/>
  <c r="C34" i="5"/>
  <c r="E34" i="5" s="1"/>
  <c r="D34" i="5"/>
  <c r="C35" i="5"/>
  <c r="E35" i="5" s="1"/>
  <c r="C36" i="5"/>
  <c r="C37" i="5"/>
  <c r="C38" i="5"/>
  <c r="D38" i="5" s="1"/>
  <c r="C39" i="5"/>
  <c r="C40" i="5"/>
  <c r="C41" i="5"/>
  <c r="C42" i="5"/>
  <c r="D42" i="5"/>
  <c r="C43" i="5"/>
  <c r="E43" i="5" s="1"/>
  <c r="C32" i="5"/>
  <c r="D32" i="5" s="1"/>
  <c r="B33" i="5"/>
  <c r="E33" i="5" s="1"/>
  <c r="B34" i="5"/>
  <c r="B35" i="5"/>
  <c r="B36" i="5"/>
  <c r="B37" i="5"/>
  <c r="E37" i="5" s="1"/>
  <c r="B38" i="5"/>
  <c r="B39" i="5"/>
  <c r="E39" i="5" s="1"/>
  <c r="B40" i="5"/>
  <c r="E40" i="5" s="1"/>
  <c r="B41" i="5"/>
  <c r="E41" i="5" s="1"/>
  <c r="B42" i="5"/>
  <c r="B43" i="5"/>
  <c r="B32" i="5"/>
  <c r="G7" i="5"/>
  <c r="G8" i="5"/>
  <c r="G9" i="5"/>
  <c r="G10" i="5"/>
  <c r="E42" i="5"/>
  <c r="F4" i="5"/>
  <c r="H4" i="5" s="1"/>
  <c r="F5" i="5"/>
  <c r="H5" i="5" s="1"/>
  <c r="F6" i="5"/>
  <c r="H6" i="5" s="1"/>
  <c r="F7" i="5"/>
  <c r="H7" i="5" s="1"/>
  <c r="F8" i="5"/>
  <c r="H8" i="5" s="1"/>
  <c r="F9" i="5"/>
  <c r="H9" i="5" s="1"/>
  <c r="F10" i="5"/>
  <c r="H10" i="5" s="1"/>
  <c r="F11" i="5"/>
  <c r="G11" i="5" s="1"/>
  <c r="F12" i="5"/>
  <c r="H12" i="5" s="1"/>
  <c r="F13" i="5"/>
  <c r="H13" i="5" s="1"/>
  <c r="F14" i="5"/>
  <c r="G14" i="5" s="1"/>
  <c r="F3" i="5"/>
  <c r="H3" i="5" s="1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H9" i="1" l="1"/>
  <c r="E38" i="5"/>
  <c r="D37" i="5"/>
  <c r="D41" i="5"/>
  <c r="D36" i="5"/>
  <c r="E32" i="5"/>
  <c r="D40" i="5"/>
  <c r="D39" i="5"/>
  <c r="K28" i="1"/>
  <c r="K19" i="1"/>
  <c r="D43" i="5"/>
  <c r="D35" i="5"/>
  <c r="E36" i="5"/>
  <c r="G6" i="5"/>
  <c r="G5" i="5"/>
  <c r="H14" i="5"/>
  <c r="H11" i="5"/>
  <c r="G13" i="5"/>
  <c r="G12" i="5"/>
  <c r="G4" i="5"/>
  <c r="G3" i="5"/>
  <c r="E15" i="5"/>
  <c r="D15" i="5"/>
  <c r="F15" i="5"/>
  <c r="H15" i="5" s="1"/>
  <c r="G15" i="5" l="1"/>
  <c r="J13" i="2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J37" i="2" l="1"/>
  <c r="J31" i="2"/>
  <c r="J28" i="2"/>
  <c r="I37" i="2"/>
  <c r="J34" i="2"/>
  <c r="I49" i="2"/>
  <c r="H42" i="2"/>
  <c r="H56" i="2"/>
  <c r="B14" i="2"/>
  <c r="C14" i="2"/>
  <c r="D14" i="2"/>
  <c r="E14" i="2"/>
  <c r="F14" i="2"/>
  <c r="G14" i="2"/>
  <c r="I14" i="2" s="1"/>
  <c r="B28" i="2"/>
  <c r="C28" i="2"/>
  <c r="D28" i="2"/>
  <c r="E28" i="2"/>
  <c r="F28" i="2"/>
  <c r="G28" i="2"/>
  <c r="J30" i="2"/>
  <c r="I31" i="2"/>
  <c r="I32" i="2"/>
  <c r="J33" i="2"/>
  <c r="I34" i="2"/>
  <c r="J35" i="2"/>
  <c r="J36" i="2"/>
  <c r="I39" i="2"/>
  <c r="I40" i="2"/>
  <c r="I41" i="2"/>
  <c r="B42" i="2"/>
  <c r="C44" i="2"/>
  <c r="D44" i="2"/>
  <c r="E44" i="2"/>
  <c r="F44" i="2"/>
  <c r="G44" i="2"/>
  <c r="I44" i="2" s="1"/>
  <c r="C45" i="2"/>
  <c r="D45" i="2"/>
  <c r="E45" i="2"/>
  <c r="F45" i="2"/>
  <c r="G45" i="2"/>
  <c r="I45" i="2" s="1"/>
  <c r="C46" i="2"/>
  <c r="D46" i="2"/>
  <c r="E46" i="2"/>
  <c r="F46" i="2"/>
  <c r="G46" i="2"/>
  <c r="J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I50" i="2" s="1"/>
  <c r="C51" i="2"/>
  <c r="D51" i="2"/>
  <c r="E51" i="2"/>
  <c r="F51" i="2"/>
  <c r="G51" i="2"/>
  <c r="I51" i="2" s="1"/>
  <c r="C52" i="2"/>
  <c r="D52" i="2"/>
  <c r="E52" i="2"/>
  <c r="F52" i="2"/>
  <c r="G52" i="2"/>
  <c r="J52" i="2" s="1"/>
  <c r="C53" i="2"/>
  <c r="D53" i="2"/>
  <c r="E53" i="2"/>
  <c r="F53" i="2"/>
  <c r="G53" i="2"/>
  <c r="J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I55" i="2" s="1"/>
  <c r="J55" i="2" l="1"/>
  <c r="J32" i="2"/>
  <c r="I30" i="2"/>
  <c r="J38" i="2"/>
  <c r="I38" i="2"/>
  <c r="J44" i="2"/>
  <c r="I35" i="2"/>
  <c r="J40" i="2"/>
  <c r="J39" i="2"/>
  <c r="I33" i="2"/>
  <c r="I52" i="2"/>
  <c r="J41" i="2"/>
  <c r="I53" i="2"/>
  <c r="I28" i="2"/>
  <c r="I48" i="2"/>
  <c r="I36" i="2"/>
  <c r="J45" i="2"/>
  <c r="J47" i="2"/>
  <c r="I47" i="2"/>
  <c r="F56" i="2"/>
  <c r="I54" i="2"/>
  <c r="J51" i="2"/>
  <c r="J56" i="2"/>
  <c r="I46" i="2"/>
  <c r="J14" i="2"/>
  <c r="J50" i="2"/>
  <c r="C56" i="2"/>
  <c r="G42" i="2"/>
  <c r="C42" i="2"/>
  <c r="D42" i="2"/>
  <c r="D56" i="2"/>
  <c r="E42" i="2"/>
  <c r="E56" i="2"/>
  <c r="G56" i="2"/>
  <c r="F42" i="2"/>
  <c r="I42" i="2" l="1"/>
  <c r="J42" i="2"/>
  <c r="I56" i="2"/>
  <c r="F28" i="1"/>
  <c r="E10" i="1" l="1"/>
  <c r="G10" i="1" s="1"/>
  <c r="B10" i="1"/>
  <c r="F9" i="1"/>
  <c r="J10" i="1" l="1"/>
  <c r="K10" i="1"/>
  <c r="H10" i="1"/>
  <c r="D10" i="1"/>
  <c r="F10" i="1"/>
</calcChain>
</file>

<file path=xl/sharedStrings.xml><?xml version="1.0" encoding="utf-8"?>
<sst xmlns="http://schemas.openxmlformats.org/spreadsheetml/2006/main" count="167" uniqueCount="39">
  <si>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</si>
  <si>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</si>
  <si>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</si>
  <si>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</si>
  <si>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</si>
  <si>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</si>
  <si>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</si>
  <si>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</si>
  <si>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</si>
  <si>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15 Rooms</t>
  </si>
  <si>
    <t>28 = 420</t>
  </si>
  <si>
    <t>29 = 435</t>
  </si>
  <si>
    <t>30 = 450</t>
  </si>
  <si>
    <t>31 = 465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</si>
  <si>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</si>
  <si>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</si>
  <si>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</si>
  <si>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</si>
  <si>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</si>
  <si>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</si>
  <si>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</si>
  <si>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</si>
  <si>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</si>
  <si>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</si>
  <si>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</si>
  <si>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</si>
  <si>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</si>
  <si>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2024 vs 2025</t>
  </si>
  <si>
    <t>Target (+10%)</t>
  </si>
  <si>
    <t>2025 vs 2024</t>
  </si>
  <si>
    <t>2025 vs Target</t>
  </si>
  <si>
    <t>Including Blocks</t>
  </si>
  <si>
    <t>Sep</t>
  </si>
  <si>
    <t>RevPar</t>
  </si>
  <si>
    <t>Schoone Oordt | Financial Year</t>
  </si>
  <si>
    <t>OTB vs Target</t>
  </si>
  <si>
    <t>OTB @ 31 Jul 2026</t>
  </si>
  <si>
    <t>Schoone Oordt Country House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</si>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</sst>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1" fillId="2" borderId="27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9" fontId="11" fillId="6" borderId="4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16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164" fontId="10" fillId="0" borderId="2" xfId="1" applyNumberFormat="1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0" fillId="6" borderId="2" xfId="0" applyNumberFormat="1" applyFont="1" applyFill="1" applyBorder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9" fontId="11" fillId="6" borderId="1" xfId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2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Schoone Oordt|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0.0%</c:formatCode>
                <c:ptCount val="7"/>
                <c:pt idx="0">
                  <c:v>0.31085043988269795</c:v>
                </c:pt>
                <c:pt idx="1">
                  <c:v>0.29618768328445749</c:v>
                </c:pt>
                <c:pt idx="2">
                  <c:v>0.26060606060606062</c:v>
                </c:pt>
                <c:pt idx="3">
                  <c:v>0.43695014662756598</c:v>
                </c:pt>
                <c:pt idx="4">
                  <c:v>0.6454545454545455</c:v>
                </c:pt>
                <c:pt idx="5">
                  <c:v>0.26979472140762462</c:v>
                </c:pt>
                <c:pt idx="6">
                  <c:v>0.45747800586510262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0.0%</c:formatCode>
                <c:ptCount val="7"/>
                <c:pt idx="0">
                  <c:v>0.31085043988269795</c:v>
                </c:pt>
                <c:pt idx="1">
                  <c:v>0.25219941348973607</c:v>
                </c:pt>
                <c:pt idx="2">
                  <c:v>0.27272727272727271</c:v>
                </c:pt>
                <c:pt idx="3">
                  <c:v>0.39296187683284456</c:v>
                </c:pt>
                <c:pt idx="4">
                  <c:v>0.65454545454545454</c:v>
                </c:pt>
                <c:pt idx="5">
                  <c:v>0.28152492668621704</c:v>
                </c:pt>
                <c:pt idx="6">
                  <c:v>0.44281524926686217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0.0%</c:formatCode>
                <c:ptCount val="7"/>
                <c:pt idx="0">
                  <c:v>0</c:v>
                </c:pt>
                <c:pt idx="1">
                  <c:v>4.3988269794721424E-2</c:v>
                </c:pt>
                <c:pt idx="2">
                  <c:v>-1.2121212121212088E-2</c:v>
                </c:pt>
                <c:pt idx="3">
                  <c:v>4.3988269794721424E-2</c:v>
                </c:pt>
                <c:pt idx="4">
                  <c:v>-9.0909090909090384E-3</c:v>
                </c:pt>
                <c:pt idx="5">
                  <c:v>-1.173020527859242E-2</c:v>
                </c:pt>
                <c:pt idx="6">
                  <c:v>1.4662756598240456E-2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0.0%</c:formatCode>
                <c:ptCount val="7"/>
                <c:pt idx="0">
                  <c:v>0.28445747800586513</c:v>
                </c:pt>
                <c:pt idx="1">
                  <c:v>0.29618768328445749</c:v>
                </c:pt>
                <c:pt idx="2">
                  <c:v>0.43636363636363634</c:v>
                </c:pt>
                <c:pt idx="3">
                  <c:v>0.56011730205278587</c:v>
                </c:pt>
                <c:pt idx="4">
                  <c:v>0.82424242424242422</c:v>
                </c:pt>
                <c:pt idx="5">
                  <c:v>0.64809384164222872</c:v>
                </c:pt>
                <c:pt idx="6">
                  <c:v>0.91202346041055715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0.0%</c:formatCode>
                <c:ptCount val="7"/>
                <c:pt idx="0">
                  <c:v>2.6392961876832821E-2</c:v>
                </c:pt>
                <c:pt idx="1">
                  <c:v>0</c:v>
                </c:pt>
                <c:pt idx="2">
                  <c:v>-0.17575757575757572</c:v>
                </c:pt>
                <c:pt idx="3">
                  <c:v>-0.12316715542521989</c:v>
                </c:pt>
                <c:pt idx="4">
                  <c:v>-0.17878787878787872</c:v>
                </c:pt>
                <c:pt idx="5">
                  <c:v>-0.3782991202346041</c:v>
                </c:pt>
                <c:pt idx="6">
                  <c:v>-0.45454545454545453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Schoone</a:t>
            </a:r>
            <a:r>
              <a:rPr lang="en-GB" baseline="0"/>
              <a:t> Oordt</a:t>
            </a:r>
            <a:r>
              <a:rPr lang="en-GB"/>
              <a:t>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3222.0722641509433</c:v>
                </c:pt>
                <c:pt idx="1">
                  <c:v>3044.8509900990102</c:v>
                </c:pt>
                <c:pt idx="2">
                  <c:v>4037.5139534883724</c:v>
                </c:pt>
                <c:pt idx="3">
                  <c:v>4061.4256375838927</c:v>
                </c:pt>
                <c:pt idx="4">
                  <c:v>4298.7921596244132</c:v>
                </c:pt>
                <c:pt idx="5">
                  <c:v>4379.3680434782609</c:v>
                </c:pt>
                <c:pt idx="6">
                  <c:v>4187.7926282051285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3222.0722641509433</c:v>
                </c:pt>
                <c:pt idx="1">
                  <c:v>3172.6723255813954</c:v>
                </c:pt>
                <c:pt idx="2">
                  <c:v>4020.2621111111116</c:v>
                </c:pt>
                <c:pt idx="3">
                  <c:v>4097.4111194029847</c:v>
                </c:pt>
                <c:pt idx="4">
                  <c:v>4297.9620370370376</c:v>
                </c:pt>
                <c:pt idx="5">
                  <c:v>4331.4256249999999</c:v>
                </c:pt>
                <c:pt idx="6">
                  <c:v>4198.3141059602649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0</c:v>
                </c:pt>
                <c:pt idx="1">
                  <c:v>-127.82133548238517</c:v>
                </c:pt>
                <c:pt idx="2">
                  <c:v>17.2518423772608</c:v>
                </c:pt>
                <c:pt idx="3">
                  <c:v>-35.985481819092001</c:v>
                </c:pt>
                <c:pt idx="4">
                  <c:v>0.83012258737562661</c:v>
                </c:pt>
                <c:pt idx="5">
                  <c:v>47.942418478261061</c:v>
                </c:pt>
                <c:pt idx="6">
                  <c:v>-10.521477755136402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2798.8144329896909</c:v>
                </c:pt>
                <c:pt idx="1">
                  <c:v>2800.23801980198</c:v>
                </c:pt>
                <c:pt idx="2">
                  <c:v>3618.3997916666667</c:v>
                </c:pt>
                <c:pt idx="3">
                  <c:v>3551.3598952879579</c:v>
                </c:pt>
                <c:pt idx="4">
                  <c:v>3973.4487867647063</c:v>
                </c:pt>
                <c:pt idx="5">
                  <c:v>4187.3755656108597</c:v>
                </c:pt>
                <c:pt idx="6">
                  <c:v>4155.7688745980713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423.2578311612524</c:v>
                </c:pt>
                <c:pt idx="1">
                  <c:v>244.61297029703019</c:v>
                </c:pt>
                <c:pt idx="2">
                  <c:v>419.11416182170569</c:v>
                </c:pt>
                <c:pt idx="3">
                  <c:v>510.0657422959348</c:v>
                </c:pt>
                <c:pt idx="4">
                  <c:v>325.34337285970696</c:v>
                </c:pt>
                <c:pt idx="5">
                  <c:v>191.99247786740125</c:v>
                </c:pt>
                <c:pt idx="6">
                  <c:v>32.023753607057188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Schoone</a:t>
            </a:r>
            <a:r>
              <a:rPr lang="en-GB" baseline="0"/>
              <a:t> Oordt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341539.66</c:v>
                </c:pt>
                <c:pt idx="1">
                  <c:v>307529.95</c:v>
                </c:pt>
                <c:pt idx="2">
                  <c:v>347226.2</c:v>
                </c:pt>
                <c:pt idx="3">
                  <c:v>605152.42000000004</c:v>
                </c:pt>
                <c:pt idx="4">
                  <c:v>915642.73</c:v>
                </c:pt>
                <c:pt idx="5">
                  <c:v>402901.86</c:v>
                </c:pt>
                <c:pt idx="6">
                  <c:v>653295.65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F-3248-8884-9AA47B7C5041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341539.66</c:v>
                </c:pt>
                <c:pt idx="1">
                  <c:v>272849.82</c:v>
                </c:pt>
                <c:pt idx="2">
                  <c:v>361823.59</c:v>
                </c:pt>
                <c:pt idx="3">
                  <c:v>549053.09</c:v>
                </c:pt>
                <c:pt idx="4">
                  <c:v>928359.8</c:v>
                </c:pt>
                <c:pt idx="5">
                  <c:v>415816.86</c:v>
                </c:pt>
                <c:pt idx="6">
                  <c:v>633945.43000000005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F-3248-8884-9AA47B7C5041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0</c:v>
                </c:pt>
                <c:pt idx="1">
                  <c:v>34680.130000000005</c:v>
                </c:pt>
                <c:pt idx="2">
                  <c:v>-14597.390000000014</c:v>
                </c:pt>
                <c:pt idx="3">
                  <c:v>56099.330000000075</c:v>
                </c:pt>
                <c:pt idx="4">
                  <c:v>-12717.070000000065</c:v>
                </c:pt>
                <c:pt idx="5">
                  <c:v>-12915</c:v>
                </c:pt>
                <c:pt idx="6">
                  <c:v>19350.219999999972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F-3248-8884-9AA47B7C5041}"/>
            </c:ext>
          </c:extLst>
        </c:ser>
        <c:ser>
          <c:idx val="4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70054.659999999974</c:v>
                </c:pt>
                <c:pt idx="1">
                  <c:v>24705.910000000033</c:v>
                </c:pt>
                <c:pt idx="2">
                  <c:v>-173823.37</c:v>
                </c:pt>
                <c:pt idx="3">
                  <c:v>-73157.319999999949</c:v>
                </c:pt>
                <c:pt idx="4">
                  <c:v>-165135.34000000008</c:v>
                </c:pt>
                <c:pt idx="5">
                  <c:v>-522508.14</c:v>
                </c:pt>
                <c:pt idx="6">
                  <c:v>-639148.47000000009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1F-3248-8884-9AA47B7C5041}"/>
            </c:ext>
          </c:extLst>
        </c:ser>
        <c:ser>
          <c:idx val="6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42906.159999999974</c:v>
                </c:pt>
                <c:pt idx="1">
                  <c:v>-3576.4940000000061</c:v>
                </c:pt>
                <c:pt idx="2">
                  <c:v>-225928.32699999999</c:v>
                </c:pt>
                <c:pt idx="3">
                  <c:v>-140988.29399999999</c:v>
                </c:pt>
                <c:pt idx="4">
                  <c:v>-273213.14700000011</c:v>
                </c:pt>
                <c:pt idx="5">
                  <c:v>-615049.14000000013</c:v>
                </c:pt>
                <c:pt idx="6">
                  <c:v>-768392.8820000001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1F-3248-8884-9AA47B7C5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425680"/>
        <c:axId val="1330811680"/>
      </c:barChart>
      <c:catAx>
        <c:axId val="13314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11680"/>
        <c:crosses val="autoZero"/>
        <c:auto val="1"/>
        <c:lblAlgn val="ctr"/>
        <c:lblOffset val="100"/>
        <c:noMultiLvlLbl val="0"/>
      </c:catAx>
      <c:valAx>
        <c:axId val="13308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698500</xdr:colOff>
      <xdr:row>29</xdr:row>
      <xdr:rowOff>120650</xdr:rowOff>
    </xdr:from>
    <xdr:to>
      <xdr:col>12</xdr:col>
      <xdr:colOff>825500</xdr:colOff>
      <xdr:row>45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101600</xdr:colOff>
      <xdr:row>29</xdr:row>
      <xdr:rowOff>107950</xdr:rowOff>
    </xdr:from>
    <xdr:to>
      <xdr:col>19</xdr:col>
      <xdr:colOff>177800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146050</xdr:colOff>
      <xdr:row>29</xdr:row>
      <xdr:rowOff>114300</xdr:rowOff>
    </xdr:from>
    <xdr:to>
      <xdr:col>6</xdr:col>
      <xdr:colOff>539750</xdr:colOff>
      <xdr:row>45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1D10C1-6D39-C142-ADBA-6D75875D4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S30"/>
  <sheetViews>
    <sheetView tabSelected="1" topLeftCell="A9" zoomScaleNormal="100" workbookViewId="0">
      <selection activeCell="F22" sqref="F22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5" width="10.6640625" style="7" customWidth="1"/>
    <col min="6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19" ht="28" customHeight="1" thickBot="1" x14ac:dyDescent="0.25">
      <c r="A1" s="128" t="s">
        <v>37</v>
      </c>
      <c r="B1" s="129"/>
      <c r="C1" s="129"/>
      <c r="D1" s="129"/>
      <c r="E1" s="129"/>
      <c r="F1" s="129"/>
      <c r="G1" s="129"/>
      <c r="H1" s="129"/>
      <c r="I1" s="129"/>
      <c r="J1" s="129"/>
      <c r="K1" s="130"/>
      <c r="N1" s="66"/>
      <c r="O1" s="66"/>
      <c r="P1" s="66"/>
      <c r="Q1" s="66"/>
      <c r="R1" s="66"/>
      <c r="S1" s="66"/>
    </row>
    <row r="2" spans="1:19" s="5" customFormat="1" ht="32" customHeight="1" x14ac:dyDescent="0.2">
      <c r="A2" s="55"/>
      <c r="B2" s="55" t="s">
        <v>38</v>
      </c>
      <c r="C2" s="55" t="s">
        <v>36</v>
      </c>
      <c r="D2" s="55" t="s">
        <v>0</v>
      </c>
      <c r="E2" s="56" t="s">
        <v>1</v>
      </c>
      <c r="F2" s="57" t="s">
        <v>7</v>
      </c>
      <c r="G2" s="116" t="s">
        <v>28</v>
      </c>
      <c r="H2" s="117" t="s">
        <v>35</v>
      </c>
      <c r="I2" s="4"/>
      <c r="J2" s="57" t="s">
        <v>7</v>
      </c>
      <c r="K2" s="117" t="s">
        <v>35</v>
      </c>
      <c r="L2" s="4"/>
      <c r="M2" s="4"/>
    </row>
    <row r="3" spans="1:19" s="3" customFormat="1" ht="18" customHeight="1" x14ac:dyDescent="0.2">
      <c r="A3" s="50" t="s">
        <v>18</v>
      </c>
      <c r="B3" s="53">
        <v>341539.66</v>
      </c>
      <c r="C3" s="53">
        <v>341539.66</v>
      </c>
      <c r="D3" s="53">
        <f t="shared" ref="D3:D4" si="0">B3-C3</f>
        <v>0</v>
      </c>
      <c r="E3" s="59">
        <v>271485</v>
      </c>
      <c r="F3" s="69">
        <f t="shared" ref="F3:F8" si="1">B3-E3</f>
        <v>70054.659999999974</v>
      </c>
      <c r="G3" s="74">
        <f t="shared" ref="G3:G8" si="2">E3*1.1</f>
        <v>298633.5</v>
      </c>
      <c r="H3" s="74">
        <f t="shared" ref="H3:H8" si="3">B3-G3</f>
        <v>42906.159999999974</v>
      </c>
      <c r="I3" s="6"/>
      <c r="J3" s="95">
        <f t="shared" ref="J3:J8" si="4">(B3-E3)/E3</f>
        <v>0.25804247011805431</v>
      </c>
      <c r="K3" s="71">
        <f t="shared" ref="K3:K8" si="5">(B3-G3)/G3</f>
        <v>0.14367497283459482</v>
      </c>
      <c r="L3" s="2"/>
      <c r="M3" s="2"/>
      <c r="S3" s="66"/>
    </row>
    <row r="4" spans="1:19" s="3" customFormat="1" ht="18" customHeight="1" x14ac:dyDescent="0.2">
      <c r="A4" s="50" t="s">
        <v>2</v>
      </c>
      <c r="B4" s="53">
        <v>307529.95</v>
      </c>
      <c r="C4" s="53">
        <v>272849.82</v>
      </c>
      <c r="D4" s="53">
        <f t="shared" si="0"/>
        <v>34680.130000000005</v>
      </c>
      <c r="E4" s="59">
        <v>282824.03999999998</v>
      </c>
      <c r="F4" s="69">
        <f t="shared" si="1"/>
        <v>24705.910000000033</v>
      </c>
      <c r="G4" s="74">
        <f t="shared" si="2"/>
        <v>311106.44400000002</v>
      </c>
      <c r="H4" s="74">
        <f t="shared" si="3"/>
        <v>-3576.4940000000061</v>
      </c>
      <c r="I4" s="6"/>
      <c r="J4" s="95">
        <f t="shared" si="4"/>
        <v>8.7354349368604006E-2</v>
      </c>
      <c r="K4" s="71">
        <f t="shared" si="5"/>
        <v>-1.1496046028541941E-2</v>
      </c>
      <c r="L4" s="2"/>
      <c r="M4" s="2"/>
      <c r="S4" s="66"/>
    </row>
    <row r="5" spans="1:19" s="3" customFormat="1" ht="18" customHeight="1" x14ac:dyDescent="0.2">
      <c r="A5" s="50" t="s">
        <v>3</v>
      </c>
      <c r="B5" s="53">
        <v>347226.2</v>
      </c>
      <c r="C5" s="53">
        <v>361823.59</v>
      </c>
      <c r="D5" s="53">
        <f t="shared" ref="D5" si="6">B5-C5</f>
        <v>-14597.390000000014</v>
      </c>
      <c r="E5" s="59">
        <v>521049.57</v>
      </c>
      <c r="F5" s="69">
        <f t="shared" si="1"/>
        <v>-173823.37</v>
      </c>
      <c r="G5" s="74">
        <f t="shared" si="2"/>
        <v>573154.527</v>
      </c>
      <c r="H5" s="74">
        <f t="shared" si="3"/>
        <v>-225928.32699999999</v>
      </c>
      <c r="I5" s="6"/>
      <c r="J5" s="95">
        <f t="shared" si="4"/>
        <v>-0.33360236723734366</v>
      </c>
      <c r="K5" s="71">
        <f t="shared" si="5"/>
        <v>-0.39418397021576695</v>
      </c>
      <c r="L5" s="2"/>
      <c r="M5" s="2"/>
      <c r="S5" s="66"/>
    </row>
    <row r="6" spans="1:19" s="3" customFormat="1" ht="18" customHeight="1" x14ac:dyDescent="0.2">
      <c r="A6" s="50" t="s">
        <v>17</v>
      </c>
      <c r="B6" s="53">
        <v>605152.42000000004</v>
      </c>
      <c r="C6" s="53">
        <v>549053.09</v>
      </c>
      <c r="D6" s="53">
        <f>B6-C6</f>
        <v>56099.330000000075</v>
      </c>
      <c r="E6" s="59">
        <v>678309.74</v>
      </c>
      <c r="F6" s="69">
        <f t="shared" si="1"/>
        <v>-73157.319999999949</v>
      </c>
      <c r="G6" s="74">
        <f t="shared" si="2"/>
        <v>746140.71400000004</v>
      </c>
      <c r="H6" s="74">
        <f t="shared" si="3"/>
        <v>-140988.29399999999</v>
      </c>
      <c r="I6" s="6"/>
      <c r="J6" s="95">
        <f t="shared" si="4"/>
        <v>-0.10785238024151024</v>
      </c>
      <c r="K6" s="71">
        <f t="shared" si="5"/>
        <v>-0.18895670931046391</v>
      </c>
      <c r="L6" s="2"/>
      <c r="M6" s="2"/>
      <c r="S6" s="66"/>
    </row>
    <row r="7" spans="1:19" s="3" customFormat="1" ht="18" customHeight="1" x14ac:dyDescent="0.2">
      <c r="A7" s="50" t="s">
        <v>16</v>
      </c>
      <c r="B7" s="53">
        <v>915642.73</v>
      </c>
      <c r="C7" s="53">
        <v>928359.8</v>
      </c>
      <c r="D7" s="53">
        <f>B7-C7</f>
        <v>-12717.070000000065</v>
      </c>
      <c r="E7" s="59">
        <v>1080778.07</v>
      </c>
      <c r="F7" s="69">
        <f t="shared" si="1"/>
        <v>-165135.34000000008</v>
      </c>
      <c r="G7" s="74">
        <f t="shared" si="2"/>
        <v>1188855.8770000001</v>
      </c>
      <c r="H7" s="74">
        <f t="shared" si="3"/>
        <v>-273213.14700000011</v>
      </c>
      <c r="I7" s="6"/>
      <c r="J7" s="95">
        <f t="shared" si="4"/>
        <v>-0.15279301512844359</v>
      </c>
      <c r="K7" s="71">
        <f t="shared" si="5"/>
        <v>-0.22981183193494875</v>
      </c>
      <c r="L7" s="2"/>
      <c r="M7" s="2"/>
      <c r="S7" s="66"/>
    </row>
    <row r="8" spans="1:19" s="3" customFormat="1" ht="18" customHeight="1" x14ac:dyDescent="0.2">
      <c r="A8" s="50" t="s">
        <v>15</v>
      </c>
      <c r="B8" s="53">
        <v>402901.86</v>
      </c>
      <c r="C8" s="53">
        <v>415816.86</v>
      </c>
      <c r="D8" s="53">
        <f>B8-C8</f>
        <v>-12915</v>
      </c>
      <c r="E8" s="59">
        <v>925410</v>
      </c>
      <c r="F8" s="69">
        <f t="shared" si="1"/>
        <v>-522508.14</v>
      </c>
      <c r="G8" s="74">
        <f t="shared" si="2"/>
        <v>1017951.0000000001</v>
      </c>
      <c r="H8" s="74">
        <f t="shared" si="3"/>
        <v>-615049.14000000013</v>
      </c>
      <c r="I8" s="6"/>
      <c r="J8" s="95">
        <f t="shared" si="4"/>
        <v>-0.56462339935812234</v>
      </c>
      <c r="K8" s="71">
        <f t="shared" si="5"/>
        <v>-0.60420309032556585</v>
      </c>
      <c r="L8" s="2"/>
      <c r="M8" s="2"/>
      <c r="S8" s="66"/>
    </row>
    <row r="9" spans="1:19" s="3" customFormat="1" ht="18" customHeight="1" x14ac:dyDescent="0.2">
      <c r="A9" s="51">
        <v>46388</v>
      </c>
      <c r="B9" s="53">
        <v>653295.65</v>
      </c>
      <c r="C9" s="53">
        <v>633945.43000000005</v>
      </c>
      <c r="D9" s="53">
        <f>B9-C9</f>
        <v>19350.219999999972</v>
      </c>
      <c r="E9" s="59">
        <v>1292444.1200000001</v>
      </c>
      <c r="F9" s="69">
        <f t="shared" ref="F9" si="7">B9-E9</f>
        <v>-639148.47000000009</v>
      </c>
      <c r="G9" s="118">
        <f t="shared" ref="G9:G10" si="8">E9*1.1</f>
        <v>1421688.5320000001</v>
      </c>
      <c r="H9" s="118">
        <f t="shared" ref="H9:H10" si="9">B9-G9</f>
        <v>-768392.8820000001</v>
      </c>
      <c r="I9" s="6"/>
      <c r="J9" s="96">
        <f t="shared" ref="J9:J10" si="10">(B9-E9)/E9</f>
        <v>-0.49452696647341321</v>
      </c>
      <c r="K9" s="122">
        <f t="shared" ref="K9:K10" si="11">(B9-G9)/G9</f>
        <v>-0.54047906043037564</v>
      </c>
      <c r="L9" s="2"/>
      <c r="M9" s="2"/>
      <c r="S9" s="66"/>
    </row>
    <row r="10" spans="1:19" s="3" customFormat="1" ht="18" customHeight="1" thickBot="1" x14ac:dyDescent="0.25">
      <c r="A10" s="52" t="s">
        <v>8</v>
      </c>
      <c r="B10" s="61">
        <f>SUM(B3:B9)</f>
        <v>3573288.4699999997</v>
      </c>
      <c r="C10" s="61">
        <f>SUM(C3:C9)</f>
        <v>3503388.25</v>
      </c>
      <c r="D10" s="61">
        <f>SUM(D3:D9)</f>
        <v>69900.219999999972</v>
      </c>
      <c r="E10" s="62">
        <f>SUM(E3:E9)</f>
        <v>5052300.54</v>
      </c>
      <c r="F10" s="75">
        <f>B10-E10</f>
        <v>-1479012.0700000003</v>
      </c>
      <c r="G10" s="119">
        <f t="shared" si="8"/>
        <v>5557530.5940000005</v>
      </c>
      <c r="H10" s="120">
        <f t="shared" si="9"/>
        <v>-1984242.1240000008</v>
      </c>
      <c r="I10" s="6"/>
      <c r="J10" s="121">
        <f t="shared" si="10"/>
        <v>-0.29274031865095662</v>
      </c>
      <c r="K10" s="123">
        <f t="shared" si="11"/>
        <v>-0.35703665331905154</v>
      </c>
      <c r="L10" s="2"/>
      <c r="M10" s="2"/>
      <c r="N10" s="66"/>
      <c r="O10" s="66"/>
      <c r="P10" s="66"/>
      <c r="Q10" s="66"/>
      <c r="R10" s="66"/>
      <c r="S10" s="66"/>
    </row>
    <row r="11" spans="1:19" ht="25" customHeight="1" thickBot="1" x14ac:dyDescent="0.25">
      <c r="A11" s="124" t="s">
        <v>4</v>
      </c>
      <c r="B11" s="125"/>
      <c r="C11" s="125"/>
      <c r="D11" s="125"/>
      <c r="E11" s="125"/>
      <c r="F11" s="126"/>
      <c r="G11" s="124" t="s">
        <v>6</v>
      </c>
      <c r="H11" s="125"/>
      <c r="I11" s="125"/>
      <c r="J11" s="125"/>
      <c r="K11" s="126"/>
      <c r="O11" s="1"/>
      <c r="P11" s="1"/>
    </row>
    <row r="12" spans="1:19" s="67" customFormat="1" ht="32" customHeight="1" x14ac:dyDescent="0.2">
      <c r="A12" s="54"/>
      <c r="B12" s="55" t="s">
        <v>38</v>
      </c>
      <c r="C12" s="55" t="s">
        <v>36</v>
      </c>
      <c r="D12" s="55" t="s">
        <v>0</v>
      </c>
      <c r="E12" s="56" t="s">
        <v>1</v>
      </c>
      <c r="F12" s="57" t="s">
        <v>7</v>
      </c>
      <c r="G12" s="55" t="s">
        <v>38</v>
      </c>
      <c r="H12" s="55" t="s">
        <v>36</v>
      </c>
      <c r="I12" s="55" t="s">
        <v>0</v>
      </c>
      <c r="J12" s="56" t="s">
        <v>1</v>
      </c>
      <c r="K12" s="57" t="s">
        <v>7</v>
      </c>
      <c r="L12" s="66"/>
      <c r="M12" s="66"/>
      <c r="N12" s="66"/>
      <c r="O12" s="66"/>
      <c r="P12" s="66"/>
    </row>
    <row r="13" spans="1:19" s="67" customFormat="1" ht="18" customHeight="1" x14ac:dyDescent="0.2">
      <c r="A13" s="50" t="s">
        <v>18</v>
      </c>
      <c r="B13" s="64">
        <v>106</v>
      </c>
      <c r="C13" s="64">
        <v>106</v>
      </c>
      <c r="D13" s="53">
        <f t="shared" ref="D13:D14" si="12">B13-C13</f>
        <v>0</v>
      </c>
      <c r="E13" s="65">
        <v>97</v>
      </c>
      <c r="F13" s="76">
        <f t="shared" ref="F13:F18" si="13">B13-E13</f>
        <v>9</v>
      </c>
      <c r="G13" s="107">
        <f>B13/341</f>
        <v>0.31085043988269795</v>
      </c>
      <c r="H13" s="107">
        <f>C13/341</f>
        <v>0.31085043988269795</v>
      </c>
      <c r="I13" s="111">
        <f t="shared" ref="I13" si="14">G13-H13</f>
        <v>0</v>
      </c>
      <c r="J13" s="109">
        <f>E13/341</f>
        <v>0.28445747800586513</v>
      </c>
      <c r="K13" s="110">
        <f t="shared" ref="K13:K18" si="15">G13-J13</f>
        <v>2.6392961876832821E-2</v>
      </c>
      <c r="L13" s="66"/>
      <c r="M13" s="67">
        <v>28</v>
      </c>
      <c r="N13" s="67">
        <v>308</v>
      </c>
      <c r="O13" s="66"/>
      <c r="P13" s="66"/>
    </row>
    <row r="14" spans="1:19" s="67" customFormat="1" ht="18" customHeight="1" x14ac:dyDescent="0.2">
      <c r="A14" s="50" t="s">
        <v>2</v>
      </c>
      <c r="B14" s="64">
        <v>101</v>
      </c>
      <c r="C14" s="64">
        <v>86</v>
      </c>
      <c r="D14" s="53">
        <f t="shared" si="12"/>
        <v>15</v>
      </c>
      <c r="E14" s="65">
        <v>101</v>
      </c>
      <c r="F14" s="76">
        <f t="shared" si="13"/>
        <v>0</v>
      </c>
      <c r="G14" s="107">
        <f>B14/341</f>
        <v>0.29618768328445749</v>
      </c>
      <c r="H14" s="107">
        <f>C14/341</f>
        <v>0.25219941348973607</v>
      </c>
      <c r="I14" s="111">
        <f t="shared" ref="I14:I19" si="16">G14-H14</f>
        <v>4.3988269794721424E-2</v>
      </c>
      <c r="J14" s="109">
        <f>E14/341</f>
        <v>0.29618768328445749</v>
      </c>
      <c r="K14" s="110">
        <f t="shared" si="15"/>
        <v>0</v>
      </c>
      <c r="L14" s="66"/>
      <c r="M14" s="66">
        <v>29</v>
      </c>
      <c r="N14" s="66">
        <v>319</v>
      </c>
      <c r="O14" s="66"/>
      <c r="P14" s="66"/>
    </row>
    <row r="15" spans="1:19" s="67" customFormat="1" ht="18" customHeight="1" x14ac:dyDescent="0.2">
      <c r="A15" s="50" t="s">
        <v>3</v>
      </c>
      <c r="B15" s="64">
        <v>86</v>
      </c>
      <c r="C15" s="64">
        <v>90</v>
      </c>
      <c r="D15" s="53">
        <f t="shared" ref="D15" si="17">B15-C15</f>
        <v>-4</v>
      </c>
      <c r="E15" s="65">
        <v>144</v>
      </c>
      <c r="F15" s="76">
        <f t="shared" si="13"/>
        <v>-58</v>
      </c>
      <c r="G15" s="107">
        <f>B15/330</f>
        <v>0.26060606060606062</v>
      </c>
      <c r="H15" s="107">
        <f>C15/330</f>
        <v>0.27272727272727271</v>
      </c>
      <c r="I15" s="111">
        <f t="shared" si="16"/>
        <v>-1.2121212121212088E-2</v>
      </c>
      <c r="J15" s="109">
        <f>E15/330</f>
        <v>0.43636363636363634</v>
      </c>
      <c r="K15" s="110">
        <f t="shared" si="15"/>
        <v>-0.17575757575757572</v>
      </c>
      <c r="L15" s="66"/>
      <c r="M15" s="66">
        <v>30</v>
      </c>
      <c r="N15" s="66">
        <v>330</v>
      </c>
      <c r="O15" s="66"/>
      <c r="P15" s="66"/>
    </row>
    <row r="16" spans="1:19" s="67" customFormat="1" ht="18" customHeight="1" x14ac:dyDescent="0.2">
      <c r="A16" s="50" t="s">
        <v>17</v>
      </c>
      <c r="B16" s="64">
        <v>149</v>
      </c>
      <c r="C16" s="64">
        <v>134</v>
      </c>
      <c r="D16" s="53">
        <f>B16-C16</f>
        <v>15</v>
      </c>
      <c r="E16" s="65">
        <v>191</v>
      </c>
      <c r="F16" s="76">
        <f t="shared" si="13"/>
        <v>-42</v>
      </c>
      <c r="G16" s="107">
        <f>B16/341</f>
        <v>0.43695014662756598</v>
      </c>
      <c r="H16" s="107">
        <f>C16/341</f>
        <v>0.39296187683284456</v>
      </c>
      <c r="I16" s="111">
        <f t="shared" si="16"/>
        <v>4.3988269794721424E-2</v>
      </c>
      <c r="J16" s="109">
        <f>E16/341</f>
        <v>0.56011730205278587</v>
      </c>
      <c r="K16" s="110">
        <f t="shared" si="15"/>
        <v>-0.12316715542521989</v>
      </c>
      <c r="L16" s="66"/>
      <c r="M16" s="66">
        <v>31</v>
      </c>
      <c r="N16" s="66">
        <v>341</v>
      </c>
      <c r="O16" s="66"/>
      <c r="P16" s="66"/>
    </row>
    <row r="17" spans="1:16" s="67" customFormat="1" ht="18" customHeight="1" x14ac:dyDescent="0.2">
      <c r="A17" s="50" t="s">
        <v>16</v>
      </c>
      <c r="B17" s="64">
        <v>213</v>
      </c>
      <c r="C17" s="64">
        <v>216</v>
      </c>
      <c r="D17" s="53">
        <f>B17-C17</f>
        <v>-3</v>
      </c>
      <c r="E17" s="65">
        <v>272</v>
      </c>
      <c r="F17" s="76">
        <f t="shared" si="13"/>
        <v>-59</v>
      </c>
      <c r="G17" s="107">
        <f>B17/330</f>
        <v>0.6454545454545455</v>
      </c>
      <c r="H17" s="107">
        <f>C17/330</f>
        <v>0.65454545454545454</v>
      </c>
      <c r="I17" s="111">
        <f t="shared" si="16"/>
        <v>-9.0909090909090384E-3</v>
      </c>
      <c r="J17" s="109">
        <f>E17/330</f>
        <v>0.82424242424242422</v>
      </c>
      <c r="K17" s="110">
        <f t="shared" si="15"/>
        <v>-0.17878787878787872</v>
      </c>
      <c r="L17" s="66"/>
      <c r="M17" s="66"/>
      <c r="N17" s="66"/>
      <c r="O17" s="66"/>
      <c r="P17" s="66"/>
    </row>
    <row r="18" spans="1:16" s="67" customFormat="1" ht="18" customHeight="1" x14ac:dyDescent="0.2">
      <c r="A18" s="50" t="s">
        <v>15</v>
      </c>
      <c r="B18" s="64">
        <v>92</v>
      </c>
      <c r="C18" s="64">
        <v>96</v>
      </c>
      <c r="D18" s="53">
        <f>B18-C18</f>
        <v>-4</v>
      </c>
      <c r="E18" s="65">
        <v>221</v>
      </c>
      <c r="F18" s="76">
        <f t="shared" si="13"/>
        <v>-129</v>
      </c>
      <c r="G18" s="107">
        <f>B18/341</f>
        <v>0.26979472140762462</v>
      </c>
      <c r="H18" s="107">
        <f>C18/341</f>
        <v>0.28152492668621704</v>
      </c>
      <c r="I18" s="111">
        <f t="shared" si="16"/>
        <v>-1.173020527859242E-2</v>
      </c>
      <c r="J18" s="109">
        <f>E18/341</f>
        <v>0.64809384164222872</v>
      </c>
      <c r="K18" s="110">
        <f t="shared" si="15"/>
        <v>-0.3782991202346041</v>
      </c>
      <c r="L18" s="66"/>
      <c r="M18" s="66"/>
      <c r="N18" s="66"/>
      <c r="O18" s="66"/>
      <c r="P18" s="66"/>
    </row>
    <row r="19" spans="1:16" s="67" customFormat="1" ht="18" customHeight="1" thickBot="1" x14ac:dyDescent="0.25">
      <c r="A19" s="51">
        <v>46388</v>
      </c>
      <c r="B19" s="64">
        <v>156</v>
      </c>
      <c r="C19" s="64">
        <v>151</v>
      </c>
      <c r="D19" s="53">
        <f>B19-C19</f>
        <v>5</v>
      </c>
      <c r="E19" s="65">
        <v>311</v>
      </c>
      <c r="F19" s="76">
        <f t="shared" ref="F19" si="18">B19-E19</f>
        <v>-155</v>
      </c>
      <c r="G19" s="108">
        <f>B19/341</f>
        <v>0.45747800586510262</v>
      </c>
      <c r="H19" s="108">
        <f>C19/341</f>
        <v>0.44281524926686217</v>
      </c>
      <c r="I19" s="112">
        <f t="shared" si="16"/>
        <v>1.4662756598240456E-2</v>
      </c>
      <c r="J19" s="113">
        <f>E19/341</f>
        <v>0.91202346041055715</v>
      </c>
      <c r="K19" s="114">
        <f t="shared" ref="K19" si="19">G19-J19</f>
        <v>-0.45454545454545453</v>
      </c>
      <c r="L19" s="66"/>
      <c r="M19" s="66"/>
      <c r="N19" s="66"/>
      <c r="O19" s="66"/>
      <c r="P19" s="66"/>
    </row>
    <row r="20" spans="1:16" ht="25" customHeight="1" thickBot="1" x14ac:dyDescent="0.25">
      <c r="A20" s="124" t="s">
        <v>5</v>
      </c>
      <c r="B20" s="125"/>
      <c r="C20" s="125"/>
      <c r="D20" s="125"/>
      <c r="E20" s="127"/>
      <c r="F20" s="126"/>
      <c r="G20" s="124" t="s">
        <v>33</v>
      </c>
      <c r="H20" s="125"/>
      <c r="I20" s="125"/>
      <c r="J20" s="125"/>
      <c r="K20" s="126"/>
      <c r="M20" s="66"/>
      <c r="N20" s="66"/>
    </row>
    <row r="21" spans="1:16" s="67" customFormat="1" ht="32" customHeight="1" x14ac:dyDescent="0.2">
      <c r="A21" s="54"/>
      <c r="B21" s="55" t="s">
        <v>38</v>
      </c>
      <c r="C21" s="55" t="s">
        <v>36</v>
      </c>
      <c r="D21" s="55" t="s">
        <v>0</v>
      </c>
      <c r="E21" s="115" t="s">
        <v>1</v>
      </c>
      <c r="F21" s="57" t="s">
        <v>7</v>
      </c>
      <c r="G21" s="55" t="s">
        <v>38</v>
      </c>
      <c r="H21" s="55" t="s">
        <v>36</v>
      </c>
      <c r="I21" s="55" t="s">
        <v>0</v>
      </c>
      <c r="J21" s="56" t="s">
        <v>1</v>
      </c>
      <c r="K21" s="57" t="s">
        <v>7</v>
      </c>
      <c r="L21" s="66"/>
      <c r="M21" s="1"/>
      <c r="N21" s="1"/>
    </row>
    <row r="22" spans="1:16" s="67" customFormat="1" ht="18" customHeight="1" x14ac:dyDescent="0.2">
      <c r="A22" s="50" t="s">
        <v>18</v>
      </c>
      <c r="B22" s="53">
        <f t="shared" ref="B22:B27" si="20">B3/B13</f>
        <v>3222.0722641509433</v>
      </c>
      <c r="C22" s="53">
        <f t="shared" ref="C22" si="21">C3/C13</f>
        <v>3222.0722641509433</v>
      </c>
      <c r="D22" s="53">
        <f t="shared" ref="D22:D23" si="22">B22-C22</f>
        <v>0</v>
      </c>
      <c r="E22" s="69">
        <f t="shared" ref="E22:E28" si="23">E3/E13</f>
        <v>2798.8144329896909</v>
      </c>
      <c r="F22" s="69">
        <f t="shared" ref="F22:F27" si="24">B22-E22</f>
        <v>423.2578311612524</v>
      </c>
      <c r="G22" s="64">
        <f>B3/N16</f>
        <v>1001.5825806451612</v>
      </c>
      <c r="H22" s="64">
        <v>1001.5825806451612</v>
      </c>
      <c r="I22" s="64">
        <f t="shared" ref="I22:I23" si="25">G22-H22</f>
        <v>0</v>
      </c>
      <c r="J22" s="65">
        <f>E3/N16</f>
        <v>796.14369501466274</v>
      </c>
      <c r="K22" s="76">
        <f t="shared" ref="K22:K27" si="26">G22-J22</f>
        <v>205.43888563049848</v>
      </c>
      <c r="L22" s="66"/>
      <c r="M22" s="106"/>
      <c r="N22" s="66"/>
    </row>
    <row r="23" spans="1:16" s="67" customFormat="1" ht="18" customHeight="1" x14ac:dyDescent="0.2">
      <c r="A23" s="50" t="s">
        <v>2</v>
      </c>
      <c r="B23" s="53">
        <f t="shared" si="20"/>
        <v>3044.8509900990102</v>
      </c>
      <c r="C23" s="53">
        <f t="shared" ref="C23" si="27">C4/C14</f>
        <v>3172.6723255813954</v>
      </c>
      <c r="D23" s="53">
        <f t="shared" si="22"/>
        <v>-127.82133548238517</v>
      </c>
      <c r="E23" s="69">
        <f t="shared" si="23"/>
        <v>2800.23801980198</v>
      </c>
      <c r="F23" s="69">
        <f t="shared" si="24"/>
        <v>244.61297029703019</v>
      </c>
      <c r="G23" s="64">
        <f>B4/N16</f>
        <v>901.84736070381234</v>
      </c>
      <c r="H23" s="64">
        <v>800.14609970674485</v>
      </c>
      <c r="I23" s="64">
        <f t="shared" si="25"/>
        <v>101.70126099706749</v>
      </c>
      <c r="J23" s="65">
        <f>E4/N16</f>
        <v>829.39601173020526</v>
      </c>
      <c r="K23" s="76">
        <f t="shared" si="26"/>
        <v>72.451348973607082</v>
      </c>
      <c r="L23" s="66"/>
      <c r="M23" s="106"/>
      <c r="N23" s="66"/>
    </row>
    <row r="24" spans="1:16" s="67" customFormat="1" ht="18" customHeight="1" x14ac:dyDescent="0.2">
      <c r="A24" s="50" t="s">
        <v>3</v>
      </c>
      <c r="B24" s="53">
        <f t="shared" si="20"/>
        <v>4037.5139534883724</v>
      </c>
      <c r="C24" s="53">
        <f t="shared" ref="C24" si="28">C5/C15</f>
        <v>4020.2621111111116</v>
      </c>
      <c r="D24" s="53">
        <f t="shared" ref="D24" si="29">B24-C24</f>
        <v>17.2518423772608</v>
      </c>
      <c r="E24" s="69">
        <f t="shared" si="23"/>
        <v>3618.3997916666667</v>
      </c>
      <c r="F24" s="69">
        <f t="shared" si="24"/>
        <v>419.11416182170569</v>
      </c>
      <c r="G24" s="64">
        <f>B5/N15</f>
        <v>1052.2006060606061</v>
      </c>
      <c r="H24" s="64">
        <v>1096.4351212121212</v>
      </c>
      <c r="I24" s="64">
        <f>G24-H24</f>
        <v>-44.234515151515097</v>
      </c>
      <c r="J24" s="65">
        <f>E5/N15</f>
        <v>1578.938090909091</v>
      </c>
      <c r="K24" s="76">
        <f t="shared" si="26"/>
        <v>-526.73748484848488</v>
      </c>
      <c r="L24" s="66"/>
      <c r="M24" s="106"/>
      <c r="N24" s="66"/>
    </row>
    <row r="25" spans="1:16" s="67" customFormat="1" ht="18" customHeight="1" x14ac:dyDescent="0.2">
      <c r="A25" s="50" t="s">
        <v>17</v>
      </c>
      <c r="B25" s="53">
        <f t="shared" si="20"/>
        <v>4061.4256375838927</v>
      </c>
      <c r="C25" s="53">
        <f t="shared" ref="C25" si="30">C6/C16</f>
        <v>4097.4111194029847</v>
      </c>
      <c r="D25" s="53">
        <f>B25-C25</f>
        <v>-35.985481819092001</v>
      </c>
      <c r="E25" s="69">
        <f t="shared" si="23"/>
        <v>3551.3598952879579</v>
      </c>
      <c r="F25" s="69">
        <f t="shared" si="24"/>
        <v>510.0657422959348</v>
      </c>
      <c r="G25" s="64">
        <f>B6/N16</f>
        <v>1774.6405278592376</v>
      </c>
      <c r="H25" s="64">
        <v>1610.1263636363635</v>
      </c>
      <c r="I25" s="64">
        <f>G25-H25</f>
        <v>164.51416422287411</v>
      </c>
      <c r="J25" s="65">
        <f>E6/N16</f>
        <v>1989.1781231671555</v>
      </c>
      <c r="K25" s="76">
        <f t="shared" si="26"/>
        <v>-214.53759530791785</v>
      </c>
      <c r="L25" s="66"/>
      <c r="M25" s="106"/>
      <c r="N25" s="66"/>
    </row>
    <row r="26" spans="1:16" s="67" customFormat="1" ht="18" customHeight="1" x14ac:dyDescent="0.2">
      <c r="A26" s="50" t="s">
        <v>16</v>
      </c>
      <c r="B26" s="53">
        <f t="shared" si="20"/>
        <v>4298.7921596244132</v>
      </c>
      <c r="C26" s="53">
        <f t="shared" ref="C26" si="31">C7/C17</f>
        <v>4297.9620370370376</v>
      </c>
      <c r="D26" s="53">
        <f>B26-C26</f>
        <v>0.83012258737562661</v>
      </c>
      <c r="E26" s="69">
        <f t="shared" si="23"/>
        <v>3973.4487867647063</v>
      </c>
      <c r="F26" s="69">
        <f t="shared" si="24"/>
        <v>325.34337285970696</v>
      </c>
      <c r="G26" s="64">
        <f>B7/N15</f>
        <v>2774.6749393939394</v>
      </c>
      <c r="H26" s="64">
        <v>2813.2115151515154</v>
      </c>
      <c r="I26" s="64">
        <f>G26-H26</f>
        <v>-38.536575757575974</v>
      </c>
      <c r="J26" s="65">
        <f>E7/N15</f>
        <v>3275.0850606060608</v>
      </c>
      <c r="K26" s="76">
        <f t="shared" si="26"/>
        <v>-500.41012121212134</v>
      </c>
      <c r="L26" s="66"/>
      <c r="M26" s="106"/>
      <c r="N26" s="66"/>
    </row>
    <row r="27" spans="1:16" s="67" customFormat="1" ht="18" customHeight="1" x14ac:dyDescent="0.2">
      <c r="A27" s="50" t="s">
        <v>15</v>
      </c>
      <c r="B27" s="53">
        <f t="shared" si="20"/>
        <v>4379.3680434782609</v>
      </c>
      <c r="C27" s="53">
        <f t="shared" ref="C27" si="32">C8/C18</f>
        <v>4331.4256249999999</v>
      </c>
      <c r="D27" s="53">
        <f>B27-C27</f>
        <v>47.942418478261061</v>
      </c>
      <c r="E27" s="69">
        <f t="shared" si="23"/>
        <v>4187.3755656108597</v>
      </c>
      <c r="F27" s="69">
        <f t="shared" si="24"/>
        <v>191.99247786740125</v>
      </c>
      <c r="G27" s="64">
        <f>B8/N16</f>
        <v>1181.5303812316715</v>
      </c>
      <c r="H27" s="64">
        <v>1219.4042815249265</v>
      </c>
      <c r="I27" s="64">
        <f>G27-H27</f>
        <v>-37.873900293255019</v>
      </c>
      <c r="J27" s="65">
        <f>E8/N16</f>
        <v>2713.8123167155427</v>
      </c>
      <c r="K27" s="76">
        <f t="shared" si="26"/>
        <v>-1532.2819354838712</v>
      </c>
      <c r="L27" s="66"/>
      <c r="M27" s="106"/>
      <c r="N27" s="66"/>
    </row>
    <row r="28" spans="1:16" s="67" customFormat="1" ht="18" customHeight="1" x14ac:dyDescent="0.2">
      <c r="A28" s="51">
        <v>46388</v>
      </c>
      <c r="B28" s="77">
        <f>B9/B19</f>
        <v>4187.7926282051285</v>
      </c>
      <c r="C28" s="77">
        <f>C9/C19</f>
        <v>4198.3141059602649</v>
      </c>
      <c r="D28" s="77">
        <f>B28-C28</f>
        <v>-10.521477755136402</v>
      </c>
      <c r="E28" s="72">
        <f t="shared" si="23"/>
        <v>4155.7688745980713</v>
      </c>
      <c r="F28" s="72">
        <f t="shared" ref="F28" si="33">B28-E28</f>
        <v>32.023753607057188</v>
      </c>
      <c r="G28" s="103">
        <f>B9/N16</f>
        <v>1915.8230205278594</v>
      </c>
      <c r="H28" s="103">
        <v>1859.0775073313785</v>
      </c>
      <c r="I28" s="103">
        <f>G28-H28</f>
        <v>56.745513196480942</v>
      </c>
      <c r="J28" s="104">
        <f>E9/N16</f>
        <v>3790.1587096774197</v>
      </c>
      <c r="K28" s="105">
        <f t="shared" ref="K28" si="34">G28-J28</f>
        <v>-1874.3356891495603</v>
      </c>
      <c r="L28" s="66"/>
      <c r="M28" s="106"/>
      <c r="N28" s="66"/>
    </row>
    <row r="29" spans="1:16" x14ac:dyDescent="0.2">
      <c r="M29" s="106"/>
      <c r="N29" s="66"/>
    </row>
    <row r="30" spans="1:16" x14ac:dyDescent="0.2">
      <c r="M30" s="106"/>
    </row>
  </sheetData>
  <mergeCells count="5">
    <mergeCell ref="A11:F11"/>
    <mergeCell ref="G11:K11"/>
    <mergeCell ref="A20:F20"/>
    <mergeCell ref="A1:K1"/>
    <mergeCell ref="G20:K20"/>
  </mergeCells>
  <conditionalFormatting sqref="D1 F1 I1 H3:K8 D3:D11 F3:F11 H9:H10 J9:K10 I9:I11 K13:K19 D13:D20 F13:F20 I13:I20 K22:K28 D22:D1048576 F22:F1048576 I22:I1048576">
    <cfRule type="cellIs" dxfId="11" priority="1" operator="lessThan">
      <formula>-0.009</formula>
    </cfRule>
    <cfRule type="cellIs" dxfId="10" priority="2" stopIfTrue="1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I13 D14:K14 A14 K23 I23 I22:K22 D23:F23 G15 I15 A22:B23 D21:F21 A21 K28 K19 F19 D20:K20 E28:F28 I21:K21 A20:B20 D22:G22 B28 A16 A24:B25 A15 J15:K15 H15 G23 J23 D16:K16 D24:G25 D15:F15 I24:K25 I17:J19 G17:H17 D26:D2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activeCell="I1" sqref="I1"/>
    </sheetView>
  </sheetViews>
  <sheetFormatPr baseColWidth="10" defaultRowHeight="16" x14ac:dyDescent="0.2"/>
  <cols>
    <col min="1" max="1" width="8.83203125" customWidth="1"/>
  </cols>
  <sheetData>
    <row r="1" spans="1:14" ht="28" customHeight="1" thickBot="1" x14ac:dyDescent="0.25">
      <c r="A1" s="128" t="s">
        <v>34</v>
      </c>
      <c r="B1" s="129"/>
      <c r="C1" s="129"/>
      <c r="D1" s="129"/>
      <c r="E1" s="129"/>
      <c r="F1" s="129"/>
      <c r="G1" s="129"/>
      <c r="H1" s="130"/>
      <c r="I1" s="1"/>
      <c r="J1" s="66"/>
      <c r="K1" s="66"/>
      <c r="L1" s="66"/>
      <c r="M1" s="66"/>
    </row>
    <row r="2" spans="1:14" s="5" customFormat="1" ht="32" customHeight="1" x14ac:dyDescent="0.2">
      <c r="A2" s="55"/>
      <c r="B2" s="55">
        <v>2025</v>
      </c>
      <c r="C2" s="56">
        <v>2024</v>
      </c>
      <c r="D2" s="131" t="s">
        <v>29</v>
      </c>
      <c r="E2" s="132"/>
      <c r="F2" s="58" t="s">
        <v>28</v>
      </c>
      <c r="G2" s="133" t="s">
        <v>30</v>
      </c>
      <c r="H2" s="134"/>
      <c r="I2" s="4"/>
      <c r="J2" s="4"/>
      <c r="K2" s="4"/>
    </row>
    <row r="3" spans="1:14" s="3" customFormat="1" ht="18" customHeight="1" x14ac:dyDescent="0.2">
      <c r="A3" s="50" t="s">
        <v>24</v>
      </c>
      <c r="B3" s="53"/>
      <c r="C3" s="59"/>
      <c r="D3" s="69">
        <f t="shared" ref="D3:D15" si="0">B3-C3</f>
        <v>0</v>
      </c>
      <c r="E3" s="92" t="e">
        <f>(B3-C3)/C3</f>
        <v>#DIV/0!</v>
      </c>
      <c r="F3" s="60">
        <f>C3*1.1</f>
        <v>0</v>
      </c>
      <c r="G3" s="74" t="e">
        <f>(B3-F3)/F3</f>
        <v>#DIV/0!</v>
      </c>
      <c r="H3" s="71" t="e">
        <f>(B3-F3)/F3</f>
        <v>#DIV/0!</v>
      </c>
      <c r="I3" s="6"/>
      <c r="J3" s="2"/>
      <c r="K3" s="2"/>
    </row>
    <row r="4" spans="1:14" s="3" customFormat="1" ht="18" customHeight="1" x14ac:dyDescent="0.2">
      <c r="A4" s="50" t="s">
        <v>23</v>
      </c>
      <c r="B4" s="53"/>
      <c r="C4" s="59"/>
      <c r="D4" s="69">
        <f t="shared" si="0"/>
        <v>0</v>
      </c>
      <c r="E4" s="92" t="e">
        <f t="shared" ref="E4:E14" si="1">(B4-C4)/C4</f>
        <v>#DIV/0!</v>
      </c>
      <c r="F4" s="60">
        <f t="shared" ref="F4:F14" si="2">C4*1.1</f>
        <v>0</v>
      </c>
      <c r="G4" s="74" t="e">
        <f t="shared" ref="G4:G15" si="3">(B4-F4)/F4</f>
        <v>#DIV/0!</v>
      </c>
      <c r="H4" s="71" t="e">
        <f t="shared" ref="H4:H14" si="4">(B4-F4)/F4</f>
        <v>#DIV/0!</v>
      </c>
      <c r="I4" s="6"/>
      <c r="J4" s="2"/>
      <c r="K4" s="2"/>
    </row>
    <row r="5" spans="1:14" s="3" customFormat="1" ht="18" customHeight="1" x14ac:dyDescent="0.2">
      <c r="A5" s="50" t="s">
        <v>22</v>
      </c>
      <c r="B5" s="53"/>
      <c r="C5" s="59"/>
      <c r="D5" s="69">
        <f t="shared" si="0"/>
        <v>0</v>
      </c>
      <c r="E5" s="92" t="e">
        <f t="shared" si="1"/>
        <v>#DIV/0!</v>
      </c>
      <c r="F5" s="60">
        <f t="shared" si="2"/>
        <v>0</v>
      </c>
      <c r="G5" s="74" t="e">
        <f t="shared" si="3"/>
        <v>#DIV/0!</v>
      </c>
      <c r="H5" s="71" t="e">
        <f t="shared" si="4"/>
        <v>#DIV/0!</v>
      </c>
      <c r="I5" s="6"/>
      <c r="J5" s="2"/>
      <c r="K5" s="2"/>
    </row>
    <row r="6" spans="1:14" s="3" customFormat="1" ht="18" customHeight="1" x14ac:dyDescent="0.2">
      <c r="A6" s="50" t="s">
        <v>21</v>
      </c>
      <c r="B6" s="53"/>
      <c r="C6" s="59"/>
      <c r="D6" s="69">
        <f t="shared" si="0"/>
        <v>0</v>
      </c>
      <c r="E6" s="92" t="e">
        <f t="shared" si="1"/>
        <v>#DIV/0!</v>
      </c>
      <c r="F6" s="60">
        <f t="shared" si="2"/>
        <v>0</v>
      </c>
      <c r="G6" s="74" t="e">
        <f t="shared" si="3"/>
        <v>#DIV/0!</v>
      </c>
      <c r="H6" s="71" t="e">
        <f t="shared" si="4"/>
        <v>#DIV/0!</v>
      </c>
      <c r="I6" s="6"/>
      <c r="J6" s="2"/>
      <c r="K6" s="2"/>
    </row>
    <row r="7" spans="1:14" s="3" customFormat="1" ht="18" customHeight="1" x14ac:dyDescent="0.2">
      <c r="A7" s="50" t="s">
        <v>20</v>
      </c>
      <c r="B7" s="53"/>
      <c r="C7" s="59"/>
      <c r="D7" s="69">
        <f t="shared" si="0"/>
        <v>0</v>
      </c>
      <c r="E7" s="92" t="e">
        <f t="shared" si="1"/>
        <v>#DIV/0!</v>
      </c>
      <c r="F7" s="60">
        <f t="shared" si="2"/>
        <v>0</v>
      </c>
      <c r="G7" s="74" t="e">
        <f t="shared" si="3"/>
        <v>#DIV/0!</v>
      </c>
      <c r="H7" s="71" t="e">
        <f t="shared" si="4"/>
        <v>#DIV/0!</v>
      </c>
      <c r="I7" s="6"/>
      <c r="J7" s="2"/>
      <c r="K7" s="2"/>
    </row>
    <row r="8" spans="1:14" s="3" customFormat="1" ht="18" customHeight="1" x14ac:dyDescent="0.2">
      <c r="A8" s="50" t="s">
        <v>19</v>
      </c>
      <c r="B8" s="53"/>
      <c r="C8" s="59"/>
      <c r="D8" s="69">
        <f t="shared" si="0"/>
        <v>0</v>
      </c>
      <c r="E8" s="92" t="e">
        <f t="shared" si="1"/>
        <v>#DIV/0!</v>
      </c>
      <c r="F8" s="60">
        <f t="shared" si="2"/>
        <v>0</v>
      </c>
      <c r="G8" s="74" t="e">
        <f t="shared" si="3"/>
        <v>#DIV/0!</v>
      </c>
      <c r="H8" s="71" t="e">
        <f t="shared" si="4"/>
        <v>#DIV/0!</v>
      </c>
      <c r="I8" s="6"/>
      <c r="J8" s="2"/>
      <c r="K8" s="2"/>
    </row>
    <row r="9" spans="1:14" s="3" customFormat="1" ht="18" customHeight="1" x14ac:dyDescent="0.2">
      <c r="A9" s="50" t="s">
        <v>18</v>
      </c>
      <c r="B9" s="53"/>
      <c r="C9" s="59"/>
      <c r="D9" s="69">
        <f t="shared" si="0"/>
        <v>0</v>
      </c>
      <c r="E9" s="92" t="e">
        <f t="shared" si="1"/>
        <v>#DIV/0!</v>
      </c>
      <c r="F9" s="60">
        <f t="shared" si="2"/>
        <v>0</v>
      </c>
      <c r="G9" s="74" t="e">
        <f t="shared" si="3"/>
        <v>#DIV/0!</v>
      </c>
      <c r="H9" s="71" t="e">
        <f t="shared" si="4"/>
        <v>#DIV/0!</v>
      </c>
      <c r="I9" s="6"/>
      <c r="J9" s="2"/>
      <c r="K9" s="2"/>
    </row>
    <row r="10" spans="1:14" s="3" customFormat="1" ht="18" customHeight="1" x14ac:dyDescent="0.2">
      <c r="A10" s="50" t="s">
        <v>2</v>
      </c>
      <c r="B10" s="53"/>
      <c r="C10" s="59"/>
      <c r="D10" s="69">
        <f t="shared" si="0"/>
        <v>0</v>
      </c>
      <c r="E10" s="92" t="e">
        <f t="shared" si="1"/>
        <v>#DIV/0!</v>
      </c>
      <c r="F10" s="60">
        <f t="shared" si="2"/>
        <v>0</v>
      </c>
      <c r="G10" s="74" t="e">
        <f t="shared" si="3"/>
        <v>#DIV/0!</v>
      </c>
      <c r="H10" s="71" t="e">
        <f t="shared" si="4"/>
        <v>#DIV/0!</v>
      </c>
      <c r="I10" s="6"/>
      <c r="J10" s="2"/>
      <c r="K10" s="2"/>
    </row>
    <row r="11" spans="1:14" s="3" customFormat="1" ht="18" customHeight="1" x14ac:dyDescent="0.2">
      <c r="A11" s="50" t="s">
        <v>32</v>
      </c>
      <c r="B11" s="53"/>
      <c r="C11" s="59"/>
      <c r="D11" s="69">
        <f t="shared" si="0"/>
        <v>0</v>
      </c>
      <c r="E11" s="92" t="e">
        <f t="shared" si="1"/>
        <v>#DIV/0!</v>
      </c>
      <c r="F11" s="60">
        <f t="shared" si="2"/>
        <v>0</v>
      </c>
      <c r="G11" s="74" t="e">
        <f t="shared" si="3"/>
        <v>#DIV/0!</v>
      </c>
      <c r="H11" s="71" t="e">
        <f t="shared" si="4"/>
        <v>#DIV/0!</v>
      </c>
      <c r="I11" s="6"/>
      <c r="J11" s="2"/>
      <c r="K11" s="2"/>
    </row>
    <row r="12" spans="1:14" s="3" customFormat="1" ht="18" customHeight="1" x14ac:dyDescent="0.2">
      <c r="A12" s="50" t="s">
        <v>17</v>
      </c>
      <c r="B12" s="53"/>
      <c r="C12" s="59"/>
      <c r="D12" s="69">
        <f t="shared" si="0"/>
        <v>0</v>
      </c>
      <c r="E12" s="92" t="e">
        <f t="shared" si="1"/>
        <v>#DIV/0!</v>
      </c>
      <c r="F12" s="60">
        <f t="shared" si="2"/>
        <v>0</v>
      </c>
      <c r="G12" s="74" t="e">
        <f t="shared" si="3"/>
        <v>#DIV/0!</v>
      </c>
      <c r="H12" s="71" t="e">
        <f t="shared" si="4"/>
        <v>#DIV/0!</v>
      </c>
      <c r="I12" s="6"/>
      <c r="J12" s="2"/>
      <c r="K12" s="2"/>
    </row>
    <row r="13" spans="1:14" s="3" customFormat="1" ht="18" customHeight="1" x14ac:dyDescent="0.2">
      <c r="A13" s="50" t="s">
        <v>16</v>
      </c>
      <c r="B13" s="53"/>
      <c r="C13" s="59"/>
      <c r="D13" s="69">
        <f t="shared" si="0"/>
        <v>0</v>
      </c>
      <c r="E13" s="92" t="e">
        <f t="shared" si="1"/>
        <v>#DIV/0!</v>
      </c>
      <c r="F13" s="60">
        <f t="shared" si="2"/>
        <v>0</v>
      </c>
      <c r="G13" s="74" t="e">
        <f t="shared" si="3"/>
        <v>#DIV/0!</v>
      </c>
      <c r="H13" s="71" t="e">
        <f t="shared" si="4"/>
        <v>#DIV/0!</v>
      </c>
      <c r="I13" s="6"/>
      <c r="J13" s="2"/>
      <c r="K13" s="2"/>
    </row>
    <row r="14" spans="1:14" s="3" customFormat="1" ht="18" customHeight="1" x14ac:dyDescent="0.2">
      <c r="A14" s="50" t="s">
        <v>15</v>
      </c>
      <c r="B14" s="53"/>
      <c r="C14" s="59"/>
      <c r="D14" s="69">
        <f t="shared" si="0"/>
        <v>0</v>
      </c>
      <c r="E14" s="92" t="e">
        <f t="shared" si="1"/>
        <v>#DIV/0!</v>
      </c>
      <c r="F14" s="60">
        <f t="shared" si="2"/>
        <v>0</v>
      </c>
      <c r="G14" s="74" t="e">
        <f t="shared" si="3"/>
        <v>#DIV/0!</v>
      </c>
      <c r="H14" s="71" t="e">
        <f t="shared" si="4"/>
        <v>#DIV/0!</v>
      </c>
      <c r="I14" s="6"/>
      <c r="J14" s="2"/>
      <c r="K14" s="2"/>
    </row>
    <row r="15" spans="1:14" s="3" customFormat="1" ht="18" customHeight="1" thickBot="1" x14ac:dyDescent="0.25">
      <c r="A15" s="52" t="s">
        <v>8</v>
      </c>
      <c r="B15" s="61">
        <f>SUM(B3:B14)</f>
        <v>0</v>
      </c>
      <c r="C15" s="62">
        <f>SUM(C3:C14)</f>
        <v>0</v>
      </c>
      <c r="D15" s="91">
        <f t="shared" si="0"/>
        <v>0</v>
      </c>
      <c r="E15" s="93" t="e">
        <f>(B15-C15)/C15</f>
        <v>#DIV/0!</v>
      </c>
      <c r="F15" s="63">
        <f>SUM(F3:F14)</f>
        <v>0</v>
      </c>
      <c r="G15" s="97" t="e">
        <f t="shared" si="3"/>
        <v>#DIV/0!</v>
      </c>
      <c r="H15" s="98" t="e">
        <f>(B15-F15)/F15</f>
        <v>#DIV/0!</v>
      </c>
      <c r="I15" s="6"/>
      <c r="J15" s="2"/>
      <c r="K15" s="2"/>
      <c r="L15" s="66"/>
      <c r="M15" s="66"/>
      <c r="N15" s="66"/>
    </row>
    <row r="16" spans="1:14" ht="25" customHeight="1" thickBot="1" x14ac:dyDescent="0.25">
      <c r="A16" s="124" t="s">
        <v>4</v>
      </c>
      <c r="B16" s="125"/>
      <c r="C16" s="125"/>
      <c r="D16" s="126"/>
      <c r="E16" s="124" t="s">
        <v>6</v>
      </c>
      <c r="F16" s="125"/>
      <c r="G16" s="125"/>
      <c r="H16" s="126"/>
      <c r="I16" s="1"/>
      <c r="J16" s="1"/>
      <c r="K16" s="1"/>
      <c r="L16" s="1"/>
      <c r="M16" s="1"/>
    </row>
    <row r="17" spans="1:14" s="67" customFormat="1" ht="32" customHeight="1" x14ac:dyDescent="0.2">
      <c r="A17" s="54"/>
      <c r="B17" s="55">
        <v>2025</v>
      </c>
      <c r="C17" s="56">
        <v>2024</v>
      </c>
      <c r="D17" s="78" t="s">
        <v>29</v>
      </c>
      <c r="E17" s="55">
        <v>2025</v>
      </c>
      <c r="F17" s="56">
        <v>2024</v>
      </c>
      <c r="G17" s="57" t="s">
        <v>29</v>
      </c>
      <c r="H17" s="99" t="s">
        <v>31</v>
      </c>
      <c r="I17" s="66"/>
      <c r="J17" s="66"/>
      <c r="K17" s="66"/>
      <c r="L17" s="66"/>
      <c r="M17" s="66"/>
      <c r="N17" s="66"/>
    </row>
    <row r="18" spans="1:14" s="67" customFormat="1" ht="18" customHeight="1" x14ac:dyDescent="0.2">
      <c r="A18" s="50" t="s">
        <v>24</v>
      </c>
      <c r="B18" s="64"/>
      <c r="C18" s="65"/>
      <c r="D18" s="76"/>
      <c r="E18" s="80"/>
      <c r="F18" s="100"/>
      <c r="G18" s="95"/>
      <c r="H18" s="70"/>
      <c r="J18" s="66" t="s">
        <v>9</v>
      </c>
      <c r="K18" s="66"/>
      <c r="L18" s="66"/>
      <c r="M18" s="66"/>
      <c r="N18" s="66"/>
    </row>
    <row r="19" spans="1:14" s="67" customFormat="1" ht="18" customHeight="1" x14ac:dyDescent="0.2">
      <c r="A19" s="50" t="s">
        <v>23</v>
      </c>
      <c r="B19" s="64"/>
      <c r="C19" s="65"/>
      <c r="D19" s="76"/>
      <c r="E19" s="80"/>
      <c r="F19" s="100"/>
      <c r="G19" s="95"/>
      <c r="H19" s="70"/>
      <c r="J19" s="66" t="s">
        <v>10</v>
      </c>
      <c r="K19" s="66"/>
      <c r="L19" s="66"/>
      <c r="M19" s="66"/>
      <c r="N19" s="66"/>
    </row>
    <row r="20" spans="1:14" s="67" customFormat="1" ht="18" customHeight="1" x14ac:dyDescent="0.2">
      <c r="A20" s="50" t="s">
        <v>22</v>
      </c>
      <c r="B20" s="64"/>
      <c r="C20" s="65"/>
      <c r="D20" s="76"/>
      <c r="E20" s="80"/>
      <c r="F20" s="100"/>
      <c r="G20" s="95"/>
      <c r="H20" s="70"/>
      <c r="J20" s="66" t="s">
        <v>11</v>
      </c>
      <c r="K20" s="66"/>
      <c r="L20" s="66"/>
      <c r="M20" s="66"/>
      <c r="N20" s="66"/>
    </row>
    <row r="21" spans="1:14" s="67" customFormat="1" ht="18" customHeight="1" x14ac:dyDescent="0.2">
      <c r="A21" s="50" t="s">
        <v>21</v>
      </c>
      <c r="B21" s="64"/>
      <c r="C21" s="65"/>
      <c r="D21" s="76"/>
      <c r="E21" s="80"/>
      <c r="F21" s="100"/>
      <c r="G21" s="95"/>
      <c r="H21" s="70"/>
      <c r="J21" s="66" t="s">
        <v>12</v>
      </c>
      <c r="K21" s="66"/>
      <c r="L21" s="66"/>
      <c r="M21" s="66"/>
      <c r="N21" s="66"/>
    </row>
    <row r="22" spans="1:14" s="67" customFormat="1" ht="18" customHeight="1" x14ac:dyDescent="0.2">
      <c r="A22" s="50" t="s">
        <v>20</v>
      </c>
      <c r="B22" s="64"/>
      <c r="C22" s="65"/>
      <c r="D22" s="76"/>
      <c r="E22" s="80"/>
      <c r="F22" s="100"/>
      <c r="G22" s="95"/>
      <c r="H22" s="70"/>
      <c r="J22" s="66" t="s">
        <v>13</v>
      </c>
      <c r="K22" s="66"/>
      <c r="L22" s="66"/>
      <c r="M22" s="66"/>
      <c r="N22" s="66"/>
    </row>
    <row r="23" spans="1:14" s="67" customFormat="1" ht="18" customHeight="1" x14ac:dyDescent="0.2">
      <c r="A23" s="50" t="s">
        <v>19</v>
      </c>
      <c r="B23" s="64"/>
      <c r="C23" s="65"/>
      <c r="D23" s="76"/>
      <c r="E23" s="80"/>
      <c r="F23" s="100"/>
      <c r="G23" s="95"/>
      <c r="H23" s="70"/>
      <c r="I23" s="66"/>
      <c r="J23" s="66"/>
      <c r="K23" s="66"/>
      <c r="L23" s="66"/>
      <c r="M23" s="66"/>
      <c r="N23" s="66"/>
    </row>
    <row r="24" spans="1:14" s="67" customFormat="1" ht="18" customHeight="1" x14ac:dyDescent="0.2">
      <c r="A24" s="50" t="s">
        <v>18</v>
      </c>
      <c r="B24" s="64"/>
      <c r="C24" s="65"/>
      <c r="D24" s="76"/>
      <c r="E24" s="80"/>
      <c r="F24" s="100"/>
      <c r="G24" s="95"/>
      <c r="H24" s="70"/>
      <c r="I24" s="66"/>
      <c r="J24" s="7"/>
      <c r="K24" s="66"/>
      <c r="L24" s="66"/>
      <c r="M24" s="66"/>
      <c r="N24" s="66"/>
    </row>
    <row r="25" spans="1:14" s="67" customFormat="1" ht="18" customHeight="1" x14ac:dyDescent="0.2">
      <c r="A25" s="50" t="s">
        <v>2</v>
      </c>
      <c r="B25" s="64"/>
      <c r="C25" s="65"/>
      <c r="D25" s="76"/>
      <c r="E25" s="80"/>
      <c r="F25" s="100"/>
      <c r="G25" s="95"/>
      <c r="H25" s="70"/>
      <c r="I25" s="66"/>
      <c r="J25" s="7"/>
      <c r="K25" s="66"/>
      <c r="L25" s="66"/>
      <c r="M25" s="66"/>
      <c r="N25" s="66"/>
    </row>
    <row r="26" spans="1:14" s="67" customFormat="1" ht="18" customHeight="1" x14ac:dyDescent="0.2">
      <c r="A26" s="50" t="s">
        <v>32</v>
      </c>
      <c r="B26" s="64"/>
      <c r="C26" s="65"/>
      <c r="D26" s="76"/>
      <c r="E26" s="80"/>
      <c r="F26" s="100"/>
      <c r="G26" s="95"/>
      <c r="H26" s="70"/>
      <c r="I26" s="66"/>
      <c r="J26" s="7"/>
      <c r="K26" s="66"/>
      <c r="L26" s="66"/>
      <c r="M26" s="66"/>
      <c r="N26" s="66"/>
    </row>
    <row r="27" spans="1:14" s="67" customFormat="1" ht="18" customHeight="1" x14ac:dyDescent="0.2">
      <c r="A27" s="50" t="s">
        <v>17</v>
      </c>
      <c r="B27" s="64"/>
      <c r="C27" s="65"/>
      <c r="D27" s="76"/>
      <c r="E27" s="80"/>
      <c r="F27" s="100"/>
      <c r="G27" s="95"/>
      <c r="H27" s="70"/>
      <c r="I27" s="66"/>
      <c r="J27" s="7"/>
      <c r="K27" s="66"/>
      <c r="L27" s="66"/>
      <c r="M27" s="66"/>
      <c r="N27" s="66"/>
    </row>
    <row r="28" spans="1:14" s="67" customFormat="1" ht="18" customHeight="1" x14ac:dyDescent="0.2">
      <c r="A28" s="50" t="s">
        <v>16</v>
      </c>
      <c r="B28" s="64"/>
      <c r="C28" s="65"/>
      <c r="D28" s="76"/>
      <c r="E28" s="80"/>
      <c r="F28" s="100"/>
      <c r="G28" s="95"/>
      <c r="H28" s="70"/>
      <c r="I28" s="66"/>
      <c r="J28" s="7"/>
      <c r="K28" s="66"/>
      <c r="L28" s="66"/>
      <c r="M28" s="66"/>
      <c r="N28" s="66"/>
    </row>
    <row r="29" spans="1:14" s="67" customFormat="1" ht="18" customHeight="1" thickBot="1" x14ac:dyDescent="0.25">
      <c r="A29" s="50" t="s">
        <v>15</v>
      </c>
      <c r="B29" s="64"/>
      <c r="C29" s="65"/>
      <c r="D29" s="76"/>
      <c r="E29" s="79"/>
      <c r="F29" s="101"/>
      <c r="G29" s="96"/>
      <c r="H29" s="73"/>
      <c r="I29" s="66"/>
      <c r="J29" s="7"/>
      <c r="K29" s="66"/>
      <c r="L29" s="66"/>
      <c r="M29" s="66"/>
      <c r="N29" s="66"/>
    </row>
    <row r="30" spans="1:14" ht="25" customHeight="1" thickBot="1" x14ac:dyDescent="0.25">
      <c r="A30" s="124" t="s">
        <v>5</v>
      </c>
      <c r="B30" s="125"/>
      <c r="C30" s="125"/>
      <c r="D30" s="125"/>
      <c r="E30" s="126"/>
      <c r="F30" s="7"/>
      <c r="G30" s="7"/>
      <c r="H30" s="1"/>
      <c r="I30" s="1"/>
      <c r="J30" s="1"/>
    </row>
    <row r="31" spans="1:14" s="67" customFormat="1" ht="32" customHeight="1" x14ac:dyDescent="0.2">
      <c r="A31" s="55"/>
      <c r="B31" s="55">
        <v>2025</v>
      </c>
      <c r="C31" s="56">
        <v>2024</v>
      </c>
      <c r="D31" s="131" t="s">
        <v>29</v>
      </c>
      <c r="E31" s="132"/>
      <c r="F31" s="68"/>
      <c r="G31" s="68"/>
      <c r="H31" s="66"/>
      <c r="I31" s="66"/>
      <c r="J31" s="66"/>
    </row>
    <row r="32" spans="1:14" s="67" customFormat="1" ht="17" customHeight="1" x14ac:dyDescent="0.2">
      <c r="A32" s="102" t="s">
        <v>24</v>
      </c>
      <c r="B32" s="53" t="e">
        <f>B3/B18</f>
        <v>#DIV/0!</v>
      </c>
      <c r="C32" s="69" t="e">
        <f>C3/C18</f>
        <v>#DIV/0!</v>
      </c>
      <c r="D32" s="69" t="e">
        <f>B32-C32</f>
        <v>#DIV/0!</v>
      </c>
      <c r="E32" s="94" t="e">
        <f>(B32-C32)/C32</f>
        <v>#DIV/0!</v>
      </c>
      <c r="G32" s="68"/>
      <c r="H32" s="66"/>
      <c r="I32" s="66"/>
      <c r="J32" s="66"/>
    </row>
    <row r="33" spans="1:10" s="67" customFormat="1" ht="17" customHeight="1" x14ac:dyDescent="0.2">
      <c r="A33" s="50" t="s">
        <v>23</v>
      </c>
      <c r="B33" s="53" t="e">
        <f t="shared" ref="B33:C43" si="5">B4/B19</f>
        <v>#DIV/0!</v>
      </c>
      <c r="C33" s="69" t="e">
        <f t="shared" si="5"/>
        <v>#DIV/0!</v>
      </c>
      <c r="D33" s="69" t="e">
        <f t="shared" ref="D33:D43" si="6">B33-C33</f>
        <v>#DIV/0!</v>
      </c>
      <c r="E33" s="95" t="e">
        <f t="shared" ref="E33:E43" si="7">(B33-C33)/C33</f>
        <v>#DIV/0!</v>
      </c>
      <c r="G33" s="68"/>
      <c r="H33" s="66"/>
      <c r="I33" s="66"/>
      <c r="J33" s="66"/>
    </row>
    <row r="34" spans="1:10" s="67" customFormat="1" ht="17" customHeight="1" x14ac:dyDescent="0.2">
      <c r="A34" s="50" t="s">
        <v>22</v>
      </c>
      <c r="B34" s="53" t="e">
        <f t="shared" si="5"/>
        <v>#DIV/0!</v>
      </c>
      <c r="C34" s="69" t="e">
        <f t="shared" si="5"/>
        <v>#DIV/0!</v>
      </c>
      <c r="D34" s="69" t="e">
        <f t="shared" si="6"/>
        <v>#DIV/0!</v>
      </c>
      <c r="E34" s="95" t="e">
        <f t="shared" si="7"/>
        <v>#DIV/0!</v>
      </c>
      <c r="G34" s="68"/>
      <c r="H34" s="66"/>
      <c r="I34" s="66"/>
      <c r="J34" s="66"/>
    </row>
    <row r="35" spans="1:10" s="67" customFormat="1" ht="17" customHeight="1" x14ac:dyDescent="0.2">
      <c r="A35" s="50" t="s">
        <v>21</v>
      </c>
      <c r="B35" s="53" t="e">
        <f t="shared" si="5"/>
        <v>#DIV/0!</v>
      </c>
      <c r="C35" s="69" t="e">
        <f t="shared" si="5"/>
        <v>#DIV/0!</v>
      </c>
      <c r="D35" s="69" t="e">
        <f t="shared" si="6"/>
        <v>#DIV/0!</v>
      </c>
      <c r="E35" s="95" t="e">
        <f t="shared" si="7"/>
        <v>#DIV/0!</v>
      </c>
      <c r="G35" s="68"/>
      <c r="H35" s="66"/>
      <c r="I35" s="66"/>
      <c r="J35" s="66"/>
    </row>
    <row r="36" spans="1:10" s="67" customFormat="1" ht="17" customHeight="1" x14ac:dyDescent="0.2">
      <c r="A36" s="50" t="s">
        <v>20</v>
      </c>
      <c r="B36" s="53" t="e">
        <f t="shared" si="5"/>
        <v>#DIV/0!</v>
      </c>
      <c r="C36" s="69" t="e">
        <f t="shared" si="5"/>
        <v>#DIV/0!</v>
      </c>
      <c r="D36" s="69" t="e">
        <f t="shared" si="6"/>
        <v>#DIV/0!</v>
      </c>
      <c r="E36" s="95" t="e">
        <f t="shared" si="7"/>
        <v>#DIV/0!</v>
      </c>
      <c r="G36" s="68"/>
      <c r="H36" s="66"/>
      <c r="I36" s="66"/>
      <c r="J36" s="66"/>
    </row>
    <row r="37" spans="1:10" s="67" customFormat="1" ht="17" customHeight="1" x14ac:dyDescent="0.2">
      <c r="A37" s="50" t="s">
        <v>19</v>
      </c>
      <c r="B37" s="53" t="e">
        <f t="shared" si="5"/>
        <v>#DIV/0!</v>
      </c>
      <c r="C37" s="69" t="e">
        <f t="shared" si="5"/>
        <v>#DIV/0!</v>
      </c>
      <c r="D37" s="69" t="e">
        <f t="shared" si="6"/>
        <v>#DIV/0!</v>
      </c>
      <c r="E37" s="95" t="e">
        <f t="shared" si="7"/>
        <v>#DIV/0!</v>
      </c>
      <c r="G37" s="68"/>
      <c r="H37" s="66"/>
      <c r="I37" s="66"/>
      <c r="J37" s="66"/>
    </row>
    <row r="38" spans="1:10" s="67" customFormat="1" ht="17" customHeight="1" x14ac:dyDescent="0.2">
      <c r="A38" s="50" t="s">
        <v>18</v>
      </c>
      <c r="B38" s="53" t="e">
        <f t="shared" si="5"/>
        <v>#DIV/0!</v>
      </c>
      <c r="C38" s="69" t="e">
        <f t="shared" si="5"/>
        <v>#DIV/0!</v>
      </c>
      <c r="D38" s="69" t="e">
        <f t="shared" si="6"/>
        <v>#DIV/0!</v>
      </c>
      <c r="E38" s="95" t="e">
        <f t="shared" si="7"/>
        <v>#DIV/0!</v>
      </c>
      <c r="F38" s="7"/>
      <c r="G38" s="68"/>
      <c r="H38" s="66"/>
      <c r="I38" s="66"/>
      <c r="J38" s="66"/>
    </row>
    <row r="39" spans="1:10" s="67" customFormat="1" ht="17" customHeight="1" x14ac:dyDescent="0.2">
      <c r="A39" s="50" t="s">
        <v>2</v>
      </c>
      <c r="B39" s="53" t="e">
        <f t="shared" si="5"/>
        <v>#DIV/0!</v>
      </c>
      <c r="C39" s="69" t="e">
        <f t="shared" si="5"/>
        <v>#DIV/0!</v>
      </c>
      <c r="D39" s="69" t="e">
        <f t="shared" si="6"/>
        <v>#DIV/0!</v>
      </c>
      <c r="E39" s="95" t="e">
        <f t="shared" si="7"/>
        <v>#DIV/0!</v>
      </c>
      <c r="F39" s="7"/>
      <c r="G39" s="68"/>
      <c r="H39" s="66"/>
      <c r="I39" s="66"/>
      <c r="J39" s="66"/>
    </row>
    <row r="40" spans="1:10" s="67" customFormat="1" ht="17" customHeight="1" x14ac:dyDescent="0.2">
      <c r="A40" s="50" t="s">
        <v>32</v>
      </c>
      <c r="B40" s="53" t="e">
        <f t="shared" si="5"/>
        <v>#DIV/0!</v>
      </c>
      <c r="C40" s="69" t="e">
        <f t="shared" si="5"/>
        <v>#DIV/0!</v>
      </c>
      <c r="D40" s="69" t="e">
        <f t="shared" si="6"/>
        <v>#DIV/0!</v>
      </c>
      <c r="E40" s="95" t="e">
        <f t="shared" si="7"/>
        <v>#DIV/0!</v>
      </c>
      <c r="F40" s="7"/>
      <c r="G40" s="68"/>
      <c r="H40" s="66"/>
      <c r="I40" s="66"/>
      <c r="J40" s="66"/>
    </row>
    <row r="41" spans="1:10" s="67" customFormat="1" ht="17" customHeight="1" x14ac:dyDescent="0.2">
      <c r="A41" s="50" t="s">
        <v>17</v>
      </c>
      <c r="B41" s="53" t="e">
        <f t="shared" si="5"/>
        <v>#DIV/0!</v>
      </c>
      <c r="C41" s="69" t="e">
        <f t="shared" si="5"/>
        <v>#DIV/0!</v>
      </c>
      <c r="D41" s="69" t="e">
        <f t="shared" si="6"/>
        <v>#DIV/0!</v>
      </c>
      <c r="E41" s="95" t="e">
        <f t="shared" si="7"/>
        <v>#DIV/0!</v>
      </c>
      <c r="F41" s="7"/>
      <c r="G41" s="68"/>
      <c r="H41" s="66"/>
      <c r="I41" s="66"/>
      <c r="J41" s="66"/>
    </row>
    <row r="42" spans="1:10" s="67" customFormat="1" ht="17" customHeight="1" x14ac:dyDescent="0.2">
      <c r="A42" s="50" t="s">
        <v>16</v>
      </c>
      <c r="B42" s="53" t="e">
        <f t="shared" si="5"/>
        <v>#DIV/0!</v>
      </c>
      <c r="C42" s="69" t="e">
        <f t="shared" si="5"/>
        <v>#DIV/0!</v>
      </c>
      <c r="D42" s="69" t="e">
        <f t="shared" si="6"/>
        <v>#DIV/0!</v>
      </c>
      <c r="E42" s="95" t="e">
        <f t="shared" si="7"/>
        <v>#DIV/0!</v>
      </c>
      <c r="F42" s="7"/>
      <c r="G42" s="68"/>
      <c r="H42" s="66"/>
      <c r="I42" s="66"/>
      <c r="J42" s="66"/>
    </row>
    <row r="43" spans="1:10" s="67" customFormat="1" ht="17" customHeight="1" x14ac:dyDescent="0.2">
      <c r="A43" s="51" t="s">
        <v>15</v>
      </c>
      <c r="B43" s="77" t="e">
        <f t="shared" si="5"/>
        <v>#DIV/0!</v>
      </c>
      <c r="C43" s="72" t="e">
        <f t="shared" si="5"/>
        <v>#DIV/0!</v>
      </c>
      <c r="D43" s="72" t="e">
        <f t="shared" si="6"/>
        <v>#DIV/0!</v>
      </c>
      <c r="E43" s="96" t="e">
        <f t="shared" si="7"/>
        <v>#DIV/0!</v>
      </c>
      <c r="G43" s="68"/>
      <c r="H43" s="66"/>
      <c r="I43" s="66"/>
      <c r="J43" s="66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E29 D32:E43">
    <cfRule type="cellIs" dxfId="9" priority="15" operator="equal">
      <formula>0</formula>
    </cfRule>
    <cfRule type="cellIs" dxfId="8" priority="16" operator="lessThan">
      <formula>0</formula>
    </cfRule>
    <cfRule type="cellIs" dxfId="7" priority="17" operator="greaterThan">
      <formula>0</formula>
    </cfRule>
  </conditionalFormatting>
  <conditionalFormatting sqref="G3:H15">
    <cfRule type="cellIs" dxfId="6" priority="3" operator="equal">
      <formula>0</formula>
    </cfRule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ignoredErrors>
    <ignoredError sqref="B15:D15" formulaRange="1"/>
    <ignoredError sqref="B32:E43 E3:H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59" zoomScaleNormal="70" workbookViewId="0">
      <selection activeCell="D59" sqref="D59:J64"/>
    </sheetView>
  </sheetViews>
  <sheetFormatPr baseColWidth="10" defaultRowHeight="18" x14ac:dyDescent="0.2"/>
  <cols>
    <col min="1" max="1" width="19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0" x14ac:dyDescent="0.2">
      <c r="A1" s="49" t="s">
        <v>25</v>
      </c>
      <c r="B1" s="48">
        <v>2019</v>
      </c>
      <c r="C1" s="48">
        <v>2020</v>
      </c>
      <c r="D1" s="47">
        <v>2021</v>
      </c>
      <c r="E1" s="47">
        <v>2022</v>
      </c>
      <c r="F1" s="47">
        <v>2023</v>
      </c>
      <c r="G1" s="46">
        <v>2024</v>
      </c>
      <c r="H1" s="46" t="s">
        <v>26</v>
      </c>
      <c r="I1" s="135" t="s">
        <v>27</v>
      </c>
      <c r="J1" s="136"/>
    </row>
    <row r="2" spans="1:10" x14ac:dyDescent="0.2">
      <c r="A2" s="19" t="s">
        <v>24</v>
      </c>
      <c r="B2" s="44"/>
      <c r="C2" s="44"/>
      <c r="D2" s="44"/>
      <c r="E2" s="44"/>
      <c r="F2" s="44"/>
      <c r="G2" s="43"/>
      <c r="H2" s="43"/>
      <c r="I2" s="81">
        <f>H2-G2</f>
        <v>0</v>
      </c>
      <c r="J2" s="89" t="e">
        <f>(H2-G2)/G2</f>
        <v>#DIV/0!</v>
      </c>
    </row>
    <row r="3" spans="1:10" x14ac:dyDescent="0.2">
      <c r="A3" s="19" t="s">
        <v>23</v>
      </c>
      <c r="B3" s="44"/>
      <c r="C3" s="44"/>
      <c r="D3" s="44"/>
      <c r="E3" s="44"/>
      <c r="F3" s="44"/>
      <c r="G3" s="43"/>
      <c r="H3" s="43"/>
      <c r="I3" s="81">
        <f t="shared" ref="I3:I13" si="0">H3-G3</f>
        <v>0</v>
      </c>
      <c r="J3" s="89" t="e">
        <f t="shared" ref="J3:J13" si="1">(H3-G3)/G3</f>
        <v>#DIV/0!</v>
      </c>
    </row>
    <row r="4" spans="1:10" x14ac:dyDescent="0.2">
      <c r="A4" s="19" t="s">
        <v>22</v>
      </c>
      <c r="B4" s="44"/>
      <c r="C4" s="45"/>
      <c r="D4" s="44"/>
      <c r="E4" s="44"/>
      <c r="F4" s="44"/>
      <c r="G4" s="43"/>
      <c r="H4" s="43"/>
      <c r="I4" s="81">
        <f t="shared" si="0"/>
        <v>0</v>
      </c>
      <c r="J4" s="89" t="e">
        <f t="shared" si="1"/>
        <v>#DIV/0!</v>
      </c>
    </row>
    <row r="5" spans="1:10" x14ac:dyDescent="0.2">
      <c r="A5" s="19" t="s">
        <v>21</v>
      </c>
      <c r="B5" s="44"/>
      <c r="C5" s="45"/>
      <c r="D5" s="44"/>
      <c r="E5" s="44"/>
      <c r="F5" s="44"/>
      <c r="G5" s="43"/>
      <c r="H5" s="43"/>
      <c r="I5" s="81">
        <f t="shared" si="0"/>
        <v>0</v>
      </c>
      <c r="J5" s="89" t="e">
        <f t="shared" si="1"/>
        <v>#DIV/0!</v>
      </c>
    </row>
    <row r="6" spans="1:10" x14ac:dyDescent="0.2">
      <c r="A6" s="19" t="s">
        <v>20</v>
      </c>
      <c r="B6" s="44"/>
      <c r="C6" s="45"/>
      <c r="D6" s="44"/>
      <c r="E6" s="44"/>
      <c r="F6" s="44"/>
      <c r="G6" s="43"/>
      <c r="H6" s="43"/>
      <c r="I6" s="81">
        <f t="shared" si="0"/>
        <v>0</v>
      </c>
      <c r="J6" s="89" t="e">
        <f t="shared" si="1"/>
        <v>#DIV/0!</v>
      </c>
    </row>
    <row r="7" spans="1:10" x14ac:dyDescent="0.2">
      <c r="A7" s="19" t="s">
        <v>19</v>
      </c>
      <c r="B7" s="44"/>
      <c r="C7" s="44"/>
      <c r="D7" s="44"/>
      <c r="E7" s="44"/>
      <c r="F7" s="44"/>
      <c r="G7" s="43"/>
      <c r="H7" s="43"/>
      <c r="I7" s="81">
        <f t="shared" si="0"/>
        <v>0</v>
      </c>
      <c r="J7" s="89" t="e">
        <f t="shared" si="1"/>
        <v>#DIV/0!</v>
      </c>
    </row>
    <row r="8" spans="1:10" x14ac:dyDescent="0.2">
      <c r="A8" s="19" t="s">
        <v>18</v>
      </c>
      <c r="B8" s="44"/>
      <c r="C8" s="44"/>
      <c r="D8" s="44"/>
      <c r="E8" s="44"/>
      <c r="F8" s="44"/>
      <c r="G8" s="43"/>
      <c r="H8" s="43"/>
      <c r="I8" s="81">
        <f t="shared" si="0"/>
        <v>0</v>
      </c>
      <c r="J8" s="89" t="e">
        <f t="shared" si="1"/>
        <v>#DIV/0!</v>
      </c>
    </row>
    <row r="9" spans="1:10" x14ac:dyDescent="0.2">
      <c r="A9" s="19" t="s">
        <v>2</v>
      </c>
      <c r="B9" s="44"/>
      <c r="C9" s="44"/>
      <c r="D9" s="44"/>
      <c r="E9" s="44"/>
      <c r="F9" s="44"/>
      <c r="G9" s="43"/>
      <c r="H9" s="43"/>
      <c r="I9" s="81">
        <f t="shared" si="0"/>
        <v>0</v>
      </c>
      <c r="J9" s="89" t="e">
        <f t="shared" si="1"/>
        <v>#DIV/0!</v>
      </c>
    </row>
    <row r="10" spans="1:10" x14ac:dyDescent="0.2">
      <c r="A10" s="19" t="s">
        <v>3</v>
      </c>
      <c r="B10" s="44"/>
      <c r="C10" s="44"/>
      <c r="D10" s="44"/>
      <c r="E10" s="44"/>
      <c r="F10" s="44"/>
      <c r="G10" s="43"/>
      <c r="H10" s="43"/>
      <c r="I10" s="81">
        <f t="shared" si="0"/>
        <v>0</v>
      </c>
      <c r="J10" s="89" t="e">
        <f t="shared" si="1"/>
        <v>#DIV/0!</v>
      </c>
    </row>
    <row r="11" spans="1:10" x14ac:dyDescent="0.2">
      <c r="A11" s="19" t="s">
        <v>17</v>
      </c>
      <c r="B11" s="44"/>
      <c r="C11" s="44"/>
      <c r="D11" s="44"/>
      <c r="E11" s="44"/>
      <c r="F11" s="44"/>
      <c r="G11" s="43"/>
      <c r="H11" s="43"/>
      <c r="I11" s="81">
        <f t="shared" si="0"/>
        <v>0</v>
      </c>
      <c r="J11" s="89" t="e">
        <f t="shared" si="1"/>
        <v>#DIV/0!</v>
      </c>
    </row>
    <row r="12" spans="1:10" x14ac:dyDescent="0.2">
      <c r="A12" s="19" t="s">
        <v>16</v>
      </c>
      <c r="B12" s="44"/>
      <c r="C12" s="44"/>
      <c r="D12" s="44"/>
      <c r="E12" s="44"/>
      <c r="F12" s="44"/>
      <c r="G12" s="43"/>
      <c r="H12" s="43"/>
      <c r="I12" s="81">
        <f t="shared" si="0"/>
        <v>0</v>
      </c>
      <c r="J12" s="89" t="e">
        <f t="shared" si="1"/>
        <v>#DIV/0!</v>
      </c>
    </row>
    <row r="13" spans="1:10" ht="19" thickBot="1" x14ac:dyDescent="0.25">
      <c r="A13" s="16" t="s">
        <v>15</v>
      </c>
      <c r="B13" s="42"/>
      <c r="C13" s="42"/>
      <c r="D13" s="42"/>
      <c r="E13" s="42"/>
      <c r="F13" s="42"/>
      <c r="G13" s="41"/>
      <c r="H13" s="41"/>
      <c r="I13" s="81">
        <f t="shared" si="0"/>
        <v>0</v>
      </c>
      <c r="J13" s="89" t="e">
        <f t="shared" si="1"/>
        <v>#DIV/0!</v>
      </c>
    </row>
    <row r="14" spans="1:10" ht="19" thickBot="1" x14ac:dyDescent="0.25">
      <c r="A14" s="13" t="s">
        <v>8</v>
      </c>
      <c r="B14" s="40">
        <f t="shared" ref="B14:G14" si="2">SUM(B2:B13)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39">
        <f t="shared" si="2"/>
        <v>0</v>
      </c>
      <c r="H14" s="39">
        <f t="shared" ref="H14" si="3">SUM(H2:H13)</f>
        <v>0</v>
      </c>
      <c r="I14" s="82">
        <f t="shared" ref="I14" si="4">G14-F14</f>
        <v>0</v>
      </c>
      <c r="J14" s="90" t="e">
        <f>(H14-G14)/G14</f>
        <v>#DIV/0!</v>
      </c>
    </row>
    <row r="15" spans="1:10" x14ac:dyDescent="0.2">
      <c r="A15" s="24" t="s">
        <v>4</v>
      </c>
      <c r="B15" s="23">
        <v>2019</v>
      </c>
      <c r="C15" s="23">
        <v>2020</v>
      </c>
      <c r="D15" s="23">
        <v>2021</v>
      </c>
      <c r="E15" s="23">
        <v>2022</v>
      </c>
      <c r="F15" s="23">
        <v>2023</v>
      </c>
      <c r="G15" s="22">
        <v>2024</v>
      </c>
      <c r="H15" s="22">
        <v>2025</v>
      </c>
      <c r="I15" s="135" t="s">
        <v>27</v>
      </c>
      <c r="J15" s="136"/>
    </row>
    <row r="16" spans="1:10" x14ac:dyDescent="0.2">
      <c r="A16" s="19" t="s">
        <v>24</v>
      </c>
      <c r="B16" s="37"/>
      <c r="C16" s="37"/>
      <c r="D16" s="37"/>
      <c r="E16" s="37"/>
      <c r="F16" s="37"/>
      <c r="G16" s="36"/>
      <c r="H16" s="36"/>
      <c r="I16" s="83">
        <f>H16-G16</f>
        <v>0</v>
      </c>
      <c r="J16" s="89" t="e">
        <f>(H16-G16)/G16</f>
        <v>#DIV/0!</v>
      </c>
    </row>
    <row r="17" spans="1:10" x14ac:dyDescent="0.2">
      <c r="A17" s="19" t="s">
        <v>23</v>
      </c>
      <c r="B17" s="37"/>
      <c r="C17" s="37"/>
      <c r="D17" s="37"/>
      <c r="E17" s="37"/>
      <c r="F17" s="37"/>
      <c r="G17" s="36"/>
      <c r="H17" s="36"/>
      <c r="I17" s="83">
        <f t="shared" ref="I17:I27" si="5">H17-G17</f>
        <v>0</v>
      </c>
      <c r="J17" s="89" t="e">
        <f t="shared" ref="J17:J27" si="6">(H17-G17)/G17</f>
        <v>#DIV/0!</v>
      </c>
    </row>
    <row r="18" spans="1:10" x14ac:dyDescent="0.2">
      <c r="A18" s="19" t="s">
        <v>22</v>
      </c>
      <c r="B18" s="37"/>
      <c r="C18" s="38"/>
      <c r="D18" s="37"/>
      <c r="E18" s="37"/>
      <c r="F18" s="37"/>
      <c r="G18" s="36"/>
      <c r="H18" s="36"/>
      <c r="I18" s="83">
        <f t="shared" si="5"/>
        <v>0</v>
      </c>
      <c r="J18" s="89" t="e">
        <f t="shared" si="6"/>
        <v>#DIV/0!</v>
      </c>
    </row>
    <row r="19" spans="1:10" x14ac:dyDescent="0.2">
      <c r="A19" s="19" t="s">
        <v>21</v>
      </c>
      <c r="B19" s="37"/>
      <c r="C19" s="38"/>
      <c r="D19" s="37"/>
      <c r="E19" s="37"/>
      <c r="F19" s="37"/>
      <c r="G19" s="36"/>
      <c r="H19" s="36"/>
      <c r="I19" s="83">
        <f t="shared" si="5"/>
        <v>0</v>
      </c>
      <c r="J19" s="89" t="e">
        <f t="shared" si="6"/>
        <v>#DIV/0!</v>
      </c>
    </row>
    <row r="20" spans="1:10" x14ac:dyDescent="0.2">
      <c r="A20" s="19" t="s">
        <v>20</v>
      </c>
      <c r="B20" s="37"/>
      <c r="C20" s="38"/>
      <c r="D20" s="37"/>
      <c r="E20" s="37"/>
      <c r="F20" s="37"/>
      <c r="G20" s="36"/>
      <c r="H20" s="36"/>
      <c r="I20" s="83">
        <f t="shared" si="5"/>
        <v>0</v>
      </c>
      <c r="J20" s="89" t="e">
        <f t="shared" si="6"/>
        <v>#DIV/0!</v>
      </c>
    </row>
    <row r="21" spans="1:10" x14ac:dyDescent="0.2">
      <c r="A21" s="19" t="s">
        <v>19</v>
      </c>
      <c r="B21" s="37"/>
      <c r="C21" s="37"/>
      <c r="D21" s="37"/>
      <c r="E21" s="37"/>
      <c r="F21" s="37"/>
      <c r="G21" s="36"/>
      <c r="H21" s="36"/>
      <c r="I21" s="83">
        <f t="shared" si="5"/>
        <v>0</v>
      </c>
      <c r="J21" s="89" t="e">
        <f t="shared" si="6"/>
        <v>#DIV/0!</v>
      </c>
    </row>
    <row r="22" spans="1:10" x14ac:dyDescent="0.2">
      <c r="A22" s="19" t="s">
        <v>18</v>
      </c>
      <c r="B22" s="37"/>
      <c r="C22" s="37"/>
      <c r="D22" s="37"/>
      <c r="E22" s="37"/>
      <c r="F22" s="37"/>
      <c r="G22" s="36"/>
      <c r="H22" s="36"/>
      <c r="I22" s="83">
        <f t="shared" si="5"/>
        <v>0</v>
      </c>
      <c r="J22" s="89" t="e">
        <f t="shared" si="6"/>
        <v>#DIV/0!</v>
      </c>
    </row>
    <row r="23" spans="1:10" x14ac:dyDescent="0.2">
      <c r="A23" s="19" t="s">
        <v>2</v>
      </c>
      <c r="B23" s="37"/>
      <c r="C23" s="37"/>
      <c r="D23" s="37"/>
      <c r="E23" s="37"/>
      <c r="F23" s="37"/>
      <c r="G23" s="36"/>
      <c r="H23" s="36"/>
      <c r="I23" s="83">
        <f t="shared" si="5"/>
        <v>0</v>
      </c>
      <c r="J23" s="89" t="e">
        <f t="shared" si="6"/>
        <v>#DIV/0!</v>
      </c>
    </row>
    <row r="24" spans="1:10" x14ac:dyDescent="0.2">
      <c r="A24" s="19" t="s">
        <v>3</v>
      </c>
      <c r="B24" s="37"/>
      <c r="C24" s="37"/>
      <c r="D24" s="37"/>
      <c r="E24" s="37"/>
      <c r="F24" s="37"/>
      <c r="G24" s="36"/>
      <c r="H24" s="36"/>
      <c r="I24" s="83">
        <f t="shared" si="5"/>
        <v>0</v>
      </c>
      <c r="J24" s="89" t="e">
        <f t="shared" si="6"/>
        <v>#DIV/0!</v>
      </c>
    </row>
    <row r="25" spans="1:10" x14ac:dyDescent="0.2">
      <c r="A25" s="19" t="s">
        <v>17</v>
      </c>
      <c r="B25" s="37"/>
      <c r="C25" s="37"/>
      <c r="D25" s="37"/>
      <c r="E25" s="37"/>
      <c r="F25" s="37"/>
      <c r="G25" s="36"/>
      <c r="H25" s="36"/>
      <c r="I25" s="83">
        <f t="shared" si="5"/>
        <v>0</v>
      </c>
      <c r="J25" s="89" t="e">
        <f t="shared" si="6"/>
        <v>#DIV/0!</v>
      </c>
    </row>
    <row r="26" spans="1:10" x14ac:dyDescent="0.2">
      <c r="A26" s="19" t="s">
        <v>16</v>
      </c>
      <c r="B26" s="37"/>
      <c r="C26" s="37"/>
      <c r="D26" s="37"/>
      <c r="E26" s="37"/>
      <c r="F26" s="37"/>
      <c r="G26" s="36"/>
      <c r="H26" s="36"/>
      <c r="I26" s="83">
        <f t="shared" si="5"/>
        <v>0</v>
      </c>
      <c r="J26" s="89" t="e">
        <f t="shared" si="6"/>
        <v>#DIV/0!</v>
      </c>
    </row>
    <row r="27" spans="1:10" ht="19" thickBot="1" x14ac:dyDescent="0.25">
      <c r="A27" s="16" t="s">
        <v>15</v>
      </c>
      <c r="B27" s="35"/>
      <c r="C27" s="35"/>
      <c r="D27" s="35"/>
      <c r="E27" s="35"/>
      <c r="F27" s="35"/>
      <c r="G27" s="34"/>
      <c r="H27" s="34"/>
      <c r="I27" s="83">
        <f t="shared" si="5"/>
        <v>0</v>
      </c>
      <c r="J27" s="89" t="e">
        <f t="shared" si="6"/>
        <v>#DIV/0!</v>
      </c>
    </row>
    <row r="28" spans="1:10" ht="19" thickBot="1" x14ac:dyDescent="0.25">
      <c r="A28" s="13" t="s">
        <v>8</v>
      </c>
      <c r="B28" s="33">
        <f t="shared" ref="B28:G28" si="7">SUM(B16:B27)</f>
        <v>0</v>
      </c>
      <c r="C28" s="33">
        <f t="shared" si="7"/>
        <v>0</v>
      </c>
      <c r="D28" s="33">
        <f t="shared" si="7"/>
        <v>0</v>
      </c>
      <c r="E28" s="33">
        <f t="shared" si="7"/>
        <v>0</v>
      </c>
      <c r="F28" s="33">
        <f t="shared" si="7"/>
        <v>0</v>
      </c>
      <c r="G28" s="32">
        <f t="shared" si="7"/>
        <v>0</v>
      </c>
      <c r="H28" s="32">
        <f t="shared" ref="H28" si="8">SUM(H16:H27)</f>
        <v>0</v>
      </c>
      <c r="I28" s="84">
        <f t="shared" ref="I28" si="9">G28-F28</f>
        <v>0</v>
      </c>
      <c r="J28" s="90" t="e">
        <f>(H28-G28)/G28</f>
        <v>#DIV/0!</v>
      </c>
    </row>
    <row r="29" spans="1:10" x14ac:dyDescent="0.2">
      <c r="A29" s="24" t="s">
        <v>6</v>
      </c>
      <c r="B29" s="23">
        <v>2019</v>
      </c>
      <c r="C29" s="23">
        <v>2020</v>
      </c>
      <c r="D29" s="23">
        <v>2021</v>
      </c>
      <c r="E29" s="23">
        <v>2022</v>
      </c>
      <c r="F29" s="23">
        <v>2023</v>
      </c>
      <c r="G29" s="22">
        <v>2024</v>
      </c>
      <c r="H29" s="22">
        <v>2025</v>
      </c>
      <c r="I29" s="135" t="s">
        <v>27</v>
      </c>
      <c r="J29" s="136"/>
    </row>
    <row r="30" spans="1:10" x14ac:dyDescent="0.2">
      <c r="A30" s="19" t="s">
        <v>24</v>
      </c>
      <c r="B30" s="30"/>
      <c r="C30" s="30"/>
      <c r="D30" s="30"/>
      <c r="E30" s="30"/>
      <c r="F30" s="30"/>
      <c r="G30" s="29"/>
      <c r="H30" s="29"/>
      <c r="I30" s="85">
        <f>H30-G30</f>
        <v>0</v>
      </c>
      <c r="J30" s="89" t="e">
        <f>(H30-G30)/G30</f>
        <v>#DIV/0!</v>
      </c>
    </row>
    <row r="31" spans="1:10" x14ac:dyDescent="0.2">
      <c r="A31" s="19" t="s">
        <v>23</v>
      </c>
      <c r="B31" s="30"/>
      <c r="C31" s="30"/>
      <c r="D31" s="30"/>
      <c r="E31" s="30"/>
      <c r="F31" s="30"/>
      <c r="G31" s="29"/>
      <c r="H31" s="29"/>
      <c r="I31" s="85">
        <f t="shared" ref="I31:I41" si="10">H31-G31</f>
        <v>0</v>
      </c>
      <c r="J31" s="89" t="e">
        <f t="shared" ref="J31:J41" si="11">(H31-G31)/G31</f>
        <v>#DIV/0!</v>
      </c>
    </row>
    <row r="32" spans="1:10" x14ac:dyDescent="0.2">
      <c r="A32" s="19" t="s">
        <v>22</v>
      </c>
      <c r="B32" s="30"/>
      <c r="C32" s="31"/>
      <c r="D32" s="30"/>
      <c r="E32" s="30"/>
      <c r="F32" s="30"/>
      <c r="G32" s="29"/>
      <c r="H32" s="29"/>
      <c r="I32" s="85">
        <f t="shared" si="10"/>
        <v>0</v>
      </c>
      <c r="J32" s="89" t="e">
        <f t="shared" si="11"/>
        <v>#DIV/0!</v>
      </c>
    </row>
    <row r="33" spans="1:10" x14ac:dyDescent="0.2">
      <c r="A33" s="19" t="s">
        <v>21</v>
      </c>
      <c r="B33" s="30"/>
      <c r="C33" s="31"/>
      <c r="D33" s="30"/>
      <c r="E33" s="30"/>
      <c r="F33" s="30"/>
      <c r="G33" s="29"/>
      <c r="H33" s="29"/>
      <c r="I33" s="85">
        <f t="shared" si="10"/>
        <v>0</v>
      </c>
      <c r="J33" s="89" t="e">
        <f t="shared" si="11"/>
        <v>#DIV/0!</v>
      </c>
    </row>
    <row r="34" spans="1:10" x14ac:dyDescent="0.2">
      <c r="A34" s="19" t="s">
        <v>20</v>
      </c>
      <c r="B34" s="30"/>
      <c r="C34" s="31"/>
      <c r="D34" s="30"/>
      <c r="E34" s="30"/>
      <c r="F34" s="30"/>
      <c r="G34" s="29"/>
      <c r="H34" s="29"/>
      <c r="I34" s="85">
        <f t="shared" si="10"/>
        <v>0</v>
      </c>
      <c r="J34" s="89" t="e">
        <f t="shared" si="11"/>
        <v>#DIV/0!</v>
      </c>
    </row>
    <row r="35" spans="1:10" x14ac:dyDescent="0.2">
      <c r="A35" s="19" t="s">
        <v>19</v>
      </c>
      <c r="B35" s="30"/>
      <c r="C35" s="30"/>
      <c r="D35" s="30"/>
      <c r="E35" s="30"/>
      <c r="F35" s="30"/>
      <c r="G35" s="29"/>
      <c r="H35" s="29"/>
      <c r="I35" s="85">
        <f t="shared" si="10"/>
        <v>0</v>
      </c>
      <c r="J35" s="89" t="e">
        <f t="shared" si="11"/>
        <v>#DIV/0!</v>
      </c>
    </row>
    <row r="36" spans="1:10" x14ac:dyDescent="0.2">
      <c r="A36" s="19" t="s">
        <v>18</v>
      </c>
      <c r="B36" s="30"/>
      <c r="C36" s="30"/>
      <c r="D36" s="30"/>
      <c r="E36" s="30"/>
      <c r="F36" s="30"/>
      <c r="G36" s="29"/>
      <c r="H36" s="29"/>
      <c r="I36" s="85">
        <f t="shared" si="10"/>
        <v>0</v>
      </c>
      <c r="J36" s="89" t="e">
        <f t="shared" si="11"/>
        <v>#DIV/0!</v>
      </c>
    </row>
    <row r="37" spans="1:10" x14ac:dyDescent="0.2">
      <c r="A37" s="19" t="s">
        <v>2</v>
      </c>
      <c r="B37" s="30"/>
      <c r="C37" s="30"/>
      <c r="D37" s="30"/>
      <c r="E37" s="30"/>
      <c r="F37" s="30"/>
      <c r="G37" s="29"/>
      <c r="H37" s="29"/>
      <c r="I37" s="85">
        <f t="shared" si="10"/>
        <v>0</v>
      </c>
      <c r="J37" s="89" t="e">
        <f t="shared" si="11"/>
        <v>#DIV/0!</v>
      </c>
    </row>
    <row r="38" spans="1:10" x14ac:dyDescent="0.2">
      <c r="A38" s="19" t="s">
        <v>3</v>
      </c>
      <c r="B38" s="30"/>
      <c r="C38" s="30"/>
      <c r="D38" s="30"/>
      <c r="E38" s="30"/>
      <c r="F38" s="30"/>
      <c r="G38" s="29"/>
      <c r="H38" s="29"/>
      <c r="I38" s="85">
        <f t="shared" si="10"/>
        <v>0</v>
      </c>
      <c r="J38" s="89" t="e">
        <f t="shared" si="11"/>
        <v>#DIV/0!</v>
      </c>
    </row>
    <row r="39" spans="1:10" x14ac:dyDescent="0.2">
      <c r="A39" s="19" t="s">
        <v>17</v>
      </c>
      <c r="B39" s="30"/>
      <c r="C39" s="30"/>
      <c r="D39" s="30"/>
      <c r="E39" s="30"/>
      <c r="F39" s="30"/>
      <c r="G39" s="29"/>
      <c r="H39" s="29"/>
      <c r="I39" s="85">
        <f t="shared" si="10"/>
        <v>0</v>
      </c>
      <c r="J39" s="89" t="e">
        <f t="shared" si="11"/>
        <v>#DIV/0!</v>
      </c>
    </row>
    <row r="40" spans="1:10" x14ac:dyDescent="0.2">
      <c r="A40" s="19" t="s">
        <v>16</v>
      </c>
      <c r="B40" s="30"/>
      <c r="C40" s="30"/>
      <c r="D40" s="30"/>
      <c r="E40" s="30"/>
      <c r="F40" s="30"/>
      <c r="G40" s="29"/>
      <c r="H40" s="29"/>
      <c r="I40" s="85">
        <f t="shared" si="10"/>
        <v>0</v>
      </c>
      <c r="J40" s="89" t="e">
        <f t="shared" si="11"/>
        <v>#DIV/0!</v>
      </c>
    </row>
    <row r="41" spans="1:10" ht="19" thickBot="1" x14ac:dyDescent="0.25">
      <c r="A41" s="16" t="s">
        <v>15</v>
      </c>
      <c r="B41" s="28"/>
      <c r="C41" s="28"/>
      <c r="D41" s="28"/>
      <c r="E41" s="28"/>
      <c r="F41" s="28"/>
      <c r="G41" s="27"/>
      <c r="H41" s="27"/>
      <c r="I41" s="85">
        <f t="shared" si="10"/>
        <v>0</v>
      </c>
      <c r="J41" s="89" t="e">
        <f t="shared" si="11"/>
        <v>#DIV/0!</v>
      </c>
    </row>
    <row r="42" spans="1:10" ht="19" thickBot="1" x14ac:dyDescent="0.25">
      <c r="A42" s="13" t="s">
        <v>14</v>
      </c>
      <c r="B42" s="26">
        <f t="shared" ref="B42:G42" si="12">SUM(B30:B41)/12</f>
        <v>0</v>
      </c>
      <c r="C42" s="26">
        <f t="shared" si="12"/>
        <v>0</v>
      </c>
      <c r="D42" s="26">
        <f t="shared" si="12"/>
        <v>0</v>
      </c>
      <c r="E42" s="26">
        <f t="shared" si="12"/>
        <v>0</v>
      </c>
      <c r="F42" s="26">
        <f t="shared" si="12"/>
        <v>0</v>
      </c>
      <c r="G42" s="25">
        <f t="shared" si="12"/>
        <v>0</v>
      </c>
      <c r="H42" s="25">
        <f t="shared" ref="H42" si="13">SUM(H30:H41)/12</f>
        <v>0</v>
      </c>
      <c r="I42" s="86">
        <f t="shared" ref="I42" si="14">G42-F42</f>
        <v>0</v>
      </c>
      <c r="J42" s="90" t="e">
        <f>(H42-G42)/G42</f>
        <v>#DIV/0!</v>
      </c>
    </row>
    <row r="43" spans="1:10" x14ac:dyDescent="0.2">
      <c r="A43" s="24" t="s">
        <v>5</v>
      </c>
      <c r="B43" s="23">
        <v>2019</v>
      </c>
      <c r="C43" s="23">
        <v>2020</v>
      </c>
      <c r="D43" s="23">
        <v>2021</v>
      </c>
      <c r="E43" s="23">
        <v>2022</v>
      </c>
      <c r="F43" s="23">
        <v>2023</v>
      </c>
      <c r="G43" s="22">
        <v>2024</v>
      </c>
      <c r="H43" s="22">
        <v>2025</v>
      </c>
      <c r="I43" s="135" t="s">
        <v>27</v>
      </c>
      <c r="J43" s="136"/>
    </row>
    <row r="44" spans="1:10" x14ac:dyDescent="0.2">
      <c r="A44" s="19" t="s">
        <v>24</v>
      </c>
      <c r="B44" s="18"/>
      <c r="C44" s="18" t="e">
        <f t="shared" ref="C44:G46" si="15">C2/C16</f>
        <v>#DIV/0!</v>
      </c>
      <c r="D44" s="18" t="e">
        <f t="shared" si="15"/>
        <v>#DIV/0!</v>
      </c>
      <c r="E44" s="18" t="e">
        <f t="shared" si="15"/>
        <v>#DIV/0!</v>
      </c>
      <c r="F44" s="18" t="e">
        <f t="shared" si="15"/>
        <v>#DIV/0!</v>
      </c>
      <c r="G44" s="17" t="e">
        <f t="shared" si="15"/>
        <v>#DIV/0!</v>
      </c>
      <c r="H44" s="17" t="e">
        <f t="shared" ref="H44" si="16">H2/H16</f>
        <v>#DIV/0!</v>
      </c>
      <c r="I44" s="87" t="e">
        <f>H44-G44</f>
        <v>#DIV/0!</v>
      </c>
      <c r="J44" s="89" t="e">
        <f>(H44-G44)/G44</f>
        <v>#DIV/0!</v>
      </c>
    </row>
    <row r="45" spans="1:10" x14ac:dyDescent="0.2">
      <c r="A45" s="19" t="s">
        <v>23</v>
      </c>
      <c r="B45" s="18"/>
      <c r="C45" s="18" t="e">
        <f t="shared" si="15"/>
        <v>#DIV/0!</v>
      </c>
      <c r="D45" s="18" t="e">
        <f t="shared" si="15"/>
        <v>#DIV/0!</v>
      </c>
      <c r="E45" s="18" t="e">
        <f t="shared" si="15"/>
        <v>#DIV/0!</v>
      </c>
      <c r="F45" s="18" t="e">
        <f t="shared" si="15"/>
        <v>#DIV/0!</v>
      </c>
      <c r="G45" s="17" t="e">
        <f t="shared" si="15"/>
        <v>#DIV/0!</v>
      </c>
      <c r="H45" s="17" t="e">
        <f>H3/H17</f>
        <v>#DIV/0!</v>
      </c>
      <c r="I45" s="87" t="e">
        <f t="shared" ref="I45:I55" si="17">H45-G45</f>
        <v>#DIV/0!</v>
      </c>
      <c r="J45" s="89" t="e">
        <f t="shared" ref="J45:J55" si="18">(H45-G45)/G45</f>
        <v>#DIV/0!</v>
      </c>
    </row>
    <row r="46" spans="1:10" x14ac:dyDescent="0.2">
      <c r="A46" s="19" t="s">
        <v>22</v>
      </c>
      <c r="B46" s="18"/>
      <c r="C46" s="21" t="e">
        <f t="shared" si="15"/>
        <v>#DIV/0!</v>
      </c>
      <c r="D46" s="18" t="e">
        <f t="shared" si="15"/>
        <v>#DIV/0!</v>
      </c>
      <c r="E46" s="18" t="e">
        <f t="shared" si="15"/>
        <v>#DIV/0!</v>
      </c>
      <c r="F46" s="18" t="e">
        <f t="shared" si="15"/>
        <v>#DIV/0!</v>
      </c>
      <c r="G46" s="17" t="e">
        <f t="shared" si="15"/>
        <v>#DIV/0!</v>
      </c>
      <c r="H46" s="17" t="e">
        <f>H4/H18</f>
        <v>#DIV/0!</v>
      </c>
      <c r="I46" s="87" t="e">
        <f t="shared" si="17"/>
        <v>#DIV/0!</v>
      </c>
      <c r="J46" s="89" t="e">
        <f t="shared" si="18"/>
        <v>#DIV/0!</v>
      </c>
    </row>
    <row r="47" spans="1:10" x14ac:dyDescent="0.2">
      <c r="A47" s="19" t="s">
        <v>21</v>
      </c>
      <c r="B47" s="18"/>
      <c r="C47" s="20">
        <v>0</v>
      </c>
      <c r="D47" s="18" t="e">
        <f t="shared" ref="D47:G55" si="19">D5/D19</f>
        <v>#DIV/0!</v>
      </c>
      <c r="E47" s="18" t="e">
        <f t="shared" si="19"/>
        <v>#DIV/0!</v>
      </c>
      <c r="F47" s="18" t="e">
        <f t="shared" si="19"/>
        <v>#DIV/0!</v>
      </c>
      <c r="G47" s="17" t="e">
        <f t="shared" si="19"/>
        <v>#DIV/0!</v>
      </c>
      <c r="H47" s="17" t="e">
        <f t="shared" ref="H47" si="20">H5/H19</f>
        <v>#DIV/0!</v>
      </c>
      <c r="I47" s="87" t="e">
        <f t="shared" si="17"/>
        <v>#DIV/0!</v>
      </c>
      <c r="J47" s="89" t="e">
        <f t="shared" si="18"/>
        <v>#DIV/0!</v>
      </c>
    </row>
    <row r="48" spans="1:10" x14ac:dyDescent="0.2">
      <c r="A48" s="19" t="s">
        <v>20</v>
      </c>
      <c r="B48" s="18"/>
      <c r="C48" s="20">
        <v>0</v>
      </c>
      <c r="D48" s="18" t="e">
        <f t="shared" si="19"/>
        <v>#DIV/0!</v>
      </c>
      <c r="E48" s="18" t="e">
        <f t="shared" si="19"/>
        <v>#DIV/0!</v>
      </c>
      <c r="F48" s="18" t="e">
        <f t="shared" si="19"/>
        <v>#DIV/0!</v>
      </c>
      <c r="G48" s="17" t="e">
        <f t="shared" si="19"/>
        <v>#DIV/0!</v>
      </c>
      <c r="H48" s="17" t="e">
        <f t="shared" ref="H48" si="21">H6/H20</f>
        <v>#DIV/0!</v>
      </c>
      <c r="I48" s="87" t="e">
        <f t="shared" si="17"/>
        <v>#DIV/0!</v>
      </c>
      <c r="J48" s="89" t="e">
        <f t="shared" si="18"/>
        <v>#DIV/0!</v>
      </c>
    </row>
    <row r="49" spans="1:10" x14ac:dyDescent="0.2">
      <c r="A49" s="19" t="s">
        <v>19</v>
      </c>
      <c r="B49" s="18"/>
      <c r="C49" s="18">
        <v>0</v>
      </c>
      <c r="D49" s="18" t="e">
        <f t="shared" si="19"/>
        <v>#DIV/0!</v>
      </c>
      <c r="E49" s="18" t="e">
        <f t="shared" si="19"/>
        <v>#DIV/0!</v>
      </c>
      <c r="F49" s="18" t="e">
        <f t="shared" si="19"/>
        <v>#DIV/0!</v>
      </c>
      <c r="G49" s="17" t="e">
        <f t="shared" si="19"/>
        <v>#DIV/0!</v>
      </c>
      <c r="H49" s="17" t="e">
        <f t="shared" ref="H49" si="22">H7/H21</f>
        <v>#DIV/0!</v>
      </c>
      <c r="I49" s="87" t="e">
        <f t="shared" si="17"/>
        <v>#DIV/0!</v>
      </c>
      <c r="J49" s="89" t="e">
        <f t="shared" si="18"/>
        <v>#DIV/0!</v>
      </c>
    </row>
    <row r="50" spans="1:10" x14ac:dyDescent="0.2">
      <c r="A50" s="19" t="s">
        <v>18</v>
      </c>
      <c r="B50" s="18"/>
      <c r="C50" s="18">
        <v>0</v>
      </c>
      <c r="D50" s="18" t="e">
        <f t="shared" si="19"/>
        <v>#DIV/0!</v>
      </c>
      <c r="E50" s="18" t="e">
        <f t="shared" si="19"/>
        <v>#DIV/0!</v>
      </c>
      <c r="F50" s="18" t="e">
        <f t="shared" si="19"/>
        <v>#DIV/0!</v>
      </c>
      <c r="G50" s="17" t="e">
        <f t="shared" si="19"/>
        <v>#DIV/0!</v>
      </c>
      <c r="H50" s="17" t="e">
        <f t="shared" ref="H50" si="23">H8/H22</f>
        <v>#DIV/0!</v>
      </c>
      <c r="I50" s="87" t="e">
        <f t="shared" si="17"/>
        <v>#DIV/0!</v>
      </c>
      <c r="J50" s="89" t="e">
        <f t="shared" si="18"/>
        <v>#DIV/0!</v>
      </c>
    </row>
    <row r="51" spans="1:10" x14ac:dyDescent="0.2">
      <c r="A51" s="19" t="s">
        <v>2</v>
      </c>
      <c r="B51" s="18"/>
      <c r="C51" s="18" t="e">
        <f>C9/C23</f>
        <v>#DIV/0!</v>
      </c>
      <c r="D51" s="18" t="e">
        <f t="shared" si="19"/>
        <v>#DIV/0!</v>
      </c>
      <c r="E51" s="18" t="e">
        <f t="shared" si="19"/>
        <v>#DIV/0!</v>
      </c>
      <c r="F51" s="18" t="e">
        <f t="shared" si="19"/>
        <v>#DIV/0!</v>
      </c>
      <c r="G51" s="17" t="e">
        <f t="shared" si="19"/>
        <v>#DIV/0!</v>
      </c>
      <c r="H51" s="17" t="e">
        <f t="shared" ref="H51" si="24">H9/H23</f>
        <v>#DIV/0!</v>
      </c>
      <c r="I51" s="87" t="e">
        <f t="shared" si="17"/>
        <v>#DIV/0!</v>
      </c>
      <c r="J51" s="89" t="e">
        <f t="shared" si="18"/>
        <v>#DIV/0!</v>
      </c>
    </row>
    <row r="52" spans="1:10" x14ac:dyDescent="0.2">
      <c r="A52" s="19" t="s">
        <v>3</v>
      </c>
      <c r="B52" s="18"/>
      <c r="C52" s="18" t="e">
        <f>C10/C24</f>
        <v>#DIV/0!</v>
      </c>
      <c r="D52" s="18" t="e">
        <f t="shared" si="19"/>
        <v>#DIV/0!</v>
      </c>
      <c r="E52" s="18" t="e">
        <f t="shared" si="19"/>
        <v>#DIV/0!</v>
      </c>
      <c r="F52" s="18" t="e">
        <f t="shared" si="19"/>
        <v>#DIV/0!</v>
      </c>
      <c r="G52" s="17" t="e">
        <f t="shared" si="19"/>
        <v>#DIV/0!</v>
      </c>
      <c r="H52" s="17" t="e">
        <f t="shared" ref="H52" si="25">H10/H24</f>
        <v>#DIV/0!</v>
      </c>
      <c r="I52" s="87" t="e">
        <f t="shared" si="17"/>
        <v>#DIV/0!</v>
      </c>
      <c r="J52" s="89" t="e">
        <f t="shared" si="18"/>
        <v>#DIV/0!</v>
      </c>
    </row>
    <row r="53" spans="1:10" x14ac:dyDescent="0.2">
      <c r="A53" s="19" t="s">
        <v>17</v>
      </c>
      <c r="B53" s="18"/>
      <c r="C53" s="18" t="e">
        <f>C11/C25</f>
        <v>#DIV/0!</v>
      </c>
      <c r="D53" s="18" t="e">
        <f t="shared" si="19"/>
        <v>#DIV/0!</v>
      </c>
      <c r="E53" s="18" t="e">
        <f t="shared" si="19"/>
        <v>#DIV/0!</v>
      </c>
      <c r="F53" s="18" t="e">
        <f t="shared" si="19"/>
        <v>#DIV/0!</v>
      </c>
      <c r="G53" s="17" t="e">
        <f t="shared" si="19"/>
        <v>#DIV/0!</v>
      </c>
      <c r="H53" s="17" t="e">
        <f t="shared" ref="H53" si="26">H11/H25</f>
        <v>#DIV/0!</v>
      </c>
      <c r="I53" s="87" t="e">
        <f t="shared" si="17"/>
        <v>#DIV/0!</v>
      </c>
      <c r="J53" s="89" t="e">
        <f t="shared" si="18"/>
        <v>#DIV/0!</v>
      </c>
    </row>
    <row r="54" spans="1:10" x14ac:dyDescent="0.2">
      <c r="A54" s="19" t="s">
        <v>16</v>
      </c>
      <c r="B54" s="18"/>
      <c r="C54" s="18" t="e">
        <f>C12/C26</f>
        <v>#DIV/0!</v>
      </c>
      <c r="D54" s="18" t="e">
        <f t="shared" si="19"/>
        <v>#DIV/0!</v>
      </c>
      <c r="E54" s="18" t="e">
        <f t="shared" si="19"/>
        <v>#DIV/0!</v>
      </c>
      <c r="F54" s="18" t="e">
        <f t="shared" si="19"/>
        <v>#DIV/0!</v>
      </c>
      <c r="G54" s="17" t="e">
        <f t="shared" si="19"/>
        <v>#DIV/0!</v>
      </c>
      <c r="H54" s="17" t="e">
        <f t="shared" ref="H54" si="27">H12/H26</f>
        <v>#DIV/0!</v>
      </c>
      <c r="I54" s="87" t="e">
        <f t="shared" si="17"/>
        <v>#DIV/0!</v>
      </c>
      <c r="J54" s="89" t="e">
        <f t="shared" si="18"/>
        <v>#DIV/0!</v>
      </c>
    </row>
    <row r="55" spans="1:10" ht="19" thickBot="1" x14ac:dyDescent="0.25">
      <c r="A55" s="16" t="s">
        <v>15</v>
      </c>
      <c r="B55" s="15" t="e">
        <f>B13/B27</f>
        <v>#DIV/0!</v>
      </c>
      <c r="C55" s="15" t="e">
        <f>C13/C27</f>
        <v>#DIV/0!</v>
      </c>
      <c r="D55" s="15" t="e">
        <f t="shared" si="19"/>
        <v>#DIV/0!</v>
      </c>
      <c r="E55" s="15" t="e">
        <f t="shared" si="19"/>
        <v>#DIV/0!</v>
      </c>
      <c r="F55" s="15" t="e">
        <f t="shared" si="19"/>
        <v>#DIV/0!</v>
      </c>
      <c r="G55" s="14" t="e">
        <f t="shared" si="19"/>
        <v>#DIV/0!</v>
      </c>
      <c r="H55" s="14" t="e">
        <f t="shared" ref="H55" si="28">H13/H27</f>
        <v>#DIV/0!</v>
      </c>
      <c r="I55" s="87" t="e">
        <f t="shared" si="17"/>
        <v>#DIV/0!</v>
      </c>
      <c r="J55" s="89" t="e">
        <f t="shared" si="18"/>
        <v>#DIV/0!</v>
      </c>
    </row>
    <row r="56" spans="1:10" ht="19" thickBot="1" x14ac:dyDescent="0.25">
      <c r="A56" s="13" t="s">
        <v>14</v>
      </c>
      <c r="B56" s="12" t="e">
        <f t="shared" ref="B56:G56" si="29">SUM(B44:B55)/12</f>
        <v>#DIV/0!</v>
      </c>
      <c r="C56" s="12" t="e">
        <f t="shared" si="29"/>
        <v>#DIV/0!</v>
      </c>
      <c r="D56" s="12" t="e">
        <f t="shared" si="29"/>
        <v>#DIV/0!</v>
      </c>
      <c r="E56" s="12" t="e">
        <f t="shared" si="29"/>
        <v>#DIV/0!</v>
      </c>
      <c r="F56" s="12" t="e">
        <f t="shared" si="29"/>
        <v>#DIV/0!</v>
      </c>
      <c r="G56" s="11" t="e">
        <f t="shared" si="29"/>
        <v>#DIV/0!</v>
      </c>
      <c r="H56" s="11" t="e">
        <f t="shared" ref="H56" si="30">SUM(H44:H55)/12</f>
        <v>#DIV/0!</v>
      </c>
      <c r="I56" s="88" t="e">
        <f t="shared" ref="I56" si="31">G56-F56</f>
        <v>#DIV/0!</v>
      </c>
      <c r="J56" s="90" t="e">
        <f>(H56-G56)/G56</f>
        <v>#DIV/0!</v>
      </c>
    </row>
    <row r="59" spans="1:10" x14ac:dyDescent="0.2">
      <c r="D59" s="10"/>
      <c r="E59"/>
      <c r="F59" s="10"/>
      <c r="G59"/>
      <c r="H59"/>
      <c r="I59" s="10"/>
      <c r="J59" s="10"/>
    </row>
    <row r="60" spans="1:10" x14ac:dyDescent="0.2">
      <c r="D60"/>
      <c r="E60"/>
      <c r="F60"/>
      <c r="G60"/>
      <c r="H60"/>
      <c r="I60"/>
      <c r="J60"/>
    </row>
    <row r="61" spans="1:10" x14ac:dyDescent="0.2">
      <c r="D61" s="10"/>
      <c r="E61"/>
      <c r="F61" s="10"/>
      <c r="G61"/>
      <c r="H61"/>
      <c r="I61" s="10"/>
      <c r="J61" s="10"/>
    </row>
    <row r="62" spans="1:10" x14ac:dyDescent="0.2">
      <c r="D62" s="10"/>
      <c r="E62"/>
      <c r="F62" s="10"/>
      <c r="G62"/>
      <c r="H62"/>
      <c r="I62" s="10"/>
      <c r="J62" s="10"/>
    </row>
    <row r="63" spans="1:10" x14ac:dyDescent="0.2">
      <c r="D63" s="10"/>
      <c r="E63"/>
      <c r="F63" s="10"/>
      <c r="G63"/>
      <c r="H63"/>
      <c r="I63" s="10"/>
      <c r="J63" s="10"/>
    </row>
    <row r="64" spans="1:10" x14ac:dyDescent="0.2">
      <c r="D64" s="10"/>
      <c r="E64"/>
      <c r="F64" s="10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ignoredErrors>
    <ignoredError sqref="I31:I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2026-08-14T08:09:55Z</dcterms:modified>
</cp:coreProperties>
</file>